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5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41" i="13" l="1"/>
  <c r="V40" i="13"/>
  <c r="J40" i="13"/>
  <c r="C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P5" i="20"/>
  <c r="M5" i="20"/>
  <c r="L5" i="20"/>
  <c r="K5" i="20"/>
  <c r="E5" i="20"/>
  <c r="C5" i="20"/>
  <c r="V4" i="20"/>
  <c r="P4" i="20"/>
  <c r="M4" i="20"/>
  <c r="L4" i="20"/>
  <c r="K4" i="20"/>
  <c r="E4" i="20"/>
  <c r="C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5" i="2"/>
  <c r="J4" i="2"/>
  <c r="J2" i="2" s="1"/>
  <c r="C4" i="2"/>
  <c r="P1" i="2"/>
  <c r="R36" i="13" l="1"/>
  <c r="U4" i="2"/>
  <c r="V4" i="2" s="1"/>
  <c r="S36" i="13" l="1"/>
  <c r="R2" i="13"/>
  <c r="N5" i="2"/>
  <c r="P5" i="2" s="1"/>
  <c r="Q5" i="2" s="1"/>
  <c r="N4" i="2"/>
  <c r="P4" i="2" s="1"/>
  <c r="Q4" i="2" l="1"/>
  <c r="R4" i="2"/>
  <c r="S4" i="2" s="1"/>
  <c r="S2" i="2" l="1"/>
  <c r="R2" i="2"/>
</calcChain>
</file>

<file path=xl/sharedStrings.xml><?xml version="1.0" encoding="utf-8"?>
<sst xmlns="http://schemas.openxmlformats.org/spreadsheetml/2006/main" count="8335" uniqueCount="2605">
  <si>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</si>
  <si>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</si>
  <si>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</si>
  <si>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</si>
  <si>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</si>
  <si>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</si>
  <si>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</si>
  <si>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</si>
  <si>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</si>
  <si>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</si>
  <si>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</si>
  <si>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</si>
  <si>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</si>
  <si>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</si>
  <si>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</si>
  <si>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</si>
  <si>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</si>
  <si>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</si>
  <si>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</si>
  <si>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</si>
  <si>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</si>
  <si>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</si>
  <si>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</si>
  <si>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</si>
  <si>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</si>
  <si>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</si>
  <si>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</si>
  <si>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</si>
  <si>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</si>
  <si>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</si>
  <si>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</si>
  <si>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</si>
  <si>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</si>
  <si>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</si>
  <si>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</si>
  <si>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</si>
  <si>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</si>
  <si>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</si>
  <si>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</si>
  <si>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</si>
  <si>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</si>
  <si>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</si>
  <si>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</si>
  <si>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</si>
  <si>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</si>
  <si>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</si>
  <si>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</si>
  <si>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</si>
  <si>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</si>
  <si>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</si>
  <si>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</si>
  <si>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</si>
  <si>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</si>
  <si>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</si>
  <si>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日本たばこ産業</t>
  </si>
  <si>
    <t>宇部興産</t>
  </si>
  <si>
    <t>りそなホールディングス</t>
  </si>
  <si>
    <t>住友林業</t>
  </si>
  <si>
    <t>良品計画</t>
  </si>
  <si>
    <t>パナソニック</t>
  </si>
  <si>
    <t>シチズン時計</t>
  </si>
  <si>
    <t>椿本チエイン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</si>
  <si>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</si>
  <si>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</si>
  <si>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</si>
  <si>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</si>
  <si>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</si>
  <si>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</si>
  <si>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</si>
  <si>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トヨタ紡織</t>
  </si>
  <si>
    <t>ＮＴＮ</t>
  </si>
  <si>
    <t>Ｔ＆Ｄホールディングス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</si>
  <si>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</si>
  <si>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</si>
  <si>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</si>
  <si>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</si>
  <si>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</si>
  <si>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</si>
  <si>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</si>
  <si>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</si>
  <si>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</si>
  <si>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</si>
  <si>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</si>
  <si>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</si>
  <si>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</si>
  <si>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</si>
  <si>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</si>
  <si>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</si>
  <si>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</si>
  <si>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</si>
  <si>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</si>
  <si>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</si>
  <si>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</si>
  <si>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</si>
  <si>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</si>
  <si>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</si>
  <si>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</si>
  <si>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</si>
  <si>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</si>
  <si>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</si>
  <si>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</si>
  <si>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</si>
  <si>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</si>
  <si>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</si>
  <si>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</si>
  <si>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</si>
  <si>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</si>
  <si>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</si>
  <si>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</si>
  <si>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</si>
  <si>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</si>
  <si>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</si>
  <si>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</si>
  <si>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</si>
  <si>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</si>
  <si>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</si>
  <si>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</si>
  <si>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</si>
  <si>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</si>
  <si>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</si>
  <si>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</si>
  <si>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</si>
  <si>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</si>
  <si>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</si>
  <si>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</si>
  <si>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</si>
  <si>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</si>
  <si>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</si>
  <si>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</si>
  <si>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</si>
  <si>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</si>
  <si>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</si>
  <si>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</si>
  <si>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</si>
  <si>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</si>
  <si>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</si>
  <si>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</si>
  <si>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</si>
  <si>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</si>
  <si>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</si>
  <si>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</si>
  <si>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</si>
  <si>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</si>
  <si>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</si>
  <si>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</si>
  <si>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</si>
  <si>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</si>
  <si>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</si>
  <si>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</si>
  <si>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</si>
  <si>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</si>
  <si>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</si>
  <si>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</si>
  <si>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</si>
  <si>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</si>
  <si>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</si>
  <si>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</si>
  <si>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</si>
  <si>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</si>
  <si>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</si>
  <si>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</si>
  <si>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</si>
  <si>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</si>
  <si>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</si>
  <si>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</si>
  <si>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</si>
  <si>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</si>
  <si>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</si>
  <si>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</si>
  <si>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</si>
  <si>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</si>
  <si>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</si>
  <si>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</si>
  <si>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</si>
  <si>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</si>
  <si>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</si>
  <si>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</si>
  <si>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</si>
  <si>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</si>
  <si>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</si>
  <si>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</si>
  <si>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</si>
  <si>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</si>
  <si>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</si>
  <si>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</si>
  <si>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</si>
  <si>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</si>
  <si>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</si>
  <si>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</si>
  <si>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</si>
  <si>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</si>
  <si>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</si>
  <si>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</si>
  <si>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</si>
  <si>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</si>
  <si>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</si>
  <si>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</si>
  <si>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</si>
  <si>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</si>
  <si>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</si>
  <si>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</si>
  <si>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</si>
  <si>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</si>
  <si>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</si>
  <si>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</si>
  <si>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</si>
  <si>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</si>
  <si>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</si>
  <si>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</si>
  <si>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</si>
  <si>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</si>
  <si>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</si>
  <si>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</si>
  <si>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</si>
  <si>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</si>
  <si>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</si>
  <si>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</si>
  <si>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</si>
  <si>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</si>
  <si>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</si>
  <si>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</si>
  <si>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</si>
  <si>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</si>
  <si>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</si>
  <si>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</si>
  <si>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</si>
  <si>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</si>
  <si>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</si>
  <si>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</si>
  <si>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三井化学</t>
  </si>
  <si>
    <t>積水ハウス</t>
  </si>
  <si>
    <t>大同特殊鋼</t>
  </si>
  <si>
    <t>イオン</t>
  </si>
  <si>
    <t>日本軽金属ホールディングス</t>
  </si>
  <si>
    <t>アズビル</t>
  </si>
  <si>
    <t>牧野フライス製作所</t>
  </si>
  <si>
    <t>田辺三菱製薬</t>
  </si>
  <si>
    <t>三菱ＵＦＪリース</t>
  </si>
  <si>
    <t>前田建設工業</t>
  </si>
  <si>
    <t>グローリー</t>
  </si>
  <si>
    <t>不二越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</si>
  <si>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</si>
  <si>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</si>
  <si>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</si>
  <si>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</si>
  <si>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</si>
  <si>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</si>
  <si>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</si>
  <si>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</si>
  <si>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</si>
  <si>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</si>
  <si>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</si>
  <si>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</si>
  <si>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</si>
  <si>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</si>
  <si>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</si>
  <si>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</si>
  <si>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日本空港ビルデング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</si>
  <si>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</si>
  <si>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</si>
  <si>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</si>
  <si>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</si>
  <si>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</si>
  <si>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</si>
  <si>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</si>
  <si>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</si>
  <si>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</si>
  <si>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</si>
  <si>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</si>
  <si>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</si>
  <si>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</si>
  <si>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</si>
  <si>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</si>
  <si>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</si>
  <si>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</si>
  <si>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</si>
  <si>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</si>
  <si>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</si>
  <si>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</si>
  <si>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</si>
  <si>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</si>
  <si>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</si>
  <si>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</si>
  <si>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</si>
  <si>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</si>
  <si>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</si>
  <si>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</si>
  <si>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</si>
  <si>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</si>
  <si>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</si>
  <si>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</si>
  <si>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</si>
  <si>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</si>
  <si>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</si>
  <si>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</si>
  <si>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</si>
  <si>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</si>
  <si>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</si>
  <si>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</si>
  <si>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</si>
  <si>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</si>
  <si>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</si>
  <si>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</si>
  <si>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</si>
  <si>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</si>
  <si>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</si>
  <si>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</si>
  <si>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</si>
  <si>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</si>
  <si>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</si>
  <si>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</si>
  <si>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</si>
  <si>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</si>
  <si>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</si>
  <si>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</si>
  <si>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</si>
  <si>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</si>
  <si>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</si>
  <si>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</si>
  <si>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</si>
  <si>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</si>
  <si>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</si>
  <si>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</si>
  <si>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</si>
  <si>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</si>
  <si>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</si>
  <si>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</si>
  <si>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</si>
  <si>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</si>
  <si>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</si>
  <si>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</si>
  <si>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</si>
  <si>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</si>
  <si>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</si>
  <si>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</si>
  <si>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</si>
  <si>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</si>
  <si>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</si>
  <si>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</si>
  <si>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</si>
  <si>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</si>
  <si>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</si>
  <si>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</si>
  <si>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</si>
  <si>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</si>
  <si>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</si>
  <si>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</si>
  <si>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</si>
  <si>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</si>
  <si>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</si>
  <si>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</si>
  <si>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</si>
  <si>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</si>
  <si>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</si>
  <si>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</si>
  <si>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</si>
  <si>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</si>
  <si>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</si>
  <si>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</si>
  <si>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</si>
  <si>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</si>
  <si>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</si>
  <si>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</si>
  <si>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</si>
  <si>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</si>
  <si>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</si>
  <si>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</si>
  <si>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</si>
  <si>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</si>
  <si>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</si>
  <si>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</si>
  <si>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</si>
  <si>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</si>
  <si>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</si>
  <si>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</si>
  <si>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</si>
  <si>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</si>
  <si>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</si>
  <si>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</si>
  <si>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</si>
  <si>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</si>
  <si>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</si>
  <si>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</si>
  <si>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</si>
  <si>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</si>
  <si>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</si>
  <si>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</si>
  <si>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</si>
  <si>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</si>
  <si>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</si>
  <si>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</si>
  <si>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</si>
  <si>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</si>
  <si>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</si>
  <si>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</si>
  <si>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</si>
  <si>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</si>
  <si>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</si>
  <si>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</si>
  <si>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</si>
  <si>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</si>
  <si>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</si>
  <si>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</si>
  <si>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</si>
  <si>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</si>
  <si>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</si>
  <si>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</si>
  <si>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</si>
  <si>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</si>
  <si>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</si>
  <si>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</si>
  <si>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</si>
  <si>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</si>
  <si>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</si>
  <si>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</si>
  <si>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</si>
  <si>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</si>
  <si>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</si>
  <si>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</si>
  <si>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</si>
  <si>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</si>
  <si>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</si>
  <si>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</si>
  <si>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</si>
  <si>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</si>
  <si>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</si>
  <si>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</si>
  <si>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</si>
  <si>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</si>
  <si>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</si>
  <si>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</si>
  <si>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</si>
  <si>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</si>
  <si>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</si>
  <si>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</si>
  <si>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</si>
  <si>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</si>
  <si>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</si>
  <si>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</si>
  <si>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</si>
  <si>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</si>
  <si>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</si>
  <si>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</si>
  <si>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</si>
  <si>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</si>
  <si>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</si>
  <si>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</si>
  <si>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</si>
  <si>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</si>
  <si>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</si>
  <si>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</si>
  <si>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</si>
  <si>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</si>
  <si>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</si>
  <si>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</si>
  <si>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</si>
  <si>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</si>
  <si>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</si>
  <si>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</si>
  <si>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</si>
  <si>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</si>
  <si>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</si>
  <si>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</si>
  <si>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</si>
  <si>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</si>
  <si>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</si>
  <si>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</si>
  <si>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</si>
  <si>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</si>
  <si>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</si>
  <si>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</si>
  <si>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</si>
  <si>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</si>
  <si>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</si>
  <si>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</si>
  <si>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</si>
  <si>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</si>
  <si>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</si>
  <si>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</si>
  <si>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</si>
  <si>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</si>
  <si>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</si>
  <si>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</si>
  <si>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</si>
  <si>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</si>
  <si>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</si>
  <si>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</si>
  <si>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</si>
  <si>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</si>
  <si>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</si>
  <si>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</si>
  <si>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</si>
  <si>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</si>
  <si>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</si>
  <si>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</si>
  <si>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</si>
  <si>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</si>
  <si>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</si>
  <si>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</si>
  <si>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</si>
  <si>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</si>
  <si>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</si>
  <si>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</si>
  <si>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</si>
  <si>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</si>
  <si>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</si>
  <si>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</si>
  <si>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</si>
  <si>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</si>
  <si>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</si>
  <si>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</si>
  <si>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</si>
  <si>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</si>
  <si>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</si>
  <si>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</si>
  <si>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</si>
  <si>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</si>
  <si>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</si>
  <si>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</si>
  <si>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</si>
  <si>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</si>
  <si>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</si>
  <si>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</si>
  <si>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</si>
  <si>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</si>
  <si>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</si>
  <si>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</si>
  <si>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</si>
  <si>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</si>
  <si>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</si>
  <si>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</si>
  <si>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</si>
  <si>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</si>
  <si>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</si>
  <si>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</si>
  <si>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</si>
  <si>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</si>
  <si>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</si>
  <si>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</si>
  <si>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</si>
  <si>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</si>
  <si>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</si>
  <si>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</si>
  <si>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</si>
  <si>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</si>
  <si>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</si>
  <si>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</si>
  <si>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</si>
  <si>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</si>
  <si>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</si>
  <si>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</si>
  <si>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</si>
  <si>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 xml:space="preserve"> Fブラザース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</si>
  <si>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</si>
  <si>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</si>
  <si>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</si>
  <si>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</si>
  <si>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</si>
  <si>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</si>
  <si>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</si>
  <si>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</si>
  <si>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</si>
  <si>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</si>
  <si>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</si>
  <si>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</si>
  <si>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</si>
  <si>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</si>
  <si>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</si>
  <si>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</si>
  <si>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</si>
  <si>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</si>
  <si>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</si>
  <si>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</si>
  <si>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</si>
  <si>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</si>
  <si>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</si>
  <si>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</si>
  <si>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</si>
  <si>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</si>
  <si>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</si>
  <si>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</si>
  <si>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</si>
  <si>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</si>
  <si>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</si>
  <si>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</si>
  <si>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</si>
  <si>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</si>
  <si>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</si>
  <si>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</si>
  <si>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</si>
  <si>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</si>
  <si>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</si>
  <si>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</si>
  <si>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</si>
  <si>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</si>
  <si>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</si>
  <si>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</si>
  <si>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</si>
  <si>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</si>
  <si>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</si>
  <si>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</si>
  <si>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</si>
  <si>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</si>
  <si>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</si>
  <si>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</si>
  <si>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</si>
  <si>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</si>
  <si>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</si>
  <si>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</si>
  <si>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</si>
  <si>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</si>
  <si>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</si>
  <si>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</si>
  <si>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</si>
  <si>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</si>
  <si>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</si>
  <si>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</si>
  <si>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</si>
  <si>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</si>
  <si>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</si>
  <si>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</si>
  <si>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</si>
  <si>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</si>
  <si>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</si>
  <si>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</si>
  <si>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</si>
  <si>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</si>
  <si>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</si>
  <si>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</si>
  <si>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</si>
  <si>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</si>
  <si>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</si>
  <si>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</si>
  <si>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</si>
  <si>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</si>
  <si>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</si>
  <si>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</si>
  <si>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</si>
  <si>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</si>
  <si>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</si>
  <si>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</si>
  <si>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</si>
  <si>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</si>
  <si>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</si>
  <si>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</si>
  <si>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</si>
  <si>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</si>
  <si>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</si>
  <si>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</si>
  <si>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</si>
  <si>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</si>
  <si>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</si>
  <si>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</si>
  <si>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</si>
  <si>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</si>
  <si>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</si>
  <si>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</si>
  <si>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</si>
  <si>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</si>
  <si>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</si>
  <si>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</si>
  <si>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</si>
  <si>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</si>
  <si>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</si>
  <si>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</si>
  <si>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</si>
  <si>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</si>
  <si>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</si>
  <si>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</si>
  <si>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</si>
  <si>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</si>
  <si>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</si>
  <si>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</si>
  <si>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</si>
  <si>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</si>
  <si>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</si>
  <si>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</si>
  <si>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</si>
  <si>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</si>
  <si>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</si>
  <si>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</si>
  <si>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</si>
  <si>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</si>
  <si>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</si>
  <si>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</si>
  <si>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</si>
  <si>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</si>
  <si>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</si>
  <si>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</si>
  <si>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</si>
  <si>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</si>
  <si>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</si>
  <si>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</si>
  <si>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</si>
  <si>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</si>
  <si>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</si>
  <si>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OSGコーポ</t>
  </si>
  <si>
    <t xml:space="preserve"> コーセル</t>
  </si>
  <si>
    <t>ＦＵＪＩ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</si>
  <si>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</si>
  <si>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</si>
  <si>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</si>
  <si>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</si>
  <si>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</si>
  <si>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</si>
  <si>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</si>
  <si>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</si>
  <si>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</si>
  <si>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</si>
  <si>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</si>
  <si>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象　印</t>
  </si>
  <si>
    <t xml:space="preserve"> ヒマラヤ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</si>
  <si>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</si>
  <si>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</si>
  <si>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</si>
  <si>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</si>
  <si>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</si>
  <si>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</si>
  <si>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</si>
  <si>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</si>
  <si>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</si>
  <si>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</si>
  <si>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</si>
  <si>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</si>
  <si>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</si>
  <si>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</si>
  <si>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</si>
  <si>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</si>
  <si>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</si>
  <si>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</si>
  <si>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</si>
  <si>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</si>
  <si>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</si>
  <si>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</si>
  <si>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</si>
  <si>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</si>
  <si>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</si>
  <si>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</si>
  <si>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</si>
  <si>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</si>
  <si>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</si>
  <si>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</si>
  <si>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</si>
  <si>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</si>
  <si>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</si>
  <si>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</si>
  <si>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</si>
  <si>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</si>
  <si>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</si>
  <si>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</si>
  <si>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</si>
  <si>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</si>
  <si>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</si>
  <si>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</si>
  <si>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</si>
  <si>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</si>
  <si>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</si>
  <si>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</si>
  <si>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</si>
  <si>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TAKARA&amp;C</t>
  </si>
  <si>
    <t xml:space="preserve"> トレファク</t>
  </si>
  <si>
    <t xml:space="preserve"> いちご</t>
  </si>
  <si>
    <t xml:space="preserve"> コスモス薬品</t>
  </si>
  <si>
    <t xml:space="preserve"> 久光薬</t>
  </si>
  <si>
    <t xml:space="preserve"> 佐鳥電機</t>
  </si>
  <si>
    <t xml:space="preserve"> 良品計画</t>
  </si>
  <si>
    <t xml:space="preserve"> シグマ光機</t>
  </si>
  <si>
    <t xml:space="preserve"> ＡＩＴ</t>
  </si>
  <si>
    <t xml:space="preserve"> 12:00</t>
  </si>
  <si>
    <t xml:space="preserve"> トウキョベース</t>
  </si>
  <si>
    <t xml:space="preserve"> プレナス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</si>
  <si>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</si>
  <si>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</si>
  <si>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</si>
  <si>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</si>
  <si>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</si>
  <si>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</si>
  <si>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</si>
  <si>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</si>
  <si>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</si>
  <si>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</si>
  <si>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</si>
  <si>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</si>
  <si>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</si>
  <si>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</si>
  <si>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</si>
  <si>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</si>
  <si>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</si>
  <si>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</si>
  <si>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</si>
  <si>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</si>
  <si>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</si>
  <si>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</si>
  <si>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</si>
  <si>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</si>
  <si>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</si>
  <si>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</si>
  <si>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</si>
  <si>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</si>
  <si>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>" 50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</si>
  <si>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</si>
  <si>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</si>
  <si>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</si>
  <si>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</si>
  <si>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</si>
  <si>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</si>
  <si>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</si>
  <si>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</si>
  <si>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</si>
  <si>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</si>
  <si>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</si>
  <si>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</si>
  <si>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</si>
  <si>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</si>
  <si>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</si>
  <si>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</si>
  <si>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</si>
  <si>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</si>
  <si>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</si>
  <si>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</si>
  <si>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</si>
  <si>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</si>
  <si>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</si>
  <si>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</si>
  <si>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</si>
  <si>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</si>
  <si>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</si>
  <si>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</si>
  <si>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</si>
  <si>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</si>
  <si>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</si>
  <si>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</si>
  <si>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</si>
  <si>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</si>
  <si>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</si>
  <si>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</si>
  <si>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</si>
  <si>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</si>
  <si>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</si>
  <si>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</si>
  <si>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</si>
  <si>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</si>
  <si>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</si>
  <si>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</si>
  <si>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</si>
  <si>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</si>
  <si>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</si>
  <si>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</si>
  <si>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</si>
  <si>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</si>
  <si>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</si>
  <si>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</si>
  <si>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</si>
  <si>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</si>
  <si>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</si>
  <si>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</si>
  <si>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</si>
  <si>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</si>
  <si>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</si>
  <si>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</si>
  <si>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</si>
  <si>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</si>
  <si>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</si>
  <si>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</si>
  <si>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</si>
  <si>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</si>
  <si>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</si>
  <si>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</si>
  <si>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</si>
  <si>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</si>
  <si>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</si>
  <si>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</si>
  <si>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</si>
  <si>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</si>
  <si>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</si>
  <si>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</si>
  <si>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</si>
  <si>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</si>
  <si>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</si>
  <si>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</si>
  <si>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</si>
  <si>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</si>
  <si>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</si>
  <si>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</si>
  <si>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</si>
  <si>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</si>
  <si>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</si>
  <si>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</si>
  <si>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</si>
  <si>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</si>
  <si>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</si>
  <si>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</si>
  <si>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クレディセゾン</t>
  </si>
  <si>
    <t>富士通ゼネラル</t>
  </si>
  <si>
    <t>三井住友フィナンシャルグループ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</si>
  <si>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</si>
  <si>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</si>
  <si>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</si>
  <si>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</si>
  <si>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</si>
  <si>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</si>
  <si>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</si>
  <si>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</si>
  <si>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</si>
  <si>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</si>
  <si>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</si>
  <si>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制度</t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</si>
  <si>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</si>
  <si>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</si>
  <si>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</si>
  <si>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</si>
  <si>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</si>
  <si>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</si>
  <si>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</si>
  <si>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安藤・間</t>
  </si>
  <si>
    <t>エン・ジャパン</t>
  </si>
  <si>
    <t>ＫＤＤＩ</t>
  </si>
  <si>
    <t>ニプロ</t>
  </si>
  <si>
    <t>ミネベアミツミ</t>
  </si>
  <si>
    <t>東洋紡</t>
  </si>
  <si>
    <t>ヒューリック</t>
  </si>
  <si>
    <t>サンドラッグ</t>
  </si>
  <si>
    <t>日清オイリオグループ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</si>
  <si>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</si>
  <si>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</si>
  <si>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</si>
  <si>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</si>
  <si>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</si>
  <si>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エイチ・アイ・エス</t>
  </si>
  <si>
    <t>旭化成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</si>
  <si>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</si>
  <si>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</si>
  <si>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</si>
  <si>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</si>
  <si>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</si>
  <si>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</si>
  <si>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</si>
  <si>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</si>
  <si>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</si>
  <si>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</si>
  <si>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</si>
  <si>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</si>
  <si>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</si>
  <si>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</si>
  <si>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</si>
  <si>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</si>
  <si>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</si>
  <si>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</si>
  <si>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</si>
  <si>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長谷工コーポレーション</t>
  </si>
  <si>
    <t>松井建設</t>
  </si>
  <si>
    <t>佐田建設</t>
  </si>
  <si>
    <t>富士ピー・エス</t>
  </si>
  <si>
    <t>大東建託</t>
  </si>
  <si>
    <t>ＮＩＰＰＯ</t>
  </si>
  <si>
    <t>前田道路</t>
  </si>
  <si>
    <t>日本道路</t>
  </si>
  <si>
    <t>巴コーポレーション</t>
  </si>
  <si>
    <t>北陸電気工事</t>
  </si>
  <si>
    <t>四電工</t>
  </si>
  <si>
    <t>住友電設</t>
  </si>
  <si>
    <t>新日本空調</t>
  </si>
  <si>
    <t>日本工営</t>
  </si>
  <si>
    <t>三機工業</t>
  </si>
  <si>
    <t>中外炉工業</t>
  </si>
  <si>
    <t>高砂熱学工業</t>
  </si>
  <si>
    <t>明星工業</t>
  </si>
  <si>
    <t>大氣社</t>
  </si>
  <si>
    <t>ダイダン</t>
  </si>
  <si>
    <t>東芝プラントシステム</t>
  </si>
  <si>
    <t>昭和産業</t>
  </si>
  <si>
    <t>メンバーズ</t>
  </si>
  <si>
    <t>中広</t>
  </si>
  <si>
    <t>ＵＴグループ</t>
  </si>
  <si>
    <t>リンクアンドモチベーション</t>
  </si>
  <si>
    <t>クックパッド</t>
  </si>
  <si>
    <t>アイ・ケイ・ケイ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</si>
  <si>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</si>
  <si>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</si>
  <si>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</si>
  <si>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</si>
  <si>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</si>
  <si>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</si>
  <si>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</si>
  <si>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</si>
  <si>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</si>
  <si>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</si>
  <si>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</si>
  <si>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</si>
  <si>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</si>
  <si>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</si>
  <si>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</si>
  <si>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</si>
  <si>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</si>
  <si>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</si>
  <si>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</si>
  <si>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</si>
  <si>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</si>
  <si>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</si>
  <si>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</si>
  <si>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</si>
  <si>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</si>
  <si>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</si>
  <si>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</si>
  <si>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</si>
  <si>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</si>
  <si>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</si>
  <si>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</si>
  <si>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</si>
  <si>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</si>
  <si>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</si>
  <si>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</si>
  <si>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</si>
  <si>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</si>
  <si>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</si>
  <si>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</si>
  <si>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</si>
  <si>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</si>
  <si>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</si>
  <si>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</si>
  <si>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</si>
  <si>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</si>
  <si>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</si>
  <si>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</si>
  <si>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</si>
  <si>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</si>
  <si>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</si>
  <si>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</si>
  <si>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</si>
  <si>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</si>
  <si>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</si>
  <si>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</si>
  <si>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</si>
  <si>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</si>
  <si>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ビックカメラ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</si>
  <si>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</si>
  <si>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</si>
  <si>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</si>
  <si>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</si>
  <si>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</si>
  <si>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</si>
  <si>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</si>
  <si>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</si>
  <si>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</si>
  <si>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</si>
  <si>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</si>
  <si>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</si>
  <si>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</si>
  <si>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</si>
  <si>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</si>
  <si>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</si>
  <si>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黒谷</t>
  </si>
  <si>
    <t>チムニー</t>
  </si>
  <si>
    <t>シュッピン</t>
  </si>
  <si>
    <t>ビューティガレージ</t>
  </si>
  <si>
    <t>ウイン・パートナーズ</t>
  </si>
  <si>
    <t>ネクステージ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</si>
  <si>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</si>
  <si>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</si>
  <si>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</si>
  <si>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</si>
  <si>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</si>
  <si>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</si>
  <si>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</si>
  <si>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</si>
  <si>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日本管理センター</t>
  </si>
  <si>
    <t>フージャースホールディングス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</si>
  <si>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</si>
  <si>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</si>
  <si>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</si>
  <si>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</si>
  <si>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</si>
  <si>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</si>
  <si>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</si>
  <si>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</si>
  <si>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</si>
  <si>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</si>
  <si>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</si>
  <si>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</si>
  <si>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</si>
  <si>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</si>
  <si>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</si>
  <si>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</si>
  <si>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</si>
  <si>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</si>
  <si>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</si>
  <si>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</si>
  <si>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</si>
  <si>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</si>
  <si>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</si>
  <si>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</si>
  <si>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</si>
  <si>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</si>
  <si>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</si>
  <si>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</si>
  <si>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</si>
  <si>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</si>
  <si>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</si>
  <si>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</si>
  <si>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</si>
  <si>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</si>
  <si>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</si>
  <si>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</si>
  <si>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</si>
  <si>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</si>
  <si>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</si>
  <si>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</si>
  <si>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</si>
  <si>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</si>
  <si>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</si>
  <si>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</si>
  <si>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</si>
  <si>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北越コーポレーション</t>
  </si>
  <si>
    <t>中越パルプ工業</t>
  </si>
  <si>
    <t>巴川製紙所</t>
  </si>
  <si>
    <t>オークネット</t>
  </si>
  <si>
    <t>セグエグループ</t>
  </si>
  <si>
    <t>オロ</t>
  </si>
  <si>
    <t>サインポスト</t>
  </si>
  <si>
    <t>多木化学</t>
  </si>
  <si>
    <t>日本曹達</t>
  </si>
  <si>
    <t>トクヤマ</t>
  </si>
  <si>
    <t>東亞合成</t>
  </si>
  <si>
    <t>関東電化工業</t>
  </si>
  <si>
    <t>大陽日酸</t>
  </si>
  <si>
    <t>日本化学工業</t>
  </si>
  <si>
    <t>戸田工業</t>
  </si>
  <si>
    <t>保土谷化学工業</t>
  </si>
  <si>
    <t>日本触媒</t>
  </si>
  <si>
    <t>協和キリン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</si>
  <si>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</si>
  <si>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</si>
  <si>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</si>
  <si>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</si>
  <si>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</si>
  <si>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</si>
  <si>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</si>
  <si>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</si>
  <si>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</si>
  <si>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</si>
  <si>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</si>
  <si>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</si>
  <si>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</si>
  <si>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ぴあ</t>
  </si>
  <si>
    <t>ソースネクスト</t>
  </si>
  <si>
    <t>シーティーエス</t>
  </si>
  <si>
    <t>扶桑化学工業</t>
  </si>
  <si>
    <t>日油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</si>
  <si>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</si>
  <si>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</si>
  <si>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</si>
  <si>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</si>
  <si>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</si>
  <si>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</si>
  <si>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ロート製薬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</si>
  <si>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</si>
  <si>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</si>
  <si>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</si>
  <si>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</si>
  <si>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</si>
  <si>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</si>
  <si>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</si>
  <si>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</si>
  <si>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</si>
  <si>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</si>
  <si>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</si>
  <si>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</si>
  <si>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</si>
  <si>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</si>
  <si>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</si>
  <si>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</si>
  <si>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</si>
  <si>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</si>
  <si>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</si>
  <si>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</si>
  <si>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</si>
  <si>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</si>
  <si>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</si>
  <si>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</si>
  <si>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</si>
  <si>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</si>
  <si>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</si>
  <si>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</si>
  <si>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</si>
  <si>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</si>
  <si>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</si>
  <si>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</si>
  <si>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</si>
  <si>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</si>
  <si>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エステー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</si>
  <si>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</si>
  <si>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</si>
  <si>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</si>
  <si>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</si>
  <si>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</si>
  <si>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</si>
  <si>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</si>
  <si>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</si>
  <si>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ＴＯＹＯ　ＴＩＲＥ</t>
  </si>
  <si>
    <t>藤倉コンポジット</t>
  </si>
  <si>
    <t>フコク</t>
  </si>
  <si>
    <t>ニッタ</t>
  </si>
  <si>
    <t>住友理工</t>
  </si>
  <si>
    <t>三ツ星ベルト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</si>
  <si>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</si>
  <si>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</si>
  <si>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</si>
  <si>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</si>
  <si>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</si>
  <si>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</si>
  <si>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</si>
  <si>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</si>
  <si>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</si>
  <si>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</si>
  <si>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</si>
  <si>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</si>
  <si>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日本製鉄</t>
  </si>
  <si>
    <t>合同製鐵</t>
  </si>
  <si>
    <t>共英製鋼</t>
  </si>
  <si>
    <t>淀川製鋼所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</si>
  <si>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</si>
  <si>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</si>
  <si>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</si>
  <si>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</si>
  <si>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</si>
  <si>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</si>
  <si>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</si>
  <si>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</si>
  <si>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</si>
  <si>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</si>
  <si>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三菱マテリアル</t>
  </si>
  <si>
    <t>ＤＯＷＡホールディングス</t>
  </si>
  <si>
    <t>ＵＡＣＪ</t>
  </si>
  <si>
    <t>東京特殊電線</t>
  </si>
  <si>
    <t>タツタ電線</t>
  </si>
  <si>
    <t>ホッカンホールディングス</t>
  </si>
  <si>
    <t>横河ブリッジホールディングス</t>
  </si>
  <si>
    <t>三協立山</t>
  </si>
  <si>
    <t>ノーリツ</t>
  </si>
  <si>
    <t>長府製作所</t>
  </si>
  <si>
    <t>ユニプレス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</si>
  <si>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</si>
  <si>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</si>
  <si>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</si>
  <si>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</si>
  <si>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</si>
  <si>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</si>
  <si>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</si>
  <si>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</si>
  <si>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</si>
  <si>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</si>
  <si>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</si>
  <si>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</si>
  <si>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</si>
  <si>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</si>
  <si>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</si>
  <si>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</si>
  <si>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</si>
  <si>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</si>
  <si>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</si>
  <si>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</si>
  <si>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</si>
  <si>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ソディック</t>
  </si>
  <si>
    <t>ディスコ</t>
  </si>
  <si>
    <t>日東工器</t>
  </si>
  <si>
    <t>日進工具</t>
  </si>
  <si>
    <t>パンチ工業</t>
  </si>
  <si>
    <t>鎌倉新書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</si>
  <si>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</si>
  <si>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</si>
  <si>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</si>
  <si>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</si>
  <si>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</si>
  <si>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</si>
  <si>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</si>
  <si>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日阪製作所</t>
  </si>
  <si>
    <t>平田機工</t>
  </si>
  <si>
    <t>ペガサスミシン製造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</si>
  <si>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</si>
  <si>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</si>
  <si>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</si>
  <si>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</si>
  <si>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</si>
  <si>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</si>
  <si>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</si>
  <si>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</si>
  <si>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</si>
  <si>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</si>
  <si>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</si>
  <si>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</si>
  <si>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</si>
  <si>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</si>
  <si>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</si>
  <si>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</si>
  <si>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</si>
  <si>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</si>
  <si>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</si>
  <si>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</si>
  <si>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</si>
  <si>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アネスト岩田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</si>
  <si>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</si>
  <si>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</si>
  <si>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</si>
  <si>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</si>
  <si>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</si>
  <si>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</si>
  <si>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</si>
  <si>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</si>
  <si>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ＴＰＲ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</si>
  <si>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</si>
  <si>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</si>
  <si>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</si>
  <si>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</si>
  <si>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</si>
  <si>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</si>
  <si>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</si>
  <si>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</si>
  <si>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マキタ</t>
  </si>
  <si>
    <t>ダイヘン</t>
  </si>
  <si>
    <t>第一精工</t>
  </si>
  <si>
    <t>日新電機</t>
  </si>
  <si>
    <t>オムロン</t>
  </si>
  <si>
    <t>ＩＤＥＣ</t>
  </si>
  <si>
    <t>正興電機製作所</t>
  </si>
  <si>
    <t>メルコホールディングス</t>
  </si>
  <si>
    <t>岩崎通信機</t>
  </si>
  <si>
    <t>電気興業</t>
  </si>
  <si>
    <t>ナカヨ</t>
  </si>
  <si>
    <t>ルネサスエレクトロニクス</t>
  </si>
  <si>
    <t>セイコーエプソン</t>
  </si>
  <si>
    <t>星和電機</t>
  </si>
  <si>
    <t>エレコム</t>
  </si>
  <si>
    <t>アンリツ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</si>
  <si>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</si>
  <si>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</si>
  <si>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</si>
  <si>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</si>
  <si>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</si>
  <si>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</si>
  <si>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</si>
  <si>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</si>
  <si>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</si>
  <si>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</si>
  <si>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</si>
  <si>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</si>
  <si>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</si>
  <si>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</si>
  <si>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</si>
  <si>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</si>
  <si>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</si>
  <si>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デンソー</t>
  </si>
  <si>
    <t>千代田インテグレ</t>
  </si>
  <si>
    <t>アイ・オー・データ機器</t>
  </si>
  <si>
    <t>岡谷電機産業</t>
  </si>
  <si>
    <t>山一電機</t>
  </si>
  <si>
    <t>図研</t>
  </si>
  <si>
    <t>日本シイエムケイ</t>
  </si>
  <si>
    <t>エンプラス</t>
  </si>
  <si>
    <t>大真空</t>
  </si>
  <si>
    <t>新光電気工業</t>
  </si>
  <si>
    <t>京セラ</t>
  </si>
  <si>
    <t>太陽誘電</t>
  </si>
  <si>
    <t>北陸電気工業</t>
  </si>
  <si>
    <t>三井Ｅ＆Ｓホールディングス</t>
  </si>
  <si>
    <t>川崎重工業</t>
  </si>
  <si>
    <t>名村造船所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</si>
  <si>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</si>
  <si>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</si>
  <si>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</si>
  <si>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</si>
  <si>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</si>
  <si>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</si>
  <si>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富山第一銀行</t>
  </si>
  <si>
    <t>マーキュリアインベストメント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</si>
  <si>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</si>
  <si>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</si>
  <si>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</si>
  <si>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</si>
  <si>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</si>
  <si>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</si>
  <si>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</si>
  <si>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</si>
  <si>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</si>
  <si>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</si>
  <si>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</si>
  <si>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</si>
  <si>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</si>
  <si>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</si>
  <si>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</si>
  <si>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</si>
  <si>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</si>
  <si>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</si>
  <si>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佐鳥電機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</si>
  <si>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</si>
  <si>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</si>
  <si>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</si>
  <si>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</si>
  <si>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</si>
  <si>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</si>
  <si>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</si>
  <si>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</si>
  <si>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</si>
  <si>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</si>
  <si>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</si>
  <si>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</si>
  <si>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</si>
  <si>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</si>
  <si>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</si>
  <si>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ワタミ</t>
  </si>
  <si>
    <t>マルシェ</t>
  </si>
  <si>
    <t>パン・パシフィック・インターナショナルホールディングス</t>
  </si>
  <si>
    <t>西松屋チェーン</t>
  </si>
  <si>
    <t>橋本総業ホールディングス</t>
  </si>
  <si>
    <t>ＶＴホールディングス</t>
  </si>
  <si>
    <t>ＩＤＯＭ</t>
  </si>
  <si>
    <t>ポプラ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</si>
  <si>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</si>
  <si>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</si>
  <si>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</si>
  <si>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</si>
  <si>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</si>
  <si>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</si>
  <si>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</si>
  <si>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</si>
  <si>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</si>
  <si>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</si>
  <si>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</si>
  <si>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</si>
  <si>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</si>
  <si>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</si>
  <si>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</si>
  <si>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</si>
  <si>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</si>
  <si>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</si>
  <si>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</si>
  <si>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</si>
  <si>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</si>
  <si>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</si>
  <si>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</si>
  <si>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</si>
  <si>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</si>
  <si>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</si>
  <si>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</si>
  <si>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</si>
  <si>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大日本印刷</t>
  </si>
  <si>
    <t>光村印刷</t>
  </si>
  <si>
    <t>アシックス</t>
  </si>
  <si>
    <t>ツツミ</t>
  </si>
  <si>
    <t>小松ウオール工業</t>
  </si>
  <si>
    <t>ヤマハ</t>
  </si>
  <si>
    <t>河合楽器製作所</t>
  </si>
  <si>
    <t>キングジム</t>
  </si>
  <si>
    <t>象印マホービン</t>
  </si>
  <si>
    <t>信越ポリマー</t>
  </si>
  <si>
    <t>タカラスタンダード</t>
  </si>
  <si>
    <t>コクヨ</t>
  </si>
  <si>
    <t>ニフコ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</si>
  <si>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</si>
  <si>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</si>
  <si>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</si>
  <si>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</si>
  <si>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</si>
  <si>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</si>
  <si>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</si>
  <si>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</si>
  <si>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</si>
  <si>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</si>
  <si>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</si>
  <si>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</si>
  <si>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</si>
  <si>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</si>
  <si>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</si>
  <si>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</si>
  <si>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</si>
  <si>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</si>
  <si>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</si>
  <si>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</si>
  <si>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</si>
  <si>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</si>
  <si>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</si>
  <si>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</si>
  <si>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</si>
  <si>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</si>
  <si>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</si>
  <si>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</si>
  <si>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</si>
  <si>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</si>
  <si>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</si>
  <si>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</si>
  <si>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</si>
  <si>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</si>
  <si>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</si>
  <si>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</si>
  <si>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</si>
  <si>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</si>
  <si>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</si>
  <si>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</si>
  <si>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</si>
  <si>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</si>
  <si>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</si>
  <si>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</si>
  <si>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</si>
  <si>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</si>
  <si>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</si>
  <si>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</si>
  <si>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</si>
  <si>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</si>
  <si>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</si>
  <si>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</si>
  <si>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</si>
  <si>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</si>
  <si>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</si>
  <si>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</si>
  <si>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</si>
  <si>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</si>
  <si>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</si>
  <si>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</si>
  <si>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</si>
  <si>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</si>
  <si>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</si>
  <si>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</si>
  <si>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</si>
  <si>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</si>
  <si>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</si>
  <si>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</si>
  <si>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</si>
  <si>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</si>
  <si>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</si>
  <si>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</si>
  <si>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</si>
  <si>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</si>
  <si>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</si>
  <si>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</si>
  <si>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</si>
  <si>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</si>
  <si>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</si>
  <si>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</si>
  <si>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</si>
  <si>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</si>
  <si>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</si>
  <si>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</si>
  <si>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</si>
  <si>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</si>
  <si>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</si>
  <si>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</si>
  <si>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</si>
  <si>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</si>
  <si>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</si>
  <si>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</si>
  <si>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</si>
  <si>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</si>
  <si>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</si>
  <si>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</si>
  <si>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</si>
  <si>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</si>
  <si>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</si>
  <si>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</si>
  <si>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</si>
  <si>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</si>
  <si>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</si>
  <si>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</si>
  <si>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</si>
  <si>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</si>
  <si>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</si>
  <si>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</si>
  <si>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</si>
  <si>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</si>
  <si>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</si>
  <si>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</si>
  <si>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</si>
  <si>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</si>
  <si>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</si>
  <si>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</si>
  <si>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</si>
  <si>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</si>
  <si>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</si>
  <si>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</si>
  <si>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</si>
  <si>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</si>
  <si>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</si>
  <si>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</si>
  <si>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</si>
  <si>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</si>
  <si>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</si>
  <si>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</si>
  <si>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</si>
  <si>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</si>
  <si>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</si>
  <si>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</si>
  <si>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</si>
  <si>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</si>
  <si>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</si>
  <si>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</si>
  <si>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</si>
  <si>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</si>
  <si>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</si>
  <si>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</si>
  <si>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</si>
  <si>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</si>
  <si>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</si>
  <si>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</si>
  <si>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</si>
  <si>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</si>
  <si>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</si>
  <si>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</si>
  <si>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</si>
  <si>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</si>
  <si>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</si>
  <si>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</si>
  <si>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</si>
  <si>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</si>
  <si>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</si>
  <si>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</si>
  <si>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</si>
  <si>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</si>
  <si>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</si>
  <si>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</si>
  <si>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</si>
  <si>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</si>
  <si>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</si>
  <si>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</si>
  <si>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</si>
  <si>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</si>
  <si>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</si>
  <si>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</si>
  <si>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</si>
  <si>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</si>
  <si>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</si>
  <si>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</si>
  <si>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</si>
  <si>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</si>
  <si>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</si>
  <si>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</si>
  <si>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住友倉庫</t>
  </si>
  <si>
    <t>東陽倉庫</t>
  </si>
  <si>
    <t>乾汽船</t>
  </si>
  <si>
    <t>日本トランスシティ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</si>
  <si>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</si>
  <si>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</si>
  <si>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</si>
  <si>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</si>
  <si>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</si>
  <si>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</si>
  <si>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</si>
  <si>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スマートバリュー</t>
  </si>
  <si>
    <t>コネクシオ</t>
  </si>
  <si>
    <t>日本電信電話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</si>
  <si>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</si>
  <si>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</si>
  <si>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</si>
  <si>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</si>
  <si>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</si>
  <si>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</si>
  <si>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</si>
  <si>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イーレックス</t>
  </si>
  <si>
    <t>レノバ</t>
  </si>
  <si>
    <t>大阪瓦斯</t>
  </si>
  <si>
    <t>東邦瓦斯</t>
  </si>
  <si>
    <t>西部瓦斯</t>
  </si>
  <si>
    <t>静岡ガス</t>
  </si>
  <si>
    <t>メタウォーター</t>
  </si>
  <si>
    <t>松竹</t>
  </si>
  <si>
    <t>東映</t>
  </si>
  <si>
    <t>イチネンホールディングス</t>
  </si>
  <si>
    <t>スペース</t>
  </si>
  <si>
    <t>アインホールディングス</t>
  </si>
  <si>
    <t>ナガワ</t>
  </si>
  <si>
    <t>常磐興産</t>
  </si>
  <si>
    <t>東京ドーム</t>
  </si>
  <si>
    <t>カプコン</t>
  </si>
  <si>
    <t>ジャステック</t>
  </si>
  <si>
    <t>ＫＮＴ－ＣＴホールディングス</t>
  </si>
  <si>
    <t>トーカイ</t>
  </si>
  <si>
    <t>セントラル警備保障</t>
  </si>
  <si>
    <t>メイテック</t>
  </si>
  <si>
    <t>オオバ</t>
  </si>
  <si>
    <t>イオンディライト</t>
  </si>
  <si>
    <t>ナック</t>
  </si>
  <si>
    <t>泉州電業</t>
  </si>
  <si>
    <t>トラスコ中山</t>
  </si>
  <si>
    <t>ヤマダ電機</t>
  </si>
  <si>
    <t>モリト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</si>
  <si>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</si>
  <si>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</si>
  <si>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</si>
  <si>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</si>
  <si>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</si>
  <si>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</si>
  <si>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</si>
  <si>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</si>
  <si>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</si>
  <si>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</si>
  <si>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</si>
  <si>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</si>
  <si>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</si>
  <si>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</si>
  <si>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</si>
  <si>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</si>
  <si>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</si>
  <si>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</si>
  <si>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</si>
  <si>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</si>
  <si>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</si>
  <si>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</si>
  <si>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</si>
  <si>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</si>
  <si>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</si>
  <si>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</si>
  <si>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</si>
  <si>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</si>
  <si>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</si>
  <si>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</si>
  <si>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</si>
  <si>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</si>
  <si>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</si>
  <si>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</si>
  <si>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</si>
  <si>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</si>
  <si>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</si>
  <si>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</si>
  <si>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</si>
  <si>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</si>
  <si>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</si>
  <si>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</si>
  <si>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</si>
  <si>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</si>
  <si>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</si>
  <si>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</si>
  <si>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</si>
  <si>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</si>
  <si>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</si>
  <si>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</si>
  <si>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パルコ</t>
  </si>
  <si>
    <t xml:space="preserve"> ミタチ</t>
  </si>
  <si>
    <t xml:space="preserve"> 出前館</t>
  </si>
  <si>
    <t xml:space="preserve"> パレモ・HD</t>
  </si>
  <si>
    <t xml:space="preserve"> Jフロント</t>
  </si>
  <si>
    <t xml:space="preserve"> ニイタカ</t>
  </si>
  <si>
    <t xml:space="preserve"> WNIウェザー</t>
  </si>
  <si>
    <t xml:space="preserve"> ナガイレーベ</t>
  </si>
  <si>
    <t xml:space="preserve"> 高島屋</t>
  </si>
  <si>
    <t xml:space="preserve"> 平和堂</t>
  </si>
  <si>
    <t xml:space="preserve"> セキチュー</t>
  </si>
  <si>
    <t xml:space="preserve"> ハローズ</t>
  </si>
  <si>
    <t xml:space="preserve"> トシンＧ</t>
  </si>
  <si>
    <t xml:space="preserve"> ＤＣＭ</t>
  </si>
  <si>
    <t xml:space="preserve"> テクノアルファ</t>
  </si>
  <si>
    <t xml:space="preserve"> ERI HD</t>
  </si>
  <si>
    <t xml:space="preserve"> タカキュー</t>
  </si>
  <si>
    <t xml:space="preserve"> ケーヨー</t>
  </si>
  <si>
    <t xml:space="preserve"> ニトリHD</t>
  </si>
  <si>
    <t xml:space="preserve"> 北  恵</t>
  </si>
  <si>
    <t xml:space="preserve"> カネコ種</t>
  </si>
  <si>
    <t xml:space="preserve"> スタジオアリス</t>
  </si>
  <si>
    <t xml:space="preserve"> アオキスーパー</t>
  </si>
  <si>
    <t xml:space="preserve"> 暁飯島</t>
  </si>
  <si>
    <t xml:space="preserve"> サンエー</t>
  </si>
  <si>
    <t xml:space="preserve"> サムティ</t>
  </si>
  <si>
    <t xml:space="preserve"> 京　進</t>
  </si>
  <si>
    <t xml:space="preserve"> 薬王堂HD</t>
  </si>
  <si>
    <t xml:space="preserve"> 和田興産</t>
  </si>
  <si>
    <t xml:space="preserve"> ベルク</t>
  </si>
  <si>
    <t xml:space="preserve"> トライステージ</t>
  </si>
  <si>
    <t xml:space="preserve"> ABC マート</t>
  </si>
  <si>
    <t xml:space="preserve"> ウエルシアHD</t>
  </si>
  <si>
    <t xml:space="preserve"> スタジオアタオ</t>
  </si>
  <si>
    <t xml:space="preserve"> ベル24HD</t>
  </si>
  <si>
    <t xml:space="preserve"> 放電精密</t>
  </si>
  <si>
    <t xml:space="preserve"> GameWith</t>
  </si>
  <si>
    <t xml:space="preserve"> サイゼリヤ</t>
  </si>
  <si>
    <t xml:space="preserve"> フ　ジ</t>
  </si>
  <si>
    <t xml:space="preserve"> ヤマシタヘルケア</t>
  </si>
  <si>
    <t xml:space="preserve"> 日本BS放</t>
  </si>
  <si>
    <t xml:space="preserve"> 天満屋ス</t>
  </si>
  <si>
    <t xml:space="preserve"> ヤマザワ</t>
  </si>
  <si>
    <t xml:space="preserve"> アルバイトタイ</t>
  </si>
  <si>
    <t xml:space="preserve"> 大黒天</t>
  </si>
  <si>
    <t xml:space="preserve"> アヲハタ</t>
  </si>
  <si>
    <t xml:space="preserve"> わらべや</t>
  </si>
  <si>
    <t xml:space="preserve"> シーズメン</t>
  </si>
  <si>
    <t xml:space="preserve"> オンリー</t>
  </si>
  <si>
    <t xml:space="preserve"> SHIFT</t>
  </si>
  <si>
    <t xml:space="preserve"> 大有機</t>
  </si>
  <si>
    <t xml:space="preserve"> 東京個別</t>
  </si>
  <si>
    <t xml:space="preserve"> クリーク&amp;リバ</t>
  </si>
  <si>
    <t xml:space="preserve"> 三協立山</t>
  </si>
  <si>
    <t xml:space="preserve"> 日フイルコン</t>
  </si>
  <si>
    <t xml:space="preserve"> エスクローAJ</t>
  </si>
  <si>
    <t xml:space="preserve"> フロイント</t>
  </si>
  <si>
    <t xml:space="preserve"> 安川電</t>
  </si>
  <si>
    <t xml:space="preserve"> ニューテック</t>
  </si>
  <si>
    <t xml:space="preserve"> スリーエフ</t>
  </si>
  <si>
    <t xml:space="preserve"> ポプラ</t>
  </si>
  <si>
    <t xml:space="preserve"> グラファイトD</t>
  </si>
  <si>
    <t xml:space="preserve"> 三光合成</t>
  </si>
  <si>
    <t xml:space="preserve"> リヒトラブ</t>
  </si>
  <si>
    <t xml:space="preserve"> 島　忠</t>
  </si>
  <si>
    <t xml:space="preserve"> 松　屋</t>
  </si>
  <si>
    <t xml:space="preserve"> 井筒屋</t>
  </si>
  <si>
    <t xml:space="preserve"> イズミ</t>
  </si>
  <si>
    <t xml:space="preserve"> リベレステ</t>
  </si>
  <si>
    <t xml:space="preserve"> イオンモール</t>
  </si>
  <si>
    <t xml:space="preserve"> キユソー流通</t>
  </si>
  <si>
    <t xml:space="preserve"> 乃村工</t>
  </si>
  <si>
    <t xml:space="preserve"> オオバ</t>
  </si>
  <si>
    <t xml:space="preserve"> 昴</t>
  </si>
  <si>
    <t xml:space="preserve"> カンセキ</t>
  </si>
  <si>
    <t xml:space="preserve"> ＯＳＧ</t>
  </si>
  <si>
    <t xml:space="preserve"> 竹内製作</t>
  </si>
  <si>
    <t xml:space="preserve"> 15:20</t>
  </si>
  <si>
    <t xml:space="preserve"> ウッドフレンス</t>
  </si>
  <si>
    <t xml:space="preserve"> エムビーエス</t>
  </si>
  <si>
    <t xml:space="preserve"> イージェイHD</t>
  </si>
  <si>
    <t xml:space="preserve"> コシダカHD</t>
  </si>
  <si>
    <t xml:space="preserve"> 地域新聞</t>
  </si>
  <si>
    <t xml:space="preserve"> S Foods</t>
  </si>
  <si>
    <t xml:space="preserve"> ディップ</t>
  </si>
  <si>
    <t xml:space="preserve"> アウンコンサル</t>
  </si>
  <si>
    <t xml:space="preserve"> タビオ</t>
  </si>
  <si>
    <t xml:space="preserve"> カネ美食品</t>
  </si>
  <si>
    <t xml:space="preserve"> ジーフット</t>
  </si>
  <si>
    <t xml:space="preserve"> シーヴイエス</t>
  </si>
  <si>
    <t xml:space="preserve"> ワッツ</t>
  </si>
  <si>
    <t xml:space="preserve"> フェスタリアHD</t>
  </si>
  <si>
    <t xml:space="preserve"> 北雄ラッキー</t>
  </si>
  <si>
    <t xml:space="preserve"> セイヒョー</t>
  </si>
  <si>
    <t xml:space="preserve"> スターマイカHD</t>
  </si>
  <si>
    <t xml:space="preserve"> カワサキ</t>
  </si>
  <si>
    <t xml:space="preserve"> JINSHD</t>
  </si>
  <si>
    <t xml:space="preserve"> ビックカメラ</t>
  </si>
  <si>
    <t xml:space="preserve"> jGroup</t>
  </si>
  <si>
    <t xml:space="preserve"> ライフフーズ</t>
  </si>
  <si>
    <t xml:space="preserve"> スーパーＶ</t>
  </si>
  <si>
    <t xml:space="preserve"> ＡＮＡＰ</t>
  </si>
  <si>
    <t xml:space="preserve"> キリン堂HD</t>
  </si>
  <si>
    <t xml:space="preserve"> フィルカンパニ</t>
  </si>
  <si>
    <t xml:space="preserve"> エストラスト</t>
  </si>
  <si>
    <t xml:space="preserve"> アズ企画</t>
  </si>
  <si>
    <t xml:space="preserve"> コメダ</t>
  </si>
  <si>
    <t xml:space="preserve"> ほぼ日</t>
  </si>
  <si>
    <t xml:space="preserve"> クラウディアH</t>
  </si>
  <si>
    <t xml:space="preserve"> TSI HD</t>
  </si>
  <si>
    <t xml:space="preserve"> ネオス</t>
  </si>
  <si>
    <t xml:space="preserve"> メディカネット</t>
  </si>
  <si>
    <t xml:space="preserve"> 協立情報</t>
  </si>
  <si>
    <t xml:space="preserve"> 創　通</t>
  </si>
  <si>
    <t xml:space="preserve"> メディ工房</t>
  </si>
  <si>
    <t xml:space="preserve"> システムインテ</t>
  </si>
  <si>
    <t xml:space="preserve"> 岡山製紙</t>
  </si>
  <si>
    <t xml:space="preserve"> テラスカイ</t>
  </si>
  <si>
    <t xml:space="preserve"> エルテス</t>
  </si>
  <si>
    <t xml:space="preserve"> エクスモーション</t>
  </si>
  <si>
    <t xml:space="preserve"> 東　名</t>
  </si>
  <si>
    <t xml:space="preserve"> ALPHA</t>
  </si>
  <si>
    <t xml:space="preserve"> 日本色材</t>
  </si>
  <si>
    <t xml:space="preserve"> トーヨーアサノ</t>
  </si>
  <si>
    <t xml:space="preserve"> ダイケン</t>
  </si>
  <si>
    <t xml:space="preserve"> マルゼン</t>
  </si>
  <si>
    <t xml:space="preserve"> タケダ機</t>
  </si>
  <si>
    <t xml:space="preserve"> エヌピーシー</t>
  </si>
  <si>
    <t xml:space="preserve"> ローツェ</t>
  </si>
  <si>
    <t xml:space="preserve"> プラズマ</t>
  </si>
  <si>
    <t xml:space="preserve"> ツインバード</t>
  </si>
  <si>
    <t xml:space="preserve"> ＨＫＳ</t>
  </si>
  <si>
    <t xml:space="preserve"> エコトレディン</t>
  </si>
  <si>
    <t xml:space="preserve"> オータケ</t>
  </si>
  <si>
    <t xml:space="preserve"> サンデー</t>
  </si>
  <si>
    <t xml:space="preserve"> 小津産業</t>
  </si>
  <si>
    <t xml:space="preserve"> コーナン商事</t>
  </si>
  <si>
    <t xml:space="preserve"> エコス</t>
  </si>
  <si>
    <t xml:space="preserve"> マックハウス</t>
  </si>
  <si>
    <t xml:space="preserve"> 進　和</t>
  </si>
  <si>
    <t xml:space="preserve"> インタアクション</t>
  </si>
  <si>
    <t xml:space="preserve"> マニー</t>
  </si>
  <si>
    <t xml:space="preserve"> 幸和製作</t>
  </si>
  <si>
    <t xml:space="preserve"> トランザクショ</t>
  </si>
  <si>
    <t xml:space="preserve"> 旭化学</t>
  </si>
  <si>
    <t xml:space="preserve"> オンワードHD</t>
  </si>
  <si>
    <t>044"</t>
  </si>
  <si>
    <t xml:space="preserve"> ファミリーマート</t>
  </si>
  <si>
    <t xml:space="preserve"> イワキ</t>
  </si>
  <si>
    <t xml:space="preserve"> ヤマトインタ</t>
  </si>
  <si>
    <t xml:space="preserve"> ラピーヌ</t>
  </si>
  <si>
    <t xml:space="preserve"> リテールPT</t>
  </si>
  <si>
    <t xml:space="preserve"> チヨダ</t>
  </si>
  <si>
    <t xml:space="preserve"> ライフコーポ</t>
  </si>
  <si>
    <t xml:space="preserve"> MrMaxHD</t>
  </si>
  <si>
    <t xml:space="preserve"> MV西日本</t>
  </si>
  <si>
    <t xml:space="preserve"> サンヨーナゴヤ</t>
  </si>
  <si>
    <t xml:space="preserve"> エネクスインフラ</t>
  </si>
  <si>
    <t xml:space="preserve"> 丸八倉</t>
  </si>
  <si>
    <t xml:space="preserve"> 歌舞伎</t>
  </si>
  <si>
    <t xml:space="preserve"> ジャステック</t>
  </si>
  <si>
    <t xml:space="preserve"> ＣＳＰ</t>
  </si>
  <si>
    <t xml:space="preserve"> テーオーHD</t>
  </si>
  <si>
    <t xml:space="preserve"> 吉野家HD</t>
  </si>
  <si>
    <t xml:space="preserve"> アークス</t>
  </si>
  <si>
    <t xml:space="preserve"> 文教堂HD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</si>
  <si>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</si>
  <si>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</si>
  <si>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</si>
  <si>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</si>
  <si>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</si>
  <si>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</si>
  <si>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ヴィレッジV</t>
  </si>
  <si>
    <t xml:space="preserve"> ファーマライズ</t>
  </si>
  <si>
    <t xml:space="preserve"> Ｙ’Ｓ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</si>
  <si>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</si>
  <si>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</si>
  <si>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</si>
  <si>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</si>
  <si>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</si>
  <si>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</si>
  <si>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</si>
  <si>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</si>
  <si>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</si>
  <si>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</si>
  <si>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</si>
  <si>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</si>
  <si>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</si>
  <si>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</si>
  <si>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 xml:space="preserve"> 日創プロ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</si>
  <si>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</si>
  <si>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</si>
  <si>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</si>
  <si>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</si>
  <si>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</si>
  <si>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</si>
  <si>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</si>
  <si>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</si>
  <si>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</si>
  <si>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</si>
  <si>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</si>
  <si>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</si>
  <si>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</si>
  <si>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 xml:space="preserve"> チームスピリト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</si>
  <si>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</si>
  <si>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</si>
  <si>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</si>
  <si>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</si>
  <si>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</si>
  <si>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</si>
  <si>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</si>
  <si>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</si>
  <si>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</si>
  <si>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</si>
  <si>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</si>
  <si>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</si>
  <si>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</si>
  <si>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</si>
  <si>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</si>
  <si>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</si>
  <si>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</si>
  <si>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ＲＰＡ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</si>
  <si>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</si>
  <si>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</si>
  <si>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</si>
  <si>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</si>
  <si>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</si>
  <si>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</si>
  <si>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</si>
  <si>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</si>
  <si>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</si>
  <si>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</si>
  <si>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</si>
  <si>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</si>
  <si>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</si>
  <si>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</si>
  <si>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</si>
  <si>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</si>
  <si>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</si>
  <si>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</si>
  <si>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</si>
  <si>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</si>
  <si>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</si>
  <si>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</si>
  <si>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</si>
  <si>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</si>
  <si>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</si>
  <si>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</si>
  <si>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</si>
  <si>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</si>
  <si>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</si>
  <si>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</si>
  <si>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</si>
  <si>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</si>
  <si>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</si>
  <si>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</si>
  <si>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</si>
  <si>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</si>
  <si>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</si>
  <si>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</si>
  <si>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</si>
  <si>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</si>
  <si>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</si>
  <si>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</si>
  <si>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</si>
  <si>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</si>
  <si>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</si>
  <si>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</si>
  <si>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</si>
  <si>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</si>
  <si>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</si>
  <si>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 xml:space="preserve"> ステップ</t>
  </si>
  <si>
    <t>442"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</si>
  <si>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</si>
  <si>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</si>
  <si>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</si>
  <si>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</si>
  <si>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</si>
  <si>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</si>
  <si>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</si>
  <si>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</si>
  <si>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>" 70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</si>
  <si>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</si>
  <si>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</si>
  <si>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</si>
  <si>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</si>
  <si>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</si>
  <si>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</si>
  <si>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</si>
  <si>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</si>
  <si>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</si>
  <si>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</si>
  <si>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</si>
  <si>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</si>
  <si>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</si>
  <si>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</si>
  <si>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2/8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</si>
  <si>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</si>
  <si>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</si>
  <si>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</si>
  <si>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</si>
  <si>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</si>
  <si>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</si>
  <si>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</si>
  <si>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</si>
  <si>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</si>
  <si>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</si>
  <si>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</si>
  <si>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</si>
  <si>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</si>
  <si>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</si>
  <si>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</si>
  <si>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</si>
  <si>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</si>
  <si>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</si>
  <si>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</si>
  <si>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</si>
  <si>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</si>
  <si>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</si>
  <si>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</si>
  <si>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</si>
  <si>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</si>
  <si>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</si>
  <si>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</si>
  <si>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</si>
  <si>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</si>
  <si>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</si>
  <si>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</si>
  <si>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</si>
  <si>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</si>
  <si>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</si>
  <si>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</si>
  <si>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</si>
  <si>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</si>
  <si>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</si>
  <si>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三住トラスト</t>
  </si>
  <si>
    <t xml:space="preserve"> アルプス物</t>
  </si>
  <si>
    <t xml:space="preserve"> 沖縄セルラー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</si>
  <si>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</si>
  <si>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</si>
  <si>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</si>
  <si>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</si>
  <si>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</si>
  <si>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</si>
  <si>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</si>
  <si>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</si>
  <si>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</si>
  <si>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</si>
  <si>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</si>
  <si>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</si>
  <si>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</si>
  <si>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</si>
  <si>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ユアテック</t>
  </si>
  <si>
    <t>ツクイ</t>
  </si>
  <si>
    <t>アウトソーシング</t>
  </si>
  <si>
    <t>あらた</t>
  </si>
  <si>
    <t>ＪＰホールディングス</t>
  </si>
  <si>
    <t>アルフレッサ　ホールディングス</t>
  </si>
  <si>
    <t>ココカラファイン</t>
  </si>
  <si>
    <t>Ｈａｍｅｅ</t>
  </si>
  <si>
    <t>ホットランド</t>
  </si>
  <si>
    <t>オープンハウス</t>
  </si>
  <si>
    <t>シップヘルスケアホールディングス</t>
  </si>
  <si>
    <t>明治電機工業</t>
  </si>
  <si>
    <t>ケイアイスター不動産</t>
  </si>
  <si>
    <t>グッドコムアセット</t>
  </si>
  <si>
    <t>マツオカコーポレーション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</si>
  <si>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</si>
  <si>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</si>
  <si>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</si>
  <si>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</si>
  <si>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</si>
  <si>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</si>
  <si>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日産化学</t>
  </si>
  <si>
    <t>四国化成工業</t>
  </si>
  <si>
    <t>大阪有機化学工業</t>
  </si>
  <si>
    <t>久光製薬</t>
  </si>
  <si>
    <t>日医工</t>
  </si>
  <si>
    <t>秀英予備校</t>
  </si>
  <si>
    <t>ビー・エム・エル</t>
  </si>
  <si>
    <t>トレンドマイクロ</t>
  </si>
  <si>
    <t>ＳＢテクノロジー</t>
  </si>
  <si>
    <t>横浜ゴム</t>
  </si>
  <si>
    <t>住友金属鉱山</t>
  </si>
  <si>
    <t>アマダホールディングス</t>
  </si>
  <si>
    <t>タツモ</t>
  </si>
  <si>
    <t>ワイエイシイホールディングス</t>
  </si>
  <si>
    <t>新東工業</t>
  </si>
  <si>
    <t>レイズネクスト</t>
  </si>
  <si>
    <t>日立製作所</t>
  </si>
  <si>
    <t>ミマキエンジニアリング</t>
  </si>
  <si>
    <t>チノー</t>
  </si>
  <si>
    <t>村田製作所</t>
  </si>
  <si>
    <t>エフテック</t>
  </si>
  <si>
    <t>ヨロズ</t>
  </si>
  <si>
    <t>三十三フィナンシャルグループ</t>
  </si>
  <si>
    <t>イオン北海道</t>
  </si>
  <si>
    <t>ＨＯＹＡ</t>
  </si>
  <si>
    <t>ＮＩＳＳＨＡ</t>
  </si>
  <si>
    <t>ＪＳＰ</t>
  </si>
  <si>
    <t>立川ブラインド工業</t>
  </si>
  <si>
    <t>山善</t>
  </si>
  <si>
    <t>兼松エレクトロニクス</t>
  </si>
  <si>
    <t>イズミ</t>
  </si>
  <si>
    <t>ふくおかフィナンシャルグループ</t>
  </si>
  <si>
    <t>百五銀行</t>
  </si>
  <si>
    <t>スターツコーポレーション</t>
  </si>
  <si>
    <t>東祥</t>
  </si>
  <si>
    <t>朝日放送グループホールディングス</t>
  </si>
  <si>
    <t>ワイヤレスゲート</t>
  </si>
  <si>
    <t>セコム</t>
  </si>
  <si>
    <t>ベネッセホールディングス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</si>
  <si>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</si>
  <si>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</si>
  <si>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</si>
  <si>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</si>
  <si>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</si>
  <si>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</si>
  <si>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</si>
  <si>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</si>
  <si>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</si>
  <si>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</si>
  <si>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</si>
  <si>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</si>
  <si>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</si>
  <si>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</si>
  <si>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</si>
  <si>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</si>
  <si>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</si>
  <si>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</si>
  <si>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</si>
  <si>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</si>
  <si>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</si>
  <si>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>375"</t>
  </si>
  <si>
    <t>" 19</t>
  </si>
  <si>
    <t>" 35</t>
  </si>
  <si>
    <t>344"</t>
  </si>
  <si>
    <t>556"</t>
  </si>
  <si>
    <t xml:space="preserve"> 日本電設</t>
  </si>
  <si>
    <t>653"</t>
  </si>
  <si>
    <t>450"</t>
  </si>
  <si>
    <t xml:space="preserve"> JTOWER</t>
  </si>
  <si>
    <t xml:space="preserve"> トリドールHD</t>
  </si>
  <si>
    <t>175"</t>
  </si>
  <si>
    <t>698"</t>
  </si>
  <si>
    <t xml:space="preserve"> BUYSELL</t>
  </si>
  <si>
    <t xml:space="preserve"> 06月中旬</t>
  </si>
  <si>
    <t xml:space="preserve"> いちごオフ</t>
  </si>
  <si>
    <t>植木組</t>
  </si>
  <si>
    <t>きんでん</t>
  </si>
  <si>
    <t>エレマテック</t>
  </si>
  <si>
    <t>ファーマライズホールディングス</t>
  </si>
  <si>
    <t>アルペン</t>
  </si>
  <si>
    <t>ディーブイエックス</t>
  </si>
  <si>
    <t>ＳＵＭＣＯ</t>
  </si>
  <si>
    <t>石原ケミカル</t>
  </si>
  <si>
    <t>塩野義製薬</t>
  </si>
  <si>
    <t>日本特殊塗料</t>
  </si>
  <si>
    <t>リゾートトラスト</t>
  </si>
  <si>
    <t>富士興産</t>
  </si>
  <si>
    <t>日本板硝子</t>
  </si>
  <si>
    <t>日本特殊陶業</t>
  </si>
  <si>
    <t>モリ工業</t>
  </si>
  <si>
    <t>ＤＭＧ森精機</t>
  </si>
  <si>
    <t>豊田自動織機</t>
  </si>
  <si>
    <t>マルマエ</t>
  </si>
  <si>
    <t>ダブル・スコープ</t>
  </si>
  <si>
    <t>三城ホールディングス</t>
  </si>
  <si>
    <t>リックス</t>
  </si>
  <si>
    <t>オーバル</t>
  </si>
  <si>
    <t>キヤノンマーケティングジャパン</t>
  </si>
  <si>
    <t>三井不動産</t>
  </si>
  <si>
    <t>光通信</t>
  </si>
  <si>
    <t>ＳＣＳＫ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</si>
  <si>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</si>
  <si>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</si>
  <si>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</si>
  <si>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OPEN_6752</t>
  </si>
  <si>
    <t>CLOSE_6752</t>
  </si>
  <si>
    <t>OPEN_8795</t>
  </si>
  <si>
    <t>CLOSE_8795</t>
  </si>
  <si>
    <t>SELL</t>
    <phoneticPr fontId="1" type="noConversion"/>
  </si>
  <si>
    <t>Ｔ＆Ｄホールディングス</t>
    <phoneticPr fontId="1" type="noConversion"/>
  </si>
  <si>
    <t>BUY</t>
    <phoneticPr fontId="1" type="noConversion"/>
  </si>
  <si>
    <t>パナソニック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</si>
  <si>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</si>
  <si>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</si>
  <si>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</si>
  <si>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</si>
  <si>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</si>
  <si>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</si>
  <si>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</si>
  <si>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</si>
  <si>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</si>
  <si>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Ｔ＆Ｄホールディングス</t>
    <phoneticPr fontId="1" type="noConversion"/>
  </si>
  <si>
    <t>パナソニック</t>
    <phoneticPr fontId="1" type="noConversion"/>
  </si>
  <si>
    <t>保険業</t>
    <phoneticPr fontId="1" type="noConversion"/>
  </si>
  <si>
    <t>電気機器</t>
    <phoneticPr fontId="1" type="noConversion"/>
  </si>
  <si>
    <t>sell(8795)</t>
  </si>
  <si>
    <t>buy(6752)</t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</si>
  <si>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</si>
  <si>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</si>
  <si>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</si>
  <si>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</si>
  <si>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</si>
  <si>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</si>
  <si>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775"</t>
  </si>
  <si>
    <t>365"</t>
  </si>
  <si>
    <t>207"</t>
  </si>
  <si>
    <t>287"</t>
  </si>
  <si>
    <t>113"</t>
  </si>
  <si>
    <t>259"</t>
  </si>
  <si>
    <t>758"</t>
  </si>
  <si>
    <t>216"</t>
  </si>
  <si>
    <t>329"</t>
  </si>
  <si>
    <t>025"</t>
  </si>
  <si>
    <t>950"</t>
  </si>
  <si>
    <t>357"</t>
  </si>
  <si>
    <t>223"</t>
  </si>
  <si>
    <t>410"</t>
  </si>
  <si>
    <t>666"</t>
  </si>
  <si>
    <t>627"</t>
  </si>
  <si>
    <t>106"</t>
  </si>
  <si>
    <t>198"</t>
  </si>
  <si>
    <t>107"</t>
  </si>
  <si>
    <t>380"</t>
  </si>
  <si>
    <t>552"</t>
  </si>
  <si>
    <t>" 25</t>
  </si>
  <si>
    <t>482"</t>
  </si>
  <si>
    <t>391"</t>
  </si>
  <si>
    <t>084"</t>
  </si>
  <si>
    <t>323"</t>
  </si>
  <si>
    <t>119"</t>
  </si>
  <si>
    <t>サカタのタネ</t>
  </si>
  <si>
    <t>住石ホールディングス</t>
  </si>
  <si>
    <t>東亜建設工業</t>
  </si>
  <si>
    <t>日揮ホールディングス</t>
  </si>
  <si>
    <t>朝日工業社</t>
  </si>
  <si>
    <t>不二家</t>
  </si>
  <si>
    <t>丸大食品</t>
  </si>
  <si>
    <t>ＮＪＳ</t>
  </si>
  <si>
    <t>オプトホールディング</t>
  </si>
  <si>
    <t>キャリアデザインセンター</t>
  </si>
  <si>
    <t>ツカダ・グローバルホールディング</t>
  </si>
  <si>
    <t>ハードオフコーポレーション</t>
  </si>
  <si>
    <t>ゲオホールディングス</t>
  </si>
  <si>
    <t>ソフトクリエイトホールディングス</t>
  </si>
  <si>
    <t>スシローグローバルホールディングス</t>
  </si>
  <si>
    <t>セーレン</t>
  </si>
  <si>
    <t>サイバーリンクス</t>
  </si>
  <si>
    <t>トーモク</t>
  </si>
  <si>
    <t>ダイキアクシス</t>
  </si>
  <si>
    <t>ダイキョーニシカワ</t>
  </si>
  <si>
    <t>ミヨシ油脂</t>
  </si>
  <si>
    <t>大塚ホールディングス</t>
  </si>
  <si>
    <t>パーク２４</t>
  </si>
  <si>
    <t>大成ラミック</t>
  </si>
  <si>
    <t>アキレス</t>
  </si>
  <si>
    <t>バンドー化学</t>
  </si>
  <si>
    <t>日本コンクリート工業</t>
  </si>
  <si>
    <t>フジミインコーポレーテッド</t>
  </si>
  <si>
    <t>三井金属鉱業</t>
  </si>
  <si>
    <t>昭和電線ホールディングス</t>
  </si>
  <si>
    <t>日工</t>
  </si>
  <si>
    <t>ＴＨＫ</t>
  </si>
  <si>
    <t>三菱電機</t>
  </si>
  <si>
    <t>東光高岳</t>
  </si>
  <si>
    <t>不二電機工業</t>
  </si>
  <si>
    <t>ローランド　ディー．ジー．</t>
  </si>
  <si>
    <t>共和電業</t>
  </si>
  <si>
    <t>三井ハイテック</t>
  </si>
  <si>
    <t>日本ケミコン</t>
  </si>
  <si>
    <t>九州フィナンシャルグループ</t>
  </si>
  <si>
    <t>ジェイリース</t>
  </si>
  <si>
    <t>Ｇ－７ホールディングス</t>
  </si>
  <si>
    <t>ダイトロン</t>
  </si>
  <si>
    <t>ＳＣＲＥＥＮホールディングス</t>
  </si>
  <si>
    <t>未来工業</t>
  </si>
  <si>
    <t>松風</t>
  </si>
  <si>
    <t>グローブライド</t>
  </si>
  <si>
    <t>兼松</t>
  </si>
  <si>
    <t>大分銀行</t>
  </si>
  <si>
    <t>みずほリース</t>
  </si>
  <si>
    <t>相鉄ホールディングス</t>
  </si>
  <si>
    <t>丸全昭和運輸</t>
  </si>
  <si>
    <t>インプレスホールディングス</t>
  </si>
  <si>
    <t>広島ガス</t>
  </si>
  <si>
    <t>東宝</t>
  </si>
  <si>
    <t>エヌ・ティ・ティ・データ</t>
  </si>
  <si>
    <t>燦ホールディングス</t>
  </si>
  <si>
    <t>藤田観光</t>
  </si>
  <si>
    <t>丹青社</t>
  </si>
  <si>
    <t>ステップ</t>
  </si>
  <si>
    <t>ベルク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</si>
  <si>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</si>
  <si>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</si>
  <si>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</si>
  <si>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</si>
  <si>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>346"</t>
  </si>
  <si>
    <t>759"</t>
  </si>
  <si>
    <t>382"</t>
  </si>
  <si>
    <t>937"</t>
  </si>
  <si>
    <t>204"</t>
  </si>
  <si>
    <t>224"</t>
  </si>
  <si>
    <t>299"</t>
  </si>
  <si>
    <t>533"</t>
  </si>
  <si>
    <t>679"</t>
  </si>
  <si>
    <t>583"</t>
  </si>
  <si>
    <t xml:space="preserve"> U.S.M.H</t>
  </si>
  <si>
    <t>275"</t>
  </si>
  <si>
    <t>274"</t>
  </si>
  <si>
    <t>230"</t>
  </si>
  <si>
    <t>398"</t>
  </si>
  <si>
    <t>720"</t>
  </si>
  <si>
    <t>724"</t>
  </si>
  <si>
    <t>239"</t>
  </si>
  <si>
    <t>148"</t>
  </si>
  <si>
    <t xml:space="preserve"> コジマ</t>
  </si>
  <si>
    <t>283"</t>
  </si>
  <si>
    <t>834"</t>
  </si>
  <si>
    <t>425"</t>
  </si>
  <si>
    <t>736"</t>
  </si>
  <si>
    <t>804"</t>
  </si>
  <si>
    <t xml:space="preserve"> パソナＧ</t>
  </si>
  <si>
    <t>351"</t>
  </si>
  <si>
    <t>314"</t>
  </si>
  <si>
    <t>993"</t>
  </si>
  <si>
    <t xml:space="preserve"> ツヴァイ</t>
  </si>
  <si>
    <t xml:space="preserve"> イオン九州</t>
  </si>
  <si>
    <t>734"</t>
  </si>
  <si>
    <t>352"</t>
  </si>
  <si>
    <t>570"</t>
  </si>
  <si>
    <t xml:space="preserve"> ファンタジー</t>
  </si>
  <si>
    <t>624"</t>
  </si>
  <si>
    <t>191"</t>
  </si>
  <si>
    <t xml:space="preserve"> MV北海道</t>
  </si>
  <si>
    <t xml:space="preserve"> イオン北海</t>
  </si>
  <si>
    <t>030"</t>
  </si>
  <si>
    <t>558"</t>
  </si>
  <si>
    <t>384"</t>
  </si>
  <si>
    <t xml:space="preserve"> MV東海</t>
  </si>
  <si>
    <t xml:space="preserve"> イオン</t>
  </si>
  <si>
    <t>054"</t>
  </si>
  <si>
    <t xml:space="preserve"> USENNEXT</t>
  </si>
  <si>
    <t xml:space="preserve"> イオンディライ</t>
  </si>
  <si>
    <t>871"</t>
  </si>
  <si>
    <t>337"</t>
  </si>
  <si>
    <t>003"</t>
  </si>
  <si>
    <t>093"</t>
  </si>
  <si>
    <t>866"</t>
  </si>
  <si>
    <t>742"</t>
  </si>
  <si>
    <t>642"</t>
  </si>
  <si>
    <t xml:space="preserve"> ジースリーHD</t>
  </si>
  <si>
    <t>135"</t>
  </si>
  <si>
    <t>562"</t>
  </si>
  <si>
    <t>343"</t>
  </si>
  <si>
    <t xml:space="preserve"> グランド</t>
  </si>
  <si>
    <t>149"</t>
  </si>
  <si>
    <t>566"</t>
  </si>
  <si>
    <t>377"</t>
  </si>
  <si>
    <t>028"</t>
  </si>
  <si>
    <t>297"</t>
  </si>
  <si>
    <t>164"</t>
  </si>
  <si>
    <t>400"</t>
  </si>
  <si>
    <t>" 76</t>
  </si>
  <si>
    <t>715"</t>
  </si>
  <si>
    <t>488"</t>
  </si>
  <si>
    <t>074"</t>
  </si>
  <si>
    <t>373"</t>
  </si>
  <si>
    <t>185"</t>
  </si>
  <si>
    <t>636"</t>
  </si>
  <si>
    <t>997"</t>
  </si>
  <si>
    <t>571"</t>
  </si>
  <si>
    <t xml:space="preserve"> コニシ</t>
  </si>
  <si>
    <t xml:space="preserve"> 日精工</t>
  </si>
  <si>
    <t>821"</t>
  </si>
  <si>
    <t>200"</t>
  </si>
  <si>
    <t>399"</t>
  </si>
  <si>
    <t>668"</t>
  </si>
  <si>
    <t>127"</t>
  </si>
  <si>
    <t>071"</t>
  </si>
  <si>
    <t>588"</t>
  </si>
  <si>
    <t>020"</t>
  </si>
  <si>
    <t>121"</t>
  </si>
  <si>
    <t>300"</t>
  </si>
  <si>
    <t xml:space="preserve"> ヤマシナ</t>
  </si>
  <si>
    <t>825"</t>
  </si>
  <si>
    <t xml:space="preserve"> 太洋工業</t>
  </si>
  <si>
    <t>150"</t>
  </si>
  <si>
    <t>437"</t>
  </si>
  <si>
    <t xml:space="preserve"> 南海電</t>
  </si>
  <si>
    <t>700"</t>
  </si>
  <si>
    <t>667"</t>
  </si>
  <si>
    <t xml:space="preserve"> MonotaRO</t>
  </si>
  <si>
    <t>446"</t>
  </si>
  <si>
    <t>174"</t>
  </si>
  <si>
    <t>214"</t>
  </si>
  <si>
    <t>549"</t>
  </si>
  <si>
    <t>610"</t>
  </si>
  <si>
    <t>" 68</t>
  </si>
  <si>
    <t>824"</t>
  </si>
  <si>
    <t>586"</t>
  </si>
  <si>
    <t>594"</t>
  </si>
  <si>
    <t xml:space="preserve"> 花　王</t>
  </si>
  <si>
    <t>" 44</t>
  </si>
  <si>
    <t>079"</t>
  </si>
  <si>
    <t>178"</t>
  </si>
  <si>
    <t xml:space="preserve"> ＤＩＴ</t>
  </si>
  <si>
    <t>472"</t>
  </si>
  <si>
    <t>139"</t>
  </si>
  <si>
    <t>622"</t>
  </si>
  <si>
    <t>630"</t>
  </si>
  <si>
    <t>451"</t>
  </si>
  <si>
    <t>288"</t>
  </si>
  <si>
    <t xml:space="preserve"> ホープ</t>
  </si>
  <si>
    <t xml:space="preserve"> 安田倉庫</t>
  </si>
  <si>
    <t>555"</t>
  </si>
  <si>
    <t xml:space="preserve"> ＣＯＯＫ</t>
  </si>
  <si>
    <t>487"</t>
  </si>
  <si>
    <t xml:space="preserve"> ケミプロ</t>
  </si>
  <si>
    <t>083"</t>
  </si>
  <si>
    <t xml:space="preserve"> ツガミ</t>
  </si>
  <si>
    <t xml:space="preserve"> 精工技研</t>
  </si>
  <si>
    <t>900"</t>
  </si>
  <si>
    <t>926"</t>
  </si>
  <si>
    <t xml:space="preserve"> 海　帆</t>
  </si>
  <si>
    <t>989"</t>
  </si>
  <si>
    <t>101"</t>
  </si>
  <si>
    <t>520"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</si>
  <si>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</si>
  <si>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</si>
  <si>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</si>
  <si>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</si>
  <si>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</si>
  <si>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</si>
  <si>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</si>
  <si>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>279"</t>
  </si>
  <si>
    <t>901"</t>
  </si>
  <si>
    <t xml:space="preserve"> 荏原実業</t>
  </si>
  <si>
    <t xml:space="preserve"> NFK-HD</t>
  </si>
  <si>
    <t>070"</t>
  </si>
  <si>
    <t xml:space="preserve"> 住友不</t>
  </si>
  <si>
    <t>" 18</t>
  </si>
  <si>
    <t>320"</t>
  </si>
  <si>
    <t xml:space="preserve"> アサヒインテック</t>
  </si>
  <si>
    <t>564"</t>
  </si>
  <si>
    <t xml:space="preserve"> 三洋堂HD</t>
  </si>
  <si>
    <t xml:space="preserve"> 天  馬</t>
  </si>
  <si>
    <t xml:space="preserve"> 藤田観</t>
  </si>
  <si>
    <t>731"</t>
  </si>
  <si>
    <t>942"</t>
  </si>
  <si>
    <t>328"</t>
  </si>
  <si>
    <t>339"</t>
  </si>
  <si>
    <t>218"</t>
  </si>
  <si>
    <t>801"</t>
  </si>
  <si>
    <t xml:space="preserve"> 東京鉄</t>
  </si>
  <si>
    <t>984"</t>
  </si>
  <si>
    <t xml:space="preserve"> 前田工繊</t>
  </si>
  <si>
    <t>419"</t>
  </si>
  <si>
    <t>254"</t>
  </si>
  <si>
    <t>619"</t>
  </si>
  <si>
    <t>120"</t>
  </si>
  <si>
    <t>069"</t>
  </si>
  <si>
    <t>800"</t>
  </si>
  <si>
    <t>980"</t>
  </si>
  <si>
    <t>511"</t>
  </si>
  <si>
    <t xml:space="preserve"> 02月下旬</t>
  </si>
  <si>
    <t xml:space="preserve"> プラネット</t>
  </si>
  <si>
    <t>899"</t>
  </si>
  <si>
    <t>745"</t>
  </si>
  <si>
    <t>049"</t>
  </si>
  <si>
    <t>326"</t>
  </si>
  <si>
    <t>936"</t>
  </si>
  <si>
    <t>521"</t>
  </si>
  <si>
    <t>092"</t>
  </si>
  <si>
    <t>689"</t>
  </si>
  <si>
    <t>189"</t>
  </si>
  <si>
    <t>052"</t>
  </si>
  <si>
    <t xml:space="preserve"> 三信電</t>
  </si>
  <si>
    <t xml:space="preserve"> 第一交通</t>
  </si>
  <si>
    <t>237"</t>
  </si>
  <si>
    <t>953"</t>
  </si>
  <si>
    <t>795"</t>
  </si>
  <si>
    <t xml:space="preserve"> ランディックス</t>
  </si>
  <si>
    <t>677"</t>
  </si>
  <si>
    <t xml:space="preserve"> スペースマーケ</t>
  </si>
  <si>
    <t xml:space="preserve"> カクヤス</t>
  </si>
  <si>
    <t>021"</t>
  </si>
  <si>
    <t xml:space="preserve"> 03月下旬</t>
  </si>
  <si>
    <t xml:space="preserve"> ファースト住</t>
  </si>
  <si>
    <t>172"</t>
  </si>
  <si>
    <t>635"</t>
  </si>
  <si>
    <t>ショーボンドホールディングス</t>
  </si>
  <si>
    <t>ダイセキ環境ソリューション</t>
  </si>
  <si>
    <t>高松コンストラクショングループ</t>
  </si>
  <si>
    <t>大成建設</t>
  </si>
  <si>
    <t>東鉄工業</t>
  </si>
  <si>
    <t>パソナグループ</t>
  </si>
  <si>
    <t>ＣＤＳ</t>
  </si>
  <si>
    <t>プリマハム</t>
  </si>
  <si>
    <t>ＷＤＢホールディングス</t>
  </si>
  <si>
    <t>ダイドーグループホールディングス</t>
  </si>
  <si>
    <t>片倉工業</t>
  </si>
  <si>
    <t>ＤＣＭホールディングス</t>
  </si>
  <si>
    <t>エー・ディー・ワークス</t>
  </si>
  <si>
    <t>ジェイ・エス・ビー</t>
  </si>
  <si>
    <t>モバイルファクトリー</t>
  </si>
  <si>
    <t>デジタル・インフォメーション・テクノロジー</t>
  </si>
  <si>
    <t>ラサ工業</t>
  </si>
  <si>
    <t>大阪ソーダ</t>
  </si>
  <si>
    <t>日本カーバイド工業</t>
  </si>
  <si>
    <t>大倉工業</t>
  </si>
  <si>
    <t>日本精化</t>
  </si>
  <si>
    <t>エーザイ</t>
  </si>
  <si>
    <t>第一三共</t>
  </si>
  <si>
    <t>ライオン</t>
  </si>
  <si>
    <t>コタ</t>
  </si>
  <si>
    <t>ノエビアホールディングス</t>
  </si>
  <si>
    <t>メック</t>
  </si>
  <si>
    <t>日本電気硝子</t>
  </si>
  <si>
    <t>中山製鋼所</t>
  </si>
  <si>
    <t>アーレスティ</t>
  </si>
  <si>
    <t>ＬＩＸＩＬグループ</t>
  </si>
  <si>
    <t>サンコール</t>
  </si>
  <si>
    <t>ソラスト</t>
  </si>
  <si>
    <t>やまびこ</t>
  </si>
  <si>
    <t>タダノ</t>
  </si>
  <si>
    <t>船場</t>
  </si>
  <si>
    <t>フルテック</t>
  </si>
  <si>
    <t>イリソ電子工業</t>
  </si>
  <si>
    <t>三菱重工業</t>
  </si>
  <si>
    <t>イントラスト</t>
  </si>
  <si>
    <t>カッパ・クリエイト</t>
  </si>
  <si>
    <t>ナガイレーベン</t>
  </si>
  <si>
    <t>サイゼリヤ</t>
  </si>
  <si>
    <t>フジ・コーポレーション</t>
  </si>
  <si>
    <t>ピーシーデポコーポレーション</t>
  </si>
  <si>
    <t>マニー</t>
  </si>
  <si>
    <t>バンダイナムコホールディングス</t>
  </si>
  <si>
    <t>タカラトミー</t>
  </si>
  <si>
    <t>ルックホールディングス</t>
  </si>
  <si>
    <t>日本ユニシス</t>
  </si>
  <si>
    <t>ゴールドウイン</t>
  </si>
  <si>
    <t>高島屋</t>
  </si>
  <si>
    <t>福島銀行</t>
  </si>
  <si>
    <t>東洋証券</t>
  </si>
  <si>
    <t>アドバンテッジリスクマネジメント</t>
  </si>
  <si>
    <t>ダイビル</t>
  </si>
  <si>
    <t>テーオーシー</t>
  </si>
  <si>
    <t>中央倉庫</t>
  </si>
  <si>
    <t>サンリツ</t>
  </si>
  <si>
    <t>日本ＢＳ放送</t>
  </si>
  <si>
    <t>日本通信</t>
  </si>
  <si>
    <t>船井総研ホールディングス</t>
  </si>
  <si>
    <t>福井コンピュータホールディングス</t>
  </si>
  <si>
    <t>ジェコス</t>
  </si>
  <si>
    <t>日本精工</t>
  </si>
  <si>
    <t>ジェイテクト</t>
  </si>
  <si>
    <t>Check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</si>
  <si>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</si>
  <si>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</si>
  <si>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本田技研工業</t>
    <phoneticPr fontId="1" type="noConversion"/>
  </si>
  <si>
    <t>OPEN_5991</t>
  </si>
  <si>
    <t>CLOSE_5991</t>
  </si>
  <si>
    <t>OPEN_7267</t>
  </si>
  <si>
    <t>CLOSE_7267</t>
  </si>
  <si>
    <t>sell(5991)</t>
  </si>
  <si>
    <t>buy(7267)</t>
  </si>
  <si>
    <t>6M</t>
    <phoneticPr fontId="1" type="noConversion"/>
  </si>
  <si>
    <t>日本発條</t>
    <phoneticPr fontId="1" type="noConversion"/>
  </si>
  <si>
    <t>制度</t>
    <phoneticPr fontId="1" type="noConversion"/>
  </si>
  <si>
    <t>OVER MAX DAY</t>
    <phoneticPr fontId="1" type="noConversion"/>
  </si>
  <si>
    <t>History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</si>
</sst>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9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0" fontId="15" fillId="8" borderId="1" xfId="0" applyFont="1" applyFill="1" applyBorder="1" applyAlignment="1">
      <alignment horizontal="center" vertical="center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0.32025518341307802</c:v>
                </c:pt>
                <c:pt idx="1">
                  <c:v>0.31985996180776499</c:v>
                </c:pt>
                <c:pt idx="2">
                  <c:v>0.32262210796915097</c:v>
                </c:pt>
                <c:pt idx="3">
                  <c:v>0.32320971867007597</c:v>
                </c:pt>
                <c:pt idx="4">
                  <c:v>0.32527821939586599</c:v>
                </c:pt>
                <c:pt idx="5">
                  <c:v>0.32492113564668701</c:v>
                </c:pt>
                <c:pt idx="6">
                  <c:v>0.32532405943724302</c:v>
                </c:pt>
                <c:pt idx="7">
                  <c:v>0.320754716981132</c:v>
                </c:pt>
                <c:pt idx="8">
                  <c:v>0.317385866166353</c:v>
                </c:pt>
                <c:pt idx="9">
                  <c:v>0.316593886462882</c:v>
                </c:pt>
                <c:pt idx="10">
                  <c:v>0.31698230363241198</c:v>
                </c:pt>
                <c:pt idx="11">
                  <c:v>0.32059106970767698</c:v>
                </c:pt>
                <c:pt idx="12">
                  <c:v>0.31565576373451798</c:v>
                </c:pt>
                <c:pt idx="13">
                  <c:v>0.32057416267942501</c:v>
                </c:pt>
                <c:pt idx="14">
                  <c:v>0.32250875517351102</c:v>
                </c:pt>
                <c:pt idx="15">
                  <c:v>0.319338422391857</c:v>
                </c:pt>
                <c:pt idx="16">
                  <c:v>0.32086928731224001</c:v>
                </c:pt>
                <c:pt idx="17">
                  <c:v>0.31963765771594899</c:v>
                </c:pt>
                <c:pt idx="18">
                  <c:v>0.31497584541062801</c:v>
                </c:pt>
                <c:pt idx="19">
                  <c:v>0.31636597938144301</c:v>
                </c:pt>
                <c:pt idx="20">
                  <c:v>0.31529181610694401</c:v>
                </c:pt>
                <c:pt idx="21">
                  <c:v>0.31233766233766203</c:v>
                </c:pt>
                <c:pt idx="22">
                  <c:v>0.31180044771346299</c:v>
                </c:pt>
                <c:pt idx="23">
                  <c:v>0.31038919266645199</c:v>
                </c:pt>
                <c:pt idx="24">
                  <c:v>0.30673871582962398</c:v>
                </c:pt>
                <c:pt idx="25">
                  <c:v>0.307593307593307</c:v>
                </c:pt>
                <c:pt idx="26">
                  <c:v>0.30841121495327101</c:v>
                </c:pt>
                <c:pt idx="27">
                  <c:v>0.31047865459249602</c:v>
                </c:pt>
                <c:pt idx="28">
                  <c:v>0.30504148053605601</c:v>
                </c:pt>
                <c:pt idx="29">
                  <c:v>0.303135888501742</c:v>
                </c:pt>
                <c:pt idx="30">
                  <c:v>0.30412698412698402</c:v>
                </c:pt>
                <c:pt idx="31">
                  <c:v>0.305829882128066</c:v>
                </c:pt>
                <c:pt idx="32">
                  <c:v>0.304767840448737</c:v>
                </c:pt>
                <c:pt idx="33">
                  <c:v>0.30411892226695503</c:v>
                </c:pt>
                <c:pt idx="34">
                  <c:v>0.30303030303030298</c:v>
                </c:pt>
                <c:pt idx="35">
                  <c:v>0.31608072916666602</c:v>
                </c:pt>
                <c:pt idx="36">
                  <c:v>0.31818181818181801</c:v>
                </c:pt>
                <c:pt idx="37">
                  <c:v>0.30682942923127599</c:v>
                </c:pt>
                <c:pt idx="38">
                  <c:v>0.30377233620119098</c:v>
                </c:pt>
                <c:pt idx="39">
                  <c:v>0.30191233711287802</c:v>
                </c:pt>
                <c:pt idx="40">
                  <c:v>0.30353501019714402</c:v>
                </c:pt>
                <c:pt idx="41">
                  <c:v>0.29733802109492702</c:v>
                </c:pt>
                <c:pt idx="42">
                  <c:v>0.29773785761809701</c:v>
                </c:pt>
                <c:pt idx="43">
                  <c:v>0.3</c:v>
                </c:pt>
                <c:pt idx="44">
                  <c:v>0.30114510340112799</c:v>
                </c:pt>
                <c:pt idx="45">
                  <c:v>0.29716820197884602</c:v>
                </c:pt>
                <c:pt idx="46">
                  <c:v>0.29996524157108101</c:v>
                </c:pt>
                <c:pt idx="47">
                  <c:v>0.29637305699481797</c:v>
                </c:pt>
                <c:pt idx="48">
                  <c:v>0.29465360151280701</c:v>
                </c:pt>
                <c:pt idx="49">
                  <c:v>0.29455232857879299</c:v>
                </c:pt>
                <c:pt idx="50">
                  <c:v>0.295205479452054</c:v>
                </c:pt>
                <c:pt idx="51">
                  <c:v>0.29211933091912401</c:v>
                </c:pt>
                <c:pt idx="52">
                  <c:v>0.29167403217252902</c:v>
                </c:pt>
                <c:pt idx="53">
                  <c:v>0.29294755877034301</c:v>
                </c:pt>
                <c:pt idx="54">
                  <c:v>0.29274516952242002</c:v>
                </c:pt>
                <c:pt idx="55">
                  <c:v>0.29735682819383202</c:v>
                </c:pt>
                <c:pt idx="56">
                  <c:v>0.295604395604395</c:v>
                </c:pt>
                <c:pt idx="57">
                  <c:v>0.29582577132486298</c:v>
                </c:pt>
                <c:pt idx="58">
                  <c:v>0.29717411121239701</c:v>
                </c:pt>
                <c:pt idx="59">
                  <c:v>0.29418026969481897</c:v>
                </c:pt>
                <c:pt idx="60">
                  <c:v>0.29283597699145802</c:v>
                </c:pt>
                <c:pt idx="61">
                  <c:v>0.29444345184920401</c:v>
                </c:pt>
                <c:pt idx="62">
                  <c:v>0.29366197183098502</c:v>
                </c:pt>
                <c:pt idx="63">
                  <c:v>0.29360013800241502</c:v>
                </c:pt>
                <c:pt idx="64">
                  <c:v>0.29405594405594399</c:v>
                </c:pt>
                <c:pt idx="65">
                  <c:v>0.29456008396011801</c:v>
                </c:pt>
                <c:pt idx="66">
                  <c:v>0.29323696437790397</c:v>
                </c:pt>
                <c:pt idx="67">
                  <c:v>0.28972448449142202</c:v>
                </c:pt>
                <c:pt idx="68">
                  <c:v>0.28995512599240503</c:v>
                </c:pt>
                <c:pt idx="69">
                  <c:v>0.28961748633879703</c:v>
                </c:pt>
                <c:pt idx="70">
                  <c:v>0.29355608591885402</c:v>
                </c:pt>
                <c:pt idx="71">
                  <c:v>0.29185867895545298</c:v>
                </c:pt>
                <c:pt idx="72">
                  <c:v>0.29045069936107698</c:v>
                </c:pt>
                <c:pt idx="73">
                  <c:v>0.29344321031888199</c:v>
                </c:pt>
                <c:pt idx="74">
                  <c:v>0.28529519618628502</c:v>
                </c:pt>
                <c:pt idx="75">
                  <c:v>0.287856620336503</c:v>
                </c:pt>
                <c:pt idx="76">
                  <c:v>0.28824415975885398</c:v>
                </c:pt>
                <c:pt idx="77">
                  <c:v>0.28599146294140398</c:v>
                </c:pt>
                <c:pt idx="78">
                  <c:v>0.29496683573936699</c:v>
                </c:pt>
                <c:pt idx="79">
                  <c:v>0.29693978282329703</c:v>
                </c:pt>
                <c:pt idx="80">
                  <c:v>0.29918763621953598</c:v>
                </c:pt>
                <c:pt idx="81">
                  <c:v>0.299190283400809</c:v>
                </c:pt>
                <c:pt idx="82">
                  <c:v>0.29477911646586302</c:v>
                </c:pt>
                <c:pt idx="83">
                  <c:v>0.29388083735909798</c:v>
                </c:pt>
                <c:pt idx="84">
                  <c:v>0.28536485935589001</c:v>
                </c:pt>
                <c:pt idx="85">
                  <c:v>0.29093831625477101</c:v>
                </c:pt>
                <c:pt idx="86">
                  <c:v>0.29038772213247099</c:v>
                </c:pt>
                <c:pt idx="87">
                  <c:v>0.286232614392259</c:v>
                </c:pt>
                <c:pt idx="88">
                  <c:v>0.28897795591182301</c:v>
                </c:pt>
                <c:pt idx="89">
                  <c:v>0.29085760517799297</c:v>
                </c:pt>
                <c:pt idx="90">
                  <c:v>0.29082774049216997</c:v>
                </c:pt>
                <c:pt idx="91">
                  <c:v>0.29186991869918699</c:v>
                </c:pt>
                <c:pt idx="92">
                  <c:v>0.29372871168102499</c:v>
                </c:pt>
                <c:pt idx="93">
                  <c:v>0.29250604351329501</c:v>
                </c:pt>
                <c:pt idx="94">
                  <c:v>0.29189614476789899</c:v>
                </c:pt>
                <c:pt idx="95">
                  <c:v>0.29388560157790899</c:v>
                </c:pt>
                <c:pt idx="96">
                  <c:v>0.31105854523950299</c:v>
                </c:pt>
                <c:pt idx="97">
                  <c:v>0.31322007420425602</c:v>
                </c:pt>
                <c:pt idx="98">
                  <c:v>0.31449727201870598</c:v>
                </c:pt>
                <c:pt idx="99">
                  <c:v>0.31305013394565601</c:v>
                </c:pt>
                <c:pt idx="100">
                  <c:v>0.31111111111111101</c:v>
                </c:pt>
                <c:pt idx="101">
                  <c:v>0.31543995572772499</c:v>
                </c:pt>
                <c:pt idx="102">
                  <c:v>0.31457431457431401</c:v>
                </c:pt>
                <c:pt idx="103">
                  <c:v>0.30794282612628898</c:v>
                </c:pt>
                <c:pt idx="104">
                  <c:v>0.31161371387542602</c:v>
                </c:pt>
                <c:pt idx="105">
                  <c:v>0.31058740766795601</c:v>
                </c:pt>
                <c:pt idx="106">
                  <c:v>0.30380634976319898</c:v>
                </c:pt>
                <c:pt idx="107">
                  <c:v>0.30484988452655798</c:v>
                </c:pt>
                <c:pt idx="108">
                  <c:v>0.297644539614561</c:v>
                </c:pt>
                <c:pt idx="109">
                  <c:v>0.29059829059829001</c:v>
                </c:pt>
                <c:pt idx="110">
                  <c:v>0.29111393785208001</c:v>
                </c:pt>
                <c:pt idx="111">
                  <c:v>0.29543834640056998</c:v>
                </c:pt>
                <c:pt idx="112">
                  <c:v>0.29543451436629597</c:v>
                </c:pt>
                <c:pt idx="113">
                  <c:v>0.29223744292237402</c:v>
                </c:pt>
                <c:pt idx="114">
                  <c:v>0.29571026722925398</c:v>
                </c:pt>
                <c:pt idx="115">
                  <c:v>0.29305822696275502</c:v>
                </c:pt>
                <c:pt idx="116">
                  <c:v>0.29553023663453099</c:v>
                </c:pt>
                <c:pt idx="117">
                  <c:v>0.30137469157560798</c:v>
                </c:pt>
                <c:pt idx="118">
                  <c:v>0.30601092896174797</c:v>
                </c:pt>
                <c:pt idx="119">
                  <c:v>0.30204808548530698</c:v>
                </c:pt>
                <c:pt idx="120">
                  <c:v>0.30394265232974899</c:v>
                </c:pt>
                <c:pt idx="121">
                  <c:v>0.30384208671131402</c:v>
                </c:pt>
                <c:pt idx="122">
                  <c:v>0.301230228471001</c:v>
                </c:pt>
                <c:pt idx="123">
                  <c:v>0.29874326750448799</c:v>
                </c:pt>
                <c:pt idx="124">
                  <c:v>0.30123722431414701</c:v>
                </c:pt>
                <c:pt idx="125">
                  <c:v>0.29989015012815801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0.30494893245681898</c:v>
                </c:pt>
                <c:pt idx="1">
                  <c:v>0.304516951615798</c:v>
                </c:pt>
                <c:pt idx="2">
                  <c:v>0.30409540758847903</c:v>
                </c:pt>
                <c:pt idx="3">
                  <c:v>0.303606998988109</c:v>
                </c:pt>
                <c:pt idx="4">
                  <c:v>0.30323042721569898</c:v>
                </c:pt>
                <c:pt idx="5">
                  <c:v>0.30285258139473198</c:v>
                </c:pt>
                <c:pt idx="6">
                  <c:v>0.302509468069037</c:v>
                </c:pt>
                <c:pt idx="7">
                  <c:v>0.30216101772188397</c:v>
                </c:pt>
                <c:pt idx="8">
                  <c:v>0.30181467638168002</c:v>
                </c:pt>
                <c:pt idx="9">
                  <c:v>0.30150127599758397</c:v>
                </c:pt>
                <c:pt idx="10">
                  <c:v>0.30108488896949098</c:v>
                </c:pt>
                <c:pt idx="11">
                  <c:v>0.30073763580445501</c:v>
                </c:pt>
                <c:pt idx="12">
                  <c:v>0.300334924503453</c:v>
                </c:pt>
                <c:pt idx="13">
                  <c:v>0.29994261584555598</c:v>
                </c:pt>
                <c:pt idx="14">
                  <c:v>0.29952133308865397</c:v>
                </c:pt>
                <c:pt idx="15">
                  <c:v>0.29909931775538101</c:v>
                </c:pt>
                <c:pt idx="16">
                  <c:v>0.29871917533005199</c:v>
                </c:pt>
                <c:pt idx="17">
                  <c:v>0.29833251708187802</c:v>
                </c:pt>
                <c:pt idx="18">
                  <c:v>0.29798706446807899</c:v>
                </c:pt>
                <c:pt idx="19">
                  <c:v>0.29768746710944799</c:v>
                </c:pt>
                <c:pt idx="20">
                  <c:v>0.29736120264793398</c:v>
                </c:pt>
                <c:pt idx="21">
                  <c:v>0.29707578645421301</c:v>
                </c:pt>
                <c:pt idx="22">
                  <c:v>0.29705873155957102</c:v>
                </c:pt>
                <c:pt idx="23">
                  <c:v>0.29707765991278201</c:v>
                </c:pt>
                <c:pt idx="24">
                  <c:v>0.29713243430414499</c:v>
                </c:pt>
                <c:pt idx="25">
                  <c:v>0.297216586545692</c:v>
                </c:pt>
                <c:pt idx="26">
                  <c:v>0.29726349059259599</c:v>
                </c:pt>
                <c:pt idx="27">
                  <c:v>0.29735720713625502</c:v>
                </c:pt>
                <c:pt idx="28">
                  <c:v>0.29741181593601301</c:v>
                </c:pt>
                <c:pt idx="29">
                  <c:v>0.297450500543883</c:v>
                </c:pt>
                <c:pt idx="30">
                  <c:v>0.297563538215532</c:v>
                </c:pt>
                <c:pt idx="31">
                  <c:v>0.29764967719607799</c:v>
                </c:pt>
                <c:pt idx="32">
                  <c:v>0.297622696764547</c:v>
                </c:pt>
                <c:pt idx="33">
                  <c:v>0.29762379068558398</c:v>
                </c:pt>
                <c:pt idx="34">
                  <c:v>0.29753746558355199</c:v>
                </c:pt>
                <c:pt idx="35">
                  <c:v>0.29737170541779201</c:v>
                </c:pt>
                <c:pt idx="36">
                  <c:v>0.29703881486693101</c:v>
                </c:pt>
                <c:pt idx="37">
                  <c:v>0.29673556857651401</c:v>
                </c:pt>
                <c:pt idx="38">
                  <c:v>0.29658363637831497</c:v>
                </c:pt>
                <c:pt idx="39">
                  <c:v>0.29642983780126397</c:v>
                </c:pt>
                <c:pt idx="40">
                  <c:v>0.29634714353614899</c:v>
                </c:pt>
                <c:pt idx="41">
                  <c:v>0.29620745309302399</c:v>
                </c:pt>
                <c:pt idx="42">
                  <c:v>0.296183349300218</c:v>
                </c:pt>
                <c:pt idx="43">
                  <c:v>0.296231840419652</c:v>
                </c:pt>
                <c:pt idx="44">
                  <c:v>0.296311986139142</c:v>
                </c:pt>
                <c:pt idx="45">
                  <c:v>0.29632402590026402</c:v>
                </c:pt>
                <c:pt idx="46">
                  <c:v>0.29641435190494297</c:v>
                </c:pt>
                <c:pt idx="47">
                  <c:v>0.29646604317347902</c:v>
                </c:pt>
                <c:pt idx="48">
                  <c:v>0.29653080545982802</c:v>
                </c:pt>
                <c:pt idx="49">
                  <c:v>0.29658533433971701</c:v>
                </c:pt>
                <c:pt idx="50">
                  <c:v>0.29667446628285599</c:v>
                </c:pt>
                <c:pt idx="51">
                  <c:v>0.29673692855853701</c:v>
                </c:pt>
                <c:pt idx="52">
                  <c:v>0.29677619326217403</c:v>
                </c:pt>
                <c:pt idx="53">
                  <c:v>0.29679793434221202</c:v>
                </c:pt>
                <c:pt idx="54">
                  <c:v>0.296810983522454</c:v>
                </c:pt>
                <c:pt idx="55">
                  <c:v>0.296887024110706</c:v>
                </c:pt>
                <c:pt idx="56">
                  <c:v>0.29685050058464602</c:v>
                </c:pt>
                <c:pt idx="57">
                  <c:v>0.29681848439644798</c:v>
                </c:pt>
                <c:pt idx="58">
                  <c:v>0.29680447110911301</c:v>
                </c:pt>
                <c:pt idx="59">
                  <c:v>0.29685424883983302</c:v>
                </c:pt>
                <c:pt idx="60">
                  <c:v>0.29693015104652798</c:v>
                </c:pt>
                <c:pt idx="61">
                  <c:v>0.29704992250883999</c:v>
                </c:pt>
                <c:pt idx="62">
                  <c:v>0.29718021310600701</c:v>
                </c:pt>
                <c:pt idx="63">
                  <c:v>0.29729349712667802</c:v>
                </c:pt>
                <c:pt idx="64">
                  <c:v>0.29740122939913699</c:v>
                </c:pt>
                <c:pt idx="65">
                  <c:v>0.297470023100114</c:v>
                </c:pt>
                <c:pt idx="66">
                  <c:v>0.29760218560616802</c:v>
                </c:pt>
                <c:pt idx="67">
                  <c:v>0.29772131291710002</c:v>
                </c:pt>
                <c:pt idx="68">
                  <c:v>0.29783400444305103</c:v>
                </c:pt>
                <c:pt idx="69">
                  <c:v>0.297981515877701</c:v>
                </c:pt>
                <c:pt idx="70">
                  <c:v>0.29804916571676598</c:v>
                </c:pt>
                <c:pt idx="71">
                  <c:v>0.29802538298848202</c:v>
                </c:pt>
                <c:pt idx="72">
                  <c:v>0.29805210481420202</c:v>
                </c:pt>
                <c:pt idx="73">
                  <c:v>0.29808905791538798</c:v>
                </c:pt>
                <c:pt idx="74">
                  <c:v>0.29807134438234301</c:v>
                </c:pt>
                <c:pt idx="75">
                  <c:v>0.29810611619493599</c:v>
                </c:pt>
                <c:pt idx="76">
                  <c:v>0.29814347674360703</c:v>
                </c:pt>
                <c:pt idx="77">
                  <c:v>0.29814135102419798</c:v>
                </c:pt>
                <c:pt idx="78">
                  <c:v>0.29814506030431698</c:v>
                </c:pt>
                <c:pt idx="79">
                  <c:v>0.29808604303500003</c:v>
                </c:pt>
                <c:pt idx="80">
                  <c:v>0.29803406735584398</c:v>
                </c:pt>
                <c:pt idx="81">
                  <c:v>0.29795220725081401</c:v>
                </c:pt>
                <c:pt idx="82">
                  <c:v>0.29787309979750198</c:v>
                </c:pt>
                <c:pt idx="83">
                  <c:v>0.29775358796117501</c:v>
                </c:pt>
                <c:pt idx="84">
                  <c:v>0.29805363254026701</c:v>
                </c:pt>
                <c:pt idx="85">
                  <c:v>0.29849746635094898</c:v>
                </c:pt>
                <c:pt idx="86">
                  <c:v>0.29880182004914302</c:v>
                </c:pt>
                <c:pt idx="87">
                  <c:v>0.29910721265665402</c:v>
                </c:pt>
                <c:pt idx="88">
                  <c:v>0.29959046607069101</c:v>
                </c:pt>
                <c:pt idx="89">
                  <c:v>0.300151812058426</c:v>
                </c:pt>
                <c:pt idx="90">
                  <c:v>0.30076843162136202</c:v>
                </c:pt>
                <c:pt idx="91">
                  <c:v>0.30138685244580699</c:v>
                </c:pt>
                <c:pt idx="92">
                  <c:v>0.30202109291514601</c:v>
                </c:pt>
                <c:pt idx="93">
                  <c:v>0.30259084726179603</c:v>
                </c:pt>
                <c:pt idx="94">
                  <c:v>0.30312138273637901</c:v>
                </c:pt>
                <c:pt idx="95">
                  <c:v>0.30373416600067299</c:v>
                </c:pt>
                <c:pt idx="96">
                  <c:v>0.30429412768432901</c:v>
                </c:pt>
                <c:pt idx="97">
                  <c:v>0.30466949755671602</c:v>
                </c:pt>
                <c:pt idx="98">
                  <c:v>0.30496648759919998</c:v>
                </c:pt>
                <c:pt idx="99">
                  <c:v>0.30527113034834102</c:v>
                </c:pt>
                <c:pt idx="100">
                  <c:v>0.305575859945663</c:v>
                </c:pt>
                <c:pt idx="101">
                  <c:v>0.30590608329878699</c:v>
                </c:pt>
                <c:pt idx="102">
                  <c:v>0.30617163210584097</c:v>
                </c:pt>
                <c:pt idx="103">
                  <c:v>0.306402179464416</c:v>
                </c:pt>
                <c:pt idx="104">
                  <c:v>0.306674699052012</c:v>
                </c:pt>
                <c:pt idx="105">
                  <c:v>0.30687923284042401</c:v>
                </c:pt>
                <c:pt idx="106">
                  <c:v>0.30711105775854902</c:v>
                </c:pt>
                <c:pt idx="107">
                  <c:v>0.30747873461265501</c:v>
                </c:pt>
                <c:pt idx="108">
                  <c:v>0.30783922251846702</c:v>
                </c:pt>
                <c:pt idx="109">
                  <c:v>0.308249931344037</c:v>
                </c:pt>
                <c:pt idx="110">
                  <c:v>0.30880066963149599</c:v>
                </c:pt>
                <c:pt idx="111">
                  <c:v>0.30933158908533898</c:v>
                </c:pt>
                <c:pt idx="112">
                  <c:v>0.30978509749057498</c:v>
                </c:pt>
                <c:pt idx="113">
                  <c:v>0.31016817102528499</c:v>
                </c:pt>
                <c:pt idx="114">
                  <c:v>0.31048310652202699</c:v>
                </c:pt>
                <c:pt idx="115">
                  <c:v>0.31071888986837598</c:v>
                </c:pt>
                <c:pt idx="116">
                  <c:v>0.31102610652807</c:v>
                </c:pt>
                <c:pt idx="117">
                  <c:v>0.31129898436738201</c:v>
                </c:pt>
                <c:pt idx="118">
                  <c:v>0.31149280643096999</c:v>
                </c:pt>
                <c:pt idx="119">
                  <c:v>0.31165709044896001</c:v>
                </c:pt>
                <c:pt idx="120">
                  <c:v>0.31194003316212698</c:v>
                </c:pt>
                <c:pt idx="121">
                  <c:v>0.31219767577095697</c:v>
                </c:pt>
                <c:pt idx="122">
                  <c:v>0.31248763687231301</c:v>
                </c:pt>
                <c:pt idx="123">
                  <c:v>0.312800408700185</c:v>
                </c:pt>
                <c:pt idx="124">
                  <c:v>0.31317978356584503</c:v>
                </c:pt>
                <c:pt idx="125">
                  <c:v>0.31357035925545501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0.32769706226334477</c:v>
                </c:pt>
                <c:pt idx="1">
                  <c:v>0.32731645066120602</c:v>
                </c:pt>
                <c:pt idx="2">
                  <c:v>0.32691369268802184</c:v>
                </c:pt>
                <c:pt idx="3">
                  <c:v>0.32638624508835939</c:v>
                </c:pt>
                <c:pt idx="4">
                  <c:v>0.32563163411336138</c:v>
                </c:pt>
                <c:pt idx="5">
                  <c:v>0.32470270521237399</c:v>
                </c:pt>
                <c:pt idx="6">
                  <c:v>0.32376267746829501</c:v>
                </c:pt>
                <c:pt idx="7">
                  <c:v>0.32275326175358299</c:v>
                </c:pt>
                <c:pt idx="8">
                  <c:v>0.32201438599293902</c:v>
                </c:pt>
                <c:pt idx="9">
                  <c:v>0.32145274698412785</c:v>
                </c:pt>
                <c:pt idx="10">
                  <c:v>0.3210625312554321</c:v>
                </c:pt>
                <c:pt idx="11">
                  <c:v>0.3205021459170278</c:v>
                </c:pt>
                <c:pt idx="12">
                  <c:v>0.3196915371832702</c:v>
                </c:pt>
                <c:pt idx="13">
                  <c:v>0.31923382296200459</c:v>
                </c:pt>
                <c:pt idx="14">
                  <c:v>0.31836677774535799</c:v>
                </c:pt>
                <c:pt idx="15">
                  <c:v>0.31727235058593223</c:v>
                </c:pt>
                <c:pt idx="16">
                  <c:v>0.31636807415356755</c:v>
                </c:pt>
                <c:pt idx="17">
                  <c:v>0.31528010698653219</c:v>
                </c:pt>
                <c:pt idx="18">
                  <c:v>0.31422484060589473</c:v>
                </c:pt>
                <c:pt idx="19">
                  <c:v>0.31348352869480028</c:v>
                </c:pt>
                <c:pt idx="20">
                  <c:v>0.31260165012432112</c:v>
                </c:pt>
                <c:pt idx="21">
                  <c:v>0.3117537499097125</c:v>
                </c:pt>
                <c:pt idx="22">
                  <c:v>0.31166853618080953</c:v>
                </c:pt>
                <c:pt idx="23">
                  <c:v>0.31176727304551793</c:v>
                </c:pt>
                <c:pt idx="24">
                  <c:v>0.31204906435506424</c:v>
                </c:pt>
                <c:pt idx="25">
                  <c:v>0.31241754462702986</c:v>
                </c:pt>
                <c:pt idx="26">
                  <c:v>0.31261321388660818</c:v>
                </c:pt>
                <c:pt idx="27">
                  <c:v>0.31305980312485376</c:v>
                </c:pt>
                <c:pt idx="28">
                  <c:v>0.31332365431420617</c:v>
                </c:pt>
                <c:pt idx="29">
                  <c:v>0.31345021206971535</c:v>
                </c:pt>
                <c:pt idx="30">
                  <c:v>0.3138397238113646</c:v>
                </c:pt>
                <c:pt idx="31">
                  <c:v>0.31413098367834574</c:v>
                </c:pt>
                <c:pt idx="32">
                  <c:v>0.31405690775932055</c:v>
                </c:pt>
                <c:pt idx="33">
                  <c:v>0.31405991477300177</c:v>
                </c:pt>
                <c:pt idx="34">
                  <c:v>0.31390409109782641</c:v>
                </c:pt>
                <c:pt idx="35">
                  <c:v>0.31376424962529081</c:v>
                </c:pt>
                <c:pt idx="36">
                  <c:v>0.31290363818774014</c:v>
                </c:pt>
                <c:pt idx="37">
                  <c:v>0.31182264851125518</c:v>
                </c:pt>
                <c:pt idx="38">
                  <c:v>0.31148947435341767</c:v>
                </c:pt>
                <c:pt idx="39">
                  <c:v>0.31127371519205477</c:v>
                </c:pt>
                <c:pt idx="40">
                  <c:v>0.31113693309040674</c:v>
                </c:pt>
                <c:pt idx="41">
                  <c:v>0.31092075446007922</c:v>
                </c:pt>
                <c:pt idx="42">
                  <c:v>0.31089508621941953</c:v>
                </c:pt>
                <c:pt idx="43">
                  <c:v>0.3109876614070568</c:v>
                </c:pt>
                <c:pt idx="44">
                  <c:v>0.31121338122344389</c:v>
                </c:pt>
                <c:pt idx="45">
                  <c:v>0.311242470826191</c:v>
                </c:pt>
                <c:pt idx="46">
                  <c:v>0.31143383952653597</c:v>
                </c:pt>
                <c:pt idx="47">
                  <c:v>0.31156055597016419</c:v>
                </c:pt>
                <c:pt idx="48">
                  <c:v>0.31166479403171732</c:v>
                </c:pt>
                <c:pt idx="49">
                  <c:v>0.31172134575267718</c:v>
                </c:pt>
                <c:pt idx="50">
                  <c:v>0.31184024250550024</c:v>
                </c:pt>
                <c:pt idx="51">
                  <c:v>0.31191657193292482</c:v>
                </c:pt>
                <c:pt idx="52">
                  <c:v>0.31192305605183063</c:v>
                </c:pt>
                <c:pt idx="53">
                  <c:v>0.3119201019149469</c:v>
                </c:pt>
                <c:pt idx="54">
                  <c:v>0.31192152293526959</c:v>
                </c:pt>
                <c:pt idx="55">
                  <c:v>0.31197233447788864</c:v>
                </c:pt>
                <c:pt idx="56">
                  <c:v>0.31194434609120147</c:v>
                </c:pt>
                <c:pt idx="57">
                  <c:v>0.31193293930474902</c:v>
                </c:pt>
                <c:pt idx="58">
                  <c:v>0.31192452940069565</c:v>
                </c:pt>
                <c:pt idx="59">
                  <c:v>0.31200340053086223</c:v>
                </c:pt>
                <c:pt idx="60">
                  <c:v>0.31208199610018855</c:v>
                </c:pt>
                <c:pt idx="61">
                  <c:v>0.31221243110618058</c:v>
                </c:pt>
                <c:pt idx="62">
                  <c:v>0.31241864043197215</c:v>
                </c:pt>
                <c:pt idx="63">
                  <c:v>0.31255193187453367</c:v>
                </c:pt>
                <c:pt idx="64">
                  <c:v>0.31266792933630361</c:v>
                </c:pt>
                <c:pt idx="65">
                  <c:v>0.31272229808419066</c:v>
                </c:pt>
                <c:pt idx="66">
                  <c:v>0.31292293702658236</c:v>
                </c:pt>
                <c:pt idx="67">
                  <c:v>0.31304338579096064</c:v>
                </c:pt>
                <c:pt idx="68">
                  <c:v>0.31304306540202204</c:v>
                </c:pt>
                <c:pt idx="69">
                  <c:v>0.31309636243519262</c:v>
                </c:pt>
                <c:pt idx="70">
                  <c:v>0.31305871696433268</c:v>
                </c:pt>
                <c:pt idx="71">
                  <c:v>0.31306895015847153</c:v>
                </c:pt>
                <c:pt idx="72">
                  <c:v>0.31305883627183595</c:v>
                </c:pt>
                <c:pt idx="73">
                  <c:v>0.31303425856248779</c:v>
                </c:pt>
                <c:pt idx="74">
                  <c:v>0.31304165677321605</c:v>
                </c:pt>
                <c:pt idx="75">
                  <c:v>0.31296929693809949</c:v>
                </c:pt>
                <c:pt idx="76">
                  <c:v>0.31291723345710637</c:v>
                </c:pt>
                <c:pt idx="77">
                  <c:v>0.31292084933509612</c:v>
                </c:pt>
                <c:pt idx="78">
                  <c:v>0.31291249421166789</c:v>
                </c:pt>
                <c:pt idx="79">
                  <c:v>0.31293894324202348</c:v>
                </c:pt>
                <c:pt idx="80">
                  <c:v>0.31292986882021406</c:v>
                </c:pt>
                <c:pt idx="81">
                  <c:v>0.31288917380532894</c:v>
                </c:pt>
                <c:pt idx="82">
                  <c:v>0.31284580183270605</c:v>
                </c:pt>
                <c:pt idx="83">
                  <c:v>0.31296436501765101</c:v>
                </c:pt>
                <c:pt idx="84">
                  <c:v>0.31382448140461455</c:v>
                </c:pt>
                <c:pt idx="85">
                  <c:v>0.31468309587546928</c:v>
                </c:pt>
                <c:pt idx="86">
                  <c:v>0.31526353892039505</c:v>
                </c:pt>
                <c:pt idx="87">
                  <c:v>0.31578167506516874</c:v>
                </c:pt>
                <c:pt idx="88">
                  <c:v>0.31683547031228954</c:v>
                </c:pt>
                <c:pt idx="89">
                  <c:v>0.31867218487932253</c:v>
                </c:pt>
                <c:pt idx="90">
                  <c:v>0.32100951158332119</c:v>
                </c:pt>
                <c:pt idx="91">
                  <c:v>0.32315206763805721</c:v>
                </c:pt>
                <c:pt idx="92">
                  <c:v>0.32535573763385323</c:v>
                </c:pt>
                <c:pt idx="93">
                  <c:v>0.32714275567492124</c:v>
                </c:pt>
                <c:pt idx="94">
                  <c:v>0.32848489852111118</c:v>
                </c:pt>
                <c:pt idx="95">
                  <c:v>0.33018086361355897</c:v>
                </c:pt>
                <c:pt idx="96">
                  <c:v>0.33164594961087723</c:v>
                </c:pt>
                <c:pt idx="97">
                  <c:v>0.33313250132127781</c:v>
                </c:pt>
                <c:pt idx="98">
                  <c:v>0.33423363958799418</c:v>
                </c:pt>
                <c:pt idx="99">
                  <c:v>0.33539197019443923</c:v>
                </c:pt>
                <c:pt idx="100">
                  <c:v>0.3364581450269144</c:v>
                </c:pt>
                <c:pt idx="101">
                  <c:v>0.33753860666437319</c:v>
                </c:pt>
                <c:pt idx="102">
                  <c:v>0.33844767566879796</c:v>
                </c:pt>
                <c:pt idx="103">
                  <c:v>0.33915845726101401</c:v>
                </c:pt>
                <c:pt idx="104">
                  <c:v>0.33981554388457119</c:v>
                </c:pt>
                <c:pt idx="105">
                  <c:v>0.34032740236308962</c:v>
                </c:pt>
                <c:pt idx="106">
                  <c:v>0.34089811281890764</c:v>
                </c:pt>
                <c:pt idx="107">
                  <c:v>0.34171117110457483</c:v>
                </c:pt>
                <c:pt idx="108">
                  <c:v>0.34251982245309159</c:v>
                </c:pt>
                <c:pt idx="109">
                  <c:v>0.34316665279305097</c:v>
                </c:pt>
                <c:pt idx="110">
                  <c:v>0.34388893703419998</c:v>
                </c:pt>
                <c:pt idx="111">
                  <c:v>0.34453811983725779</c:v>
                </c:pt>
                <c:pt idx="112">
                  <c:v>0.34514004723610536</c:v>
                </c:pt>
                <c:pt idx="113">
                  <c:v>0.34551545467275957</c:v>
                </c:pt>
                <c:pt idx="114">
                  <c:v>0.34560593174755116</c:v>
                </c:pt>
                <c:pt idx="115">
                  <c:v>0.34567891127474137</c:v>
                </c:pt>
                <c:pt idx="116">
                  <c:v>0.34576419790196139</c:v>
                </c:pt>
                <c:pt idx="117">
                  <c:v>0.34586700429386719</c:v>
                </c:pt>
                <c:pt idx="118">
                  <c:v>0.34599902987109982</c:v>
                </c:pt>
                <c:pt idx="119">
                  <c:v>0.3461746742557944</c:v>
                </c:pt>
                <c:pt idx="120">
                  <c:v>0.3464857992665904</c:v>
                </c:pt>
                <c:pt idx="121">
                  <c:v>0.346789215525101</c:v>
                </c:pt>
                <c:pt idx="122">
                  <c:v>0.34715865039141219</c:v>
                </c:pt>
                <c:pt idx="123">
                  <c:v>0.34748279236750501</c:v>
                </c:pt>
                <c:pt idx="124">
                  <c:v>0.34786128027344482</c:v>
                </c:pt>
                <c:pt idx="125">
                  <c:v>0.34836468408972682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0.28220080265029318</c:v>
                </c:pt>
                <c:pt idx="1">
                  <c:v>0.28171745257038999</c:v>
                </c:pt>
                <c:pt idx="2">
                  <c:v>0.28127712248893622</c:v>
                </c:pt>
                <c:pt idx="3">
                  <c:v>0.28082775288785861</c:v>
                </c:pt>
                <c:pt idx="4">
                  <c:v>0.28082922031803659</c:v>
                </c:pt>
                <c:pt idx="5">
                  <c:v>0.28100245757708997</c:v>
                </c:pt>
                <c:pt idx="6">
                  <c:v>0.28125625866977899</c:v>
                </c:pt>
                <c:pt idx="7">
                  <c:v>0.28156877369018496</c:v>
                </c:pt>
                <c:pt idx="8">
                  <c:v>0.28161496677042103</c:v>
                </c:pt>
                <c:pt idx="9">
                  <c:v>0.2815498050110401</c:v>
                </c:pt>
                <c:pt idx="10">
                  <c:v>0.28110724668354986</c:v>
                </c:pt>
                <c:pt idx="11">
                  <c:v>0.28097312569188221</c:v>
                </c:pt>
                <c:pt idx="12">
                  <c:v>0.28097831182363581</c:v>
                </c:pt>
                <c:pt idx="13">
                  <c:v>0.28065140872910738</c:v>
                </c:pt>
                <c:pt idx="14">
                  <c:v>0.28067588843194996</c:v>
                </c:pt>
                <c:pt idx="15">
                  <c:v>0.28092628492482979</c:v>
                </c:pt>
                <c:pt idx="16">
                  <c:v>0.28107027650653643</c:v>
                </c:pt>
                <c:pt idx="17">
                  <c:v>0.28138492717722385</c:v>
                </c:pt>
                <c:pt idx="18">
                  <c:v>0.28174928833026325</c:v>
                </c:pt>
                <c:pt idx="19">
                  <c:v>0.2818914055240957</c:v>
                </c:pt>
                <c:pt idx="20">
                  <c:v>0.28212075517154683</c:v>
                </c:pt>
                <c:pt idx="21">
                  <c:v>0.28239782299871352</c:v>
                </c:pt>
                <c:pt idx="22">
                  <c:v>0.28244892693833251</c:v>
                </c:pt>
                <c:pt idx="23">
                  <c:v>0.28238804678004609</c:v>
                </c:pt>
                <c:pt idx="24">
                  <c:v>0.28221580425322573</c:v>
                </c:pt>
                <c:pt idx="25">
                  <c:v>0.28201562846435413</c:v>
                </c:pt>
                <c:pt idx="26">
                  <c:v>0.28191376729858381</c:v>
                </c:pt>
                <c:pt idx="27">
                  <c:v>0.28165461114765628</c:v>
                </c:pt>
                <c:pt idx="28">
                  <c:v>0.28149997755781986</c:v>
                </c:pt>
                <c:pt idx="29">
                  <c:v>0.28145078901805065</c:v>
                </c:pt>
                <c:pt idx="30">
                  <c:v>0.28128735261969939</c:v>
                </c:pt>
                <c:pt idx="31">
                  <c:v>0.28116837071381023</c:v>
                </c:pt>
                <c:pt idx="32">
                  <c:v>0.28118848576977346</c:v>
                </c:pt>
                <c:pt idx="33">
                  <c:v>0.28118766659816619</c:v>
                </c:pt>
                <c:pt idx="34">
                  <c:v>0.28117084006927756</c:v>
                </c:pt>
                <c:pt idx="35">
                  <c:v>0.2809791612102932</c:v>
                </c:pt>
                <c:pt idx="36">
                  <c:v>0.28117399154612188</c:v>
                </c:pt>
                <c:pt idx="37">
                  <c:v>0.28164848864177283</c:v>
                </c:pt>
                <c:pt idx="38">
                  <c:v>0.28167779840321228</c:v>
                </c:pt>
                <c:pt idx="39">
                  <c:v>0.28158596041047318</c:v>
                </c:pt>
                <c:pt idx="40">
                  <c:v>0.28155735398189125</c:v>
                </c:pt>
                <c:pt idx="41">
                  <c:v>0.28149415172596876</c:v>
                </c:pt>
                <c:pt idx="42">
                  <c:v>0.28147161238101648</c:v>
                </c:pt>
                <c:pt idx="43">
                  <c:v>0.2814760194322472</c:v>
                </c:pt>
                <c:pt idx="44">
                  <c:v>0.28141059105484012</c:v>
                </c:pt>
                <c:pt idx="45">
                  <c:v>0.28140558097433704</c:v>
                </c:pt>
                <c:pt idx="46">
                  <c:v>0.28139486428334998</c:v>
                </c:pt>
                <c:pt idx="47">
                  <c:v>0.28137153037679385</c:v>
                </c:pt>
                <c:pt idx="48">
                  <c:v>0.28139681688793872</c:v>
                </c:pt>
                <c:pt idx="49">
                  <c:v>0.28144932292675684</c:v>
                </c:pt>
                <c:pt idx="50">
                  <c:v>0.28150869006021173</c:v>
                </c:pt>
                <c:pt idx="51">
                  <c:v>0.28155728518414919</c:v>
                </c:pt>
                <c:pt idx="52">
                  <c:v>0.28162933047251743</c:v>
                </c:pt>
                <c:pt idx="53">
                  <c:v>0.28167576676947714</c:v>
                </c:pt>
                <c:pt idx="54">
                  <c:v>0.2817004441096384</c:v>
                </c:pt>
                <c:pt idx="55">
                  <c:v>0.28180171374352336</c:v>
                </c:pt>
                <c:pt idx="56">
                  <c:v>0.28175665507809056</c:v>
                </c:pt>
                <c:pt idx="57">
                  <c:v>0.28170402948814693</c:v>
                </c:pt>
                <c:pt idx="58">
                  <c:v>0.28168441281753037</c:v>
                </c:pt>
                <c:pt idx="59">
                  <c:v>0.28170509714880382</c:v>
                </c:pt>
                <c:pt idx="60">
                  <c:v>0.28177830599286741</c:v>
                </c:pt>
                <c:pt idx="61">
                  <c:v>0.28188741391149941</c:v>
                </c:pt>
                <c:pt idx="62">
                  <c:v>0.28194178578004186</c:v>
                </c:pt>
                <c:pt idx="63">
                  <c:v>0.28203506237882237</c:v>
                </c:pt>
                <c:pt idx="64">
                  <c:v>0.28213452946197037</c:v>
                </c:pt>
                <c:pt idx="65">
                  <c:v>0.28221774811603734</c:v>
                </c:pt>
                <c:pt idx="66">
                  <c:v>0.28228143418575369</c:v>
                </c:pt>
                <c:pt idx="67">
                  <c:v>0.28239924004323941</c:v>
                </c:pt>
                <c:pt idx="68">
                  <c:v>0.28262494348408002</c:v>
                </c:pt>
                <c:pt idx="69">
                  <c:v>0.28286666932020937</c:v>
                </c:pt>
                <c:pt idx="70">
                  <c:v>0.28303961446919929</c:v>
                </c:pt>
                <c:pt idx="71">
                  <c:v>0.28298181581849252</c:v>
                </c:pt>
                <c:pt idx="72">
                  <c:v>0.2830453733565681</c:v>
                </c:pt>
                <c:pt idx="73">
                  <c:v>0.28314385726828817</c:v>
                </c:pt>
                <c:pt idx="74">
                  <c:v>0.28310103199146996</c:v>
                </c:pt>
                <c:pt idx="75">
                  <c:v>0.28324293545177248</c:v>
                </c:pt>
                <c:pt idx="76">
                  <c:v>0.28336972003010769</c:v>
                </c:pt>
                <c:pt idx="77">
                  <c:v>0.28336185271329983</c:v>
                </c:pt>
                <c:pt idx="78">
                  <c:v>0.28337762639696606</c:v>
                </c:pt>
                <c:pt idx="79">
                  <c:v>0.28323314282797657</c:v>
                </c:pt>
                <c:pt idx="80">
                  <c:v>0.28313826589147389</c:v>
                </c:pt>
                <c:pt idx="81">
                  <c:v>0.28301524069629908</c:v>
                </c:pt>
                <c:pt idx="82">
                  <c:v>0.28290039776229792</c:v>
                </c:pt>
                <c:pt idx="83">
                  <c:v>0.28254281090469902</c:v>
                </c:pt>
                <c:pt idx="84">
                  <c:v>0.28228278367591947</c:v>
                </c:pt>
                <c:pt idx="85">
                  <c:v>0.28231183682642869</c:v>
                </c:pt>
                <c:pt idx="86">
                  <c:v>0.28234010117789099</c:v>
                </c:pt>
                <c:pt idx="87">
                  <c:v>0.2824327502481393</c:v>
                </c:pt>
                <c:pt idx="88">
                  <c:v>0.28234546182909248</c:v>
                </c:pt>
                <c:pt idx="89">
                  <c:v>0.28163143923752948</c:v>
                </c:pt>
                <c:pt idx="90">
                  <c:v>0.28052735165940285</c:v>
                </c:pt>
                <c:pt idx="91">
                  <c:v>0.27962163725355677</c:v>
                </c:pt>
                <c:pt idx="92">
                  <c:v>0.27868644819643879</c:v>
                </c:pt>
                <c:pt idx="93">
                  <c:v>0.27803893884867081</c:v>
                </c:pt>
                <c:pt idx="94">
                  <c:v>0.27775786695164684</c:v>
                </c:pt>
                <c:pt idx="95">
                  <c:v>0.27728746838778701</c:v>
                </c:pt>
                <c:pt idx="96">
                  <c:v>0.27694230575778078</c:v>
                </c:pt>
                <c:pt idx="97">
                  <c:v>0.27620649379215423</c:v>
                </c:pt>
                <c:pt idx="98">
                  <c:v>0.27569933561040577</c:v>
                </c:pt>
                <c:pt idx="99">
                  <c:v>0.27515029050224282</c:v>
                </c:pt>
                <c:pt idx="100">
                  <c:v>0.27469357486441159</c:v>
                </c:pt>
                <c:pt idx="101">
                  <c:v>0.27427355993320079</c:v>
                </c:pt>
                <c:pt idx="102">
                  <c:v>0.27389558854288398</c:v>
                </c:pt>
                <c:pt idx="103">
                  <c:v>0.27364590166781799</c:v>
                </c:pt>
                <c:pt idx="104">
                  <c:v>0.27353385421945281</c:v>
                </c:pt>
                <c:pt idx="105">
                  <c:v>0.2734310633177584</c:v>
                </c:pt>
                <c:pt idx="106">
                  <c:v>0.2733240026981904</c:v>
                </c:pt>
                <c:pt idx="107">
                  <c:v>0.2732462981207352</c:v>
                </c:pt>
                <c:pt idx="108">
                  <c:v>0.27315862258384244</c:v>
                </c:pt>
                <c:pt idx="109">
                  <c:v>0.27333320989502302</c:v>
                </c:pt>
                <c:pt idx="110">
                  <c:v>0.27371240222879201</c:v>
                </c:pt>
                <c:pt idx="111">
                  <c:v>0.27412505833342016</c:v>
                </c:pt>
                <c:pt idx="112">
                  <c:v>0.27443014774504459</c:v>
                </c:pt>
                <c:pt idx="113">
                  <c:v>0.27482088737781041</c:v>
                </c:pt>
                <c:pt idx="114">
                  <c:v>0.27536028129650281</c:v>
                </c:pt>
                <c:pt idx="115">
                  <c:v>0.27575886846201059</c:v>
                </c:pt>
                <c:pt idx="116">
                  <c:v>0.27628801515417861</c:v>
                </c:pt>
                <c:pt idx="117">
                  <c:v>0.27673096444089684</c:v>
                </c:pt>
                <c:pt idx="118">
                  <c:v>0.27698658299084017</c:v>
                </c:pt>
                <c:pt idx="119">
                  <c:v>0.27713950664212561</c:v>
                </c:pt>
                <c:pt idx="120">
                  <c:v>0.27739426705766357</c:v>
                </c:pt>
                <c:pt idx="121">
                  <c:v>0.27760613601681294</c:v>
                </c:pt>
                <c:pt idx="122">
                  <c:v>0.27781662335321383</c:v>
                </c:pt>
                <c:pt idx="123">
                  <c:v>0.27811802503286498</c:v>
                </c:pt>
                <c:pt idx="124">
                  <c:v>0.27849828685824524</c:v>
                </c:pt>
                <c:pt idx="125">
                  <c:v>0.27877603442118321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43808</c:v>
                </c:pt>
                <c:pt idx="1">
                  <c:v>43808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43824</c:v>
                </c:pt>
                <c:pt idx="1">
                  <c:v>43824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4836468408972682"/>
          <c:min val="0.273158622583842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sell(5991)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1004</c:v>
                </c:pt>
                <c:pt idx="1">
                  <c:v>1005</c:v>
                </c:pt>
                <c:pt idx="2">
                  <c:v>1004</c:v>
                </c:pt>
                <c:pt idx="3">
                  <c:v>1011</c:v>
                </c:pt>
                <c:pt idx="4">
                  <c:v>1023</c:v>
                </c:pt>
                <c:pt idx="5">
                  <c:v>1030</c:v>
                </c:pt>
                <c:pt idx="6">
                  <c:v>1029</c:v>
                </c:pt>
                <c:pt idx="7">
                  <c:v>1020</c:v>
                </c:pt>
                <c:pt idx="8">
                  <c:v>1015</c:v>
                </c:pt>
                <c:pt idx="9">
                  <c:v>1015</c:v>
                </c:pt>
                <c:pt idx="10">
                  <c:v>1021</c:v>
                </c:pt>
                <c:pt idx="11">
                  <c:v>998</c:v>
                </c:pt>
                <c:pt idx="12">
                  <c:v>994</c:v>
                </c:pt>
                <c:pt idx="13">
                  <c:v>1005</c:v>
                </c:pt>
                <c:pt idx="14">
                  <c:v>1013</c:v>
                </c:pt>
                <c:pt idx="15">
                  <c:v>1004</c:v>
                </c:pt>
                <c:pt idx="16">
                  <c:v>1004</c:v>
                </c:pt>
                <c:pt idx="17">
                  <c:v>988</c:v>
                </c:pt>
                <c:pt idx="18">
                  <c:v>978</c:v>
                </c:pt>
                <c:pt idx="19">
                  <c:v>982</c:v>
                </c:pt>
                <c:pt idx="20">
                  <c:v>967</c:v>
                </c:pt>
                <c:pt idx="21">
                  <c:v>962</c:v>
                </c:pt>
                <c:pt idx="22">
                  <c:v>975</c:v>
                </c:pt>
                <c:pt idx="23">
                  <c:v>965</c:v>
                </c:pt>
                <c:pt idx="24">
                  <c:v>965</c:v>
                </c:pt>
                <c:pt idx="25">
                  <c:v>956</c:v>
                </c:pt>
                <c:pt idx="26">
                  <c:v>957</c:v>
                </c:pt>
                <c:pt idx="27">
                  <c:v>960</c:v>
                </c:pt>
                <c:pt idx="28">
                  <c:v>956</c:v>
                </c:pt>
                <c:pt idx="29">
                  <c:v>957</c:v>
                </c:pt>
                <c:pt idx="30">
                  <c:v>958</c:v>
                </c:pt>
                <c:pt idx="31">
                  <c:v>960</c:v>
                </c:pt>
                <c:pt idx="32">
                  <c:v>978</c:v>
                </c:pt>
                <c:pt idx="33">
                  <c:v>982</c:v>
                </c:pt>
                <c:pt idx="34">
                  <c:v>970</c:v>
                </c:pt>
                <c:pt idx="35">
                  <c:v>971</c:v>
                </c:pt>
                <c:pt idx="36">
                  <c:v>959</c:v>
                </c:pt>
                <c:pt idx="37">
                  <c:v>930</c:v>
                </c:pt>
                <c:pt idx="38">
                  <c:v>918</c:v>
                </c:pt>
                <c:pt idx="39">
                  <c:v>892</c:v>
                </c:pt>
                <c:pt idx="40">
                  <c:v>893</c:v>
                </c:pt>
                <c:pt idx="41">
                  <c:v>888</c:v>
                </c:pt>
                <c:pt idx="42">
                  <c:v>895</c:v>
                </c:pt>
                <c:pt idx="43">
                  <c:v>885</c:v>
                </c:pt>
                <c:pt idx="44">
                  <c:v>881</c:v>
                </c:pt>
                <c:pt idx="45">
                  <c:v>871</c:v>
                </c:pt>
                <c:pt idx="46">
                  <c:v>863</c:v>
                </c:pt>
                <c:pt idx="47">
                  <c:v>858</c:v>
                </c:pt>
                <c:pt idx="48">
                  <c:v>857</c:v>
                </c:pt>
                <c:pt idx="49">
                  <c:v>857</c:v>
                </c:pt>
                <c:pt idx="50">
                  <c:v>862</c:v>
                </c:pt>
                <c:pt idx="51">
                  <c:v>847</c:v>
                </c:pt>
                <c:pt idx="52">
                  <c:v>825</c:v>
                </c:pt>
                <c:pt idx="53">
                  <c:v>810</c:v>
                </c:pt>
                <c:pt idx="54">
                  <c:v>803</c:v>
                </c:pt>
                <c:pt idx="55">
                  <c:v>810</c:v>
                </c:pt>
                <c:pt idx="56">
                  <c:v>807</c:v>
                </c:pt>
                <c:pt idx="57">
                  <c:v>815</c:v>
                </c:pt>
                <c:pt idx="58">
                  <c:v>815</c:v>
                </c:pt>
                <c:pt idx="59">
                  <c:v>829</c:v>
                </c:pt>
                <c:pt idx="60">
                  <c:v>840</c:v>
                </c:pt>
                <c:pt idx="61">
                  <c:v>824</c:v>
                </c:pt>
                <c:pt idx="62">
                  <c:v>834</c:v>
                </c:pt>
                <c:pt idx="63">
                  <c:v>851</c:v>
                </c:pt>
                <c:pt idx="64">
                  <c:v>841</c:v>
                </c:pt>
                <c:pt idx="65">
                  <c:v>842</c:v>
                </c:pt>
                <c:pt idx="66">
                  <c:v>852</c:v>
                </c:pt>
                <c:pt idx="67">
                  <c:v>836</c:v>
                </c:pt>
                <c:pt idx="68">
                  <c:v>840</c:v>
                </c:pt>
                <c:pt idx="69">
                  <c:v>848</c:v>
                </c:pt>
                <c:pt idx="70">
                  <c:v>861</c:v>
                </c:pt>
                <c:pt idx="71">
                  <c:v>855</c:v>
                </c:pt>
                <c:pt idx="72">
                  <c:v>841</c:v>
                </c:pt>
                <c:pt idx="73">
                  <c:v>819</c:v>
                </c:pt>
                <c:pt idx="74">
                  <c:v>778</c:v>
                </c:pt>
                <c:pt idx="75">
                  <c:v>787</c:v>
                </c:pt>
                <c:pt idx="76">
                  <c:v>765</c:v>
                </c:pt>
                <c:pt idx="77">
                  <c:v>737</c:v>
                </c:pt>
                <c:pt idx="78">
                  <c:v>756</c:v>
                </c:pt>
                <c:pt idx="79">
                  <c:v>752</c:v>
                </c:pt>
                <c:pt idx="80">
                  <c:v>755</c:v>
                </c:pt>
                <c:pt idx="81">
                  <c:v>739</c:v>
                </c:pt>
                <c:pt idx="82">
                  <c:v>734</c:v>
                </c:pt>
                <c:pt idx="83">
                  <c:v>730</c:v>
                </c:pt>
                <c:pt idx="84">
                  <c:v>700</c:v>
                </c:pt>
                <c:pt idx="85">
                  <c:v>724</c:v>
                </c:pt>
                <c:pt idx="86">
                  <c:v>719</c:v>
                </c:pt>
                <c:pt idx="87">
                  <c:v>710</c:v>
                </c:pt>
                <c:pt idx="88">
                  <c:v>721</c:v>
                </c:pt>
                <c:pt idx="89">
                  <c:v>719</c:v>
                </c:pt>
                <c:pt idx="90">
                  <c:v>715</c:v>
                </c:pt>
                <c:pt idx="91">
                  <c:v>718</c:v>
                </c:pt>
                <c:pt idx="92">
                  <c:v>733</c:v>
                </c:pt>
                <c:pt idx="93">
                  <c:v>726</c:v>
                </c:pt>
                <c:pt idx="94">
                  <c:v>742</c:v>
                </c:pt>
                <c:pt idx="95">
                  <c:v>745</c:v>
                </c:pt>
                <c:pt idx="96">
                  <c:v>789</c:v>
                </c:pt>
                <c:pt idx="97">
                  <c:v>802</c:v>
                </c:pt>
                <c:pt idx="98">
                  <c:v>807</c:v>
                </c:pt>
                <c:pt idx="99">
                  <c:v>818</c:v>
                </c:pt>
                <c:pt idx="100">
                  <c:v>847</c:v>
                </c:pt>
                <c:pt idx="101">
                  <c:v>855</c:v>
                </c:pt>
                <c:pt idx="102">
                  <c:v>872</c:v>
                </c:pt>
                <c:pt idx="103">
                  <c:v>851</c:v>
                </c:pt>
                <c:pt idx="104">
                  <c:v>868</c:v>
                </c:pt>
                <c:pt idx="105">
                  <c:v>883</c:v>
                </c:pt>
                <c:pt idx="106">
                  <c:v>866</c:v>
                </c:pt>
                <c:pt idx="107">
                  <c:v>858</c:v>
                </c:pt>
                <c:pt idx="108">
                  <c:v>834</c:v>
                </c:pt>
                <c:pt idx="109">
                  <c:v>816</c:v>
                </c:pt>
                <c:pt idx="110">
                  <c:v>801</c:v>
                </c:pt>
                <c:pt idx="111">
                  <c:v>829</c:v>
                </c:pt>
                <c:pt idx="112">
                  <c:v>838</c:v>
                </c:pt>
                <c:pt idx="113">
                  <c:v>832</c:v>
                </c:pt>
                <c:pt idx="114">
                  <c:v>841</c:v>
                </c:pt>
                <c:pt idx="115">
                  <c:v>838</c:v>
                </c:pt>
                <c:pt idx="116">
                  <c:v>843</c:v>
                </c:pt>
                <c:pt idx="117">
                  <c:v>855</c:v>
                </c:pt>
                <c:pt idx="118">
                  <c:v>868</c:v>
                </c:pt>
                <c:pt idx="119">
                  <c:v>848</c:v>
                </c:pt>
                <c:pt idx="120">
                  <c:v>848</c:v>
                </c:pt>
                <c:pt idx="121">
                  <c:v>862</c:v>
                </c:pt>
                <c:pt idx="122">
                  <c:v>857</c:v>
                </c:pt>
                <c:pt idx="123">
                  <c:v>832</c:v>
                </c:pt>
                <c:pt idx="124">
                  <c:v>840</c:v>
                </c:pt>
                <c:pt idx="125">
                  <c:v>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buy(7267)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940.15562065177585</c:v>
                </c:pt>
                <c:pt idx="1">
                  <c:v>942.25485170267302</c:v>
                </c:pt>
                <c:pt idx="2">
                  <c:v>933.25814719882828</c:v>
                </c:pt>
                <c:pt idx="3">
                  <c:v>938.05638960087879</c:v>
                </c:pt>
                <c:pt idx="4">
                  <c:v>943.15452215305743</c:v>
                </c:pt>
                <c:pt idx="5">
                  <c:v>950.65177590626138</c:v>
                </c:pt>
                <c:pt idx="6">
                  <c:v>948.55254485536432</c:v>
                </c:pt>
                <c:pt idx="7">
                  <c:v>953.65067740754296</c:v>
                </c:pt>
                <c:pt idx="8">
                  <c:v>959.04870010984985</c:v>
                </c:pt>
                <c:pt idx="9">
                  <c:v>961.44782131087516</c:v>
                </c:pt>
                <c:pt idx="10">
                  <c:v>965.94617356279753</c:v>
                </c:pt>
                <c:pt idx="11">
                  <c:v>933.55803734895642</c:v>
                </c:pt>
                <c:pt idx="12">
                  <c:v>944.35408275357008</c:v>
                </c:pt>
                <c:pt idx="13">
                  <c:v>940.15562065177585</c:v>
                </c:pt>
                <c:pt idx="14">
                  <c:v>941.95496155254477</c:v>
                </c:pt>
                <c:pt idx="15">
                  <c:v>942.85463200292929</c:v>
                </c:pt>
                <c:pt idx="16">
                  <c:v>938.35627975100692</c:v>
                </c:pt>
                <c:pt idx="17">
                  <c:v>926.96045404613687</c:v>
                </c:pt>
                <c:pt idx="18">
                  <c:v>931.15891614793111</c:v>
                </c:pt>
                <c:pt idx="19">
                  <c:v>930.85902599780297</c:v>
                </c:pt>
                <c:pt idx="20">
                  <c:v>919.76309044306106</c:v>
                </c:pt>
                <c:pt idx="21">
                  <c:v>923.66166239472716</c:v>
                </c:pt>
                <c:pt idx="22">
                  <c:v>937.75649945075065</c:v>
                </c:pt>
                <c:pt idx="23">
                  <c:v>932.35847674844376</c:v>
                </c:pt>
                <c:pt idx="24">
                  <c:v>943.45441230318556</c:v>
                </c:pt>
                <c:pt idx="25">
                  <c:v>932.05858659831563</c:v>
                </c:pt>
                <c:pt idx="26">
                  <c:v>930.55913584767484</c:v>
                </c:pt>
                <c:pt idx="27">
                  <c:v>927.26034419626512</c:v>
                </c:pt>
                <c:pt idx="28">
                  <c:v>939.85573050164771</c:v>
                </c:pt>
                <c:pt idx="29">
                  <c:v>946.75320395459539</c:v>
                </c:pt>
                <c:pt idx="30">
                  <c:v>944.65397290369822</c:v>
                </c:pt>
                <c:pt idx="31">
                  <c:v>941.3551812522885</c:v>
                </c:pt>
                <c:pt idx="32">
                  <c:v>962.34749176125956</c:v>
                </c:pt>
                <c:pt idx="33">
                  <c:v>968.34529476382272</c:v>
                </c:pt>
                <c:pt idx="34">
                  <c:v>959.94837056023437</c:v>
                </c:pt>
                <c:pt idx="35">
                  <c:v>921.26254119370196</c:v>
                </c:pt>
                <c:pt idx="36">
                  <c:v>903.86891248626875</c:v>
                </c:pt>
                <c:pt idx="37">
                  <c:v>908.9670450384474</c:v>
                </c:pt>
                <c:pt idx="38">
                  <c:v>906.26803368729395</c:v>
                </c:pt>
                <c:pt idx="39">
                  <c:v>886.02544855364329</c:v>
                </c:pt>
                <c:pt idx="40">
                  <c:v>882.27682167704131</c:v>
                </c:pt>
                <c:pt idx="41">
                  <c:v>895.62193335774441</c:v>
                </c:pt>
                <c:pt idx="42">
                  <c:v>901.46979128524345</c:v>
                </c:pt>
                <c:pt idx="43">
                  <c:v>884.67594287806662</c:v>
                </c:pt>
                <c:pt idx="44">
                  <c:v>877.32863419992668</c:v>
                </c:pt>
                <c:pt idx="45">
                  <c:v>878.9780300256316</c:v>
                </c:pt>
                <c:pt idx="46">
                  <c:v>862.78396191871104</c:v>
                </c:pt>
                <c:pt idx="47">
                  <c:v>868.18198462101793</c:v>
                </c:pt>
                <c:pt idx="48">
                  <c:v>872.23050164774804</c:v>
                </c:pt>
                <c:pt idx="49">
                  <c:v>872.53039179787618</c:v>
                </c:pt>
                <c:pt idx="50">
                  <c:v>875.67923837422188</c:v>
                </c:pt>
                <c:pt idx="51">
                  <c:v>869.5314902965946</c:v>
                </c:pt>
                <c:pt idx="52">
                  <c:v>848.2392896374954</c:v>
                </c:pt>
                <c:pt idx="53">
                  <c:v>829.19626510435739</c:v>
                </c:pt>
                <c:pt idx="54">
                  <c:v>822.59868180153785</c:v>
                </c:pt>
                <c:pt idx="55">
                  <c:v>816.90076894910283</c:v>
                </c:pt>
                <c:pt idx="56">
                  <c:v>818.70010984987186</c:v>
                </c:pt>
                <c:pt idx="57">
                  <c:v>826.19736360307581</c:v>
                </c:pt>
                <c:pt idx="58">
                  <c:v>822.44873672647384</c:v>
                </c:pt>
                <c:pt idx="59">
                  <c:v>845.0904430611497</c:v>
                </c:pt>
                <c:pt idx="60">
                  <c:v>860.23489564262172</c:v>
                </c:pt>
                <c:pt idx="61">
                  <c:v>839.24258513365066</c:v>
                </c:pt>
                <c:pt idx="62">
                  <c:v>851.68802636396924</c:v>
                </c:pt>
                <c:pt idx="63">
                  <c:v>869.23160014646646</c:v>
                </c:pt>
                <c:pt idx="64">
                  <c:v>857.6858293665324</c:v>
                </c:pt>
                <c:pt idx="65">
                  <c:v>857.23599414134014</c:v>
                </c:pt>
                <c:pt idx="66">
                  <c:v>871.33083119736352</c:v>
                </c:pt>
                <c:pt idx="67">
                  <c:v>865.33302819480036</c:v>
                </c:pt>
                <c:pt idx="68">
                  <c:v>868.7817649212742</c:v>
                </c:pt>
                <c:pt idx="69">
                  <c:v>878.07835957524708</c:v>
                </c:pt>
                <c:pt idx="70">
                  <c:v>879.57781032588787</c:v>
                </c:pt>
                <c:pt idx="71">
                  <c:v>878.52819480043934</c:v>
                </c:pt>
                <c:pt idx="72">
                  <c:v>868.33192969608194</c:v>
                </c:pt>
                <c:pt idx="73">
                  <c:v>836.99340900768948</c:v>
                </c:pt>
                <c:pt idx="74">
                  <c:v>817.80043939948735</c:v>
                </c:pt>
                <c:pt idx="75">
                  <c:v>819.89967045038441</c:v>
                </c:pt>
                <c:pt idx="76">
                  <c:v>795.90845844013177</c:v>
                </c:pt>
                <c:pt idx="77">
                  <c:v>772.81691688026365</c:v>
                </c:pt>
                <c:pt idx="78">
                  <c:v>768.61845477846941</c:v>
                </c:pt>
                <c:pt idx="79">
                  <c:v>759.47180519956055</c:v>
                </c:pt>
                <c:pt idx="80">
                  <c:v>756.7727938484071</c:v>
                </c:pt>
                <c:pt idx="81">
                  <c:v>740.72867081655068</c:v>
                </c:pt>
                <c:pt idx="82">
                  <c:v>746.72647381911383</c:v>
                </c:pt>
                <c:pt idx="83">
                  <c:v>744.92713291834491</c:v>
                </c:pt>
                <c:pt idx="84">
                  <c:v>735.63053826437203</c:v>
                </c:pt>
                <c:pt idx="85">
                  <c:v>746.27663859392158</c:v>
                </c:pt>
                <c:pt idx="86">
                  <c:v>742.5280117173196</c:v>
                </c:pt>
                <c:pt idx="87">
                  <c:v>743.87751739289638</c:v>
                </c:pt>
                <c:pt idx="88">
                  <c:v>748.22592456975462</c:v>
                </c:pt>
                <c:pt idx="89">
                  <c:v>741.32845111680706</c:v>
                </c:pt>
                <c:pt idx="90">
                  <c:v>737.27993409007684</c:v>
                </c:pt>
                <c:pt idx="91">
                  <c:v>737.7297693152691</c:v>
                </c:pt>
                <c:pt idx="92">
                  <c:v>748.37586964481875</c:v>
                </c:pt>
                <c:pt idx="93">
                  <c:v>744.32735261808864</c:v>
                </c:pt>
                <c:pt idx="94">
                  <c:v>762.32076162577812</c:v>
                </c:pt>
                <c:pt idx="95">
                  <c:v>760.22153057488094</c:v>
                </c:pt>
                <c:pt idx="96">
                  <c:v>760.6713658000732</c:v>
                </c:pt>
                <c:pt idx="97">
                  <c:v>767.86872940314902</c:v>
                </c:pt>
                <c:pt idx="98">
                  <c:v>769.51812522885382</c:v>
                </c:pt>
                <c:pt idx="99">
                  <c:v>783.61296228487731</c:v>
                </c:pt>
                <c:pt idx="100">
                  <c:v>816.45093372391068</c:v>
                </c:pt>
                <c:pt idx="101">
                  <c:v>812.85225192237272</c:v>
                </c:pt>
                <c:pt idx="102">
                  <c:v>831.29549615525445</c:v>
                </c:pt>
                <c:pt idx="103">
                  <c:v>828.74642987916513</c:v>
                </c:pt>
                <c:pt idx="104">
                  <c:v>835.34401318198456</c:v>
                </c:pt>
                <c:pt idx="105">
                  <c:v>852.58769681435365</c:v>
                </c:pt>
                <c:pt idx="106">
                  <c:v>854.83687294031483</c:v>
                </c:pt>
                <c:pt idx="107">
                  <c:v>844.04082753570117</c:v>
                </c:pt>
                <c:pt idx="108">
                  <c:v>840.29220065909919</c:v>
                </c:pt>
                <c:pt idx="109">
                  <c:v>842.09154155986812</c:v>
                </c:pt>
                <c:pt idx="110">
                  <c:v>825.14774807762717</c:v>
                </c:pt>
                <c:pt idx="111">
                  <c:v>841.49176125961185</c:v>
                </c:pt>
                <c:pt idx="112">
                  <c:v>850.63841083852071</c:v>
                </c:pt>
                <c:pt idx="113">
                  <c:v>853.7872574148663</c:v>
                </c:pt>
                <c:pt idx="114">
                  <c:v>852.8875869644819</c:v>
                </c:pt>
                <c:pt idx="115">
                  <c:v>857.53588429146828</c:v>
                </c:pt>
                <c:pt idx="116">
                  <c:v>855.43665324057122</c:v>
                </c:pt>
                <c:pt idx="117">
                  <c:v>850.78835591358472</c:v>
                </c:pt>
                <c:pt idx="118">
                  <c:v>850.63841083852071</c:v>
                </c:pt>
                <c:pt idx="119">
                  <c:v>841.94159648480411</c:v>
                </c:pt>
                <c:pt idx="120">
                  <c:v>836.69351885756134</c:v>
                </c:pt>
                <c:pt idx="121">
                  <c:v>850.78835591358472</c:v>
                </c:pt>
                <c:pt idx="122">
                  <c:v>853.18747711461003</c:v>
                </c:pt>
                <c:pt idx="123">
                  <c:v>835.19406810692055</c:v>
                </c:pt>
                <c:pt idx="124">
                  <c:v>836.24368363236908</c:v>
                </c:pt>
                <c:pt idx="125">
                  <c:v>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43808</c:v>
                </c:pt>
                <c:pt idx="1">
                  <c:v>43808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43824</c:v>
                </c:pt>
                <c:pt idx="1">
                  <c:v>43824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30"/>
          <c:min val="7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7330</c:v>
                </c:pt>
                <c:pt idx="1">
                  <c:v>6430</c:v>
                </c:pt>
                <c:pt idx="2">
                  <c:v>7330</c:v>
                </c:pt>
                <c:pt idx="3">
                  <c:v>1030</c:v>
                </c:pt>
                <c:pt idx="4">
                  <c:v>-9770</c:v>
                </c:pt>
                <c:pt idx="5">
                  <c:v>-16070</c:v>
                </c:pt>
                <c:pt idx="6">
                  <c:v>-15170</c:v>
                </c:pt>
                <c:pt idx="7">
                  <c:v>-7070</c:v>
                </c:pt>
                <c:pt idx="8">
                  <c:v>-2570</c:v>
                </c:pt>
                <c:pt idx="9">
                  <c:v>-2570</c:v>
                </c:pt>
                <c:pt idx="10">
                  <c:v>-7970</c:v>
                </c:pt>
                <c:pt idx="11">
                  <c:v>12730</c:v>
                </c:pt>
                <c:pt idx="12">
                  <c:v>16330</c:v>
                </c:pt>
                <c:pt idx="13">
                  <c:v>6430</c:v>
                </c:pt>
                <c:pt idx="14">
                  <c:v>-770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-11270</c:v>
                </c:pt>
                <c:pt idx="1">
                  <c:v>-9170</c:v>
                </c:pt>
                <c:pt idx="2">
                  <c:v>-18170</c:v>
                </c:pt>
                <c:pt idx="3">
                  <c:v>-13370</c:v>
                </c:pt>
                <c:pt idx="4">
                  <c:v>-8270</c:v>
                </c:pt>
                <c:pt idx="5">
                  <c:v>-770</c:v>
                </c:pt>
                <c:pt idx="6">
                  <c:v>-2870</c:v>
                </c:pt>
                <c:pt idx="7">
                  <c:v>2230</c:v>
                </c:pt>
                <c:pt idx="8">
                  <c:v>7630</c:v>
                </c:pt>
                <c:pt idx="9">
                  <c:v>10030</c:v>
                </c:pt>
                <c:pt idx="10">
                  <c:v>14530</c:v>
                </c:pt>
                <c:pt idx="11">
                  <c:v>-17870</c:v>
                </c:pt>
                <c:pt idx="12">
                  <c:v>-7070</c:v>
                </c:pt>
                <c:pt idx="13">
                  <c:v>-11270</c:v>
                </c:pt>
                <c:pt idx="14">
                  <c:v>-9470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-3940</c:v>
                </c:pt>
                <c:pt idx="1">
                  <c:v>-2740</c:v>
                </c:pt>
                <c:pt idx="2">
                  <c:v>-10840</c:v>
                </c:pt>
                <c:pt idx="3">
                  <c:v>-12340</c:v>
                </c:pt>
                <c:pt idx="4">
                  <c:v>-18040</c:v>
                </c:pt>
                <c:pt idx="5">
                  <c:v>-16840</c:v>
                </c:pt>
                <c:pt idx="6">
                  <c:v>-18040</c:v>
                </c:pt>
                <c:pt idx="7">
                  <c:v>-4840</c:v>
                </c:pt>
                <c:pt idx="8">
                  <c:v>5060</c:v>
                </c:pt>
                <c:pt idx="9">
                  <c:v>7460</c:v>
                </c:pt>
                <c:pt idx="10">
                  <c:v>6560</c:v>
                </c:pt>
                <c:pt idx="11">
                  <c:v>-5140</c:v>
                </c:pt>
                <c:pt idx="12">
                  <c:v>9260</c:v>
                </c:pt>
                <c:pt idx="13">
                  <c:v>-4840</c:v>
                </c:pt>
                <c:pt idx="14">
                  <c:v>-10240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43808</c:v>
                </c:pt>
                <c:pt idx="1">
                  <c:v>43808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43824</c:v>
                </c:pt>
                <c:pt idx="1">
                  <c:v>43824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0.95594900808901595</c:v>
                </c:pt>
                <c:pt idx="1">
                  <c:v>0.95704002278063305</c:v>
                </c:pt>
                <c:pt idx="2">
                  <c:v>0.958349581209753</c:v>
                </c:pt>
                <c:pt idx="3">
                  <c:v>0.96008009247446702</c:v>
                </c:pt>
                <c:pt idx="4">
                  <c:v>0.96206499005922197</c:v>
                </c:pt>
                <c:pt idx="5">
                  <c:v>0.96272419763790695</c:v>
                </c:pt>
                <c:pt idx="6">
                  <c:v>0.96375668356390598</c:v>
                </c:pt>
                <c:pt idx="7">
                  <c:v>0.96298062486708702</c:v>
                </c:pt>
                <c:pt idx="8">
                  <c:v>0.96124207630574798</c:v>
                </c:pt>
                <c:pt idx="9">
                  <c:v>0.95841111429964299</c:v>
                </c:pt>
                <c:pt idx="10">
                  <c:v>0.95644505455936002</c:v>
                </c:pt>
                <c:pt idx="11">
                  <c:v>0.95693063750312002</c:v>
                </c:pt>
                <c:pt idx="12">
                  <c:v>0.955181136346544</c:v>
                </c:pt>
                <c:pt idx="13">
                  <c:v>0.95524660762900304</c:v>
                </c:pt>
                <c:pt idx="14">
                  <c:v>0.957564729552419</c:v>
                </c:pt>
                <c:pt idx="15">
                  <c:v>0.95985915705800195</c:v>
                </c:pt>
                <c:pt idx="16">
                  <c:v>0.96299446913591003</c:v>
                </c:pt>
                <c:pt idx="17">
                  <c:v>0.96744358704493205</c:v>
                </c:pt>
                <c:pt idx="18">
                  <c:v>0.97037999106082096</c:v>
                </c:pt>
                <c:pt idx="19">
                  <c:v>0.97114178791883199</c:v>
                </c:pt>
                <c:pt idx="20">
                  <c:v>0.97070394671841997</c:v>
                </c:pt>
                <c:pt idx="21">
                  <c:v>0.97049049287668299</c:v>
                </c:pt>
                <c:pt idx="22">
                  <c:v>0.97141570872272598</c:v>
                </c:pt>
                <c:pt idx="23">
                  <c:v>0.97255785516700599</c:v>
                </c:pt>
                <c:pt idx="24">
                  <c:v>0.97392725147832804</c:v>
                </c:pt>
                <c:pt idx="25">
                  <c:v>0.97479865507327401</c:v>
                </c:pt>
                <c:pt idx="26">
                  <c:v>0.97583056197107798</c:v>
                </c:pt>
                <c:pt idx="27">
                  <c:v>0.97742783226478602</c:v>
                </c:pt>
                <c:pt idx="28">
                  <c:v>0.97767452018222301</c:v>
                </c:pt>
                <c:pt idx="29">
                  <c:v>0.97760446535156897</c:v>
                </c:pt>
                <c:pt idx="30">
                  <c:v>0.97751688667507197</c:v>
                </c:pt>
                <c:pt idx="31">
                  <c:v>0.977401744217124</c:v>
                </c:pt>
                <c:pt idx="32">
                  <c:v>0.97625680235005197</c:v>
                </c:pt>
                <c:pt idx="33">
                  <c:v>0.97484827500341797</c:v>
                </c:pt>
                <c:pt idx="34">
                  <c:v>0.97265742469499505</c:v>
                </c:pt>
                <c:pt idx="35">
                  <c:v>0.97626768505010697</c:v>
                </c:pt>
                <c:pt idx="36">
                  <c:v>0.98327976540959305</c:v>
                </c:pt>
                <c:pt idx="37">
                  <c:v>0.97895365093730302</c:v>
                </c:pt>
                <c:pt idx="38">
                  <c:v>0.97230970632508595</c:v>
                </c:pt>
                <c:pt idx="39">
                  <c:v>0.95835107783307605</c:v>
                </c:pt>
                <c:pt idx="40">
                  <c:v>0.95320727496584901</c:v>
                </c:pt>
                <c:pt idx="41">
                  <c:v>0.94321647147076204</c:v>
                </c:pt>
                <c:pt idx="42">
                  <c:v>0.93353156464317699</c:v>
                </c:pt>
                <c:pt idx="43">
                  <c:v>0.92860488997051704</c:v>
                </c:pt>
                <c:pt idx="44">
                  <c:v>0.92233448615107905</c:v>
                </c:pt>
                <c:pt idx="45">
                  <c:v>0.91767548194210402</c:v>
                </c:pt>
                <c:pt idx="46">
                  <c:v>0.91672111968709602</c:v>
                </c:pt>
                <c:pt idx="47">
                  <c:v>0.91536039533837599</c:v>
                </c:pt>
                <c:pt idx="48">
                  <c:v>0.91309689282565498</c:v>
                </c:pt>
                <c:pt idx="49">
                  <c:v>0.91076974602446004</c:v>
                </c:pt>
                <c:pt idx="50">
                  <c:v>0.90904798270378795</c:v>
                </c:pt>
                <c:pt idx="51">
                  <c:v>0.909077160603875</c:v>
                </c:pt>
                <c:pt idx="52">
                  <c:v>0.909441125651683</c:v>
                </c:pt>
                <c:pt idx="53">
                  <c:v>0.910650371856074</c:v>
                </c:pt>
                <c:pt idx="54">
                  <c:v>0.91147184517094504</c:v>
                </c:pt>
                <c:pt idx="55">
                  <c:v>0.91242800128263302</c:v>
                </c:pt>
                <c:pt idx="56">
                  <c:v>0.91334668219579396</c:v>
                </c:pt>
                <c:pt idx="57">
                  <c:v>0.91332010340680003</c:v>
                </c:pt>
                <c:pt idx="58">
                  <c:v>0.91362405241660805</c:v>
                </c:pt>
                <c:pt idx="59">
                  <c:v>0.91330802112825005</c:v>
                </c:pt>
                <c:pt idx="60">
                  <c:v>0.91381922452963704</c:v>
                </c:pt>
                <c:pt idx="61">
                  <c:v>0.91488222960101195</c:v>
                </c:pt>
                <c:pt idx="62">
                  <c:v>0.91517659203822399</c:v>
                </c:pt>
                <c:pt idx="63">
                  <c:v>0.91494526602062898</c:v>
                </c:pt>
                <c:pt idx="64">
                  <c:v>0.91466623339956299</c:v>
                </c:pt>
                <c:pt idx="65">
                  <c:v>0.91417668193778101</c:v>
                </c:pt>
                <c:pt idx="66">
                  <c:v>0.91299600919600199</c:v>
                </c:pt>
                <c:pt idx="67">
                  <c:v>0.91477375743623701</c:v>
                </c:pt>
                <c:pt idx="68">
                  <c:v>0.91627423464444702</c:v>
                </c:pt>
                <c:pt idx="69">
                  <c:v>0.91732685151415705</c:v>
                </c:pt>
                <c:pt idx="70">
                  <c:v>0.91670817798285997</c:v>
                </c:pt>
                <c:pt idx="71">
                  <c:v>0.91752859216428995</c:v>
                </c:pt>
                <c:pt idx="72">
                  <c:v>0.92001784047372503</c:v>
                </c:pt>
                <c:pt idx="73">
                  <c:v>0.92135794375181101</c:v>
                </c:pt>
                <c:pt idx="74">
                  <c:v>0.92600537391548199</c:v>
                </c:pt>
                <c:pt idx="75">
                  <c:v>0.92909522069347905</c:v>
                </c:pt>
                <c:pt idx="76">
                  <c:v>0.93076985226045705</c:v>
                </c:pt>
                <c:pt idx="77">
                  <c:v>0.93196874640321103</c:v>
                </c:pt>
                <c:pt idx="78">
                  <c:v>0.93092469282804202</c:v>
                </c:pt>
                <c:pt idx="79">
                  <c:v>0.92967431937662104</c:v>
                </c:pt>
                <c:pt idx="80">
                  <c:v>0.92847259915089997</c:v>
                </c:pt>
                <c:pt idx="81">
                  <c:v>0.92565159363046301</c:v>
                </c:pt>
                <c:pt idx="82">
                  <c:v>0.92082763717490901</c:v>
                </c:pt>
                <c:pt idx="83">
                  <c:v>0.91597537306241195</c:v>
                </c:pt>
                <c:pt idx="84">
                  <c:v>0.90856040770479896</c:v>
                </c:pt>
                <c:pt idx="85">
                  <c:v>0.90081228366987198</c:v>
                </c:pt>
                <c:pt idx="86">
                  <c:v>0.88780484022919104</c:v>
                </c:pt>
                <c:pt idx="87">
                  <c:v>0.87514597670060901</c:v>
                </c:pt>
                <c:pt idx="88">
                  <c:v>0.85863922658561298</c:v>
                </c:pt>
                <c:pt idx="89">
                  <c:v>0.83401811715697605</c:v>
                </c:pt>
                <c:pt idx="90">
                  <c:v>0.80581391929017998</c:v>
                </c:pt>
                <c:pt idx="91">
                  <c:v>0.77051650045994302</c:v>
                </c:pt>
                <c:pt idx="92">
                  <c:v>0.73260899502167698</c:v>
                </c:pt>
                <c:pt idx="93">
                  <c:v>0.67163769191029499</c:v>
                </c:pt>
                <c:pt idx="94">
                  <c:v>0.59486035760155898</c:v>
                </c:pt>
                <c:pt idx="95">
                  <c:v>0.51843985335841003</c:v>
                </c:pt>
                <c:pt idx="96">
                  <c:v>0.57432989070010798</c:v>
                </c:pt>
                <c:pt idx="97">
                  <c:v>0.68149887314595903</c:v>
                </c:pt>
                <c:pt idx="98">
                  <c:v>0.69584204174588904</c:v>
                </c:pt>
                <c:pt idx="99">
                  <c:v>0.71594232023318605</c:v>
                </c:pt>
                <c:pt idx="100">
                  <c:v>0.73130862283090203</c:v>
                </c:pt>
                <c:pt idx="101">
                  <c:v>0.75960045555741895</c:v>
                </c:pt>
                <c:pt idx="102">
                  <c:v>0.77762852238213798</c:v>
                </c:pt>
                <c:pt idx="103">
                  <c:v>0.78630009599503703</c:v>
                </c:pt>
                <c:pt idx="104">
                  <c:v>0.79821718441143696</c:v>
                </c:pt>
                <c:pt idx="105">
                  <c:v>0.86003438430670998</c:v>
                </c:pt>
                <c:pt idx="106">
                  <c:v>0.89211886246056504</c:v>
                </c:pt>
                <c:pt idx="107">
                  <c:v>0.90962704646085701</c:v>
                </c:pt>
                <c:pt idx="108">
                  <c:v>0.92999252553002498</c:v>
                </c:pt>
                <c:pt idx="109">
                  <c:v>0.94249435090913802</c:v>
                </c:pt>
                <c:pt idx="110">
                  <c:v>0.95118112556273304</c:v>
                </c:pt>
                <c:pt idx="111">
                  <c:v>0.95747104887714796</c:v>
                </c:pt>
                <c:pt idx="112">
                  <c:v>0.96203427450379497</c:v>
                </c:pt>
                <c:pt idx="113">
                  <c:v>0.96720186778407202</c:v>
                </c:pt>
                <c:pt idx="114">
                  <c:v>0.96861444500057503</c:v>
                </c:pt>
                <c:pt idx="115">
                  <c:v>0.97022725069261895</c:v>
                </c:pt>
                <c:pt idx="116">
                  <c:v>0.97210061772985701</c:v>
                </c:pt>
                <c:pt idx="117">
                  <c:v>0.97351487465806097</c:v>
                </c:pt>
                <c:pt idx="118">
                  <c:v>0.97463341315437102</c:v>
                </c:pt>
                <c:pt idx="119">
                  <c:v>0.97553442443386496</c:v>
                </c:pt>
                <c:pt idx="120">
                  <c:v>0.97611593851029099</c:v>
                </c:pt>
                <c:pt idx="121">
                  <c:v>0.97649315490957</c:v>
                </c:pt>
                <c:pt idx="122">
                  <c:v>0.97699659292594798</c:v>
                </c:pt>
                <c:pt idx="123">
                  <c:v>0.97632920554248304</c:v>
                </c:pt>
                <c:pt idx="124">
                  <c:v>0.97596179489801804</c:v>
                </c:pt>
                <c:pt idx="125">
                  <c:v>0.97575945053109703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0.92357829824410298</c:v>
                </c:pt>
                <c:pt idx="1">
                  <c:v>0.92251471339855196</c:v>
                </c:pt>
                <c:pt idx="2">
                  <c:v>0.92156899790006697</c:v>
                </c:pt>
                <c:pt idx="3">
                  <c:v>0.92044079010730095</c:v>
                </c:pt>
                <c:pt idx="4">
                  <c:v>0.92007062848182497</c:v>
                </c:pt>
                <c:pt idx="5">
                  <c:v>0.91930595521359404</c:v>
                </c:pt>
                <c:pt idx="6">
                  <c:v>0.91870155217864602</c:v>
                </c:pt>
                <c:pt idx="7">
                  <c:v>0.91835685359493902</c:v>
                </c:pt>
                <c:pt idx="8">
                  <c:v>0.91765132967354801</c:v>
                </c:pt>
                <c:pt idx="9">
                  <c:v>0.91715753022000501</c:v>
                </c:pt>
                <c:pt idx="10">
                  <c:v>0.91650045856552897</c:v>
                </c:pt>
                <c:pt idx="11">
                  <c:v>0.91631527667628498</c:v>
                </c:pt>
                <c:pt idx="12">
                  <c:v>0.91604012380391897</c:v>
                </c:pt>
                <c:pt idx="13">
                  <c:v>0.91549596945084799</c:v>
                </c:pt>
                <c:pt idx="14">
                  <c:v>0.91493367095556599</c:v>
                </c:pt>
                <c:pt idx="15">
                  <c:v>0.91478032840502799</c:v>
                </c:pt>
                <c:pt idx="16">
                  <c:v>0.91435188330634198</c:v>
                </c:pt>
                <c:pt idx="17">
                  <c:v>0.91433056143139602</c:v>
                </c:pt>
                <c:pt idx="18">
                  <c:v>0.91479569864277499</c:v>
                </c:pt>
                <c:pt idx="19">
                  <c:v>0.91490252758887802</c:v>
                </c:pt>
                <c:pt idx="20">
                  <c:v>0.91501032463464205</c:v>
                </c:pt>
                <c:pt idx="21">
                  <c:v>0.915325183916052</c:v>
                </c:pt>
                <c:pt idx="22">
                  <c:v>0.91559631979371903</c:v>
                </c:pt>
                <c:pt idx="23">
                  <c:v>0.91562955599651397</c:v>
                </c:pt>
                <c:pt idx="24">
                  <c:v>0.91588622771501804</c:v>
                </c:pt>
                <c:pt idx="25">
                  <c:v>0.91612185700581406</c:v>
                </c:pt>
                <c:pt idx="26">
                  <c:v>0.91637490428675705</c:v>
                </c:pt>
                <c:pt idx="27">
                  <c:v>0.91656689758418497</c:v>
                </c:pt>
                <c:pt idx="28">
                  <c:v>0.91699445288022097</c:v>
                </c:pt>
                <c:pt idx="29">
                  <c:v>0.91743247544532103</c:v>
                </c:pt>
                <c:pt idx="30">
                  <c:v>0.91727168981391705</c:v>
                </c:pt>
                <c:pt idx="31">
                  <c:v>0.91692878248627796</c:v>
                </c:pt>
                <c:pt idx="32">
                  <c:v>0.916818794721317</c:v>
                </c:pt>
                <c:pt idx="33">
                  <c:v>0.91662958867253697</c:v>
                </c:pt>
                <c:pt idx="34">
                  <c:v>0.91623508244859397</c:v>
                </c:pt>
                <c:pt idx="35">
                  <c:v>0.91520706147714403</c:v>
                </c:pt>
                <c:pt idx="36">
                  <c:v>0.91389300246126004</c:v>
                </c:pt>
                <c:pt idx="37">
                  <c:v>0.91424183972212802</c:v>
                </c:pt>
                <c:pt idx="38">
                  <c:v>0.91369951155215801</c:v>
                </c:pt>
                <c:pt idx="39">
                  <c:v>0.91445582923351498</c:v>
                </c:pt>
                <c:pt idx="40">
                  <c:v>0.91381408089168603</c:v>
                </c:pt>
                <c:pt idx="41">
                  <c:v>0.91309858911258901</c:v>
                </c:pt>
                <c:pt idx="42">
                  <c:v>0.91371234726336203</c:v>
                </c:pt>
                <c:pt idx="43">
                  <c:v>0.91385380531323601</c:v>
                </c:pt>
                <c:pt idx="44">
                  <c:v>0.91383125624272099</c:v>
                </c:pt>
                <c:pt idx="45">
                  <c:v>0.91402573964561495</c:v>
                </c:pt>
                <c:pt idx="46">
                  <c:v>0.91246022014998796</c:v>
                </c:pt>
                <c:pt idx="47">
                  <c:v>0.91056295243924201</c:v>
                </c:pt>
                <c:pt idx="48">
                  <c:v>0.90991604219414801</c:v>
                </c:pt>
                <c:pt idx="49">
                  <c:v>0.90950101533817096</c:v>
                </c:pt>
                <c:pt idx="50">
                  <c:v>0.90885965672049296</c:v>
                </c:pt>
                <c:pt idx="51">
                  <c:v>0.90805061655494201</c:v>
                </c:pt>
                <c:pt idx="52">
                  <c:v>0.90465799739882602</c:v>
                </c:pt>
                <c:pt idx="53">
                  <c:v>0.90280930322168995</c:v>
                </c:pt>
                <c:pt idx="54">
                  <c:v>0.90267554821770801</c:v>
                </c:pt>
                <c:pt idx="55">
                  <c:v>0.902559701467327</c:v>
                </c:pt>
                <c:pt idx="56">
                  <c:v>0.90213310738017205</c:v>
                </c:pt>
                <c:pt idx="57">
                  <c:v>0.90306625900454796</c:v>
                </c:pt>
                <c:pt idx="58">
                  <c:v>0.90402201297725904</c:v>
                </c:pt>
                <c:pt idx="59">
                  <c:v>0.90518438794862099</c:v>
                </c:pt>
                <c:pt idx="60">
                  <c:v>0.90758911327661096</c:v>
                </c:pt>
                <c:pt idx="61">
                  <c:v>0.90923471477449402</c:v>
                </c:pt>
                <c:pt idx="62">
                  <c:v>0.91101688420596805</c:v>
                </c:pt>
                <c:pt idx="63">
                  <c:v>0.91280108662285997</c:v>
                </c:pt>
                <c:pt idx="64">
                  <c:v>0.91446405849382695</c:v>
                </c:pt>
                <c:pt idx="65">
                  <c:v>0.91633192048436496</c:v>
                </c:pt>
                <c:pt idx="66">
                  <c:v>0.91798364662640497</c:v>
                </c:pt>
                <c:pt idx="67">
                  <c:v>0.91965928314467005</c:v>
                </c:pt>
                <c:pt idx="68">
                  <c:v>0.92106732773005096</c:v>
                </c:pt>
                <c:pt idx="69">
                  <c:v>0.92163939150479801</c:v>
                </c:pt>
                <c:pt idx="70">
                  <c:v>0.92169185682447496</c:v>
                </c:pt>
                <c:pt idx="71">
                  <c:v>0.921404571896702</c:v>
                </c:pt>
                <c:pt idx="72">
                  <c:v>0.91957446463079795</c:v>
                </c:pt>
                <c:pt idx="73">
                  <c:v>0.91772556634976199</c:v>
                </c:pt>
                <c:pt idx="74">
                  <c:v>0.91580325700329401</c:v>
                </c:pt>
                <c:pt idx="75">
                  <c:v>0.91457132447843004</c:v>
                </c:pt>
                <c:pt idx="76">
                  <c:v>0.91287505301232297</c:v>
                </c:pt>
                <c:pt idx="77">
                  <c:v>0.91074776142659997</c:v>
                </c:pt>
                <c:pt idx="78">
                  <c:v>0.90939056736422097</c:v>
                </c:pt>
                <c:pt idx="79">
                  <c:v>0.90832462513981604</c:v>
                </c:pt>
                <c:pt idx="80">
                  <c:v>0.90761480532652195</c:v>
                </c:pt>
                <c:pt idx="81">
                  <c:v>0.90730293381568705</c:v>
                </c:pt>
                <c:pt idx="82">
                  <c:v>0.90700292844783004</c:v>
                </c:pt>
                <c:pt idx="83">
                  <c:v>0.90647734412613201</c:v>
                </c:pt>
                <c:pt idx="84">
                  <c:v>0.90527533936503901</c:v>
                </c:pt>
                <c:pt idx="85">
                  <c:v>0.90414998722742501</c:v>
                </c:pt>
                <c:pt idx="86">
                  <c:v>0.90296994576068801</c:v>
                </c:pt>
                <c:pt idx="87">
                  <c:v>0.90158226580998302</c:v>
                </c:pt>
                <c:pt idx="88">
                  <c:v>0.90028185932577798</c:v>
                </c:pt>
                <c:pt idx="89">
                  <c:v>0.89888351810998302</c:v>
                </c:pt>
                <c:pt idx="90">
                  <c:v>0.89737486027948599</c:v>
                </c:pt>
                <c:pt idx="91">
                  <c:v>0.895736404785205</c:v>
                </c:pt>
                <c:pt idx="92">
                  <c:v>0.89423622633093702</c:v>
                </c:pt>
                <c:pt idx="93">
                  <c:v>0.89277702185868402</c:v>
                </c:pt>
                <c:pt idx="94">
                  <c:v>0.89220648776080103</c:v>
                </c:pt>
                <c:pt idx="95">
                  <c:v>0.89124881753794705</c:v>
                </c:pt>
                <c:pt idx="96">
                  <c:v>0.89003874369372904</c:v>
                </c:pt>
                <c:pt idx="97">
                  <c:v>0.88902467600085999</c:v>
                </c:pt>
                <c:pt idx="98">
                  <c:v>0.88835166793204301</c:v>
                </c:pt>
                <c:pt idx="99">
                  <c:v>0.88784721589253301</c:v>
                </c:pt>
                <c:pt idx="100">
                  <c:v>0.88746505804185505</c:v>
                </c:pt>
                <c:pt idx="101">
                  <c:v>0.886808216167284</c:v>
                </c:pt>
                <c:pt idx="102">
                  <c:v>0.88675624456334601</c:v>
                </c:pt>
                <c:pt idx="103">
                  <c:v>0.88611973224310903</c:v>
                </c:pt>
                <c:pt idx="104">
                  <c:v>0.88591057889972802</c:v>
                </c:pt>
                <c:pt idx="105">
                  <c:v>0.88584402074269497</c:v>
                </c:pt>
                <c:pt idx="106">
                  <c:v>0.88550739873677897</c:v>
                </c:pt>
                <c:pt idx="107">
                  <c:v>0.88496799296270501</c:v>
                </c:pt>
                <c:pt idx="108">
                  <c:v>0.88424206603886801</c:v>
                </c:pt>
                <c:pt idx="109">
                  <c:v>0.88352093656834496</c:v>
                </c:pt>
                <c:pt idx="110">
                  <c:v>0.88242703053233795</c:v>
                </c:pt>
                <c:pt idx="111">
                  <c:v>0.88157915243956197</c:v>
                </c:pt>
                <c:pt idx="112">
                  <c:v>0.88076372439112605</c:v>
                </c:pt>
                <c:pt idx="113">
                  <c:v>0.87994412767465602</c:v>
                </c:pt>
                <c:pt idx="114">
                  <c:v>0.87898501876048896</c:v>
                </c:pt>
                <c:pt idx="115">
                  <c:v>0.878138318327502</c:v>
                </c:pt>
                <c:pt idx="116">
                  <c:v>0.87730650609844396</c:v>
                </c:pt>
                <c:pt idx="117">
                  <c:v>0.87625462951230404</c:v>
                </c:pt>
                <c:pt idx="118">
                  <c:v>0.87503882343689998</c:v>
                </c:pt>
                <c:pt idx="119">
                  <c:v>0.87373442906433496</c:v>
                </c:pt>
                <c:pt idx="120">
                  <c:v>0.87241431910882905</c:v>
                </c:pt>
                <c:pt idx="121">
                  <c:v>0.87110441331900401</c:v>
                </c:pt>
                <c:pt idx="122">
                  <c:v>0.86981848345302903</c:v>
                </c:pt>
                <c:pt idx="123">
                  <c:v>0.86788631446205</c:v>
                </c:pt>
                <c:pt idx="124">
                  <c:v>0.86604022458885099</c:v>
                </c:pt>
                <c:pt idx="125">
                  <c:v>0.86316903492120001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0.11590584465618101</c:v>
                </c:pt>
                <c:pt idx="1">
                  <c:v>0.21237349577047401</c:v>
                </c:pt>
                <c:pt idx="2">
                  <c:v>0.218124723345232</c:v>
                </c:pt>
                <c:pt idx="3">
                  <c:v>0.14554814478383901</c:v>
                </c:pt>
                <c:pt idx="4">
                  <c:v>0.23760497485073401</c:v>
                </c:pt>
                <c:pt idx="5">
                  <c:v>0.32232789112688498</c:v>
                </c:pt>
                <c:pt idx="6">
                  <c:v>0.42099031433738199</c:v>
                </c:pt>
                <c:pt idx="7">
                  <c:v>0.47967263050570802</c:v>
                </c:pt>
                <c:pt idx="8">
                  <c:v>0.39576331734029102</c:v>
                </c:pt>
                <c:pt idx="9">
                  <c:v>0.56802910971224796</c:v>
                </c:pt>
                <c:pt idx="10">
                  <c:v>0.416998754443557</c:v>
                </c:pt>
                <c:pt idx="11">
                  <c:v>0.32038663647705001</c:v>
                </c:pt>
                <c:pt idx="12">
                  <c:v>0.38199541513186103</c:v>
                </c:pt>
                <c:pt idx="13">
                  <c:v>0.20053868920399501</c:v>
                </c:pt>
                <c:pt idx="14">
                  <c:v>9.82108331490818E-2</c:v>
                </c:pt>
                <c:pt idx="15">
                  <c:v>0.181677762698261</c:v>
                </c:pt>
                <c:pt idx="16">
                  <c:v>7.4216795185657505E-2</c:v>
                </c:pt>
                <c:pt idx="17">
                  <c:v>6.0295483968765003E-2</c:v>
                </c:pt>
                <c:pt idx="18">
                  <c:v>7.3447160025566699E-2</c:v>
                </c:pt>
                <c:pt idx="19">
                  <c:v>1.9423137215723901E-2</c:v>
                </c:pt>
                <c:pt idx="20">
                  <c:v>0.11064582728838999</c:v>
                </c:pt>
                <c:pt idx="21" formatCode="0.00E+00">
                  <c:v>0.17078113291129099</c:v>
                </c:pt>
                <c:pt idx="22" formatCode="0.00E+00">
                  <c:v>0.109786734127542</c:v>
                </c:pt>
                <c:pt idx="23">
                  <c:v>0.15747153772713299</c:v>
                </c:pt>
                <c:pt idx="24">
                  <c:v>0.102929141908522</c:v>
                </c:pt>
                <c:pt idx="25">
                  <c:v>8.7042079317474194E-2</c:v>
                </c:pt>
                <c:pt idx="26">
                  <c:v>5.5647370471035698E-2</c:v>
                </c:pt>
                <c:pt idx="27" formatCode="0.00E+00">
                  <c:v>0.10427608289920701</c:v>
                </c:pt>
                <c:pt idx="28">
                  <c:v>0.33401992879960002</c:v>
                </c:pt>
                <c:pt idx="29">
                  <c:v>0.11052982580564399</c:v>
                </c:pt>
                <c:pt idx="30">
                  <c:v>0.100093224250994</c:v>
                </c:pt>
                <c:pt idx="31" formatCode="0.00E+00">
                  <c:v>5.1908940090440801E-2</c:v>
                </c:pt>
                <c:pt idx="32">
                  <c:v>3.8546875249640001E-3</c:v>
                </c:pt>
                <c:pt idx="33">
                  <c:v>6.4921374236117102E-2</c:v>
                </c:pt>
                <c:pt idx="34">
                  <c:v>0.188824486305322</c:v>
                </c:pt>
                <c:pt idx="35">
                  <c:v>0.18322554460193399</c:v>
                </c:pt>
                <c:pt idx="36">
                  <c:v>1.4179025791341501E-2</c:v>
                </c:pt>
                <c:pt idx="37">
                  <c:v>0.22310403339003701</c:v>
                </c:pt>
                <c:pt idx="38">
                  <c:v>0.53221158882679298</c:v>
                </c:pt>
                <c:pt idx="39">
                  <c:v>0.63601046774173398</c:v>
                </c:pt>
                <c:pt idx="40">
                  <c:v>0.76982109797901499</c:v>
                </c:pt>
                <c:pt idx="41">
                  <c:v>0.90478290239292203</c:v>
                </c:pt>
                <c:pt idx="42">
                  <c:v>0.89919265138906201</c:v>
                </c:pt>
                <c:pt idx="43" formatCode="0.00E+00">
                  <c:v>0.69774455385743395</c:v>
                </c:pt>
                <c:pt idx="44">
                  <c:v>0.845104427178893</c:v>
                </c:pt>
                <c:pt idx="45">
                  <c:v>0.82960349713322901</c:v>
                </c:pt>
                <c:pt idx="46">
                  <c:v>0.69114046185870703</c:v>
                </c:pt>
                <c:pt idx="47">
                  <c:v>0.59460389135606995</c:v>
                </c:pt>
                <c:pt idx="48">
                  <c:v>0.60064515903926097</c:v>
                </c:pt>
                <c:pt idx="49">
                  <c:v>0.59829397726352296</c:v>
                </c:pt>
                <c:pt idx="50">
                  <c:v>0.54644748318623704</c:v>
                </c:pt>
                <c:pt idx="51">
                  <c:v>0.53911958322958498</c:v>
                </c:pt>
                <c:pt idx="52">
                  <c:v>0.56557482904721901</c:v>
                </c:pt>
                <c:pt idx="53">
                  <c:v>0.53608478055792397</c:v>
                </c:pt>
                <c:pt idx="54">
                  <c:v>0.56995541066515898</c:v>
                </c:pt>
                <c:pt idx="55">
                  <c:v>0.556705013658503</c:v>
                </c:pt>
                <c:pt idx="56">
                  <c:v>0.56392164745097295</c:v>
                </c:pt>
                <c:pt idx="57">
                  <c:v>0.62790365670590897</c:v>
                </c:pt>
                <c:pt idx="58">
                  <c:v>0.559653942399847</c:v>
                </c:pt>
                <c:pt idx="59">
                  <c:v>0.57088216584346396</c:v>
                </c:pt>
                <c:pt idx="60">
                  <c:v>0.58400419459161101</c:v>
                </c:pt>
                <c:pt idx="61">
                  <c:v>0.54296579865769001</c:v>
                </c:pt>
                <c:pt idx="62">
                  <c:v>0.52034091747977496</c:v>
                </c:pt>
                <c:pt idx="63">
                  <c:v>0.53120278535473198</c:v>
                </c:pt>
                <c:pt idx="64">
                  <c:v>0.52497588468719203</c:v>
                </c:pt>
                <c:pt idx="65">
                  <c:v>0.49453963472984402</c:v>
                </c:pt>
                <c:pt idx="66">
                  <c:v>0.43789278572894402</c:v>
                </c:pt>
                <c:pt idx="67">
                  <c:v>0.39312007054923997</c:v>
                </c:pt>
                <c:pt idx="68">
                  <c:v>0.36492481044015901</c:v>
                </c:pt>
                <c:pt idx="69">
                  <c:v>0.44057498779780402</c:v>
                </c:pt>
                <c:pt idx="70">
                  <c:v>0.34625656093558399</c:v>
                </c:pt>
                <c:pt idx="71">
                  <c:v>0.29392250541266501</c:v>
                </c:pt>
                <c:pt idx="72">
                  <c:v>0.36547784030037</c:v>
                </c:pt>
                <c:pt idx="73">
                  <c:v>0.24085519063812899</c:v>
                </c:pt>
                <c:pt idx="74">
                  <c:v>0.250308312860055</c:v>
                </c:pt>
                <c:pt idx="75">
                  <c:v>0.26700610756841597</c:v>
                </c:pt>
                <c:pt idx="76">
                  <c:v>0.227882939987093</c:v>
                </c:pt>
                <c:pt idx="77">
                  <c:v>0.37562451679064901</c:v>
                </c:pt>
                <c:pt idx="78">
                  <c:v>0.37458138724774598</c:v>
                </c:pt>
                <c:pt idx="79">
                  <c:v>0.35679609992637601</c:v>
                </c:pt>
                <c:pt idx="80">
                  <c:v>0.35070406409866201</c:v>
                </c:pt>
                <c:pt idx="81">
                  <c:v>0.36561511960381798</c:v>
                </c:pt>
                <c:pt idx="82">
                  <c:v>0.41316900265262402</c:v>
                </c:pt>
                <c:pt idx="83">
                  <c:v>0.32949016621014099</c:v>
                </c:pt>
                <c:pt idx="84">
                  <c:v>0.40883775165071701</c:v>
                </c:pt>
                <c:pt idx="85">
                  <c:v>0.43158992751143599</c:v>
                </c:pt>
                <c:pt idx="86">
                  <c:v>2.3223500361111701E-2</c:v>
                </c:pt>
                <c:pt idx="87">
                  <c:v>9.0022717479654995E-3</c:v>
                </c:pt>
                <c:pt idx="88">
                  <c:v>2.96651482251588E-2</c:v>
                </c:pt>
                <c:pt idx="89">
                  <c:v>0.31074356478459902</c:v>
                </c:pt>
                <c:pt idx="90">
                  <c:v>0.18208314153167701</c:v>
                </c:pt>
                <c:pt idx="91">
                  <c:v>1.6848167379194999E-2</c:v>
                </c:pt>
                <c:pt idx="92">
                  <c:v>1.7006200981030901E-2</c:v>
                </c:pt>
                <c:pt idx="93">
                  <c:v>0.351153731553148</c:v>
                </c:pt>
                <c:pt idx="94">
                  <c:v>5.8752088914176499E-2</c:v>
                </c:pt>
                <c:pt idx="95">
                  <c:v>0.35341317097960001</c:v>
                </c:pt>
                <c:pt idx="96">
                  <c:v>0.39027888993146997</c:v>
                </c:pt>
                <c:pt idx="97">
                  <c:v>0.224276971438538</c:v>
                </c:pt>
                <c:pt idx="98">
                  <c:v>0.13910972189813001</c:v>
                </c:pt>
                <c:pt idx="99">
                  <c:v>0.105752692586305</c:v>
                </c:pt>
                <c:pt idx="100">
                  <c:v>4.0847241041679902E-2</c:v>
                </c:pt>
                <c:pt idx="101">
                  <c:v>2.79120045620142E-2</c:v>
                </c:pt>
                <c:pt idx="102">
                  <c:v>3.8237598541145498E-3</c:v>
                </c:pt>
                <c:pt idx="103">
                  <c:v>3.9672570108746303E-3</c:v>
                </c:pt>
                <c:pt idx="104">
                  <c:v>3.4321298426917401E-3</c:v>
                </c:pt>
                <c:pt idx="105">
                  <c:v>3.2080601134912901E-3</c:v>
                </c:pt>
                <c:pt idx="106">
                  <c:v>0.103233794529866</c:v>
                </c:pt>
                <c:pt idx="107">
                  <c:v>0.108012623485577</c:v>
                </c:pt>
                <c:pt idx="108">
                  <c:v>0.61125483910287504</c:v>
                </c:pt>
                <c:pt idx="109">
                  <c:v>5.7118849613492402E-2</c:v>
                </c:pt>
                <c:pt idx="110">
                  <c:v>3.66193468013652E-2</c:v>
                </c:pt>
                <c:pt idx="111">
                  <c:v>8.6459044588338904E-2</c:v>
                </c:pt>
                <c:pt idx="112">
                  <c:v>9.6504241323095694E-2</c:v>
                </c:pt>
                <c:pt idx="113">
                  <c:v>2.3655518985198101E-2</c:v>
                </c:pt>
                <c:pt idx="114">
                  <c:v>1.3656687997703299E-2</c:v>
                </c:pt>
                <c:pt idx="115">
                  <c:v>1.9031708064121699E-2</c:v>
                </c:pt>
                <c:pt idx="116">
                  <c:v>2.0173898374317299E-2</c:v>
                </c:pt>
                <c:pt idx="117">
                  <c:v>1.8834132750929499E-2</c:v>
                </c:pt>
                <c:pt idx="118">
                  <c:v>1.8937888721448099E-2</c:v>
                </c:pt>
                <c:pt idx="119">
                  <c:v>1.6571828358753999E-2</c:v>
                </c:pt>
                <c:pt idx="120">
                  <c:v>2.24678869921041E-2</c:v>
                </c:pt>
                <c:pt idx="121">
                  <c:v>2.2654018206714099E-2</c:v>
                </c:pt>
                <c:pt idx="122">
                  <c:v>2.2413802962583801E-2</c:v>
                </c:pt>
                <c:pt idx="123">
                  <c:v>3.2205424954039698E-2</c:v>
                </c:pt>
                <c:pt idx="124">
                  <c:v>2.2719459863054001E-2</c:v>
                </c:pt>
                <c:pt idx="125">
                  <c:v>3.2972332382179899E-2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43826</c:v>
                </c:pt>
                <c:pt idx="1">
                  <c:v>43825</c:v>
                </c:pt>
                <c:pt idx="2">
                  <c:v>43824</c:v>
                </c:pt>
                <c:pt idx="3">
                  <c:v>43823</c:v>
                </c:pt>
                <c:pt idx="4">
                  <c:v>43822</c:v>
                </c:pt>
                <c:pt idx="5">
                  <c:v>43819</c:v>
                </c:pt>
                <c:pt idx="6">
                  <c:v>43818</c:v>
                </c:pt>
                <c:pt idx="7">
                  <c:v>43817</c:v>
                </c:pt>
                <c:pt idx="8">
                  <c:v>43816</c:v>
                </c:pt>
                <c:pt idx="9">
                  <c:v>43815</c:v>
                </c:pt>
                <c:pt idx="10">
                  <c:v>43812</c:v>
                </c:pt>
                <c:pt idx="11">
                  <c:v>43811</c:v>
                </c:pt>
                <c:pt idx="12">
                  <c:v>43810</c:v>
                </c:pt>
                <c:pt idx="13">
                  <c:v>43809</c:v>
                </c:pt>
                <c:pt idx="14">
                  <c:v>43808</c:v>
                </c:pt>
                <c:pt idx="15">
                  <c:v>43805</c:v>
                </c:pt>
                <c:pt idx="16">
                  <c:v>43804</c:v>
                </c:pt>
                <c:pt idx="17">
                  <c:v>43803</c:v>
                </c:pt>
                <c:pt idx="18">
                  <c:v>43802</c:v>
                </c:pt>
                <c:pt idx="19">
                  <c:v>43801</c:v>
                </c:pt>
                <c:pt idx="20">
                  <c:v>43798</c:v>
                </c:pt>
                <c:pt idx="21">
                  <c:v>43797</c:v>
                </c:pt>
                <c:pt idx="22">
                  <c:v>43796</c:v>
                </c:pt>
                <c:pt idx="23">
                  <c:v>43795</c:v>
                </c:pt>
                <c:pt idx="24">
                  <c:v>43794</c:v>
                </c:pt>
                <c:pt idx="25">
                  <c:v>43791</c:v>
                </c:pt>
                <c:pt idx="26">
                  <c:v>43790</c:v>
                </c:pt>
                <c:pt idx="27">
                  <c:v>43789</c:v>
                </c:pt>
                <c:pt idx="28">
                  <c:v>43788</c:v>
                </c:pt>
                <c:pt idx="29">
                  <c:v>43787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43777</c:v>
                </c:pt>
                <c:pt idx="36">
                  <c:v>43776</c:v>
                </c:pt>
                <c:pt idx="37">
                  <c:v>43775</c:v>
                </c:pt>
                <c:pt idx="38">
                  <c:v>43774</c:v>
                </c:pt>
                <c:pt idx="39">
                  <c:v>43770</c:v>
                </c:pt>
                <c:pt idx="40">
                  <c:v>43769</c:v>
                </c:pt>
                <c:pt idx="41">
                  <c:v>43768</c:v>
                </c:pt>
                <c:pt idx="42">
                  <c:v>43767</c:v>
                </c:pt>
                <c:pt idx="43">
                  <c:v>43766</c:v>
                </c:pt>
                <c:pt idx="44">
                  <c:v>43763</c:v>
                </c:pt>
                <c:pt idx="45">
                  <c:v>43762</c:v>
                </c:pt>
                <c:pt idx="46">
                  <c:v>43761</c:v>
                </c:pt>
                <c:pt idx="47">
                  <c:v>43759</c:v>
                </c:pt>
                <c:pt idx="48">
                  <c:v>43756</c:v>
                </c:pt>
                <c:pt idx="49">
                  <c:v>43755</c:v>
                </c:pt>
                <c:pt idx="50">
                  <c:v>43754</c:v>
                </c:pt>
                <c:pt idx="51">
                  <c:v>43753</c:v>
                </c:pt>
                <c:pt idx="52">
                  <c:v>43749</c:v>
                </c:pt>
                <c:pt idx="53">
                  <c:v>43748</c:v>
                </c:pt>
                <c:pt idx="54">
                  <c:v>43747</c:v>
                </c:pt>
                <c:pt idx="55">
                  <c:v>43746</c:v>
                </c:pt>
                <c:pt idx="56">
                  <c:v>43745</c:v>
                </c:pt>
                <c:pt idx="57">
                  <c:v>43742</c:v>
                </c:pt>
                <c:pt idx="58">
                  <c:v>43741</c:v>
                </c:pt>
                <c:pt idx="59">
                  <c:v>43740</c:v>
                </c:pt>
                <c:pt idx="60">
                  <c:v>43739</c:v>
                </c:pt>
                <c:pt idx="61">
                  <c:v>43738</c:v>
                </c:pt>
                <c:pt idx="62">
                  <c:v>43735</c:v>
                </c:pt>
                <c:pt idx="63">
                  <c:v>43734</c:v>
                </c:pt>
                <c:pt idx="64">
                  <c:v>43733</c:v>
                </c:pt>
                <c:pt idx="65">
                  <c:v>43732</c:v>
                </c:pt>
                <c:pt idx="66">
                  <c:v>43728</c:v>
                </c:pt>
                <c:pt idx="67">
                  <c:v>43727</c:v>
                </c:pt>
                <c:pt idx="68">
                  <c:v>43726</c:v>
                </c:pt>
                <c:pt idx="69">
                  <c:v>43725</c:v>
                </c:pt>
                <c:pt idx="70">
                  <c:v>43721</c:v>
                </c:pt>
                <c:pt idx="71">
                  <c:v>43720</c:v>
                </c:pt>
                <c:pt idx="72">
                  <c:v>43719</c:v>
                </c:pt>
                <c:pt idx="73">
                  <c:v>43718</c:v>
                </c:pt>
                <c:pt idx="74">
                  <c:v>43717</c:v>
                </c:pt>
                <c:pt idx="75">
                  <c:v>43714</c:v>
                </c:pt>
                <c:pt idx="76">
                  <c:v>43713</c:v>
                </c:pt>
                <c:pt idx="77">
                  <c:v>43712</c:v>
                </c:pt>
                <c:pt idx="78">
                  <c:v>43711</c:v>
                </c:pt>
                <c:pt idx="79">
                  <c:v>43710</c:v>
                </c:pt>
                <c:pt idx="80">
                  <c:v>43707</c:v>
                </c:pt>
                <c:pt idx="81">
                  <c:v>43706</c:v>
                </c:pt>
                <c:pt idx="82">
                  <c:v>43705</c:v>
                </c:pt>
                <c:pt idx="83">
                  <c:v>43704</c:v>
                </c:pt>
                <c:pt idx="84">
                  <c:v>43703</c:v>
                </c:pt>
                <c:pt idx="85">
                  <c:v>43700</c:v>
                </c:pt>
                <c:pt idx="86">
                  <c:v>43699</c:v>
                </c:pt>
                <c:pt idx="87">
                  <c:v>43698</c:v>
                </c:pt>
                <c:pt idx="88">
                  <c:v>43697</c:v>
                </c:pt>
                <c:pt idx="89">
                  <c:v>43696</c:v>
                </c:pt>
                <c:pt idx="90">
                  <c:v>43693</c:v>
                </c:pt>
                <c:pt idx="91">
                  <c:v>43692</c:v>
                </c:pt>
                <c:pt idx="92">
                  <c:v>43691</c:v>
                </c:pt>
                <c:pt idx="93">
                  <c:v>43690</c:v>
                </c:pt>
                <c:pt idx="94">
                  <c:v>43686</c:v>
                </c:pt>
                <c:pt idx="95">
                  <c:v>43685</c:v>
                </c:pt>
                <c:pt idx="96">
                  <c:v>43684</c:v>
                </c:pt>
                <c:pt idx="97">
                  <c:v>43683</c:v>
                </c:pt>
                <c:pt idx="98">
                  <c:v>43682</c:v>
                </c:pt>
                <c:pt idx="99">
                  <c:v>43679</c:v>
                </c:pt>
                <c:pt idx="100">
                  <c:v>43678</c:v>
                </c:pt>
                <c:pt idx="101">
                  <c:v>43677</c:v>
                </c:pt>
                <c:pt idx="102">
                  <c:v>43676</c:v>
                </c:pt>
                <c:pt idx="103">
                  <c:v>43675</c:v>
                </c:pt>
                <c:pt idx="104">
                  <c:v>43672</c:v>
                </c:pt>
                <c:pt idx="105">
                  <c:v>43671</c:v>
                </c:pt>
                <c:pt idx="106">
                  <c:v>43670</c:v>
                </c:pt>
                <c:pt idx="107">
                  <c:v>43669</c:v>
                </c:pt>
                <c:pt idx="108">
                  <c:v>43668</c:v>
                </c:pt>
                <c:pt idx="109">
                  <c:v>43665</c:v>
                </c:pt>
                <c:pt idx="110">
                  <c:v>43664</c:v>
                </c:pt>
                <c:pt idx="111">
                  <c:v>43663</c:v>
                </c:pt>
                <c:pt idx="112">
                  <c:v>43662</c:v>
                </c:pt>
                <c:pt idx="113">
                  <c:v>43658</c:v>
                </c:pt>
                <c:pt idx="114">
                  <c:v>43657</c:v>
                </c:pt>
                <c:pt idx="115">
                  <c:v>43656</c:v>
                </c:pt>
                <c:pt idx="116">
                  <c:v>43655</c:v>
                </c:pt>
                <c:pt idx="117">
                  <c:v>43654</c:v>
                </c:pt>
                <c:pt idx="118">
                  <c:v>43651</c:v>
                </c:pt>
                <c:pt idx="119">
                  <c:v>43650</c:v>
                </c:pt>
                <c:pt idx="120">
                  <c:v>43649</c:v>
                </c:pt>
                <c:pt idx="121">
                  <c:v>43648</c:v>
                </c:pt>
                <c:pt idx="122">
                  <c:v>43647</c:v>
                </c:pt>
                <c:pt idx="123">
                  <c:v>43644</c:v>
                </c:pt>
                <c:pt idx="124">
                  <c:v>43643</c:v>
                </c:pt>
                <c:pt idx="125">
                  <c:v>43642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3.7048999131728197E-2</c:v>
                </c:pt>
                <c:pt idx="1">
                  <c:v>3.4013411729234097E-2</c:v>
                </c:pt>
                <c:pt idx="2">
                  <c:v>3.4560956024340103E-2</c:v>
                </c:pt>
                <c:pt idx="3">
                  <c:v>3.5320827112926001E-2</c:v>
                </c:pt>
                <c:pt idx="4">
                  <c:v>3.6388442174000599E-2</c:v>
                </c:pt>
                <c:pt idx="5">
                  <c:v>2.57506098068397E-2</c:v>
                </c:pt>
                <c:pt idx="6">
                  <c:v>2.53728167877031E-2</c:v>
                </c:pt>
                <c:pt idx="7">
                  <c:v>2.17285527385737E-2</c:v>
                </c:pt>
                <c:pt idx="8">
                  <c:v>8.8935264528434199E-2</c:v>
                </c:pt>
                <c:pt idx="9">
                  <c:v>8.8821458266969605E-2</c:v>
                </c:pt>
                <c:pt idx="10">
                  <c:v>9.4215104650748505E-2</c:v>
                </c:pt>
                <c:pt idx="11">
                  <c:v>8.4012776891367394E-2</c:v>
                </c:pt>
                <c:pt idx="12">
                  <c:v>9.0105694218398896E-2</c:v>
                </c:pt>
                <c:pt idx="13">
                  <c:v>8.6237212338216906E-2</c:v>
                </c:pt>
                <c:pt idx="14">
                  <c:v>8.8201291065971105E-2</c:v>
                </c:pt>
                <c:pt idx="15">
                  <c:v>7.5163591638533006E-2</c:v>
                </c:pt>
                <c:pt idx="16">
                  <c:v>9.8018478472106596E-2</c:v>
                </c:pt>
                <c:pt idx="17">
                  <c:v>8.6934141656787894E-2</c:v>
                </c:pt>
                <c:pt idx="18" formatCode="0.00E+00">
                  <c:v>6.1266183831809498E-2</c:v>
                </c:pt>
                <c:pt idx="19" formatCode="0.00E+00">
                  <c:v>5.1749975540030801E-2</c:v>
                </c:pt>
                <c:pt idx="20" formatCode="0.00E+00">
                  <c:v>4.9005119327744602E-2</c:v>
                </c:pt>
                <c:pt idx="21" formatCode="0.00E+00">
                  <c:v>4.1598152958899397E-2</c:v>
                </c:pt>
                <c:pt idx="22">
                  <c:v>3.7933567551737303E-2</c:v>
                </c:pt>
                <c:pt idx="23">
                  <c:v>4.5605741363179603E-2</c:v>
                </c:pt>
                <c:pt idx="24">
                  <c:v>4.4536179277517199E-2</c:v>
                </c:pt>
                <c:pt idx="25">
                  <c:v>4.7486393194625998E-2</c:v>
                </c:pt>
                <c:pt idx="26">
                  <c:v>3.3995761461266198E-2</c:v>
                </c:pt>
                <c:pt idx="27">
                  <c:v>2.9639636358909299E-2</c:v>
                </c:pt>
                <c:pt idx="28">
                  <c:v>3.4245517658775503E-2</c:v>
                </c:pt>
                <c:pt idx="29">
                  <c:v>4.0082181288518801E-2</c:v>
                </c:pt>
                <c:pt idx="30">
                  <c:v>3.9301685934427302E-2</c:v>
                </c:pt>
                <c:pt idx="31">
                  <c:v>3.7599580592513601E-2</c:v>
                </c:pt>
                <c:pt idx="32">
                  <c:v>3.9599162561789997E-2</c:v>
                </c:pt>
                <c:pt idx="33">
                  <c:v>9.6667059120761997E-2</c:v>
                </c:pt>
                <c:pt idx="34">
                  <c:v>4.0024880897381397E-2</c:v>
                </c:pt>
                <c:pt idx="35">
                  <c:v>3.0567645601381501E-2</c:v>
                </c:pt>
                <c:pt idx="36">
                  <c:v>4.3901601818213697E-2</c:v>
                </c:pt>
                <c:pt idx="37">
                  <c:v>7.0103515775916794E-2</c:v>
                </c:pt>
                <c:pt idx="38">
                  <c:v>0.19918148055153001</c:v>
                </c:pt>
                <c:pt idx="39">
                  <c:v>0.118399318586435</c:v>
                </c:pt>
                <c:pt idx="40">
                  <c:v>0.13942513764116099</c:v>
                </c:pt>
                <c:pt idx="41">
                  <c:v>0.167276646134568</c:v>
                </c:pt>
                <c:pt idx="42">
                  <c:v>7.2456968525407603E-2</c:v>
                </c:pt>
                <c:pt idx="43">
                  <c:v>7.9913189811445601E-2</c:v>
                </c:pt>
                <c:pt idx="44">
                  <c:v>7.5389411427921105E-2</c:v>
                </c:pt>
                <c:pt idx="45">
                  <c:v>7.9144150178542899E-2</c:v>
                </c:pt>
                <c:pt idx="46">
                  <c:v>8.8295364967932999E-3</c:v>
                </c:pt>
                <c:pt idx="47">
                  <c:v>6.1449393120689899E-3</c:v>
                </c:pt>
                <c:pt idx="48">
                  <c:v>5.68346696281788E-3</c:v>
                </c:pt>
                <c:pt idx="49">
                  <c:v>3.0333794109386899E-3</c:v>
                </c:pt>
                <c:pt idx="50">
                  <c:v>4.1717771551732499E-3</c:v>
                </c:pt>
                <c:pt idx="51">
                  <c:v>2.58056305233748E-3</c:v>
                </c:pt>
                <c:pt idx="52">
                  <c:v>1.7586612536933501E-3</c:v>
                </c:pt>
                <c:pt idx="53">
                  <c:v>9.9937187670721794E-2</c:v>
                </c:pt>
                <c:pt idx="54">
                  <c:v>2.3071177794583902E-3</c:v>
                </c:pt>
                <c:pt idx="55">
                  <c:v>2.5022483291908299E-3</c:v>
                </c:pt>
                <c:pt idx="56">
                  <c:v>2.5155508197421401E-3</c:v>
                </c:pt>
                <c:pt idx="57">
                  <c:v>1.1237218707322099E-3</c:v>
                </c:pt>
                <c:pt idx="58">
                  <c:v>1.2353562186855501E-3</c:v>
                </c:pt>
                <c:pt idx="59">
                  <c:v>1.5331511472309999E-3</c:v>
                </c:pt>
                <c:pt idx="60">
                  <c:v>4.0718738024747401E-4</c:v>
                </c:pt>
                <c:pt idx="61">
                  <c:v>9.6892279377216398E-4</c:v>
                </c:pt>
                <c:pt idx="62">
                  <c:v>1.4821471424575801E-2</c:v>
                </c:pt>
                <c:pt idx="63">
                  <c:v>1.3977458450596499E-2</c:v>
                </c:pt>
                <c:pt idx="64">
                  <c:v>1.37497250259926E-2</c:v>
                </c:pt>
                <c:pt idx="65">
                  <c:v>4.5871425595775204E-3</c:v>
                </c:pt>
                <c:pt idx="66">
                  <c:v>4.5783015843412402E-3</c:v>
                </c:pt>
                <c:pt idx="67">
                  <c:v>8.3815291215433001E-3</c:v>
                </c:pt>
                <c:pt idx="68">
                  <c:v>8.5187751937559394E-3</c:v>
                </c:pt>
                <c:pt idx="69">
                  <c:v>3.2009647999878703E-2</c:v>
                </c:pt>
                <c:pt idx="70">
                  <c:v>3.5253530342112503E-2</c:v>
                </c:pt>
                <c:pt idx="71">
                  <c:v>4.2119906147765597E-2</c:v>
                </c:pt>
                <c:pt idx="72">
                  <c:v>4.4920542250366298E-2</c:v>
                </c:pt>
                <c:pt idx="73">
                  <c:v>3.7347504393791302E-2</c:v>
                </c:pt>
                <c:pt idx="74">
                  <c:v>3.9063298754629702E-2</c:v>
                </c:pt>
                <c:pt idx="75">
                  <c:v>2.4950062280699799E-2</c:v>
                </c:pt>
                <c:pt idx="76">
                  <c:v>2.5192941802718902E-2</c:v>
                </c:pt>
                <c:pt idx="77">
                  <c:v>2.7723110353427501E-2</c:v>
                </c:pt>
                <c:pt idx="78">
                  <c:v>1.6384360658961698E-2</c:v>
                </c:pt>
                <c:pt idx="79">
                  <c:v>1.5960786495461302E-2</c:v>
                </c:pt>
                <c:pt idx="80">
                  <c:v>1.32325373177205E-2</c:v>
                </c:pt>
                <c:pt idx="81">
                  <c:v>7.9110756757953208E-3</c:v>
                </c:pt>
                <c:pt idx="82">
                  <c:v>6.0789509986336598E-3</c:v>
                </c:pt>
                <c:pt idx="83">
                  <c:v>5.5506598329567603E-3</c:v>
                </c:pt>
                <c:pt idx="84">
                  <c:v>7.1503355188748501E-3</c:v>
                </c:pt>
                <c:pt idx="85">
                  <c:v>7.8852917533877506E-3</c:v>
                </c:pt>
                <c:pt idx="86">
                  <c:v>6.6116606839661599E-3</c:v>
                </c:pt>
                <c:pt idx="87">
                  <c:v>6.0204344938440896E-3</c:v>
                </c:pt>
                <c:pt idx="88">
                  <c:v>6.4402296331237396E-3</c:v>
                </c:pt>
                <c:pt idx="89">
                  <c:v>6.2642247507099704E-3</c:v>
                </c:pt>
                <c:pt idx="90">
                  <c:v>5.2171869246863097E-3</c:v>
                </c:pt>
                <c:pt idx="91">
                  <c:v>5.0411607796634703E-3</c:v>
                </c:pt>
                <c:pt idx="92">
                  <c:v>4.45299696321681E-3</c:v>
                </c:pt>
                <c:pt idx="93">
                  <c:v>4.5957739057846999E-3</c:v>
                </c:pt>
                <c:pt idx="94">
                  <c:v>4.6527952061750496E-3</c:v>
                </c:pt>
                <c:pt idx="95">
                  <c:v>4.7448626455283303E-3</c:v>
                </c:pt>
                <c:pt idx="96">
                  <c:v>5.1030972575001401E-3</c:v>
                </c:pt>
                <c:pt idx="97">
                  <c:v>5.6190788463312399E-3</c:v>
                </c:pt>
                <c:pt idx="98">
                  <c:v>4.6009701901240201E-3</c:v>
                </c:pt>
                <c:pt idx="99">
                  <c:v>4.93299690802487E-3</c:v>
                </c:pt>
                <c:pt idx="100">
                  <c:v>4.8111659177330198E-3</c:v>
                </c:pt>
                <c:pt idx="101">
                  <c:v>4.6725621494222999E-3</c:v>
                </c:pt>
                <c:pt idx="102">
                  <c:v>2.92869324938656E-3</c:v>
                </c:pt>
                <c:pt idx="103">
                  <c:v>3.5087495254133801E-3</c:v>
                </c:pt>
                <c:pt idx="104">
                  <c:v>3.4570561874859899E-3</c:v>
                </c:pt>
                <c:pt idx="105">
                  <c:v>3.1789770283651301E-3</c:v>
                </c:pt>
                <c:pt idx="106">
                  <c:v>3.2841581565707799E-3</c:v>
                </c:pt>
                <c:pt idx="107">
                  <c:v>3.0325791656970499E-3</c:v>
                </c:pt>
                <c:pt idx="108">
                  <c:v>3.2021913003102802E-3</c:v>
                </c:pt>
                <c:pt idx="109">
                  <c:v>3.0981250300008601E-3</c:v>
                </c:pt>
                <c:pt idx="110">
                  <c:v>3.46913629493324E-3</c:v>
                </c:pt>
                <c:pt idx="111">
                  <c:v>4.5539163112201398E-3</c:v>
                </c:pt>
                <c:pt idx="112">
                  <c:v>5.6546982681500999E-3</c:v>
                </c:pt>
                <c:pt idx="113">
                  <c:v>5.7412789446085397E-3</c:v>
                </c:pt>
                <c:pt idx="114">
                  <c:v>6.3484725779948499E-3</c:v>
                </c:pt>
                <c:pt idx="115">
                  <c:v>5.9169153331275698E-3</c:v>
                </c:pt>
                <c:pt idx="116">
                  <c:v>5.2412830286559103E-3</c:v>
                </c:pt>
                <c:pt idx="117">
                  <c:v>5.4643969140476898E-3</c:v>
                </c:pt>
                <c:pt idx="118">
                  <c:v>6.3028343972359596E-3</c:v>
                </c:pt>
                <c:pt idx="119">
                  <c:v>5.9668460872223401E-3</c:v>
                </c:pt>
                <c:pt idx="120">
                  <c:v>5.2616741465530501E-3</c:v>
                </c:pt>
                <c:pt idx="121">
                  <c:v>5.9406060312733096E-3</c:v>
                </c:pt>
                <c:pt idx="122">
                  <c:v>6.0549210027118702E-3</c:v>
                </c:pt>
                <c:pt idx="123">
                  <c:v>7.27281694733999E-3</c:v>
                </c:pt>
                <c:pt idx="124">
                  <c:v>6.5384091467818196E-3</c:v>
                </c:pt>
                <c:pt idx="125">
                  <c:v>8.3401308624844704E-3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0.70935101186322402</c:v>
                </c:pt>
                <c:pt idx="1">
                  <c:v>0.71833449965010499</c:v>
                </c:pt>
                <c:pt idx="2">
                  <c:v>0.72015449438202195</c:v>
                </c:pt>
                <c:pt idx="3">
                  <c:v>0.74114730878186896</c:v>
                </c:pt>
                <c:pt idx="4">
                  <c:v>0.75436681222707402</c:v>
                </c:pt>
                <c:pt idx="5">
                  <c:v>0.77057538237436196</c:v>
                </c:pt>
                <c:pt idx="6">
                  <c:v>0.77640449438202197</c:v>
                </c:pt>
                <c:pt idx="7">
                  <c:v>0.78672106824925803</c:v>
                </c:pt>
                <c:pt idx="8">
                  <c:v>0.77643171806167399</c:v>
                </c:pt>
                <c:pt idx="9">
                  <c:v>0.76965065502183405</c:v>
                </c:pt>
                <c:pt idx="10">
                  <c:v>0.76010286554004403</c:v>
                </c:pt>
                <c:pt idx="11">
                  <c:v>0.77773641102010405</c:v>
                </c:pt>
                <c:pt idx="12">
                  <c:v>0.78969465648854897</c:v>
                </c:pt>
                <c:pt idx="13">
                  <c:v>0.79070660522273395</c:v>
                </c:pt>
                <c:pt idx="14">
                  <c:v>0.79691119691119605</c:v>
                </c:pt>
                <c:pt idx="15">
                  <c:v>0.80124223602484401</c:v>
                </c:pt>
                <c:pt idx="16">
                  <c:v>0.78889757623142998</c:v>
                </c:pt>
                <c:pt idx="17">
                  <c:v>0.77025117739403404</c:v>
                </c:pt>
                <c:pt idx="18">
                  <c:v>0.78417266187050305</c:v>
                </c:pt>
                <c:pt idx="19">
                  <c:v>0.76256895193065399</c:v>
                </c:pt>
                <c:pt idx="20">
                  <c:v>0.79232000000000002</c:v>
                </c:pt>
                <c:pt idx="21">
                  <c:v>0.80852775543041</c:v>
                </c:pt>
                <c:pt idx="22">
                  <c:v>0.79146919431279605</c:v>
                </c:pt>
                <c:pt idx="23">
                  <c:v>0.75928733889309996</c:v>
                </c:pt>
                <c:pt idx="24">
                  <c:v>0.75030303030303003</c:v>
                </c:pt>
                <c:pt idx="25">
                  <c:v>0.74388971684053595</c:v>
                </c:pt>
                <c:pt idx="26">
                  <c:v>0.75675265553869497</c:v>
                </c:pt>
                <c:pt idx="27">
                  <c:v>0.76256564141035199</c:v>
                </c:pt>
                <c:pt idx="28">
                  <c:v>0.75184094256259204</c:v>
                </c:pt>
                <c:pt idx="29">
                  <c:v>0.759493670886076</c:v>
                </c:pt>
                <c:pt idx="30">
                  <c:v>0.76899924755455196</c:v>
                </c:pt>
                <c:pt idx="31">
                  <c:v>0.787201233616037</c:v>
                </c:pt>
                <c:pt idx="32">
                  <c:v>0.78076923076922999</c:v>
                </c:pt>
                <c:pt idx="33">
                  <c:v>0.80889423076922995</c:v>
                </c:pt>
                <c:pt idx="34">
                  <c:v>0.81597337770382605</c:v>
                </c:pt>
                <c:pt idx="35">
                  <c:v>0.75155737704918002</c:v>
                </c:pt>
                <c:pt idx="36">
                  <c:v>0.746399345335515</c:v>
                </c:pt>
                <c:pt idx="37">
                  <c:v>0.72915011914217598</c:v>
                </c:pt>
                <c:pt idx="38">
                  <c:v>0.74631751227495902</c:v>
                </c:pt>
                <c:pt idx="39">
                  <c:v>0.74843234323432295</c:v>
                </c:pt>
                <c:pt idx="40">
                  <c:v>0.74333605887162701</c:v>
                </c:pt>
                <c:pt idx="41">
                  <c:v>0.73834832379394899</c:v>
                </c:pt>
                <c:pt idx="42">
                  <c:v>0.75430016863406402</c:v>
                </c:pt>
                <c:pt idx="43">
                  <c:v>0.746386554621848</c:v>
                </c:pt>
                <c:pt idx="44">
                  <c:v>0.76346801346801296</c:v>
                </c:pt>
                <c:pt idx="45">
                  <c:v>0.75087136929460496</c:v>
                </c:pt>
                <c:pt idx="46">
                  <c:v>0.74991638795986604</c:v>
                </c:pt>
                <c:pt idx="47">
                  <c:v>0.75356223175965598</c:v>
                </c:pt>
                <c:pt idx="48">
                  <c:v>0.762477876106194</c:v>
                </c:pt>
                <c:pt idx="49">
                  <c:v>0.76054243219597495</c:v>
                </c:pt>
                <c:pt idx="50">
                  <c:v>0.75249569707400998</c:v>
                </c:pt>
                <c:pt idx="51">
                  <c:v>0.76480349344978105</c:v>
                </c:pt>
                <c:pt idx="52">
                  <c:v>0.77850220264317105</c:v>
                </c:pt>
                <c:pt idx="53">
                  <c:v>0.76423611111111101</c:v>
                </c:pt>
                <c:pt idx="54">
                  <c:v>0.76415254237288099</c:v>
                </c:pt>
                <c:pt idx="55">
                  <c:v>0.76153846153846105</c:v>
                </c:pt>
                <c:pt idx="56">
                  <c:v>0.76471615720524</c:v>
                </c:pt>
                <c:pt idx="57">
                  <c:v>0.76472103004291803</c:v>
                </c:pt>
                <c:pt idx="58">
                  <c:v>0.77151411462788699</c:v>
                </c:pt>
                <c:pt idx="59">
                  <c:v>0.76743787489288695</c:v>
                </c:pt>
                <c:pt idx="60">
                  <c:v>0.75726495726495702</c:v>
                </c:pt>
                <c:pt idx="61">
                  <c:v>0.78003487358325996</c:v>
                </c:pt>
                <c:pt idx="62">
                  <c:v>0.77415437987857705</c:v>
                </c:pt>
                <c:pt idx="63">
                  <c:v>0.779913419913419</c:v>
                </c:pt>
                <c:pt idx="64">
                  <c:v>0.763336155800169</c:v>
                </c:pt>
                <c:pt idx="65">
                  <c:v>0.76333052985702199</c:v>
                </c:pt>
                <c:pt idx="66">
                  <c:v>0.76272189349112396</c:v>
                </c:pt>
                <c:pt idx="67">
                  <c:v>0.76020236087689697</c:v>
                </c:pt>
                <c:pt idx="68">
                  <c:v>0.78626226583407599</c:v>
                </c:pt>
                <c:pt idx="69">
                  <c:v>0.78616236162361597</c:v>
                </c:pt>
                <c:pt idx="70">
                  <c:v>0.79245107176141605</c:v>
                </c:pt>
                <c:pt idx="71">
                  <c:v>0.78110383536014905</c:v>
                </c:pt>
                <c:pt idx="72">
                  <c:v>0.78729547641963404</c:v>
                </c:pt>
                <c:pt idx="73">
                  <c:v>0.77954329210275897</c:v>
                </c:pt>
                <c:pt idx="74">
                  <c:v>0.77755491881566297</c:v>
                </c:pt>
                <c:pt idx="75">
                  <c:v>0.79236714975845401</c:v>
                </c:pt>
                <c:pt idx="76">
                  <c:v>0.79783889980353595</c:v>
                </c:pt>
                <c:pt idx="77">
                  <c:v>0.80652173913043401</c:v>
                </c:pt>
                <c:pt idx="78">
                  <c:v>0.80178394449950396</c:v>
                </c:pt>
                <c:pt idx="79">
                  <c:v>0.79812067260138397</c:v>
                </c:pt>
                <c:pt idx="80">
                  <c:v>0.79728419010669205</c:v>
                </c:pt>
                <c:pt idx="81">
                  <c:v>0.80441176470588205</c:v>
                </c:pt>
                <c:pt idx="82">
                  <c:v>0.81809145129224603</c:v>
                </c:pt>
                <c:pt idx="83">
                  <c:v>0.810406342913776</c:v>
                </c:pt>
                <c:pt idx="84">
                  <c:v>0.80129096325719895</c:v>
                </c:pt>
                <c:pt idx="85">
                  <c:v>0.81643002028397504</c:v>
                </c:pt>
                <c:pt idx="86">
                  <c:v>0.80827447023208798</c:v>
                </c:pt>
                <c:pt idx="87">
                  <c:v>0.82210000000000005</c:v>
                </c:pt>
                <c:pt idx="88">
                  <c:v>0.82912032355915</c:v>
                </c:pt>
                <c:pt idx="89">
                  <c:v>0.78671065032987697</c:v>
                </c:pt>
                <c:pt idx="90">
                  <c:v>0.76771507863089705</c:v>
                </c:pt>
                <c:pt idx="91">
                  <c:v>0.75809090909090904</c:v>
                </c:pt>
                <c:pt idx="92">
                  <c:v>0.74044642857142795</c:v>
                </c:pt>
                <c:pt idx="93">
                  <c:v>0.74836427939876204</c:v>
                </c:pt>
                <c:pt idx="94">
                  <c:v>0.75385934819897005</c:v>
                </c:pt>
                <c:pt idx="95">
                  <c:v>0.73996750609260697</c:v>
                </c:pt>
                <c:pt idx="96">
                  <c:v>0.75424143556280498</c:v>
                </c:pt>
                <c:pt idx="97">
                  <c:v>0.76421487603305704</c:v>
                </c:pt>
                <c:pt idx="98">
                  <c:v>0.75577722360764699</c:v>
                </c:pt>
                <c:pt idx="99">
                  <c:v>0.74084621643612603</c:v>
                </c:pt>
                <c:pt idx="100">
                  <c:v>0.74758789860997499</c:v>
                </c:pt>
                <c:pt idx="101">
                  <c:v>0.75776859504132199</c:v>
                </c:pt>
                <c:pt idx="102">
                  <c:v>0.76099173553719002</c:v>
                </c:pt>
                <c:pt idx="103">
                  <c:v>0.76290456431535203</c:v>
                </c:pt>
                <c:pt idx="104">
                  <c:v>0.76356073211314401</c:v>
                </c:pt>
                <c:pt idx="105">
                  <c:v>0.74603174603174605</c:v>
                </c:pt>
                <c:pt idx="106">
                  <c:v>0.76541978387364895</c:v>
                </c:pt>
                <c:pt idx="107">
                  <c:v>0.77121338912133897</c:v>
                </c:pt>
                <c:pt idx="108">
                  <c:v>0.78077246011754797</c:v>
                </c:pt>
                <c:pt idx="109">
                  <c:v>0.77212020033388895</c:v>
                </c:pt>
                <c:pt idx="110">
                  <c:v>0.77485380116959002</c:v>
                </c:pt>
                <c:pt idx="111">
                  <c:v>0.77863674147963402</c:v>
                </c:pt>
                <c:pt idx="112">
                  <c:v>0.78192371475953504</c:v>
                </c:pt>
                <c:pt idx="113">
                  <c:v>0.78600000000000003</c:v>
                </c:pt>
                <c:pt idx="114">
                  <c:v>0.78917568692756002</c:v>
                </c:pt>
                <c:pt idx="115">
                  <c:v>0.77445742904841397</c:v>
                </c:pt>
                <c:pt idx="116">
                  <c:v>0.76999168744804602</c:v>
                </c:pt>
                <c:pt idx="117">
                  <c:v>0.768136439267886</c:v>
                </c:pt>
                <c:pt idx="118">
                  <c:v>0.76717948717948703</c:v>
                </c:pt>
                <c:pt idx="119">
                  <c:v>0.75738396624472504</c:v>
                </c:pt>
                <c:pt idx="120">
                  <c:v>0.77695690413368501</c:v>
                </c:pt>
                <c:pt idx="121">
                  <c:v>0.77486865148861594</c:v>
                </c:pt>
                <c:pt idx="122">
                  <c:v>0.77961165048543601</c:v>
                </c:pt>
                <c:pt idx="123">
                  <c:v>0.78337754199823095</c:v>
                </c:pt>
                <c:pt idx="124">
                  <c:v>0.77089160839160797</c:v>
                </c:pt>
                <c:pt idx="125">
                  <c:v>0.76938596491227995</c:v>
                </c:pt>
                <c:pt idx="126">
                  <c:v>0.76527159394479005</c:v>
                </c:pt>
                <c:pt idx="127">
                  <c:v>0.75492957746478795</c:v>
                </c:pt>
                <c:pt idx="128">
                  <c:v>0.75716814159292001</c:v>
                </c:pt>
                <c:pt idx="129">
                  <c:v>0.76076512455515999</c:v>
                </c:pt>
                <c:pt idx="130">
                  <c:v>0.76920353982300804</c:v>
                </c:pt>
                <c:pt idx="131">
                  <c:v>0.76906854130052704</c:v>
                </c:pt>
                <c:pt idx="132">
                  <c:v>0.78405017921146902</c:v>
                </c:pt>
                <c:pt idx="133">
                  <c:v>0.77633928571428501</c:v>
                </c:pt>
                <c:pt idx="134">
                  <c:v>0.77829596412556001</c:v>
                </c:pt>
                <c:pt idx="135">
                  <c:v>0.77763975155279497</c:v>
                </c:pt>
                <c:pt idx="136">
                  <c:v>0.78809523809523796</c:v>
                </c:pt>
                <c:pt idx="137">
                  <c:v>0.76702412868632697</c:v>
                </c:pt>
                <c:pt idx="138">
                  <c:v>0.76126760563380202</c:v>
                </c:pt>
                <c:pt idx="139">
                  <c:v>0.76855670103092699</c:v>
                </c:pt>
                <c:pt idx="140">
                  <c:v>0.77304347826086905</c:v>
                </c:pt>
                <c:pt idx="141">
                  <c:v>0.76923736075407001</c:v>
                </c:pt>
                <c:pt idx="142">
                  <c:v>0.76298533218291598</c:v>
                </c:pt>
                <c:pt idx="143">
                  <c:v>0.77025371828521405</c:v>
                </c:pt>
                <c:pt idx="144">
                  <c:v>0.77027491408934701</c:v>
                </c:pt>
                <c:pt idx="145">
                  <c:v>0.78050043140638403</c:v>
                </c:pt>
                <c:pt idx="146">
                  <c:v>0.78429184549356201</c:v>
                </c:pt>
                <c:pt idx="147">
                  <c:v>0.78509532062391596</c:v>
                </c:pt>
                <c:pt idx="148">
                  <c:v>0.79111697449428298</c:v>
                </c:pt>
                <c:pt idx="149">
                  <c:v>0.81858325666973297</c:v>
                </c:pt>
                <c:pt idx="150">
                  <c:v>0.76116751269035499</c:v>
                </c:pt>
                <c:pt idx="151">
                  <c:v>0.76347975882859598</c:v>
                </c:pt>
                <c:pt idx="152">
                  <c:v>0.76435304198800302</c:v>
                </c:pt>
                <c:pt idx="153">
                  <c:v>0.78264957264957202</c:v>
                </c:pt>
                <c:pt idx="154">
                  <c:v>0.82164429530201299</c:v>
                </c:pt>
                <c:pt idx="155">
                  <c:v>0.82533670033670004</c:v>
                </c:pt>
                <c:pt idx="156">
                  <c:v>0.83737458193979897</c:v>
                </c:pt>
                <c:pt idx="157">
                  <c:v>0.85296574770258904</c:v>
                </c:pt>
                <c:pt idx="158">
                  <c:v>0.840311986863711</c:v>
                </c:pt>
                <c:pt idx="159">
                  <c:v>0.84708333333333297</c:v>
                </c:pt>
                <c:pt idx="160">
                  <c:v>0.83346938775510204</c:v>
                </c:pt>
                <c:pt idx="161">
                  <c:v>0.84900990099009899</c:v>
                </c:pt>
                <c:pt idx="162">
                  <c:v>0.83957654723126995</c:v>
                </c:pt>
                <c:pt idx="163">
                  <c:v>0.82033762057877802</c:v>
                </c:pt>
                <c:pt idx="164">
                  <c:v>0.82185748598879105</c:v>
                </c:pt>
                <c:pt idx="165">
                  <c:v>0.83823529411764697</c:v>
                </c:pt>
                <c:pt idx="166">
                  <c:v>0.82765612327656102</c:v>
                </c:pt>
                <c:pt idx="167">
                  <c:v>0.85365853658536495</c:v>
                </c:pt>
                <c:pt idx="168">
                  <c:v>0.84283276450511901</c:v>
                </c:pt>
                <c:pt idx="169">
                  <c:v>0.82182572614107796</c:v>
                </c:pt>
                <c:pt idx="170">
                  <c:v>0.82233250620347398</c:v>
                </c:pt>
                <c:pt idx="171">
                  <c:v>0.82174643157010896</c:v>
                </c:pt>
                <c:pt idx="172">
                  <c:v>0.81857968620974397</c:v>
                </c:pt>
                <c:pt idx="173">
                  <c:v>0.83082770270270201</c:v>
                </c:pt>
                <c:pt idx="174">
                  <c:v>0.82556203164029895</c:v>
                </c:pt>
                <c:pt idx="175">
                  <c:v>0.82299999999999995</c:v>
                </c:pt>
                <c:pt idx="176">
                  <c:v>0.82812234494477399</c:v>
                </c:pt>
                <c:pt idx="177">
                  <c:v>0.81975945017182095</c:v>
                </c:pt>
                <c:pt idx="178">
                  <c:v>0.81626506024096301</c:v>
                </c:pt>
                <c:pt idx="179">
                  <c:v>0.82555555555555504</c:v>
                </c:pt>
                <c:pt idx="180">
                  <c:v>0.83927958833619198</c:v>
                </c:pt>
                <c:pt idx="181">
                  <c:v>0.82464912280701697</c:v>
                </c:pt>
                <c:pt idx="182">
                  <c:v>0.81818958155422705</c:v>
                </c:pt>
                <c:pt idx="183">
                  <c:v>0.80371935756551105</c:v>
                </c:pt>
                <c:pt idx="184">
                  <c:v>0.81775700934579398</c:v>
                </c:pt>
                <c:pt idx="185">
                  <c:v>0.82247667514843004</c:v>
                </c:pt>
                <c:pt idx="186">
                  <c:v>0.82063086104006799</c:v>
                </c:pt>
                <c:pt idx="187">
                  <c:v>0.80476190476190401</c:v>
                </c:pt>
                <c:pt idx="188">
                  <c:v>0.81313383208644996</c:v>
                </c:pt>
                <c:pt idx="189">
                  <c:v>0.79219123505976097</c:v>
                </c:pt>
                <c:pt idx="190">
                  <c:v>0.78896999188969896</c:v>
                </c:pt>
                <c:pt idx="191">
                  <c:v>0.79352226720647701</c:v>
                </c:pt>
                <c:pt idx="192">
                  <c:v>0.759692307692307</c:v>
                </c:pt>
                <c:pt idx="193">
                  <c:v>0.75691847419596103</c:v>
                </c:pt>
                <c:pt idx="194">
                  <c:v>0.76384730538922097</c:v>
                </c:pt>
                <c:pt idx="195">
                  <c:v>0.74616508400292103</c:v>
                </c:pt>
                <c:pt idx="196">
                  <c:v>0.75856929955290597</c:v>
                </c:pt>
                <c:pt idx="197">
                  <c:v>0.76664173522812196</c:v>
                </c:pt>
                <c:pt idx="198">
                  <c:v>0.77074074074073995</c:v>
                </c:pt>
                <c:pt idx="199">
                  <c:v>0.76418570375828998</c:v>
                </c:pt>
                <c:pt idx="200">
                  <c:v>0.75682471264367801</c:v>
                </c:pt>
                <c:pt idx="201">
                  <c:v>0.76688693098384697</c:v>
                </c:pt>
                <c:pt idx="202">
                  <c:v>0.75835755813953398</c:v>
                </c:pt>
                <c:pt idx="203">
                  <c:v>0.75890909090908998</c:v>
                </c:pt>
                <c:pt idx="204">
                  <c:v>0.75602629656683695</c:v>
                </c:pt>
                <c:pt idx="205">
                  <c:v>0.75562001450326299</c:v>
                </c:pt>
                <c:pt idx="206">
                  <c:v>0.76492537313432796</c:v>
                </c:pt>
                <c:pt idx="207">
                  <c:v>0.750899928005759</c:v>
                </c:pt>
                <c:pt idx="208">
                  <c:v>0.75757575757575701</c:v>
                </c:pt>
                <c:pt idx="209">
                  <c:v>0.746931407942238</c:v>
                </c:pt>
                <c:pt idx="210">
                  <c:v>0.76643730886850103</c:v>
                </c:pt>
                <c:pt idx="211">
                  <c:v>0.76237989652623706</c:v>
                </c:pt>
                <c:pt idx="212">
                  <c:v>0.77438136826783099</c:v>
                </c:pt>
                <c:pt idx="213">
                  <c:v>0.74891461649782898</c:v>
                </c:pt>
                <c:pt idx="214">
                  <c:v>0.76496034607065599</c:v>
                </c:pt>
                <c:pt idx="215">
                  <c:v>0.78507462686567098</c:v>
                </c:pt>
                <c:pt idx="216">
                  <c:v>0.78841870824053395</c:v>
                </c:pt>
                <c:pt idx="217">
                  <c:v>0.78587443946188296</c:v>
                </c:pt>
                <c:pt idx="218">
                  <c:v>0.77910447761194002</c:v>
                </c:pt>
                <c:pt idx="219">
                  <c:v>0.78219278881530496</c:v>
                </c:pt>
                <c:pt idx="220">
                  <c:v>0.78383321141185003</c:v>
                </c:pt>
                <c:pt idx="221">
                  <c:v>0.78161764705882297</c:v>
                </c:pt>
                <c:pt idx="222">
                  <c:v>0.78122690317812205</c:v>
                </c:pt>
                <c:pt idx="223">
                  <c:v>0.78502949852507298</c:v>
                </c:pt>
                <c:pt idx="224">
                  <c:v>0.77995720399429302</c:v>
                </c:pt>
                <c:pt idx="225">
                  <c:v>0.76481213872832299</c:v>
                </c:pt>
                <c:pt idx="226">
                  <c:v>0.76221735959153902</c:v>
                </c:pt>
                <c:pt idx="227">
                  <c:v>0.76988217967599404</c:v>
                </c:pt>
                <c:pt idx="228">
                  <c:v>0.76206140350877105</c:v>
                </c:pt>
                <c:pt idx="229">
                  <c:v>0.79508196721311397</c:v>
                </c:pt>
                <c:pt idx="230">
                  <c:v>0.78099173553719003</c:v>
                </c:pt>
                <c:pt idx="231">
                  <c:v>0.78335832083958001</c:v>
                </c:pt>
                <c:pt idx="232">
                  <c:v>0.76704545454545403</c:v>
                </c:pt>
                <c:pt idx="233">
                  <c:v>0.77112135176651297</c:v>
                </c:pt>
                <c:pt idx="234">
                  <c:v>0.76672012830793901</c:v>
                </c:pt>
                <c:pt idx="235">
                  <c:v>0.77451133698201702</c:v>
                </c:pt>
                <c:pt idx="236">
                  <c:v>0.77152886115444597</c:v>
                </c:pt>
                <c:pt idx="237">
                  <c:v>0.76012965964343504</c:v>
                </c:pt>
                <c:pt idx="238">
                  <c:v>0.73599999999999999</c:v>
                </c:pt>
                <c:pt idx="239">
                  <c:v>0.73580060422960702</c:v>
                </c:pt>
                <c:pt idx="240">
                  <c:v>0.73051711580480605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0.80772631133598716</c:v>
                </c:pt>
                <c:pt idx="1">
                  <c:v>0.80699906876709349</c:v>
                </c:pt>
                <c:pt idx="2">
                  <c:v>0.80691186755126576</c:v>
                </c:pt>
                <c:pt idx="3">
                  <c:v>0.80729446329551857</c:v>
                </c:pt>
                <c:pt idx="4">
                  <c:v>0.80818011001165624</c:v>
                </c:pt>
                <c:pt idx="5">
                  <c:v>0.80907391260089323</c:v>
                </c:pt>
                <c:pt idx="6">
                  <c:v>0.80988997946348573</c:v>
                </c:pt>
                <c:pt idx="7">
                  <c:v>0.81097662236751955</c:v>
                </c:pt>
                <c:pt idx="8">
                  <c:v>0.81266730310789226</c:v>
                </c:pt>
                <c:pt idx="9">
                  <c:v>0.81403848719837102</c:v>
                </c:pt>
                <c:pt idx="10">
                  <c:v>0.814956615059233</c:v>
                </c:pt>
                <c:pt idx="11">
                  <c:v>0.81673351057684185</c:v>
                </c:pt>
                <c:pt idx="12">
                  <c:v>0.81784411687763581</c:v>
                </c:pt>
                <c:pt idx="13">
                  <c:v>0.81949935362892123</c:v>
                </c:pt>
                <c:pt idx="14">
                  <c:v>0.82157764029576819</c:v>
                </c:pt>
                <c:pt idx="15">
                  <c:v>0.82124931342489438</c:v>
                </c:pt>
                <c:pt idx="16">
                  <c:v>0.82044294989791378</c:v>
                </c:pt>
                <c:pt idx="17">
                  <c:v>0.82008323821031048</c:v>
                </c:pt>
                <c:pt idx="18">
                  <c:v>0.82035169295101884</c:v>
                </c:pt>
                <c:pt idx="19">
                  <c:v>0.82019632407388265</c:v>
                </c:pt>
                <c:pt idx="20">
                  <c:v>0.82023570721590155</c:v>
                </c:pt>
                <c:pt idx="21">
                  <c:v>0.81996860190138487</c:v>
                </c:pt>
                <c:pt idx="22">
                  <c:v>0.81870295471121846</c:v>
                </c:pt>
                <c:pt idx="23">
                  <c:v>0.8181595145275522</c:v>
                </c:pt>
                <c:pt idx="24">
                  <c:v>0.81817084188207212</c:v>
                </c:pt>
                <c:pt idx="25">
                  <c:v>0.81832971359808693</c:v>
                </c:pt>
                <c:pt idx="26">
                  <c:v>0.81826865309322994</c:v>
                </c:pt>
                <c:pt idx="27">
                  <c:v>0.81826523740130019</c:v>
                </c:pt>
                <c:pt idx="28">
                  <c:v>0.81826235941022896</c:v>
                </c:pt>
                <c:pt idx="29">
                  <c:v>0.81822550257292115</c:v>
                </c:pt>
                <c:pt idx="30">
                  <c:v>0.81823078868131704</c:v>
                </c:pt>
                <c:pt idx="31">
                  <c:v>0.8183024779974708</c:v>
                </c:pt>
                <c:pt idx="32">
                  <c:v>0.8178930533283052</c:v>
                </c:pt>
                <c:pt idx="33">
                  <c:v>0.81771454662393561</c:v>
                </c:pt>
                <c:pt idx="34">
                  <c:v>0.816566143789902</c:v>
                </c:pt>
                <c:pt idx="35">
                  <c:v>0.81476460557148378</c:v>
                </c:pt>
                <c:pt idx="36">
                  <c:v>0.81487189321800946</c:v>
                </c:pt>
                <c:pt idx="37">
                  <c:v>0.81497742495301029</c:v>
                </c:pt>
                <c:pt idx="38">
                  <c:v>0.81465257196822882</c:v>
                </c:pt>
                <c:pt idx="39">
                  <c:v>0.81489165864069357</c:v>
                </c:pt>
                <c:pt idx="40">
                  <c:v>0.81524325045753043</c:v>
                </c:pt>
                <c:pt idx="41">
                  <c:v>0.8151014086259496</c:v>
                </c:pt>
                <c:pt idx="42">
                  <c:v>0.81473863922326883</c:v>
                </c:pt>
                <c:pt idx="43">
                  <c:v>0.81469729287873793</c:v>
                </c:pt>
                <c:pt idx="44">
                  <c:v>0.81450485016862018</c:v>
                </c:pt>
                <c:pt idx="45">
                  <c:v>0.81453332453090732</c:v>
                </c:pt>
                <c:pt idx="46">
                  <c:v>0.81452558347978665</c:v>
                </c:pt>
                <c:pt idx="47">
                  <c:v>0.81445288954359618</c:v>
                </c:pt>
                <c:pt idx="48">
                  <c:v>0.81450855401393596</c:v>
                </c:pt>
                <c:pt idx="49">
                  <c:v>0.81472266096519319</c:v>
                </c:pt>
                <c:pt idx="50">
                  <c:v>0.81472441798011042</c:v>
                </c:pt>
                <c:pt idx="51">
                  <c:v>0.81461162201506876</c:v>
                </c:pt>
                <c:pt idx="52">
                  <c:v>0.81461100964748323</c:v>
                </c:pt>
                <c:pt idx="53">
                  <c:v>0.81458160211396835</c:v>
                </c:pt>
                <c:pt idx="54">
                  <c:v>0.81462811937152257</c:v>
                </c:pt>
                <c:pt idx="55">
                  <c:v>0.81464185633777786</c:v>
                </c:pt>
                <c:pt idx="56">
                  <c:v>0.81464067373892302</c:v>
                </c:pt>
                <c:pt idx="57">
                  <c:v>0.81464841120831377</c:v>
                </c:pt>
                <c:pt idx="58">
                  <c:v>0.81487541124090224</c:v>
                </c:pt>
                <c:pt idx="59">
                  <c:v>0.81492800235780527</c:v>
                </c:pt>
                <c:pt idx="60">
                  <c:v>0.815029110849813</c:v>
                </c:pt>
                <c:pt idx="61">
                  <c:v>0.81506194398574006</c:v>
                </c:pt>
                <c:pt idx="62">
                  <c:v>0.81525604753387904</c:v>
                </c:pt>
                <c:pt idx="63">
                  <c:v>0.81521589961001073</c:v>
                </c:pt>
                <c:pt idx="64">
                  <c:v>0.81510615435001699</c:v>
                </c:pt>
                <c:pt idx="65">
                  <c:v>0.81510451766634906</c:v>
                </c:pt>
                <c:pt idx="66">
                  <c:v>0.81512957266859876</c:v>
                </c:pt>
                <c:pt idx="67">
                  <c:v>0.8151255496692138</c:v>
                </c:pt>
                <c:pt idx="68">
                  <c:v>0.81510678040269302</c:v>
                </c:pt>
                <c:pt idx="69">
                  <c:v>0.81484685116175748</c:v>
                </c:pt>
                <c:pt idx="70">
                  <c:v>0.81458504507263885</c:v>
                </c:pt>
                <c:pt idx="71">
                  <c:v>0.81424885291324645</c:v>
                </c:pt>
                <c:pt idx="72">
                  <c:v>0.81432224183697</c:v>
                </c:pt>
                <c:pt idx="73">
                  <c:v>0.81426098037796146</c:v>
                </c:pt>
                <c:pt idx="74">
                  <c:v>0.81456816335867921</c:v>
                </c:pt>
                <c:pt idx="75">
                  <c:v>0.81633662140429197</c:v>
                </c:pt>
                <c:pt idx="76">
                  <c:v>0.81589584612178778</c:v>
                </c:pt>
                <c:pt idx="77">
                  <c:v>0.81521111878256458</c:v>
                </c:pt>
                <c:pt idx="78">
                  <c:v>0.81406614637853181</c:v>
                </c:pt>
                <c:pt idx="79">
                  <c:v>0.8133544724134224</c:v>
                </c:pt>
                <c:pt idx="80">
                  <c:v>0.81478872966337523</c:v>
                </c:pt>
                <c:pt idx="81">
                  <c:v>0.8164986384189995</c:v>
                </c:pt>
                <c:pt idx="82">
                  <c:v>0.81883106929837735</c:v>
                </c:pt>
                <c:pt idx="83">
                  <c:v>0.82179536129831399</c:v>
                </c:pt>
                <c:pt idx="84">
                  <c:v>0.82387589967157271</c:v>
                </c:pt>
                <c:pt idx="85">
                  <c:v>0.8268689008217216</c:v>
                </c:pt>
                <c:pt idx="86">
                  <c:v>0.8279600697799433</c:v>
                </c:pt>
                <c:pt idx="87">
                  <c:v>0.83064785570574418</c:v>
                </c:pt>
                <c:pt idx="88">
                  <c:v>0.83180612906775553</c:v>
                </c:pt>
                <c:pt idx="89">
                  <c:v>0.83128049224975142</c:v>
                </c:pt>
                <c:pt idx="90">
                  <c:v>0.83265468183343805</c:v>
                </c:pt>
                <c:pt idx="91">
                  <c:v>0.83523168261106817</c:v>
                </c:pt>
                <c:pt idx="92">
                  <c:v>0.83700778457741132</c:v>
                </c:pt>
                <c:pt idx="93">
                  <c:v>0.84017982564655003</c:v>
                </c:pt>
                <c:pt idx="94">
                  <c:v>0.84255035000317635</c:v>
                </c:pt>
                <c:pt idx="95">
                  <c:v>0.84370723700997319</c:v>
                </c:pt>
                <c:pt idx="96">
                  <c:v>0.84454006598091058</c:v>
                </c:pt>
                <c:pt idx="97">
                  <c:v>0.84557712600396739</c:v>
                </c:pt>
                <c:pt idx="98">
                  <c:v>0.84653820768372068</c:v>
                </c:pt>
                <c:pt idx="99">
                  <c:v>0.84793300639832681</c:v>
                </c:pt>
                <c:pt idx="100">
                  <c:v>0.84866430181861063</c:v>
                </c:pt>
                <c:pt idx="101">
                  <c:v>0.84938236974244552</c:v>
                </c:pt>
                <c:pt idx="102">
                  <c:v>0.85047383499944618</c:v>
                </c:pt>
                <c:pt idx="103">
                  <c:v>0.85120461325161501</c:v>
                </c:pt>
                <c:pt idx="104">
                  <c:v>0.85179434983410407</c:v>
                </c:pt>
                <c:pt idx="105">
                  <c:v>0.85271365859312009</c:v>
                </c:pt>
                <c:pt idx="106">
                  <c:v>0.85385030133056783</c:v>
                </c:pt>
                <c:pt idx="107">
                  <c:v>0.85464478296255653</c:v>
                </c:pt>
                <c:pt idx="108">
                  <c:v>0.85523091296134779</c:v>
                </c:pt>
                <c:pt idx="109">
                  <c:v>0.85545682982025917</c:v>
                </c:pt>
                <c:pt idx="110">
                  <c:v>0.85599792119927942</c:v>
                </c:pt>
                <c:pt idx="111">
                  <c:v>0.85669588455103718</c:v>
                </c:pt>
                <c:pt idx="112">
                  <c:v>0.85732532718398624</c:v>
                </c:pt>
                <c:pt idx="113">
                  <c:v>0.85752932368880641</c:v>
                </c:pt>
                <c:pt idx="114">
                  <c:v>0.8579157111447766</c:v>
                </c:pt>
                <c:pt idx="115">
                  <c:v>0.85793395731269739</c:v>
                </c:pt>
                <c:pt idx="116">
                  <c:v>0.85790242212441514</c:v>
                </c:pt>
                <c:pt idx="117">
                  <c:v>0.85784494526745547</c:v>
                </c:pt>
                <c:pt idx="118">
                  <c:v>0.85800336840602143</c:v>
                </c:pt>
                <c:pt idx="119">
                  <c:v>0.85821030908613283</c:v>
                </c:pt>
                <c:pt idx="120">
                  <c:v>0.85807195877368936</c:v>
                </c:pt>
                <c:pt idx="121">
                  <c:v>0.85869321990081215</c:v>
                </c:pt>
                <c:pt idx="122">
                  <c:v>0.85893630463041526</c:v>
                </c:pt>
                <c:pt idx="123">
                  <c:v>0.85905207855569821</c:v>
                </c:pt>
                <c:pt idx="124">
                  <c:v>0.85911821896671459</c:v>
                </c:pt>
                <c:pt idx="125">
                  <c:v>0.85920791295268895</c:v>
                </c:pt>
                <c:pt idx="126">
                  <c:v>0.85942141570038522</c:v>
                </c:pt>
                <c:pt idx="127">
                  <c:v>0.85939836218180754</c:v>
                </c:pt>
                <c:pt idx="128">
                  <c:v>0.85932112122931981</c:v>
                </c:pt>
                <c:pt idx="129">
                  <c:v>0.85928385999857582</c:v>
                </c:pt>
                <c:pt idx="130">
                  <c:v>0.85938359412684928</c:v>
                </c:pt>
                <c:pt idx="131">
                  <c:v>0.85961866514888063</c:v>
                </c:pt>
                <c:pt idx="132">
                  <c:v>0.85967304371482878</c:v>
                </c:pt>
                <c:pt idx="133">
                  <c:v>0.86008080657381747</c:v>
                </c:pt>
                <c:pt idx="134">
                  <c:v>0.86030926130442442</c:v>
                </c:pt>
                <c:pt idx="135">
                  <c:v>0.86078770779581837</c:v>
                </c:pt>
                <c:pt idx="136">
                  <c:v>0.86086561443676879</c:v>
                </c:pt>
                <c:pt idx="137">
                  <c:v>0.86096865698573599</c:v>
                </c:pt>
                <c:pt idx="138">
                  <c:v>0.86091274612174939</c:v>
                </c:pt>
                <c:pt idx="139">
                  <c:v>0.86116415815981595</c:v>
                </c:pt>
                <c:pt idx="140">
                  <c:v>0.86120224196219175</c:v>
                </c:pt>
                <c:pt idx="141">
                  <c:v>0.86119526123996015</c:v>
                </c:pt>
                <c:pt idx="142">
                  <c:v>0.86117630421540381</c:v>
                </c:pt>
                <c:pt idx="143">
                  <c:v>0.86106348131251687</c:v>
                </c:pt>
                <c:pt idx="144">
                  <c:v>0.86101940186734383</c:v>
                </c:pt>
                <c:pt idx="145">
                  <c:v>0.86097346584782253</c:v>
                </c:pt>
                <c:pt idx="146">
                  <c:v>0.86097671012195043</c:v>
                </c:pt>
                <c:pt idx="147">
                  <c:v>0.86097236273024658</c:v>
                </c:pt>
                <c:pt idx="148">
                  <c:v>0.860965241425515</c:v>
                </c:pt>
                <c:pt idx="149">
                  <c:v>0.86092875402138325</c:v>
                </c:pt>
                <c:pt idx="150">
                  <c:v>0.86032753633122883</c:v>
                </c:pt>
                <c:pt idx="151">
                  <c:v>0.86027469877030016</c:v>
                </c:pt>
                <c:pt idx="152">
                  <c:v>0.86029318398623622</c:v>
                </c:pt>
                <c:pt idx="153">
                  <c:v>0.86023168193129085</c:v>
                </c:pt>
                <c:pt idx="154">
                  <c:v>0.86036801559174925</c:v>
                </c:pt>
                <c:pt idx="155">
                  <c:v>0.85974018812042696</c:v>
                </c:pt>
                <c:pt idx="156">
                  <c:v>0.8588652859263074</c:v>
                </c:pt>
                <c:pt idx="157">
                  <c:v>0.8574392115034124</c:v>
                </c:pt>
                <c:pt idx="158">
                  <c:v>0.85511180436801404</c:v>
                </c:pt>
                <c:pt idx="159">
                  <c:v>0.85341813124523835</c:v>
                </c:pt>
                <c:pt idx="160">
                  <c:v>0.85128267911900979</c:v>
                </c:pt>
                <c:pt idx="161">
                  <c:v>0.84980917592679739</c:v>
                </c:pt>
                <c:pt idx="162">
                  <c:v>0.84734882766265307</c:v>
                </c:pt>
                <c:pt idx="163">
                  <c:v>0.84548923637097184</c:v>
                </c:pt>
                <c:pt idx="164">
                  <c:v>0.84512882436824255</c:v>
                </c:pt>
                <c:pt idx="165">
                  <c:v>0.84460979544903936</c:v>
                </c:pt>
                <c:pt idx="166">
                  <c:v>0.84328303421320439</c:v>
                </c:pt>
                <c:pt idx="167">
                  <c:v>0.84208108292252337</c:v>
                </c:pt>
                <c:pt idx="168">
                  <c:v>0.83885052129312421</c:v>
                </c:pt>
                <c:pt idx="169">
                  <c:v>0.83633019749286841</c:v>
                </c:pt>
                <c:pt idx="170">
                  <c:v>0.83493990012300134</c:v>
                </c:pt>
                <c:pt idx="171">
                  <c:v>0.83362149981092504</c:v>
                </c:pt>
                <c:pt idx="172">
                  <c:v>0.83246421560791484</c:v>
                </c:pt>
                <c:pt idx="173">
                  <c:v>0.83177587978204948</c:v>
                </c:pt>
                <c:pt idx="174">
                  <c:v>0.83009816218162635</c:v>
                </c:pt>
                <c:pt idx="175">
                  <c:v>0.82862346046024526</c:v>
                </c:pt>
                <c:pt idx="176">
                  <c:v>0.82703973068087544</c:v>
                </c:pt>
                <c:pt idx="177">
                  <c:v>0.82486668955941322</c:v>
                </c:pt>
                <c:pt idx="178">
                  <c:v>0.82342149082075322</c:v>
                </c:pt>
                <c:pt idx="179">
                  <c:v>0.82244225727135167</c:v>
                </c:pt>
                <c:pt idx="180">
                  <c:v>0.82049170007659344</c:v>
                </c:pt>
                <c:pt idx="181">
                  <c:v>0.81750536018758302</c:v>
                </c:pt>
                <c:pt idx="182">
                  <c:v>0.81624756888965577</c:v>
                </c:pt>
                <c:pt idx="183">
                  <c:v>0.8158806907758327</c:v>
                </c:pt>
                <c:pt idx="184">
                  <c:v>0.81641440031486734</c:v>
                </c:pt>
                <c:pt idx="185">
                  <c:v>0.81609601306854829</c:v>
                </c:pt>
                <c:pt idx="186">
                  <c:v>0.8154977388318746</c:v>
                </c:pt>
                <c:pt idx="187">
                  <c:v>0.81536042476970128</c:v>
                </c:pt>
                <c:pt idx="188">
                  <c:v>0.8159747441348022</c:v>
                </c:pt>
                <c:pt idx="189">
                  <c:v>0.81748427127609613</c:v>
                </c:pt>
                <c:pt idx="190">
                  <c:v>0.81965723020318815</c:v>
                </c:pt>
                <c:pt idx="191">
                  <c:v>0.82260756493149978</c:v>
                </c:pt>
                <c:pt idx="192">
                  <c:v>0.82457779444050938</c:v>
                </c:pt>
                <c:pt idx="193">
                  <c:v>0.82751891875567662</c:v>
                </c:pt>
                <c:pt idx="194">
                  <c:v>0.82973024648249827</c:v>
                </c:pt>
                <c:pt idx="195">
                  <c:v>0.83151053763502625</c:v>
                </c:pt>
                <c:pt idx="196">
                  <c:v>0.83283648290201995</c:v>
                </c:pt>
                <c:pt idx="197">
                  <c:v>0.83444484873144842</c:v>
                </c:pt>
                <c:pt idx="198">
                  <c:v>0.83516688177670284</c:v>
                </c:pt>
                <c:pt idx="199">
                  <c:v>0.83563744810082774</c:v>
                </c:pt>
                <c:pt idx="200">
                  <c:v>0.83583000466059665</c:v>
                </c:pt>
                <c:pt idx="201">
                  <c:v>0.83517361941420465</c:v>
                </c:pt>
                <c:pt idx="202">
                  <c:v>0.83416600161001475</c:v>
                </c:pt>
                <c:pt idx="203">
                  <c:v>0.83335439103120457</c:v>
                </c:pt>
                <c:pt idx="204">
                  <c:v>0.83251551209597374</c:v>
                </c:pt>
                <c:pt idx="205">
                  <c:v>0.83173315761717015</c:v>
                </c:pt>
                <c:pt idx="206">
                  <c:v>0.83130348917018659</c:v>
                </c:pt>
                <c:pt idx="207">
                  <c:v>0.83093570221171098</c:v>
                </c:pt>
                <c:pt idx="208">
                  <c:v>0.83098352038487588</c:v>
                </c:pt>
                <c:pt idx="209">
                  <c:v>0.83069357212385975</c:v>
                </c:pt>
                <c:pt idx="210">
                  <c:v>0.83043430783243555</c:v>
                </c:pt>
                <c:pt idx="211">
                  <c:v>0.82930571680740039</c:v>
                </c:pt>
                <c:pt idx="212">
                  <c:v>0.82833451685205095</c:v>
                </c:pt>
                <c:pt idx="213">
                  <c:v>0.82677233043732201</c:v>
                </c:pt>
                <c:pt idx="214">
                  <c:v>0.82591337058566594</c:v>
                </c:pt>
                <c:pt idx="215">
                  <c:v>0.82460075253114373</c:v>
                </c:pt>
                <c:pt idx="216">
                  <c:v>0.82224369162679745</c:v>
                </c:pt>
                <c:pt idx="217">
                  <c:v>0.81948465556350314</c:v>
                </c:pt>
                <c:pt idx="218">
                  <c:v>0.81677072229221959</c:v>
                </c:pt>
                <c:pt idx="219">
                  <c:v>0.8143219548003231</c:v>
                </c:pt>
                <c:pt idx="220">
                  <c:v>0.81189566092628818</c:v>
                </c:pt>
                <c:pt idx="221">
                  <c:v>0.80936821234760159</c:v>
                </c:pt>
                <c:pt idx="222">
                  <c:v>0.80667744308866773</c:v>
                </c:pt>
                <c:pt idx="223">
                  <c:v>0.8040403310642944</c:v>
                </c:pt>
                <c:pt idx="224">
                  <c:v>0.80143350259689639</c:v>
                </c:pt>
                <c:pt idx="225">
                  <c:v>0.79899430428440021</c:v>
                </c:pt>
                <c:pt idx="226">
                  <c:v>0.79746447725698555</c:v>
                </c:pt>
                <c:pt idx="227">
                  <c:v>0.79635508874762639</c:v>
                </c:pt>
                <c:pt idx="228">
                  <c:v>0.79519515290280796</c:v>
                </c:pt>
                <c:pt idx="229">
                  <c:v>0.79482380779558892</c:v>
                </c:pt>
                <c:pt idx="230">
                  <c:v>0.79313444131289101</c:v>
                </c:pt>
                <c:pt idx="231">
                  <c:v>0.7929172261434988</c:v>
                </c:pt>
                <c:pt idx="232">
                  <c:v>0.79226570609566349</c:v>
                </c:pt>
                <c:pt idx="233">
                  <c:v>0.79259302712669055</c:v>
                </c:pt>
                <c:pt idx="234">
                  <c:v>0.79288642035851586</c:v>
                </c:pt>
                <c:pt idx="235">
                  <c:v>0.79285219997741985</c:v>
                </c:pt>
                <c:pt idx="236">
                  <c:v>0.79372730138324077</c:v>
                </c:pt>
                <c:pt idx="237">
                  <c:v>0.79541450815379344</c:v>
                </c:pt>
                <c:pt idx="238">
                  <c:v>0.79767892782267613</c:v>
                </c:pt>
                <c:pt idx="239">
                  <c:v>0.80026869292144609</c:v>
                </c:pt>
                <c:pt idx="240">
                  <c:v>0.80331504084029737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0.72598634577070675</c:v>
                </c:pt>
                <c:pt idx="1">
                  <c:v>0.72892735201680658</c:v>
                </c:pt>
                <c:pt idx="2">
                  <c:v>0.73113467057005821</c:v>
                </c:pt>
                <c:pt idx="3">
                  <c:v>0.73305520135243141</c:v>
                </c:pt>
                <c:pt idx="4">
                  <c:v>0.73378653158876384</c:v>
                </c:pt>
                <c:pt idx="5">
                  <c:v>0.73405949860950881</c:v>
                </c:pt>
                <c:pt idx="6">
                  <c:v>0.73395566661977818</c:v>
                </c:pt>
                <c:pt idx="7">
                  <c:v>0.7336158842577124</c:v>
                </c:pt>
                <c:pt idx="8">
                  <c:v>0.73276174706515385</c:v>
                </c:pt>
                <c:pt idx="9">
                  <c:v>0.73229655297073104</c:v>
                </c:pt>
                <c:pt idx="10">
                  <c:v>0.73222216666281292</c:v>
                </c:pt>
                <c:pt idx="11">
                  <c:v>0.73194732860504219</c:v>
                </c:pt>
                <c:pt idx="12">
                  <c:v>0.7316510705499002</c:v>
                </c:pt>
                <c:pt idx="13">
                  <c:v>0.73085997629225474</c:v>
                </c:pt>
                <c:pt idx="14">
                  <c:v>0.72980605544771171</c:v>
                </c:pt>
                <c:pt idx="15">
                  <c:v>0.72986236774308355</c:v>
                </c:pt>
                <c:pt idx="16">
                  <c:v>0.72977467373955829</c:v>
                </c:pt>
                <c:pt idx="17">
                  <c:v>0.72931287430341563</c:v>
                </c:pt>
                <c:pt idx="18">
                  <c:v>0.72824962626077117</c:v>
                </c:pt>
                <c:pt idx="19">
                  <c:v>0.72745010493865936</c:v>
                </c:pt>
                <c:pt idx="20">
                  <c:v>0.72717846569713041</c:v>
                </c:pt>
                <c:pt idx="21">
                  <c:v>0.72604950450744921</c:v>
                </c:pt>
                <c:pt idx="22">
                  <c:v>0.72586751650114556</c:v>
                </c:pt>
                <c:pt idx="23">
                  <c:v>0.7256841748640197</c:v>
                </c:pt>
                <c:pt idx="24">
                  <c:v>0.72557924443521982</c:v>
                </c:pt>
                <c:pt idx="25">
                  <c:v>0.72516819101608898</c:v>
                </c:pt>
                <c:pt idx="26">
                  <c:v>0.72532786970146401</c:v>
                </c:pt>
                <c:pt idx="27">
                  <c:v>0.72535837711346374</c:v>
                </c:pt>
                <c:pt idx="28">
                  <c:v>0.72531928428125103</c:v>
                </c:pt>
                <c:pt idx="29">
                  <c:v>0.72565117103196475</c:v>
                </c:pt>
                <c:pt idx="30">
                  <c:v>0.72575433988962501</c:v>
                </c:pt>
                <c:pt idx="31">
                  <c:v>0.72507018386619526</c:v>
                </c:pt>
                <c:pt idx="32">
                  <c:v>0.72489876987556479</c:v>
                </c:pt>
                <c:pt idx="33">
                  <c:v>0.72482245413599034</c:v>
                </c:pt>
                <c:pt idx="34">
                  <c:v>0.72522094308597806</c:v>
                </c:pt>
                <c:pt idx="35">
                  <c:v>0.72585306324119825</c:v>
                </c:pt>
                <c:pt idx="36">
                  <c:v>0.72636701357121658</c:v>
                </c:pt>
                <c:pt idx="37">
                  <c:v>0.72712114573339182</c:v>
                </c:pt>
                <c:pt idx="38">
                  <c:v>0.72885329460130321</c:v>
                </c:pt>
                <c:pt idx="39">
                  <c:v>0.72967240760150642</c:v>
                </c:pt>
                <c:pt idx="40">
                  <c:v>0.73040730494982364</c:v>
                </c:pt>
                <c:pt idx="41">
                  <c:v>0.73137904998611836</c:v>
                </c:pt>
                <c:pt idx="42">
                  <c:v>0.73258564241957524</c:v>
                </c:pt>
                <c:pt idx="43">
                  <c:v>0.73299595598100797</c:v>
                </c:pt>
                <c:pt idx="44">
                  <c:v>0.73374287689266182</c:v>
                </c:pt>
                <c:pt idx="45">
                  <c:v>0.73355216127108858</c:v>
                </c:pt>
                <c:pt idx="46">
                  <c:v>0.73425551658458343</c:v>
                </c:pt>
                <c:pt idx="47">
                  <c:v>0.73499360421487381</c:v>
                </c:pt>
                <c:pt idx="48">
                  <c:v>0.73563259091055599</c:v>
                </c:pt>
                <c:pt idx="49">
                  <c:v>0.73597580838308474</c:v>
                </c:pt>
                <c:pt idx="50">
                  <c:v>0.73625002940005169</c:v>
                </c:pt>
                <c:pt idx="51">
                  <c:v>0.73681323250744724</c:v>
                </c:pt>
                <c:pt idx="52">
                  <c:v>0.73682632755490074</c:v>
                </c:pt>
                <c:pt idx="53">
                  <c:v>0.73622713175032362</c:v>
                </c:pt>
                <c:pt idx="54">
                  <c:v>0.73599213530561935</c:v>
                </c:pt>
                <c:pt idx="55">
                  <c:v>0.73588806719755817</c:v>
                </c:pt>
                <c:pt idx="56">
                  <c:v>0.736093651884001</c:v>
                </c:pt>
                <c:pt idx="57">
                  <c:v>0.73620197799048415</c:v>
                </c:pt>
                <c:pt idx="58">
                  <c:v>0.73649042193572378</c:v>
                </c:pt>
                <c:pt idx="59">
                  <c:v>0.73656650204779084</c:v>
                </c:pt>
                <c:pt idx="60">
                  <c:v>0.73675494260198693</c:v>
                </c:pt>
                <c:pt idx="61">
                  <c:v>0.73726543731373595</c:v>
                </c:pt>
                <c:pt idx="62">
                  <c:v>0.73728627681925096</c:v>
                </c:pt>
                <c:pt idx="63">
                  <c:v>0.7371362847113252</c:v>
                </c:pt>
                <c:pt idx="64">
                  <c:v>0.73674880825719502</c:v>
                </c:pt>
                <c:pt idx="65">
                  <c:v>0.73688965948035101</c:v>
                </c:pt>
                <c:pt idx="66">
                  <c:v>0.73712361643553725</c:v>
                </c:pt>
                <c:pt idx="67">
                  <c:v>0.73730138522860011</c:v>
                </c:pt>
                <c:pt idx="68">
                  <c:v>0.73739436706328099</c:v>
                </c:pt>
                <c:pt idx="69">
                  <c:v>0.73722740170291456</c:v>
                </c:pt>
                <c:pt idx="70">
                  <c:v>0.73706554252445322</c:v>
                </c:pt>
                <c:pt idx="71">
                  <c:v>0.73708305094104365</c:v>
                </c:pt>
                <c:pt idx="72">
                  <c:v>0.73709467562087805</c:v>
                </c:pt>
                <c:pt idx="73">
                  <c:v>0.73709726625866656</c:v>
                </c:pt>
                <c:pt idx="74">
                  <c:v>0.73709871480839073</c:v>
                </c:pt>
                <c:pt idx="75">
                  <c:v>0.73642434577221993</c:v>
                </c:pt>
                <c:pt idx="76">
                  <c:v>0.73603313073290821</c:v>
                </c:pt>
                <c:pt idx="77">
                  <c:v>0.73580161431279945</c:v>
                </c:pt>
                <c:pt idx="78">
                  <c:v>0.73582208812636629</c:v>
                </c:pt>
                <c:pt idx="79">
                  <c:v>0.73602351217547757</c:v>
                </c:pt>
                <c:pt idx="80">
                  <c:v>0.73521655153087473</c:v>
                </c:pt>
                <c:pt idx="81">
                  <c:v>0.7342547097147184</c:v>
                </c:pt>
                <c:pt idx="82">
                  <c:v>0.73280128729491056</c:v>
                </c:pt>
                <c:pt idx="83">
                  <c:v>0.73076697653258393</c:v>
                </c:pt>
                <c:pt idx="84">
                  <c:v>0.72948392199798939</c:v>
                </c:pt>
                <c:pt idx="85">
                  <c:v>0.72771205071653844</c:v>
                </c:pt>
                <c:pt idx="86">
                  <c:v>0.72707526489087859</c:v>
                </c:pt>
                <c:pt idx="87">
                  <c:v>0.72547375711862583</c:v>
                </c:pt>
                <c:pt idx="88">
                  <c:v>0.72478152501611437</c:v>
                </c:pt>
                <c:pt idx="89">
                  <c:v>0.72507295642130853</c:v>
                </c:pt>
                <c:pt idx="90">
                  <c:v>0.72463601578852599</c:v>
                </c:pt>
                <c:pt idx="91">
                  <c:v>0.72393955409054178</c:v>
                </c:pt>
                <c:pt idx="92">
                  <c:v>0.72401852450248261</c:v>
                </c:pt>
                <c:pt idx="93">
                  <c:v>0.72386547298038395</c:v>
                </c:pt>
                <c:pt idx="94">
                  <c:v>0.72401410822659362</c:v>
                </c:pt>
                <c:pt idx="95">
                  <c:v>0.72466965796491878</c:v>
                </c:pt>
                <c:pt idx="96">
                  <c:v>0.72603322899693734</c:v>
                </c:pt>
                <c:pt idx="97">
                  <c:v>0.72679630220074254</c:v>
                </c:pt>
                <c:pt idx="98">
                  <c:v>0.72728494879236738</c:v>
                </c:pt>
                <c:pt idx="99">
                  <c:v>0.72789149618696314</c:v>
                </c:pt>
                <c:pt idx="100">
                  <c:v>0.7294192891721234</c:v>
                </c:pt>
                <c:pt idx="101">
                  <c:v>0.73071221061869041</c:v>
                </c:pt>
                <c:pt idx="102">
                  <c:v>0.73149684535911386</c:v>
                </c:pt>
                <c:pt idx="103">
                  <c:v>0.7323332061638691</c:v>
                </c:pt>
                <c:pt idx="104">
                  <c:v>0.73316641613939604</c:v>
                </c:pt>
                <c:pt idx="105">
                  <c:v>0.73390030267217798</c:v>
                </c:pt>
                <c:pt idx="106">
                  <c:v>0.73525026906284818</c:v>
                </c:pt>
                <c:pt idx="107">
                  <c:v>0.73603523646908342</c:v>
                </c:pt>
                <c:pt idx="108">
                  <c:v>0.73670180493517012</c:v>
                </c:pt>
                <c:pt idx="109">
                  <c:v>0.73708780534153684</c:v>
                </c:pt>
                <c:pt idx="110">
                  <c:v>0.73776369553616861</c:v>
                </c:pt>
                <c:pt idx="111">
                  <c:v>0.73833567549051271</c:v>
                </c:pt>
                <c:pt idx="112">
                  <c:v>0.73882607604584183</c:v>
                </c:pt>
                <c:pt idx="113">
                  <c:v>0.73923109794108366</c:v>
                </c:pt>
                <c:pt idx="114">
                  <c:v>0.73956827934075342</c:v>
                </c:pt>
                <c:pt idx="115">
                  <c:v>0.73963044778969067</c:v>
                </c:pt>
                <c:pt idx="116">
                  <c:v>0.7400489846537408</c:v>
                </c:pt>
                <c:pt idx="117">
                  <c:v>0.7407339436375926</c:v>
                </c:pt>
                <c:pt idx="118">
                  <c:v>0.74035034365701058</c:v>
                </c:pt>
                <c:pt idx="119">
                  <c:v>0.73986977596400516</c:v>
                </c:pt>
                <c:pt idx="120">
                  <c:v>0.74018048198696862</c:v>
                </c:pt>
                <c:pt idx="121">
                  <c:v>0.73873810565635778</c:v>
                </c:pt>
                <c:pt idx="122">
                  <c:v>0.73806037154180282</c:v>
                </c:pt>
                <c:pt idx="123">
                  <c:v>0.73759873320965774</c:v>
                </c:pt>
                <c:pt idx="124">
                  <c:v>0.73719561143177548</c:v>
                </c:pt>
                <c:pt idx="125">
                  <c:v>0.73692709332224504</c:v>
                </c:pt>
                <c:pt idx="126">
                  <c:v>0.73637862384738684</c:v>
                </c:pt>
                <c:pt idx="127">
                  <c:v>0.73644475302033841</c:v>
                </c:pt>
                <c:pt idx="128">
                  <c:v>0.73661340679082021</c:v>
                </c:pt>
                <c:pt idx="129">
                  <c:v>0.73669709333666222</c:v>
                </c:pt>
                <c:pt idx="130">
                  <c:v>0.73647099046203279</c:v>
                </c:pt>
                <c:pt idx="131">
                  <c:v>0.73587369209814146</c:v>
                </c:pt>
                <c:pt idx="132">
                  <c:v>0.73570882904776114</c:v>
                </c:pt>
                <c:pt idx="133">
                  <c:v>0.73441705948995462</c:v>
                </c:pt>
                <c:pt idx="134">
                  <c:v>0.73368824400898769</c:v>
                </c:pt>
                <c:pt idx="135">
                  <c:v>0.73237340935270367</c:v>
                </c:pt>
                <c:pt idx="136">
                  <c:v>0.73199677090683912</c:v>
                </c:pt>
                <c:pt idx="137">
                  <c:v>0.73120798591603209</c:v>
                </c:pt>
                <c:pt idx="138">
                  <c:v>0.73146008983552457</c:v>
                </c:pt>
                <c:pt idx="139">
                  <c:v>0.73087926475383203</c:v>
                </c:pt>
                <c:pt idx="140">
                  <c:v>0.73074527815251622</c:v>
                </c:pt>
                <c:pt idx="141">
                  <c:v>0.73107308950420979</c:v>
                </c:pt>
                <c:pt idx="142">
                  <c:v>0.7316035491284042</c:v>
                </c:pt>
                <c:pt idx="143">
                  <c:v>0.73232674822539723</c:v>
                </c:pt>
                <c:pt idx="144">
                  <c:v>0.73260684791928421</c:v>
                </c:pt>
                <c:pt idx="145">
                  <c:v>0.73297059393149744</c:v>
                </c:pt>
                <c:pt idx="146">
                  <c:v>0.73305622379084767</c:v>
                </c:pt>
                <c:pt idx="147">
                  <c:v>0.73298925922429348</c:v>
                </c:pt>
                <c:pt idx="148">
                  <c:v>0.73289322273046908</c:v>
                </c:pt>
                <c:pt idx="149">
                  <c:v>0.73276737744208886</c:v>
                </c:pt>
                <c:pt idx="150">
                  <c:v>0.73233856706089928</c:v>
                </c:pt>
                <c:pt idx="151">
                  <c:v>0.73248859464950578</c:v>
                </c:pt>
                <c:pt idx="152">
                  <c:v>0.73243644545391584</c:v>
                </c:pt>
                <c:pt idx="153">
                  <c:v>0.73264539118054117</c:v>
                </c:pt>
                <c:pt idx="154">
                  <c:v>0.73196003967632683</c:v>
                </c:pt>
                <c:pt idx="155">
                  <c:v>0.73187953839861297</c:v>
                </c:pt>
                <c:pt idx="156">
                  <c:v>0.7315719081980786</c:v>
                </c:pt>
                <c:pt idx="157">
                  <c:v>0.7315575489916355</c:v>
                </c:pt>
                <c:pt idx="158">
                  <c:v>0.73159374830950996</c:v>
                </c:pt>
                <c:pt idx="159">
                  <c:v>0.73144233782969359</c:v>
                </c:pt>
                <c:pt idx="160">
                  <c:v>0.73143477115524425</c:v>
                </c:pt>
                <c:pt idx="161">
                  <c:v>0.73133605966017456</c:v>
                </c:pt>
                <c:pt idx="162">
                  <c:v>0.73173024686203503</c:v>
                </c:pt>
                <c:pt idx="163">
                  <c:v>0.73147125448470618</c:v>
                </c:pt>
                <c:pt idx="164">
                  <c:v>0.72958266327200139</c:v>
                </c:pt>
                <c:pt idx="165">
                  <c:v>0.72780684201096058</c:v>
                </c:pt>
                <c:pt idx="166">
                  <c:v>0.72626111849178565</c:v>
                </c:pt>
                <c:pt idx="167">
                  <c:v>0.72519078749766863</c:v>
                </c:pt>
                <c:pt idx="168">
                  <c:v>0.72571345951296184</c:v>
                </c:pt>
                <c:pt idx="169">
                  <c:v>0.72572151198059165</c:v>
                </c:pt>
                <c:pt idx="170">
                  <c:v>0.72531163748727256</c:v>
                </c:pt>
                <c:pt idx="171">
                  <c:v>0.72454340671212902</c:v>
                </c:pt>
                <c:pt idx="172">
                  <c:v>0.72339848847037513</c:v>
                </c:pt>
                <c:pt idx="173">
                  <c:v>0.7215509619569106</c:v>
                </c:pt>
                <c:pt idx="174">
                  <c:v>0.72045747763251566</c:v>
                </c:pt>
                <c:pt idx="175">
                  <c:v>0.71930476839642077</c:v>
                </c:pt>
                <c:pt idx="176">
                  <c:v>0.71846315439859265</c:v>
                </c:pt>
                <c:pt idx="177">
                  <c:v>0.71822856252297873</c:v>
                </c:pt>
                <c:pt idx="178">
                  <c:v>0.71718316068682075</c:v>
                </c:pt>
                <c:pt idx="179">
                  <c:v>0.71548440294821636</c:v>
                </c:pt>
                <c:pt idx="180">
                  <c:v>0.71467205688013258</c:v>
                </c:pt>
                <c:pt idx="181">
                  <c:v>0.71435225302753702</c:v>
                </c:pt>
                <c:pt idx="182">
                  <c:v>0.71226197133173419</c:v>
                </c:pt>
                <c:pt idx="183">
                  <c:v>0.70915180675795741</c:v>
                </c:pt>
                <c:pt idx="184">
                  <c:v>0.70541052989243258</c:v>
                </c:pt>
                <c:pt idx="185">
                  <c:v>0.70202663871959381</c:v>
                </c:pt>
                <c:pt idx="186">
                  <c:v>0.69865188396473143</c:v>
                </c:pt>
                <c:pt idx="187">
                  <c:v>0.69460369363755081</c:v>
                </c:pt>
                <c:pt idx="188">
                  <c:v>0.69019592153781972</c:v>
                </c:pt>
                <c:pt idx="189">
                  <c:v>0.68400033940587179</c:v>
                </c:pt>
                <c:pt idx="190">
                  <c:v>0.67768091577981382</c:v>
                </c:pt>
                <c:pt idx="191">
                  <c:v>0.67024863874407015</c:v>
                </c:pt>
                <c:pt idx="192">
                  <c:v>0.66375336367646065</c:v>
                </c:pt>
                <c:pt idx="193">
                  <c:v>0.65708682610360736</c:v>
                </c:pt>
                <c:pt idx="194">
                  <c:v>0.6514055192881798</c:v>
                </c:pt>
                <c:pt idx="195">
                  <c:v>0.64594737705096983</c:v>
                </c:pt>
                <c:pt idx="196">
                  <c:v>0.64176554325241197</c:v>
                </c:pt>
                <c:pt idx="197">
                  <c:v>0.6365284515749976</c:v>
                </c:pt>
                <c:pt idx="198">
                  <c:v>0.63222243863753724</c:v>
                </c:pt>
                <c:pt idx="199">
                  <c:v>0.6280131656765382</c:v>
                </c:pt>
                <c:pt idx="200">
                  <c:v>0.62449221522334541</c:v>
                </c:pt>
                <c:pt idx="201">
                  <c:v>0.62328436514191943</c:v>
                </c:pt>
                <c:pt idx="202">
                  <c:v>0.62221153550042319</c:v>
                </c:pt>
                <c:pt idx="203">
                  <c:v>0.62134801942878937</c:v>
                </c:pt>
                <c:pt idx="204">
                  <c:v>0.62037493465917426</c:v>
                </c:pt>
                <c:pt idx="205">
                  <c:v>0.61940426717343977</c:v>
                </c:pt>
                <c:pt idx="206">
                  <c:v>0.61724768524269347</c:v>
                </c:pt>
                <c:pt idx="207">
                  <c:v>0.61428441230405695</c:v>
                </c:pt>
                <c:pt idx="208">
                  <c:v>0.61118668931498621</c:v>
                </c:pt>
                <c:pt idx="209">
                  <c:v>0.60828134963705827</c:v>
                </c:pt>
                <c:pt idx="210">
                  <c:v>0.60583658026416043</c:v>
                </c:pt>
                <c:pt idx="211">
                  <c:v>0.60398583083629764</c:v>
                </c:pt>
                <c:pt idx="212">
                  <c:v>0.60194200712262502</c:v>
                </c:pt>
                <c:pt idx="213">
                  <c:v>0.60023333406170609</c:v>
                </c:pt>
                <c:pt idx="214">
                  <c:v>0.59878825762188204</c:v>
                </c:pt>
                <c:pt idx="215">
                  <c:v>0.59703735086682219</c:v>
                </c:pt>
                <c:pt idx="216">
                  <c:v>0.59593937693027454</c:v>
                </c:pt>
                <c:pt idx="217">
                  <c:v>0.59558630288196679</c:v>
                </c:pt>
                <c:pt idx="218">
                  <c:v>0.59517257575023241</c:v>
                </c:pt>
                <c:pt idx="219">
                  <c:v>0.595235327211453</c:v>
                </c:pt>
                <c:pt idx="220">
                  <c:v>0.59576126005745378</c:v>
                </c:pt>
                <c:pt idx="221">
                  <c:v>0.59640538375425445</c:v>
                </c:pt>
                <c:pt idx="222">
                  <c:v>0.59687923612090821</c:v>
                </c:pt>
                <c:pt idx="223">
                  <c:v>0.59750674183830965</c:v>
                </c:pt>
                <c:pt idx="224">
                  <c:v>0.59840994297358963</c:v>
                </c:pt>
                <c:pt idx="225">
                  <c:v>0.59920851373293582</c:v>
                </c:pt>
                <c:pt idx="226">
                  <c:v>0.59966221399052044</c:v>
                </c:pt>
                <c:pt idx="227">
                  <c:v>0.60004057045425563</c:v>
                </c:pt>
                <c:pt idx="228">
                  <c:v>0.60052216669289804</c:v>
                </c:pt>
                <c:pt idx="229">
                  <c:v>0.60068006314396905</c:v>
                </c:pt>
                <c:pt idx="230">
                  <c:v>0.60161117357760896</c:v>
                </c:pt>
                <c:pt idx="231">
                  <c:v>0.60173009780581521</c:v>
                </c:pt>
                <c:pt idx="232">
                  <c:v>0.60208402017361862</c:v>
                </c:pt>
                <c:pt idx="233">
                  <c:v>0.60191791723484345</c:v>
                </c:pt>
                <c:pt idx="234">
                  <c:v>0.60176411143752817</c:v>
                </c:pt>
                <c:pt idx="235">
                  <c:v>0.60178074455869623</c:v>
                </c:pt>
                <c:pt idx="236">
                  <c:v>0.60129289969332922</c:v>
                </c:pt>
                <c:pt idx="237">
                  <c:v>0.60033692246843862</c:v>
                </c:pt>
                <c:pt idx="238">
                  <c:v>0.59912110445028777</c:v>
                </c:pt>
                <c:pt idx="239">
                  <c:v>0.597981502690902</c:v>
                </c:pt>
                <c:pt idx="240">
                  <c:v>0.59660685668544455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0.76685632855334696</c:v>
                </c:pt>
                <c:pt idx="1">
                  <c:v>0.76796321039195004</c:v>
                </c:pt>
                <c:pt idx="2">
                  <c:v>0.76902326906066198</c:v>
                </c:pt>
                <c:pt idx="3">
                  <c:v>0.77017483232397499</c:v>
                </c:pt>
                <c:pt idx="4">
                  <c:v>0.77098332080021004</c:v>
                </c:pt>
                <c:pt idx="5">
                  <c:v>0.77156670560520102</c:v>
                </c:pt>
                <c:pt idx="6">
                  <c:v>0.77192282304163196</c:v>
                </c:pt>
                <c:pt idx="7">
                  <c:v>0.77229625331261598</c:v>
                </c:pt>
                <c:pt idx="8">
                  <c:v>0.77271452508652305</c:v>
                </c:pt>
                <c:pt idx="9">
                  <c:v>0.77316752008455103</c:v>
                </c:pt>
                <c:pt idx="10">
                  <c:v>0.77358939086102296</c:v>
                </c:pt>
                <c:pt idx="11">
                  <c:v>0.77434041959094202</c:v>
                </c:pt>
                <c:pt idx="12">
                  <c:v>0.774747593713768</c:v>
                </c:pt>
                <c:pt idx="13">
                  <c:v>0.77517966496058799</c:v>
                </c:pt>
                <c:pt idx="14">
                  <c:v>0.77569184787173995</c:v>
                </c:pt>
                <c:pt idx="15">
                  <c:v>0.77555584058398896</c:v>
                </c:pt>
                <c:pt idx="16">
                  <c:v>0.77510881181873603</c:v>
                </c:pt>
                <c:pt idx="17">
                  <c:v>0.77469805625686305</c:v>
                </c:pt>
                <c:pt idx="18">
                  <c:v>0.774300659605895</c:v>
                </c:pt>
                <c:pt idx="19">
                  <c:v>0.77382321450627101</c:v>
                </c:pt>
                <c:pt idx="20">
                  <c:v>0.77370708645651598</c:v>
                </c:pt>
                <c:pt idx="21">
                  <c:v>0.77300905320441704</c:v>
                </c:pt>
                <c:pt idx="22">
                  <c:v>0.77228523560618201</c:v>
                </c:pt>
                <c:pt idx="23">
                  <c:v>0.77192184469578595</c:v>
                </c:pt>
                <c:pt idx="24">
                  <c:v>0.77187504315864597</c:v>
                </c:pt>
                <c:pt idx="25">
                  <c:v>0.77174895230708795</c:v>
                </c:pt>
                <c:pt idx="26">
                  <c:v>0.77179826139734697</c:v>
                </c:pt>
                <c:pt idx="27">
                  <c:v>0.77181180725738197</c:v>
                </c:pt>
                <c:pt idx="28">
                  <c:v>0.77179082184573999</c:v>
                </c:pt>
                <c:pt idx="29">
                  <c:v>0.77193833680244295</c:v>
                </c:pt>
                <c:pt idx="30">
                  <c:v>0.77199256428547103</c:v>
                </c:pt>
                <c:pt idx="31">
                  <c:v>0.77168633093183303</c:v>
                </c:pt>
                <c:pt idx="32">
                  <c:v>0.77139591160193499</c:v>
                </c:pt>
                <c:pt idx="33">
                  <c:v>0.77126850037996297</c:v>
                </c:pt>
                <c:pt idx="34">
                  <c:v>0.77089354343794003</c:v>
                </c:pt>
                <c:pt idx="35">
                  <c:v>0.77030883440634101</c:v>
                </c:pt>
                <c:pt idx="36">
                  <c:v>0.77061945339461302</c:v>
                </c:pt>
                <c:pt idx="37">
                  <c:v>0.77104928534320105</c:v>
                </c:pt>
                <c:pt idx="38">
                  <c:v>0.77175293328476602</c:v>
                </c:pt>
                <c:pt idx="39">
                  <c:v>0.7722820331211</c:v>
                </c:pt>
                <c:pt idx="40">
                  <c:v>0.77282527770367704</c:v>
                </c:pt>
                <c:pt idx="41">
                  <c:v>0.77324022930603398</c:v>
                </c:pt>
                <c:pt idx="42">
                  <c:v>0.77366214082142204</c:v>
                </c:pt>
                <c:pt idx="43">
                  <c:v>0.77384662442987295</c:v>
                </c:pt>
                <c:pt idx="44">
                  <c:v>0.774123863530641</c:v>
                </c:pt>
                <c:pt idx="45">
                  <c:v>0.77404274290099795</c:v>
                </c:pt>
                <c:pt idx="46">
                  <c:v>0.77439055003218504</c:v>
                </c:pt>
                <c:pt idx="47">
                  <c:v>0.77472324687923499</c:v>
                </c:pt>
                <c:pt idx="48">
                  <c:v>0.77507057246224598</c:v>
                </c:pt>
                <c:pt idx="49">
                  <c:v>0.77534923467413897</c:v>
                </c:pt>
                <c:pt idx="50">
                  <c:v>0.77548722369008105</c:v>
                </c:pt>
                <c:pt idx="51">
                  <c:v>0.775712427261258</c:v>
                </c:pt>
                <c:pt idx="52">
                  <c:v>0.77571866860119199</c:v>
                </c:pt>
                <c:pt idx="53">
                  <c:v>0.77540436693214598</c:v>
                </c:pt>
                <c:pt idx="54">
                  <c:v>0.77531012733857096</c:v>
                </c:pt>
                <c:pt idx="55">
                  <c:v>0.77526496176766801</c:v>
                </c:pt>
                <c:pt idx="56">
                  <c:v>0.77536716281146201</c:v>
                </c:pt>
                <c:pt idx="57">
                  <c:v>0.77542519459939896</c:v>
                </c:pt>
                <c:pt idx="58">
                  <c:v>0.77568291658831301</c:v>
                </c:pt>
                <c:pt idx="59">
                  <c:v>0.77574725220279805</c:v>
                </c:pt>
                <c:pt idx="60">
                  <c:v>0.77589202672589996</c:v>
                </c:pt>
                <c:pt idx="61">
                  <c:v>0.776163690649738</c:v>
                </c:pt>
                <c:pt idx="62">
                  <c:v>0.776271162176565</c:v>
                </c:pt>
                <c:pt idx="63">
                  <c:v>0.77617609216066796</c:v>
                </c:pt>
                <c:pt idx="64">
                  <c:v>0.775927481303606</c:v>
                </c:pt>
                <c:pt idx="65">
                  <c:v>0.77599708857335004</c:v>
                </c:pt>
                <c:pt idx="66">
                  <c:v>0.77612659455206801</c:v>
                </c:pt>
                <c:pt idx="67">
                  <c:v>0.77621346744890696</c:v>
                </c:pt>
                <c:pt idx="68">
                  <c:v>0.776250573732987</c:v>
                </c:pt>
                <c:pt idx="69">
                  <c:v>0.77603712643233602</c:v>
                </c:pt>
                <c:pt idx="70">
                  <c:v>0.77582529379854603</c:v>
                </c:pt>
                <c:pt idx="71">
                  <c:v>0.77566595192714505</c:v>
                </c:pt>
                <c:pt idx="72">
                  <c:v>0.77570845872892402</c:v>
                </c:pt>
                <c:pt idx="73">
                  <c:v>0.77567912331831401</c:v>
                </c:pt>
                <c:pt idx="74">
                  <c:v>0.77583343908353497</c:v>
                </c:pt>
                <c:pt idx="75">
                  <c:v>0.77638048358825595</c:v>
                </c:pt>
                <c:pt idx="76">
                  <c:v>0.775964488427348</c:v>
                </c:pt>
                <c:pt idx="77">
                  <c:v>0.77550636654768201</c:v>
                </c:pt>
                <c:pt idx="78">
                  <c:v>0.77494411725244905</c:v>
                </c:pt>
                <c:pt idx="79">
                  <c:v>0.77468899229444999</c:v>
                </c:pt>
                <c:pt idx="80">
                  <c:v>0.77500264059712498</c:v>
                </c:pt>
                <c:pt idx="81">
                  <c:v>0.77537667406685895</c:v>
                </c:pt>
                <c:pt idx="82">
                  <c:v>0.77581617829664395</c:v>
                </c:pt>
                <c:pt idx="83">
                  <c:v>0.77628116891544896</c:v>
                </c:pt>
                <c:pt idx="84">
                  <c:v>0.77667991083478105</c:v>
                </c:pt>
                <c:pt idx="85">
                  <c:v>0.77729047576913002</c:v>
                </c:pt>
                <c:pt idx="86">
                  <c:v>0.77751766733541094</c:v>
                </c:pt>
                <c:pt idx="87">
                  <c:v>0.778060806412185</c:v>
                </c:pt>
                <c:pt idx="88">
                  <c:v>0.77829382704193495</c:v>
                </c:pt>
                <c:pt idx="89">
                  <c:v>0.77817672433552998</c:v>
                </c:pt>
                <c:pt idx="90">
                  <c:v>0.77864534881098202</c:v>
                </c:pt>
                <c:pt idx="91">
                  <c:v>0.77958561835080498</c:v>
                </c:pt>
                <c:pt idx="92">
                  <c:v>0.78051315453994696</c:v>
                </c:pt>
                <c:pt idx="93">
                  <c:v>0.78202264931346699</c:v>
                </c:pt>
                <c:pt idx="94">
                  <c:v>0.78328222911488499</c:v>
                </c:pt>
                <c:pt idx="95">
                  <c:v>0.78418844748744598</c:v>
                </c:pt>
                <c:pt idx="96">
                  <c:v>0.78528664748892396</c:v>
                </c:pt>
                <c:pt idx="97">
                  <c:v>0.78618671410235497</c:v>
                </c:pt>
                <c:pt idx="98">
                  <c:v>0.78691157823804403</c:v>
                </c:pt>
                <c:pt idx="99">
                  <c:v>0.78791225129264497</c:v>
                </c:pt>
                <c:pt idx="100">
                  <c:v>0.78904179549536702</c:v>
                </c:pt>
                <c:pt idx="101">
                  <c:v>0.79004729018056796</c:v>
                </c:pt>
                <c:pt idx="102">
                  <c:v>0.79098534017928002</c:v>
                </c:pt>
                <c:pt idx="103">
                  <c:v>0.79176890970774205</c:v>
                </c:pt>
                <c:pt idx="104">
                  <c:v>0.79248038298675005</c:v>
                </c:pt>
                <c:pt idx="105">
                  <c:v>0.79330698063264904</c:v>
                </c:pt>
                <c:pt idx="106">
                  <c:v>0.79455028519670801</c:v>
                </c:pt>
                <c:pt idx="107">
                  <c:v>0.79534000971581997</c:v>
                </c:pt>
                <c:pt idx="108">
                  <c:v>0.79596635894825896</c:v>
                </c:pt>
                <c:pt idx="109">
                  <c:v>0.796272317580898</c:v>
                </c:pt>
                <c:pt idx="110">
                  <c:v>0.79688080836772401</c:v>
                </c:pt>
                <c:pt idx="111">
                  <c:v>0.79751578002077494</c:v>
                </c:pt>
                <c:pt idx="112">
                  <c:v>0.79807570161491403</c:v>
                </c:pt>
                <c:pt idx="113">
                  <c:v>0.79838021081494503</c:v>
                </c:pt>
                <c:pt idx="114">
                  <c:v>0.79874199524276501</c:v>
                </c:pt>
                <c:pt idx="115">
                  <c:v>0.79878220255119403</c:v>
                </c:pt>
                <c:pt idx="116">
                  <c:v>0.79897570338907797</c:v>
                </c:pt>
                <c:pt idx="117">
                  <c:v>0.79928944445252403</c:v>
                </c:pt>
                <c:pt idx="118">
                  <c:v>0.799176856031516</c:v>
                </c:pt>
                <c:pt idx="119">
                  <c:v>0.79904004252506899</c:v>
                </c:pt>
                <c:pt idx="120">
                  <c:v>0.79912622038032899</c:v>
                </c:pt>
                <c:pt idx="121">
                  <c:v>0.79871566277858497</c:v>
                </c:pt>
                <c:pt idx="122">
                  <c:v>0.79849833808610904</c:v>
                </c:pt>
                <c:pt idx="123">
                  <c:v>0.79832540588267797</c:v>
                </c:pt>
                <c:pt idx="124">
                  <c:v>0.79815691519924503</c:v>
                </c:pt>
                <c:pt idx="125">
                  <c:v>0.79806750313746699</c:v>
                </c:pt>
                <c:pt idx="126">
                  <c:v>0.79790001977388603</c:v>
                </c:pt>
                <c:pt idx="127">
                  <c:v>0.79792155760107297</c:v>
                </c:pt>
                <c:pt idx="128">
                  <c:v>0.79796726401007001</c:v>
                </c:pt>
                <c:pt idx="129">
                  <c:v>0.79799047666761902</c:v>
                </c:pt>
                <c:pt idx="130">
                  <c:v>0.79792729229444104</c:v>
                </c:pt>
                <c:pt idx="131">
                  <c:v>0.79774617862351105</c:v>
                </c:pt>
                <c:pt idx="132">
                  <c:v>0.79769093638129496</c:v>
                </c:pt>
                <c:pt idx="133">
                  <c:v>0.79724893303188604</c:v>
                </c:pt>
                <c:pt idx="134">
                  <c:v>0.79699875265670606</c:v>
                </c:pt>
                <c:pt idx="135">
                  <c:v>0.79658055857426102</c:v>
                </c:pt>
                <c:pt idx="136">
                  <c:v>0.79643119267180396</c:v>
                </c:pt>
                <c:pt idx="137">
                  <c:v>0.79608832145088404</c:v>
                </c:pt>
                <c:pt idx="138">
                  <c:v>0.79618641797863698</c:v>
                </c:pt>
                <c:pt idx="139">
                  <c:v>0.79602171145682399</c:v>
                </c:pt>
                <c:pt idx="140">
                  <c:v>0.79597376005735399</c:v>
                </c:pt>
                <c:pt idx="141">
                  <c:v>0.79613417537208497</c:v>
                </c:pt>
                <c:pt idx="142">
                  <c:v>0.796389926671904</c:v>
                </c:pt>
                <c:pt idx="143">
                  <c:v>0.79669511476895705</c:v>
                </c:pt>
                <c:pt idx="144">
                  <c:v>0.79681312489331402</c:v>
                </c:pt>
                <c:pt idx="145">
                  <c:v>0.79697202988965998</c:v>
                </c:pt>
                <c:pt idx="146">
                  <c:v>0.79701646695639905</c:v>
                </c:pt>
                <c:pt idx="147">
                  <c:v>0.79698081097727003</c:v>
                </c:pt>
                <c:pt idx="148">
                  <c:v>0.79692923207799204</c:v>
                </c:pt>
                <c:pt idx="149">
                  <c:v>0.79684806573173605</c:v>
                </c:pt>
                <c:pt idx="150">
                  <c:v>0.79633305169606405</c:v>
                </c:pt>
                <c:pt idx="151">
                  <c:v>0.79638164670990297</c:v>
                </c:pt>
                <c:pt idx="152">
                  <c:v>0.79636481472007603</c:v>
                </c:pt>
                <c:pt idx="153">
                  <c:v>0.79643853655591601</c:v>
                </c:pt>
                <c:pt idx="154">
                  <c:v>0.79616402763403804</c:v>
                </c:pt>
                <c:pt idx="155">
                  <c:v>0.79580986325951997</c:v>
                </c:pt>
                <c:pt idx="156">
                  <c:v>0.795218597062193</c:v>
                </c:pt>
                <c:pt idx="157">
                  <c:v>0.79449838024752395</c:v>
                </c:pt>
                <c:pt idx="158">
                  <c:v>0.793352776338762</c:v>
                </c:pt>
                <c:pt idx="159">
                  <c:v>0.79243023453746597</c:v>
                </c:pt>
                <c:pt idx="160">
                  <c:v>0.79135872513712702</c:v>
                </c:pt>
                <c:pt idx="161">
                  <c:v>0.79057261779348598</c:v>
                </c:pt>
                <c:pt idx="162">
                  <c:v>0.78953953726234405</c:v>
                </c:pt>
                <c:pt idx="163">
                  <c:v>0.78848024542783901</c:v>
                </c:pt>
                <c:pt idx="164">
                  <c:v>0.78735574382012197</c:v>
                </c:pt>
                <c:pt idx="165">
                  <c:v>0.78620831872999997</c:v>
                </c:pt>
                <c:pt idx="166">
                  <c:v>0.78477207635249502</c:v>
                </c:pt>
                <c:pt idx="167">
                  <c:v>0.783635935210096</c:v>
                </c:pt>
                <c:pt idx="168">
                  <c:v>0.78228199040304303</c:v>
                </c:pt>
                <c:pt idx="169">
                  <c:v>0.78102585473673003</c:v>
                </c:pt>
                <c:pt idx="170">
                  <c:v>0.78012576880513695</c:v>
                </c:pt>
                <c:pt idx="171">
                  <c:v>0.77908245326152703</c:v>
                </c:pt>
                <c:pt idx="172">
                  <c:v>0.77793135203914499</c:v>
                </c:pt>
                <c:pt idx="173">
                  <c:v>0.77666342086948004</c:v>
                </c:pt>
                <c:pt idx="174">
                  <c:v>0.77527781990707101</c:v>
                </c:pt>
                <c:pt idx="175">
                  <c:v>0.77396411442833302</c:v>
                </c:pt>
                <c:pt idx="176">
                  <c:v>0.77275144253973405</c:v>
                </c:pt>
                <c:pt idx="177">
                  <c:v>0.77154762604119598</c:v>
                </c:pt>
                <c:pt idx="178">
                  <c:v>0.77030232575378699</c:v>
                </c:pt>
                <c:pt idx="179">
                  <c:v>0.76896333010978402</c:v>
                </c:pt>
                <c:pt idx="180">
                  <c:v>0.76758187847836301</c:v>
                </c:pt>
                <c:pt idx="181">
                  <c:v>0.76592880660756002</c:v>
                </c:pt>
                <c:pt idx="182">
                  <c:v>0.76425477011069498</c:v>
                </c:pt>
                <c:pt idx="183">
                  <c:v>0.76251624876689506</c:v>
                </c:pt>
                <c:pt idx="184">
                  <c:v>0.76091246510364996</c:v>
                </c:pt>
                <c:pt idx="185">
                  <c:v>0.75906132589407105</c:v>
                </c:pt>
                <c:pt idx="186">
                  <c:v>0.75707481139830302</c:v>
                </c:pt>
                <c:pt idx="187">
                  <c:v>0.75498205920362604</c:v>
                </c:pt>
                <c:pt idx="188">
                  <c:v>0.75308533283631096</c:v>
                </c:pt>
                <c:pt idx="189">
                  <c:v>0.75074230534098396</c:v>
                </c:pt>
                <c:pt idx="190">
                  <c:v>0.74866907299150098</c:v>
                </c:pt>
                <c:pt idx="191">
                  <c:v>0.74642810183778496</c:v>
                </c:pt>
                <c:pt idx="192">
                  <c:v>0.74416557905848502</c:v>
                </c:pt>
                <c:pt idx="193">
                  <c:v>0.74230287242964199</c:v>
                </c:pt>
                <c:pt idx="194">
                  <c:v>0.74056788288533903</c:v>
                </c:pt>
                <c:pt idx="195">
                  <c:v>0.73872895734299804</c:v>
                </c:pt>
                <c:pt idx="196">
                  <c:v>0.73730101307721596</c:v>
                </c:pt>
                <c:pt idx="197">
                  <c:v>0.73548665015322301</c:v>
                </c:pt>
                <c:pt idx="198">
                  <c:v>0.73369466020712004</c:v>
                </c:pt>
                <c:pt idx="199">
                  <c:v>0.73182530688868297</c:v>
                </c:pt>
                <c:pt idx="200">
                  <c:v>0.73016110994197103</c:v>
                </c:pt>
                <c:pt idx="201">
                  <c:v>0.72922899227806204</c:v>
                </c:pt>
                <c:pt idx="202">
                  <c:v>0.72818876855521897</c:v>
                </c:pt>
                <c:pt idx="203">
                  <c:v>0.72735120522999697</c:v>
                </c:pt>
                <c:pt idx="204">
                  <c:v>0.726445223377574</c:v>
                </c:pt>
                <c:pt idx="205">
                  <c:v>0.72556871239530496</c:v>
                </c:pt>
                <c:pt idx="206">
                  <c:v>0.72427558720644003</c:v>
                </c:pt>
                <c:pt idx="207">
                  <c:v>0.72261005725788396</c:v>
                </c:pt>
                <c:pt idx="208">
                  <c:v>0.72108510484993105</c:v>
                </c:pt>
                <c:pt idx="209">
                  <c:v>0.71948746088045901</c:v>
                </c:pt>
                <c:pt idx="210">
                  <c:v>0.71813544404829799</c:v>
                </c:pt>
                <c:pt idx="211">
                  <c:v>0.71664577382184902</c:v>
                </c:pt>
                <c:pt idx="212">
                  <c:v>0.71513826198733799</c:v>
                </c:pt>
                <c:pt idx="213">
                  <c:v>0.71350283224951405</c:v>
                </c:pt>
                <c:pt idx="214">
                  <c:v>0.71235081410377399</c:v>
                </c:pt>
                <c:pt idx="215">
                  <c:v>0.71081905169898296</c:v>
                </c:pt>
                <c:pt idx="216">
                  <c:v>0.709091534278536</c:v>
                </c:pt>
                <c:pt idx="217">
                  <c:v>0.70753547922273496</c:v>
                </c:pt>
                <c:pt idx="218">
                  <c:v>0.705971649021226</c:v>
                </c:pt>
                <c:pt idx="219">
                  <c:v>0.70477864100588805</c:v>
                </c:pt>
                <c:pt idx="220">
                  <c:v>0.70382846049187098</c:v>
                </c:pt>
                <c:pt idx="221">
                  <c:v>0.70288679805092802</c:v>
                </c:pt>
                <c:pt idx="222">
                  <c:v>0.70177833960478797</c:v>
                </c:pt>
                <c:pt idx="223">
                  <c:v>0.70077353645130203</c:v>
                </c:pt>
                <c:pt idx="224">
                  <c:v>0.69992172278524301</c:v>
                </c:pt>
                <c:pt idx="225">
                  <c:v>0.69910140900866802</c:v>
                </c:pt>
                <c:pt idx="226">
                  <c:v>0.698563345623753</c:v>
                </c:pt>
                <c:pt idx="227">
                  <c:v>0.69819782960094101</c:v>
                </c:pt>
                <c:pt idx="228">
                  <c:v>0.697858659797853</c:v>
                </c:pt>
                <c:pt idx="229">
                  <c:v>0.69775193546977898</c:v>
                </c:pt>
                <c:pt idx="230">
                  <c:v>0.69737280744524999</c:v>
                </c:pt>
                <c:pt idx="231">
                  <c:v>0.69732366197465701</c:v>
                </c:pt>
                <c:pt idx="232">
                  <c:v>0.69717486313464105</c:v>
                </c:pt>
                <c:pt idx="233">
                  <c:v>0.697255472180767</c:v>
                </c:pt>
                <c:pt idx="234">
                  <c:v>0.69732526589802202</c:v>
                </c:pt>
                <c:pt idx="235">
                  <c:v>0.69731647226805804</c:v>
                </c:pt>
                <c:pt idx="236">
                  <c:v>0.69751010053828499</c:v>
                </c:pt>
                <c:pt idx="237">
                  <c:v>0.69787571531111603</c:v>
                </c:pt>
                <c:pt idx="238">
                  <c:v>0.69840001613648195</c:v>
                </c:pt>
                <c:pt idx="239">
                  <c:v>0.69912509780617405</c:v>
                </c:pt>
                <c:pt idx="240">
                  <c:v>0.69996094876287096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86120224196219175"/>
          <c:min val="0.495172575750232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CLOSE_6752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1433</c:v>
                </c:pt>
                <c:pt idx="1">
                  <c:v>1429</c:v>
                </c:pt>
                <c:pt idx="2">
                  <c:v>1424</c:v>
                </c:pt>
                <c:pt idx="3">
                  <c:v>1412</c:v>
                </c:pt>
                <c:pt idx="4">
                  <c:v>1374</c:v>
                </c:pt>
                <c:pt idx="5">
                  <c:v>1373</c:v>
                </c:pt>
                <c:pt idx="6">
                  <c:v>1335</c:v>
                </c:pt>
                <c:pt idx="7">
                  <c:v>1348</c:v>
                </c:pt>
                <c:pt idx="8">
                  <c:v>1362</c:v>
                </c:pt>
                <c:pt idx="9">
                  <c:v>1374</c:v>
                </c:pt>
                <c:pt idx="10">
                  <c:v>1361</c:v>
                </c:pt>
                <c:pt idx="11">
                  <c:v>1343</c:v>
                </c:pt>
                <c:pt idx="12">
                  <c:v>1310</c:v>
                </c:pt>
                <c:pt idx="13">
                  <c:v>1302</c:v>
                </c:pt>
                <c:pt idx="14">
                  <c:v>1295</c:v>
                </c:pt>
                <c:pt idx="15">
                  <c:v>1288</c:v>
                </c:pt>
                <c:pt idx="16">
                  <c:v>1279</c:v>
                </c:pt>
                <c:pt idx="17">
                  <c:v>1274</c:v>
                </c:pt>
                <c:pt idx="18">
                  <c:v>1251</c:v>
                </c:pt>
                <c:pt idx="19">
                  <c:v>1269</c:v>
                </c:pt>
                <c:pt idx="20">
                  <c:v>1250</c:v>
                </c:pt>
                <c:pt idx="21">
                  <c:v>1243</c:v>
                </c:pt>
                <c:pt idx="22">
                  <c:v>1266</c:v>
                </c:pt>
                <c:pt idx="23">
                  <c:v>1319</c:v>
                </c:pt>
                <c:pt idx="24">
                  <c:v>1320</c:v>
                </c:pt>
                <c:pt idx="25">
                  <c:v>1342</c:v>
                </c:pt>
                <c:pt idx="26">
                  <c:v>1318</c:v>
                </c:pt>
                <c:pt idx="27">
                  <c:v>1333</c:v>
                </c:pt>
                <c:pt idx="28">
                  <c:v>1358</c:v>
                </c:pt>
                <c:pt idx="29">
                  <c:v>1343</c:v>
                </c:pt>
                <c:pt idx="30">
                  <c:v>1329</c:v>
                </c:pt>
                <c:pt idx="31">
                  <c:v>1297</c:v>
                </c:pt>
                <c:pt idx="32">
                  <c:v>1300</c:v>
                </c:pt>
                <c:pt idx="33">
                  <c:v>1248</c:v>
                </c:pt>
                <c:pt idx="34">
                  <c:v>1202</c:v>
                </c:pt>
                <c:pt idx="35">
                  <c:v>1220</c:v>
                </c:pt>
                <c:pt idx="36">
                  <c:v>1222</c:v>
                </c:pt>
                <c:pt idx="37">
                  <c:v>1259</c:v>
                </c:pt>
                <c:pt idx="38">
                  <c:v>1222</c:v>
                </c:pt>
                <c:pt idx="39">
                  <c:v>1212</c:v>
                </c:pt>
                <c:pt idx="40">
                  <c:v>1223</c:v>
                </c:pt>
                <c:pt idx="41">
                  <c:v>1223</c:v>
                </c:pt>
                <c:pt idx="42">
                  <c:v>1186</c:v>
                </c:pt>
                <c:pt idx="43">
                  <c:v>1190</c:v>
                </c:pt>
                <c:pt idx="44">
                  <c:v>1188</c:v>
                </c:pt>
                <c:pt idx="45">
                  <c:v>1205</c:v>
                </c:pt>
                <c:pt idx="46">
                  <c:v>1196</c:v>
                </c:pt>
                <c:pt idx="47">
                  <c:v>1165</c:v>
                </c:pt>
                <c:pt idx="48">
                  <c:v>1130</c:v>
                </c:pt>
                <c:pt idx="49">
                  <c:v>1143</c:v>
                </c:pt>
                <c:pt idx="50">
                  <c:v>1162</c:v>
                </c:pt>
                <c:pt idx="51">
                  <c:v>1145</c:v>
                </c:pt>
                <c:pt idx="52">
                  <c:v>1135</c:v>
                </c:pt>
                <c:pt idx="53">
                  <c:v>1152</c:v>
                </c:pt>
                <c:pt idx="54">
                  <c:v>1180</c:v>
                </c:pt>
                <c:pt idx="55">
                  <c:v>1183</c:v>
                </c:pt>
                <c:pt idx="56">
                  <c:v>1145</c:v>
                </c:pt>
                <c:pt idx="57">
                  <c:v>1165</c:v>
                </c:pt>
                <c:pt idx="58">
                  <c:v>1169</c:v>
                </c:pt>
                <c:pt idx="59">
                  <c:v>1167</c:v>
                </c:pt>
                <c:pt idx="60">
                  <c:v>1170</c:v>
                </c:pt>
                <c:pt idx="61">
                  <c:v>1147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CLOSE_8795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1313.0455971319739</c:v>
                </c:pt>
                <c:pt idx="1">
                  <c:v>1325.9629173201881</c:v>
                </c:pt>
                <c:pt idx="2">
                  <c:v>1324.6711853013667</c:v>
                </c:pt>
                <c:pt idx="3">
                  <c:v>1351.7975576966166</c:v>
                </c:pt>
                <c:pt idx="4">
                  <c:v>1338.8802375084024</c:v>
                </c:pt>
                <c:pt idx="5">
                  <c:v>1366.652475913063</c:v>
                </c:pt>
                <c:pt idx="6">
                  <c:v>1338.8802375084024</c:v>
                </c:pt>
                <c:pt idx="7">
                  <c:v>1369.8818059601165</c:v>
                </c:pt>
                <c:pt idx="8">
                  <c:v>1366.0066099036521</c:v>
                </c:pt>
                <c:pt idx="9">
                  <c:v>1366.0066099036521</c:v>
                </c:pt>
                <c:pt idx="10">
                  <c:v>1336.2967734707595</c:v>
                </c:pt>
                <c:pt idx="11">
                  <c:v>1349.2140936589738</c:v>
                </c:pt>
                <c:pt idx="12">
                  <c:v>1336.2967734707595</c:v>
                </c:pt>
                <c:pt idx="13">
                  <c:v>1329.8381133766525</c:v>
                </c:pt>
                <c:pt idx="14">
                  <c:v>1333.067443423706</c:v>
                </c:pt>
                <c:pt idx="15">
                  <c:v>1333.067443423706</c:v>
                </c:pt>
                <c:pt idx="16">
                  <c:v>1303.3576069908133</c:v>
                </c:pt>
                <c:pt idx="17">
                  <c:v>1267.57663006946</c:v>
                </c:pt>
                <c:pt idx="18">
                  <c:v>1267.1891104638134</c:v>
                </c:pt>
                <c:pt idx="19">
                  <c:v>1250.0090746134888</c:v>
                </c:pt>
                <c:pt idx="20">
                  <c:v>1279.3313914407349</c:v>
                </c:pt>
                <c:pt idx="21">
                  <c:v>1298.1906789155275</c:v>
                </c:pt>
                <c:pt idx="22">
                  <c:v>1294.3154828590634</c:v>
                </c:pt>
                <c:pt idx="23">
                  <c:v>1293.6696168496526</c:v>
                </c:pt>
                <c:pt idx="24">
                  <c:v>1279.3313914407349</c:v>
                </c:pt>
                <c:pt idx="25">
                  <c:v>1289.5360743894241</c:v>
                </c:pt>
                <c:pt idx="26">
                  <c:v>1288.3735155724848</c:v>
                </c:pt>
                <c:pt idx="27">
                  <c:v>1313.0455971319739</c:v>
                </c:pt>
                <c:pt idx="28">
                  <c:v>1318.8583912166703</c:v>
                </c:pt>
                <c:pt idx="29">
                  <c:v>1317.5666591978488</c:v>
                </c:pt>
                <c:pt idx="30">
                  <c:v>1320.1501232354917</c:v>
                </c:pt>
                <c:pt idx="31">
                  <c:v>1318.8583912166703</c:v>
                </c:pt>
                <c:pt idx="32">
                  <c:v>1311.1079991037418</c:v>
                </c:pt>
                <c:pt idx="33">
                  <c:v>1304.0034730002239</c:v>
                </c:pt>
                <c:pt idx="34">
                  <c:v>1266.9307640600491</c:v>
                </c:pt>
                <c:pt idx="35">
                  <c:v>1184.3890880573604</c:v>
                </c:pt>
                <c:pt idx="36">
                  <c:v>1178.1887743670177</c:v>
                </c:pt>
                <c:pt idx="37">
                  <c:v>1185.809993278064</c:v>
                </c:pt>
                <c:pt idx="38">
                  <c:v>1178.0596011651355</c:v>
                </c:pt>
                <c:pt idx="39">
                  <c:v>1171.7301142729107</c:v>
                </c:pt>
                <c:pt idx="40">
                  <c:v>1174.3135783105533</c:v>
                </c:pt>
                <c:pt idx="41">
                  <c:v>1166.4340129957427</c:v>
                </c:pt>
                <c:pt idx="42">
                  <c:v>1155.5834640376429</c:v>
                </c:pt>
                <c:pt idx="43">
                  <c:v>1147.3163791171858</c:v>
                </c:pt>
                <c:pt idx="44">
                  <c:v>1171.6009410710285</c:v>
                </c:pt>
                <c:pt idx="45">
                  <c:v>1168.7591306296213</c:v>
                </c:pt>
                <c:pt idx="46">
                  <c:v>1158.5544476809321</c:v>
                </c:pt>
                <c:pt idx="47">
                  <c:v>1134.011539323325</c:v>
                </c:pt>
                <c:pt idx="48">
                  <c:v>1112.956307416536</c:v>
                </c:pt>
                <c:pt idx="49">
                  <c:v>1122.9026439614609</c:v>
                </c:pt>
                <c:pt idx="50">
                  <c:v>1129.49047725745</c:v>
                </c:pt>
                <c:pt idx="51">
                  <c:v>1131.169728881918</c:v>
                </c:pt>
                <c:pt idx="52">
                  <c:v>1141.3744118306072</c:v>
                </c:pt>
                <c:pt idx="53">
                  <c:v>1137.2408693703785</c:v>
                </c:pt>
                <c:pt idx="54">
                  <c:v>1164.754761371275</c:v>
                </c:pt>
                <c:pt idx="55">
                  <c:v>1163.7213757562176</c:v>
                </c:pt>
                <c:pt idx="56">
                  <c:v>1131.0405556800358</c:v>
                </c:pt>
                <c:pt idx="57">
                  <c:v>1150.8040555680036</c:v>
                </c:pt>
                <c:pt idx="58">
                  <c:v>1165.0131077750391</c:v>
                </c:pt>
                <c:pt idx="59">
                  <c:v>1156.8751960564643</c:v>
                </c:pt>
                <c:pt idx="60">
                  <c:v>1144.4745686757785</c:v>
                </c:pt>
                <c:pt idx="61">
                  <c:v>1155.7126372395251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433"/>
          <c:min val="1112.95630741653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25" t="s">
        <v>2144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5"/>
  <sheetViews>
    <sheetView showGridLines="0" zoomScale="115" zoomScaleNormal="115" workbookViewId="0">
      <selection activeCell="D11" sqref="D11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95</v>
      </c>
      <c r="D1" s="13"/>
      <c r="H1" s="1"/>
      <c r="I1" s="13" t="s">
        <v>24</v>
      </c>
      <c r="J1" s="56"/>
      <c r="K1" s="284">
        <v>43824</v>
      </c>
      <c r="L1" s="285"/>
      <c r="M1" s="23"/>
      <c r="N1" s="13" t="s">
        <v>197</v>
      </c>
      <c r="P1" s="284">
        <f ca="1">TODAY()</f>
        <v>43826</v>
      </c>
      <c r="Q1" s="286"/>
      <c r="U1" s="57" t="s">
        <v>23</v>
      </c>
      <c r="V1" s="57"/>
    </row>
    <row r="2" spans="2:23" ht="16.5" customHeight="1" thickBot="1" x14ac:dyDescent="0.25">
      <c r="J2" s="179">
        <f>SUM(J4:J52)</f>
        <v>0</v>
      </c>
      <c r="R2" s="127">
        <f>SUM(R4:R52)</f>
        <v>-1540</v>
      </c>
      <c r="S2" s="91" t="e">
        <f>SUM(S4:S52)</f>
        <v>#DIV/0!</v>
      </c>
    </row>
    <row r="3" spans="2:23" ht="24.75" thickBot="1" x14ac:dyDescent="0.25">
      <c r="C3" s="58" t="s">
        <v>78</v>
      </c>
      <c r="D3" s="68" t="s">
        <v>102</v>
      </c>
      <c r="E3" s="60"/>
      <c r="F3" s="59" t="s">
        <v>42</v>
      </c>
      <c r="G3" s="61" t="s">
        <v>43</v>
      </c>
      <c r="H3" s="62" t="s">
        <v>79</v>
      </c>
      <c r="I3" s="62" t="s">
        <v>80</v>
      </c>
      <c r="J3" s="60" t="s">
        <v>22</v>
      </c>
      <c r="K3" s="60" t="s">
        <v>81</v>
      </c>
      <c r="L3" s="62" t="s">
        <v>82</v>
      </c>
      <c r="M3" s="63" t="s">
        <v>103</v>
      </c>
      <c r="N3" s="60" t="s">
        <v>83</v>
      </c>
      <c r="O3" s="63" t="s">
        <v>97</v>
      </c>
      <c r="P3" s="60" t="s">
        <v>190</v>
      </c>
      <c r="Q3" s="60" t="s">
        <v>84</v>
      </c>
      <c r="R3" s="63" t="s">
        <v>99</v>
      </c>
      <c r="S3" s="66" t="s">
        <v>100</v>
      </c>
      <c r="T3" s="65"/>
      <c r="U3" s="67" t="s">
        <v>196</v>
      </c>
      <c r="V3" s="67" t="s">
        <v>101</v>
      </c>
      <c r="W3" s="64" t="s">
        <v>98</v>
      </c>
    </row>
    <row r="4" spans="2:23" s="106" customFormat="1" x14ac:dyDescent="0.2">
      <c r="B4" s="124" t="s">
        <v>205</v>
      </c>
      <c r="C4" s="289">
        <f>ROW()/2-1</f>
        <v>1</v>
      </c>
      <c r="D4" s="291"/>
      <c r="E4" s="33" t="s">
        <v>193</v>
      </c>
      <c r="F4" s="33"/>
      <c r="G4" s="55"/>
      <c r="H4" s="49"/>
      <c r="I4" s="49"/>
      <c r="J4" s="50">
        <f t="shared" ref="J4:J5" si="0">H4*I4</f>
        <v>0</v>
      </c>
      <c r="K4" s="52" t="s">
        <v>906</v>
      </c>
      <c r="L4" s="49">
        <v>717</v>
      </c>
      <c r="M4" s="33">
        <v>770</v>
      </c>
      <c r="N4" s="144">
        <f>IF(OR(K4="現物",J4=0),0,IF(E4="売",J4*Fee_Refer!$B$12/365*V4, J4*Fee_Refer!$B$11/365*#REF!))</f>
        <v>0</v>
      </c>
      <c r="O4" s="52">
        <v>0</v>
      </c>
      <c r="P4" s="147">
        <f>IF(L4 &gt;0,(H4-L4)*I4-M4-N4-O4,0)</f>
        <v>-770</v>
      </c>
      <c r="Q4" s="51" t="e">
        <f t="shared" ref="Q4:Q5" si="1">P4/J4</f>
        <v>#DIV/0!</v>
      </c>
      <c r="R4" s="293">
        <f>P4+P5</f>
        <v>-1540</v>
      </c>
      <c r="S4" s="294" t="e">
        <f>R4/(J4+J5)</f>
        <v>#DIV/0!</v>
      </c>
      <c r="U4" s="296">
        <f ca="1">$P$1</f>
        <v>43826</v>
      </c>
      <c r="V4" s="287">
        <f ca="1">IF(U4&gt;D4,DATEDIF(D4,U4,"d"),0)</f>
        <v>43826</v>
      </c>
      <c r="W4" s="288"/>
    </row>
    <row r="5" spans="2:23" s="106" customFormat="1" x14ac:dyDescent="0.2">
      <c r="B5" s="124" t="s">
        <v>755</v>
      </c>
      <c r="C5" s="290"/>
      <c r="D5" s="292"/>
      <c r="E5" s="29" t="s">
        <v>195</v>
      </c>
      <c r="F5" s="29"/>
      <c r="G5" s="54"/>
      <c r="H5" s="46"/>
      <c r="I5" s="46"/>
      <c r="J5" s="47">
        <f t="shared" si="0"/>
        <v>0</v>
      </c>
      <c r="K5" s="145" t="s">
        <v>906</v>
      </c>
      <c r="L5" s="41">
        <v>1370</v>
      </c>
      <c r="M5" s="31">
        <v>770</v>
      </c>
      <c r="N5" s="146">
        <f>IF(OR(K5="現物",J5=0),0,IF(E5="売",J5*Fee_Refer!$B$12/365*V5, J5*Fee_Refer!$B$11/365*V4))</f>
        <v>0</v>
      </c>
      <c r="O5" s="178">
        <v>0</v>
      </c>
      <c r="P5" s="148">
        <f>IF(L5&gt;0,(L5-H5)*I5-M5-N5-O5,0)</f>
        <v>-770</v>
      </c>
      <c r="Q5" s="48" t="e">
        <f t="shared" si="1"/>
        <v>#DIV/0!</v>
      </c>
      <c r="R5" s="293"/>
      <c r="S5" s="295"/>
      <c r="U5" s="287"/>
      <c r="V5" s="287"/>
      <c r="W5" s="287"/>
    </row>
    <row r="15" spans="2:23" ht="12.75" customHeight="1" x14ac:dyDescent="0.2"/>
  </sheetData>
  <mergeCells count="9"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1"/>
  <sheetViews>
    <sheetView showGridLines="0" topLeftCell="A7" zoomScaleNormal="100" workbookViewId="0">
      <selection activeCell="B36" sqref="B36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191</v>
      </c>
      <c r="R2" s="93">
        <f>SUM(R4:R1004)</f>
        <v>509844.99780821899</v>
      </c>
      <c r="S2" s="180"/>
      <c r="U2" s="57" t="s">
        <v>76</v>
      </c>
      <c r="X2" s="1" t="s">
        <v>1731</v>
      </c>
    </row>
    <row r="3" spans="2:29" ht="30" customHeight="1" thickBot="1" x14ac:dyDescent="0.25">
      <c r="C3" s="58" t="s">
        <v>78</v>
      </c>
      <c r="D3" s="92" t="s">
        <v>102</v>
      </c>
      <c r="E3" s="60"/>
      <c r="F3" s="61" t="s">
        <v>42</v>
      </c>
      <c r="G3" s="61" t="s">
        <v>43</v>
      </c>
      <c r="H3" s="63" t="s">
        <v>204</v>
      </c>
      <c r="I3" s="63" t="s">
        <v>201</v>
      </c>
      <c r="J3" s="60" t="s">
        <v>22</v>
      </c>
      <c r="K3" s="60" t="s">
        <v>81</v>
      </c>
      <c r="L3" s="63" t="s">
        <v>202</v>
      </c>
      <c r="M3" s="63" t="s">
        <v>103</v>
      </c>
      <c r="N3" s="60" t="s">
        <v>83</v>
      </c>
      <c r="O3" s="63" t="s">
        <v>97</v>
      </c>
      <c r="P3" s="62" t="s">
        <v>203</v>
      </c>
      <c r="Q3" s="62" t="s">
        <v>85</v>
      </c>
      <c r="R3" s="63" t="s">
        <v>99</v>
      </c>
      <c r="S3" s="66" t="s">
        <v>100</v>
      </c>
      <c r="T3" s="65"/>
      <c r="U3" s="67" t="s">
        <v>192</v>
      </c>
      <c r="V3" s="67" t="s">
        <v>1726</v>
      </c>
      <c r="W3" s="67" t="s">
        <v>98</v>
      </c>
      <c r="AA3" s="67" t="s">
        <v>198</v>
      </c>
      <c r="AB3" s="67" t="s">
        <v>199</v>
      </c>
      <c r="AC3" s="67" t="s">
        <v>200</v>
      </c>
    </row>
    <row r="4" spans="2:29" x14ac:dyDescent="0.2">
      <c r="B4" s="124" t="s">
        <v>205</v>
      </c>
      <c r="C4" s="304">
        <v>1</v>
      </c>
      <c r="D4" s="317">
        <v>43726</v>
      </c>
      <c r="E4" s="25" t="s">
        <v>193</v>
      </c>
      <c r="F4" s="25">
        <v>6472</v>
      </c>
      <c r="G4" s="53" t="s">
        <v>194</v>
      </c>
      <c r="H4" s="43">
        <v>320</v>
      </c>
      <c r="I4" s="26">
        <v>1200</v>
      </c>
      <c r="J4" s="44">
        <v>384000</v>
      </c>
      <c r="K4" s="37" t="s">
        <v>92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97">
        <f>P4+P5</f>
        <v>159</v>
      </c>
      <c r="S4" s="306">
        <f>R4/(J4+J5)</f>
        <v>2.1406645484409498E-4</v>
      </c>
      <c r="U4" s="319">
        <v>43742</v>
      </c>
      <c r="V4" s="313">
        <f>DATEDIF(D4,U4,"d")</f>
        <v>16</v>
      </c>
      <c r="W4" s="311" t="s">
        <v>888</v>
      </c>
      <c r="X4" s="170"/>
      <c r="AA4" s="297">
        <f>YEAR(U4)</f>
        <v>2019</v>
      </c>
      <c r="AB4" s="297">
        <f>MONTH(U4)</f>
        <v>10</v>
      </c>
      <c r="AC4" s="297" t="str">
        <f>IF(R4&gt;0,"○","☓")</f>
        <v>○</v>
      </c>
    </row>
    <row r="5" spans="2:29" ht="15" thickBot="1" x14ac:dyDescent="0.25">
      <c r="B5" s="106"/>
      <c r="C5" s="290"/>
      <c r="D5" s="291"/>
      <c r="E5" s="29" t="s">
        <v>195</v>
      </c>
      <c r="F5" s="29">
        <v>6752</v>
      </c>
      <c r="G5" s="54" t="s">
        <v>59</v>
      </c>
      <c r="H5" s="46">
        <v>896.9</v>
      </c>
      <c r="I5" s="30">
        <v>400</v>
      </c>
      <c r="J5" s="47">
        <v>358760</v>
      </c>
      <c r="K5" s="38" t="s">
        <v>93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95"/>
      <c r="S5" s="318"/>
      <c r="U5" s="320"/>
      <c r="V5" s="314"/>
      <c r="W5" s="312"/>
      <c r="X5" s="170"/>
      <c r="AA5" s="295"/>
      <c r="AB5" s="295"/>
      <c r="AC5" s="295"/>
    </row>
    <row r="6" spans="2:29" x14ac:dyDescent="0.2">
      <c r="B6" s="124" t="s">
        <v>205</v>
      </c>
      <c r="C6" s="304">
        <v>2</v>
      </c>
      <c r="D6" s="309">
        <v>43732</v>
      </c>
      <c r="E6" s="25" t="s">
        <v>86</v>
      </c>
      <c r="F6" s="25">
        <v>6305</v>
      </c>
      <c r="G6" s="53" t="s">
        <v>32</v>
      </c>
      <c r="H6" s="43">
        <v>2638</v>
      </c>
      <c r="I6" s="26">
        <v>300</v>
      </c>
      <c r="J6" s="44">
        <v>791400</v>
      </c>
      <c r="K6" s="37" t="s">
        <v>92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1" si="0">P6/J6</f>
        <v>6.4354308819812994E-2</v>
      </c>
      <c r="R6" s="297">
        <f>P6+P7</f>
        <v>37649</v>
      </c>
      <c r="S6" s="294">
        <f>R6/(J6+J7)</f>
        <v>2.3845082019127242E-2</v>
      </c>
      <c r="T6" s="3"/>
      <c r="U6" s="315">
        <v>43748</v>
      </c>
      <c r="V6" s="316">
        <f>DATEDIF(D6,U6,"d")</f>
        <v>16</v>
      </c>
      <c r="W6" s="311" t="s">
        <v>888</v>
      </c>
      <c r="X6" s="170"/>
      <c r="AA6" s="297">
        <f>YEAR(U6)</f>
        <v>2019</v>
      </c>
      <c r="AB6" s="297">
        <f>MONTH(U6)</f>
        <v>10</v>
      </c>
      <c r="AC6" s="297" t="str">
        <f>IF(R6&gt;0,"○","☓")</f>
        <v>○</v>
      </c>
    </row>
    <row r="7" spans="2:29" x14ac:dyDescent="0.2">
      <c r="B7" s="106"/>
      <c r="C7" s="290"/>
      <c r="D7" s="292"/>
      <c r="E7" s="29" t="s">
        <v>87</v>
      </c>
      <c r="F7" s="29">
        <v>3861</v>
      </c>
      <c r="G7" s="54" t="s">
        <v>38</v>
      </c>
      <c r="H7" s="46">
        <v>525</v>
      </c>
      <c r="I7" s="30">
        <v>1500</v>
      </c>
      <c r="J7" s="47">
        <v>787500</v>
      </c>
      <c r="K7" s="38" t="s">
        <v>93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295"/>
      <c r="S7" s="295"/>
      <c r="T7" s="3"/>
      <c r="U7" s="315"/>
      <c r="V7" s="316"/>
      <c r="W7" s="312"/>
      <c r="X7" s="170"/>
      <c r="AA7" s="295"/>
      <c r="AB7" s="295"/>
      <c r="AC7" s="295"/>
    </row>
    <row r="8" spans="2:29" x14ac:dyDescent="0.2">
      <c r="B8" s="124" t="s">
        <v>205</v>
      </c>
      <c r="C8" s="289">
        <f>ROW()/2-1</f>
        <v>3</v>
      </c>
      <c r="D8" s="309">
        <v>43747</v>
      </c>
      <c r="E8" s="33" t="s">
        <v>94</v>
      </c>
      <c r="F8" s="33">
        <v>3099</v>
      </c>
      <c r="G8" s="55" t="s">
        <v>37</v>
      </c>
      <c r="H8" s="49">
        <v>872</v>
      </c>
      <c r="I8" s="33">
        <v>1200</v>
      </c>
      <c r="J8" s="33">
        <f t="shared" ref="J8:J13" si="1">H8*I8</f>
        <v>1046400</v>
      </c>
      <c r="K8" s="52" t="s">
        <v>91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93">
        <f>P8+P9</f>
        <v>63304</v>
      </c>
      <c r="S8" s="306">
        <f>R8/(J8+J9)</f>
        <v>3.0952474085663994E-2</v>
      </c>
      <c r="U8" s="308">
        <v>43753</v>
      </c>
      <c r="V8" s="290">
        <f>DATEDIF(D8,U8,"d")</f>
        <v>6</v>
      </c>
      <c r="W8" s="302" t="s">
        <v>890</v>
      </c>
      <c r="X8" s="170"/>
      <c r="AA8" s="297">
        <f>YEAR(U8)</f>
        <v>2019</v>
      </c>
      <c r="AB8" s="297">
        <f>MONTH(U8)</f>
        <v>10</v>
      </c>
      <c r="AC8" s="297" t="str">
        <f>IF(R8&gt;0,"○","☓")</f>
        <v>○</v>
      </c>
    </row>
    <row r="9" spans="2:29" x14ac:dyDescent="0.2">
      <c r="B9" s="106"/>
      <c r="C9" s="290"/>
      <c r="D9" s="292">
        <v>43747</v>
      </c>
      <c r="E9" s="29" t="s">
        <v>87</v>
      </c>
      <c r="F9" s="29">
        <v>7211</v>
      </c>
      <c r="G9" s="54" t="s">
        <v>29</v>
      </c>
      <c r="H9" s="46">
        <v>454</v>
      </c>
      <c r="I9" s="46">
        <v>2200</v>
      </c>
      <c r="J9" s="47">
        <f t="shared" si="1"/>
        <v>998800</v>
      </c>
      <c r="K9" s="38" t="s">
        <v>91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93"/>
      <c r="S9" s="295"/>
      <c r="U9" s="296"/>
      <c r="V9" s="287"/>
      <c r="W9" s="287"/>
      <c r="X9" s="170"/>
      <c r="AA9" s="295"/>
      <c r="AB9" s="295"/>
      <c r="AC9" s="295"/>
    </row>
    <row r="10" spans="2:29" x14ac:dyDescent="0.2">
      <c r="B10" s="124" t="s">
        <v>205</v>
      </c>
      <c r="C10" s="289">
        <f>ROW()/2-1</f>
        <v>4</v>
      </c>
      <c r="D10" s="309">
        <v>43753</v>
      </c>
      <c r="E10" s="128" t="s">
        <v>86</v>
      </c>
      <c r="F10" s="33">
        <v>7453</v>
      </c>
      <c r="G10" s="55" t="s">
        <v>58</v>
      </c>
      <c r="H10" s="49">
        <v>2127</v>
      </c>
      <c r="I10" s="33">
        <v>500</v>
      </c>
      <c r="J10" s="33">
        <f t="shared" si="1"/>
        <v>1063500</v>
      </c>
      <c r="K10" s="52" t="s">
        <v>91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93">
        <f>P10+P11</f>
        <v>-93238.000000000029</v>
      </c>
      <c r="S10" s="294">
        <f>R10/(J10+J11)</f>
        <v>-4.3839777316989466E-2</v>
      </c>
      <c r="U10" s="307">
        <v>43759</v>
      </c>
      <c r="V10" s="287">
        <f>DATEDIF(D10,U10,"d")</f>
        <v>6</v>
      </c>
      <c r="W10" s="310" t="s">
        <v>210</v>
      </c>
      <c r="X10" s="170" t="s">
        <v>226</v>
      </c>
      <c r="AA10" s="297">
        <f>YEAR(U10)</f>
        <v>2019</v>
      </c>
      <c r="AB10" s="297">
        <f>MONTH(U10)</f>
        <v>10</v>
      </c>
      <c r="AC10" s="300" t="str">
        <f>IF(R10&gt;0,"○","☓")</f>
        <v>☓</v>
      </c>
    </row>
    <row r="11" spans="2:29" x14ac:dyDescent="0.2">
      <c r="B11" s="106"/>
      <c r="C11" s="290"/>
      <c r="D11" s="292">
        <v>43748</v>
      </c>
      <c r="E11" s="129" t="s">
        <v>87</v>
      </c>
      <c r="F11" s="29">
        <v>8308</v>
      </c>
      <c r="G11" s="54" t="s">
        <v>56</v>
      </c>
      <c r="H11" s="46">
        <v>462.3</v>
      </c>
      <c r="I11" s="46">
        <v>2300</v>
      </c>
      <c r="J11" s="47">
        <f t="shared" si="1"/>
        <v>1063290</v>
      </c>
      <c r="K11" s="38" t="s">
        <v>91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93"/>
      <c r="S11" s="295"/>
      <c r="U11" s="308"/>
      <c r="V11" s="287"/>
      <c r="W11" s="310"/>
      <c r="X11" s="170" t="s">
        <v>227</v>
      </c>
      <c r="AA11" s="295"/>
      <c r="AB11" s="295"/>
      <c r="AC11" s="301"/>
    </row>
    <row r="12" spans="2:29" x14ac:dyDescent="0.2">
      <c r="B12" s="124" t="s">
        <v>205</v>
      </c>
      <c r="C12" s="304">
        <f>ROW()/2-1</f>
        <v>5</v>
      </c>
      <c r="D12" s="291">
        <v>43742</v>
      </c>
      <c r="E12" s="25" t="s">
        <v>86</v>
      </c>
      <c r="F12" s="25">
        <v>8750</v>
      </c>
      <c r="G12" s="53" t="s">
        <v>31</v>
      </c>
      <c r="H12" s="43">
        <v>1635</v>
      </c>
      <c r="I12" s="26">
        <v>600</v>
      </c>
      <c r="J12" s="44">
        <f t="shared" si="1"/>
        <v>981000</v>
      </c>
      <c r="K12" s="37" t="s">
        <v>92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05">
        <f>P12+P13</f>
        <v>-11052.999999999898</v>
      </c>
      <c r="S12" s="306">
        <f>R12/(J12+J13)</f>
        <v>-5.6554672757562954E-3</v>
      </c>
      <c r="U12" s="307">
        <v>43759</v>
      </c>
      <c r="V12" s="287">
        <f>DATEDIF(D12,U12,"d")</f>
        <v>17</v>
      </c>
      <c r="W12" s="303" t="s">
        <v>888</v>
      </c>
      <c r="X12" s="170"/>
      <c r="AA12" s="297">
        <f>YEAR(U12)</f>
        <v>2019</v>
      </c>
      <c r="AB12" s="297">
        <f>MONTH(U12)</f>
        <v>10</v>
      </c>
      <c r="AC12" s="300" t="str">
        <f>IF(R12&gt;0,"○","☓")</f>
        <v>☓</v>
      </c>
    </row>
    <row r="13" spans="2:29" x14ac:dyDescent="0.2">
      <c r="B13" s="106"/>
      <c r="C13" s="290"/>
      <c r="D13" s="292"/>
      <c r="E13" s="29" t="s">
        <v>87</v>
      </c>
      <c r="F13" s="29">
        <v>8002</v>
      </c>
      <c r="G13" s="54" t="s">
        <v>30</v>
      </c>
      <c r="H13" s="46">
        <v>695.28</v>
      </c>
      <c r="I13" s="30">
        <v>1400</v>
      </c>
      <c r="J13" s="47">
        <f t="shared" si="1"/>
        <v>973392</v>
      </c>
      <c r="K13" s="172" t="s">
        <v>895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93"/>
      <c r="S13" s="295"/>
      <c r="U13" s="308"/>
      <c r="V13" s="287"/>
      <c r="W13" s="303"/>
      <c r="AA13" s="295"/>
      <c r="AB13" s="295"/>
      <c r="AC13" s="301"/>
    </row>
    <row r="14" spans="2:29" s="106" customFormat="1" x14ac:dyDescent="0.2">
      <c r="B14" s="124" t="s">
        <v>205</v>
      </c>
      <c r="C14" s="289">
        <f>ROW()/2-1</f>
        <v>6</v>
      </c>
      <c r="D14" s="291">
        <v>43745</v>
      </c>
      <c r="E14" s="33" t="s">
        <v>86</v>
      </c>
      <c r="F14" s="33">
        <v>6770</v>
      </c>
      <c r="G14" s="55" t="s">
        <v>25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92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93">
        <f>P14+P15</f>
        <v>-1197.0000000000437</v>
      </c>
      <c r="S14" s="294">
        <f>R14/(J14+J15)</f>
        <v>-7.1541831052504275E-4</v>
      </c>
      <c r="U14" s="296">
        <v>43761</v>
      </c>
      <c r="V14" s="287">
        <f>DATEDIF(D14,U14,"d")</f>
        <v>16</v>
      </c>
      <c r="W14" s="303" t="s">
        <v>888</v>
      </c>
      <c r="X14" s="170"/>
      <c r="AA14" s="297">
        <f>YEAR(U14)</f>
        <v>2019</v>
      </c>
      <c r="AB14" s="297">
        <f>MONTH(U14)</f>
        <v>10</v>
      </c>
      <c r="AC14" s="300" t="str">
        <f>IF(R14&gt;0,"○","☓")</f>
        <v>☓</v>
      </c>
    </row>
    <row r="15" spans="2:29" s="106" customFormat="1" x14ac:dyDescent="0.2">
      <c r="C15" s="290"/>
      <c r="D15" s="292">
        <v>43745</v>
      </c>
      <c r="E15" s="29" t="s">
        <v>87</v>
      </c>
      <c r="F15" s="29">
        <v>8601</v>
      </c>
      <c r="G15" s="54" t="s">
        <v>26</v>
      </c>
      <c r="H15" s="46">
        <v>488.91</v>
      </c>
      <c r="I15" s="30">
        <v>1700</v>
      </c>
      <c r="J15" s="47">
        <f t="shared" si="2"/>
        <v>831147</v>
      </c>
      <c r="K15" s="172" t="s">
        <v>77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93"/>
      <c r="S15" s="295"/>
      <c r="U15" s="287"/>
      <c r="V15" s="287"/>
      <c r="W15" s="303"/>
      <c r="AA15" s="295"/>
      <c r="AB15" s="295"/>
      <c r="AC15" s="301"/>
    </row>
    <row r="16" spans="2:29" s="106" customFormat="1" x14ac:dyDescent="0.2">
      <c r="B16" s="124" t="s">
        <v>205</v>
      </c>
      <c r="C16" s="289">
        <f>ROW()/2-1</f>
        <v>7</v>
      </c>
      <c r="D16" s="291">
        <v>43745</v>
      </c>
      <c r="E16" s="33" t="s">
        <v>86</v>
      </c>
      <c r="F16" s="33">
        <v>5803</v>
      </c>
      <c r="G16" s="55" t="s">
        <v>27</v>
      </c>
      <c r="H16" s="49">
        <v>413</v>
      </c>
      <c r="I16" s="34">
        <v>1700</v>
      </c>
      <c r="J16" s="50">
        <f t="shared" si="2"/>
        <v>702100</v>
      </c>
      <c r="K16" s="39" t="s">
        <v>92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93">
        <f>P16+P17</f>
        <v>-16483</v>
      </c>
      <c r="S16" s="294">
        <f>R16/(J16+J17)</f>
        <v>-1.1926054554663194E-2</v>
      </c>
      <c r="U16" s="296">
        <v>43761</v>
      </c>
      <c r="V16" s="287">
        <f>DATEDIF(D16,U16,"d")</f>
        <v>16</v>
      </c>
      <c r="W16" s="303" t="s">
        <v>888</v>
      </c>
      <c r="X16" s="170"/>
      <c r="AA16" s="297">
        <f>YEAR(U16)</f>
        <v>2019</v>
      </c>
      <c r="AB16" s="297">
        <f>MONTH(U16)</f>
        <v>10</v>
      </c>
      <c r="AC16" s="300" t="str">
        <f>IF(R16&gt;0,"○","☓")</f>
        <v>☓</v>
      </c>
    </row>
    <row r="17" spans="2:29" s="106" customFormat="1" x14ac:dyDescent="0.2">
      <c r="C17" s="290"/>
      <c r="D17" s="292">
        <v>43745</v>
      </c>
      <c r="E17" s="29" t="s">
        <v>87</v>
      </c>
      <c r="F17" s="29">
        <v>7259</v>
      </c>
      <c r="G17" s="54" t="s">
        <v>28</v>
      </c>
      <c r="H17" s="46">
        <v>3400</v>
      </c>
      <c r="I17" s="46">
        <v>200</v>
      </c>
      <c r="J17" s="47">
        <f t="shared" si="2"/>
        <v>680000</v>
      </c>
      <c r="K17" s="172" t="s">
        <v>77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93"/>
      <c r="S17" s="295"/>
      <c r="U17" s="287"/>
      <c r="V17" s="287"/>
      <c r="W17" s="303"/>
      <c r="AA17" s="295"/>
      <c r="AB17" s="295"/>
      <c r="AC17" s="301"/>
    </row>
    <row r="18" spans="2:29" s="106" customFormat="1" x14ac:dyDescent="0.2">
      <c r="B18" s="124" t="s">
        <v>205</v>
      </c>
      <c r="C18" s="289">
        <f>ROW()/2-1</f>
        <v>8</v>
      </c>
      <c r="D18" s="291">
        <v>43748</v>
      </c>
      <c r="E18" s="33" t="s">
        <v>86</v>
      </c>
      <c r="F18" s="33">
        <v>7186</v>
      </c>
      <c r="G18" s="55" t="s">
        <v>88</v>
      </c>
      <c r="H18" s="49">
        <v>410</v>
      </c>
      <c r="I18" s="33">
        <v>1800</v>
      </c>
      <c r="J18" s="33">
        <f t="shared" si="2"/>
        <v>738000</v>
      </c>
      <c r="K18" s="52" t="s">
        <v>91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93">
        <f>P18+P19</f>
        <v>-4757</v>
      </c>
      <c r="S18" s="294">
        <f>R18/(J18+J19)</f>
        <v>-3.2102847887704143E-3</v>
      </c>
      <c r="U18" s="296">
        <v>43767</v>
      </c>
      <c r="V18" s="287">
        <f>DATEDIF(D18,U18,"d")</f>
        <v>19</v>
      </c>
      <c r="W18" s="303" t="s">
        <v>888</v>
      </c>
      <c r="X18" s="226"/>
      <c r="AA18" s="297">
        <f>YEAR(U18)</f>
        <v>2019</v>
      </c>
      <c r="AB18" s="297">
        <f>MONTH(U18)</f>
        <v>10</v>
      </c>
      <c r="AC18" s="300" t="str">
        <f>IF(R18&gt;0,"○","☓")</f>
        <v>☓</v>
      </c>
    </row>
    <row r="19" spans="2:29" s="106" customFormat="1" x14ac:dyDescent="0.2">
      <c r="C19" s="290"/>
      <c r="D19" s="292">
        <v>43748</v>
      </c>
      <c r="E19" s="29" t="s">
        <v>87</v>
      </c>
      <c r="F19" s="29">
        <v>8309</v>
      </c>
      <c r="G19" s="54" t="s">
        <v>89</v>
      </c>
      <c r="H19" s="46">
        <v>3719</v>
      </c>
      <c r="I19" s="46">
        <v>200</v>
      </c>
      <c r="J19" s="47">
        <f t="shared" si="2"/>
        <v>743800</v>
      </c>
      <c r="K19" s="38" t="s">
        <v>91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93"/>
      <c r="S19" s="295"/>
      <c r="U19" s="287"/>
      <c r="V19" s="287"/>
      <c r="W19" s="303"/>
      <c r="X19" s="226"/>
      <c r="AA19" s="295"/>
      <c r="AB19" s="295"/>
      <c r="AC19" s="301"/>
    </row>
    <row r="20" spans="2:29" x14ac:dyDescent="0.2">
      <c r="B20" s="124" t="s">
        <v>205</v>
      </c>
      <c r="C20" s="289">
        <f>ROW()/2-1</f>
        <v>9</v>
      </c>
      <c r="D20" s="291">
        <v>43782</v>
      </c>
      <c r="E20" s="33" t="s">
        <v>86</v>
      </c>
      <c r="F20" s="33">
        <v>1820</v>
      </c>
      <c r="G20" s="55" t="s">
        <v>68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91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93">
        <f>P20+P21</f>
        <v>485995</v>
      </c>
      <c r="S20" s="294">
        <f>R20/(J20+J21)</f>
        <v>0.25451000559299347</v>
      </c>
      <c r="U20" s="296">
        <v>43789</v>
      </c>
      <c r="V20" s="287">
        <f>DATEDIF(D20,U20,"d")</f>
        <v>7</v>
      </c>
      <c r="W20" s="302" t="s">
        <v>228</v>
      </c>
      <c r="X20" s="226" t="s">
        <v>2145</v>
      </c>
      <c r="AA20" s="297">
        <f>YEAR(U20)</f>
        <v>2019</v>
      </c>
      <c r="AB20" s="297">
        <f>MONTH(U20)</f>
        <v>11</v>
      </c>
      <c r="AC20" s="297" t="str">
        <f>IF(R20&gt;0,"○","☓")</f>
        <v>○</v>
      </c>
    </row>
    <row r="21" spans="2:29" x14ac:dyDescent="0.2">
      <c r="B21" s="106"/>
      <c r="C21" s="290"/>
      <c r="D21" s="292">
        <v>43748</v>
      </c>
      <c r="E21" s="29" t="s">
        <v>87</v>
      </c>
      <c r="F21" s="29">
        <v>4508</v>
      </c>
      <c r="G21" s="54" t="s">
        <v>236</v>
      </c>
      <c r="H21" s="46">
        <v>1338.76</v>
      </c>
      <c r="I21" s="46">
        <v>700</v>
      </c>
      <c r="J21" s="47">
        <f t="shared" si="3"/>
        <v>937132</v>
      </c>
      <c r="K21" s="172" t="s">
        <v>77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93"/>
      <c r="S21" s="295"/>
      <c r="U21" s="287"/>
      <c r="V21" s="287"/>
      <c r="W21" s="287"/>
      <c r="X21" s="106" t="s">
        <v>743</v>
      </c>
      <c r="AA21" s="295"/>
      <c r="AB21" s="295"/>
      <c r="AC21" s="295"/>
    </row>
    <row r="22" spans="2:29" s="106" customFormat="1" x14ac:dyDescent="0.2">
      <c r="B22" s="124" t="s">
        <v>205</v>
      </c>
      <c r="C22" s="289">
        <f>ROW()/2-1</f>
        <v>10</v>
      </c>
      <c r="D22" s="291">
        <v>43782</v>
      </c>
      <c r="E22" s="33" t="s">
        <v>86</v>
      </c>
      <c r="F22" s="33">
        <v>8002</v>
      </c>
      <c r="G22" s="55" t="s">
        <v>30</v>
      </c>
      <c r="H22" s="49">
        <v>814</v>
      </c>
      <c r="I22" s="33">
        <v>1300</v>
      </c>
      <c r="J22" s="50">
        <f t="shared" si="3"/>
        <v>1058200</v>
      </c>
      <c r="K22" s="52" t="s">
        <v>91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93">
        <f>P22+P23</f>
        <v>60240.999999999913</v>
      </c>
      <c r="S22" s="294">
        <f>R22/(J22+J23)</f>
        <v>2.8847737807914758E-2</v>
      </c>
      <c r="U22" s="296">
        <v>43790</v>
      </c>
      <c r="V22" s="287">
        <f>DATEDIF(D22,U22,"d")</f>
        <v>8</v>
      </c>
      <c r="W22" s="302" t="s">
        <v>228</v>
      </c>
      <c r="X22" s="170"/>
      <c r="AA22" s="297">
        <f>YEAR(U22)</f>
        <v>2019</v>
      </c>
      <c r="AB22" s="297">
        <f>MONTH(U22)</f>
        <v>11</v>
      </c>
      <c r="AC22" s="297" t="str">
        <f>IF(R22&gt;0,"○","☓")</f>
        <v>○</v>
      </c>
    </row>
    <row r="23" spans="2:29" s="106" customFormat="1" x14ac:dyDescent="0.2">
      <c r="C23" s="290"/>
      <c r="D23" s="292">
        <v>43748</v>
      </c>
      <c r="E23" s="29" t="s">
        <v>87</v>
      </c>
      <c r="F23" s="29">
        <v>8601</v>
      </c>
      <c r="G23" s="54" t="s">
        <v>26</v>
      </c>
      <c r="H23" s="46">
        <v>515.02</v>
      </c>
      <c r="I23" s="46">
        <v>2000</v>
      </c>
      <c r="J23" s="47">
        <f t="shared" si="3"/>
        <v>1030040</v>
      </c>
      <c r="K23" s="172" t="s">
        <v>77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93"/>
      <c r="S23" s="295"/>
      <c r="U23" s="287"/>
      <c r="V23" s="287"/>
      <c r="W23" s="287"/>
      <c r="AA23" s="295"/>
      <c r="AB23" s="295"/>
      <c r="AC23" s="295"/>
    </row>
    <row r="24" spans="2:29" s="106" customFormat="1" x14ac:dyDescent="0.2">
      <c r="B24" s="124" t="s">
        <v>205</v>
      </c>
      <c r="C24" s="289">
        <f>ROW()/2-1</f>
        <v>11</v>
      </c>
      <c r="D24" s="291">
        <v>43783</v>
      </c>
      <c r="E24" s="33" t="s">
        <v>86</v>
      </c>
      <c r="F24" s="33">
        <v>3105</v>
      </c>
      <c r="G24" s="55" t="s">
        <v>52</v>
      </c>
      <c r="H24" s="49">
        <v>970</v>
      </c>
      <c r="I24" s="33">
        <v>1100</v>
      </c>
      <c r="J24" s="50">
        <f t="shared" si="3"/>
        <v>1067000</v>
      </c>
      <c r="K24" s="52" t="s">
        <v>91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93">
        <f>P24+P25</f>
        <v>-59214</v>
      </c>
      <c r="S24" s="294">
        <f>R24/(J24+J25)</f>
        <v>-2.7894290559638213E-2</v>
      </c>
      <c r="U24" s="296">
        <v>43798</v>
      </c>
      <c r="V24" s="287">
        <f>DATEDIF(D24,U24,"d")</f>
        <v>15</v>
      </c>
      <c r="W24" s="322" t="s">
        <v>210</v>
      </c>
      <c r="X24" s="170"/>
      <c r="AA24" s="297">
        <f>YEAR(U24)</f>
        <v>2019</v>
      </c>
      <c r="AB24" s="297">
        <f>MONTH(U24)</f>
        <v>11</v>
      </c>
      <c r="AC24" s="297" t="str">
        <f>IF(R24&gt;0,"○","☓")</f>
        <v>☓</v>
      </c>
    </row>
    <row r="25" spans="2:29" s="106" customFormat="1" x14ac:dyDescent="0.2">
      <c r="C25" s="290"/>
      <c r="D25" s="292">
        <v>43748</v>
      </c>
      <c r="E25" s="29" t="s">
        <v>87</v>
      </c>
      <c r="F25" s="29">
        <v>6301</v>
      </c>
      <c r="G25" s="54" t="s">
        <v>62</v>
      </c>
      <c r="H25" s="46">
        <v>2639.5</v>
      </c>
      <c r="I25" s="46">
        <v>400</v>
      </c>
      <c r="J25" s="47">
        <f t="shared" si="3"/>
        <v>1055800</v>
      </c>
      <c r="K25" s="38" t="s">
        <v>77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93"/>
      <c r="S25" s="295"/>
      <c r="U25" s="287"/>
      <c r="V25" s="287"/>
      <c r="W25" s="323"/>
      <c r="X25" s="170"/>
      <c r="AA25" s="295"/>
      <c r="AB25" s="295"/>
      <c r="AC25" s="295"/>
    </row>
    <row r="26" spans="2:29" s="106" customFormat="1" x14ac:dyDescent="0.2">
      <c r="B26" s="124" t="s">
        <v>205</v>
      </c>
      <c r="C26" s="289">
        <f>ROW()/2-1</f>
        <v>12</v>
      </c>
      <c r="D26" s="291">
        <v>43784</v>
      </c>
      <c r="E26" s="33" t="s">
        <v>86</v>
      </c>
      <c r="F26" s="33">
        <v>6770</v>
      </c>
      <c r="G26" s="55" t="s">
        <v>25</v>
      </c>
      <c r="H26" s="49">
        <v>2386</v>
      </c>
      <c r="I26" s="33">
        <v>400</v>
      </c>
      <c r="J26" s="50">
        <f t="shared" si="3"/>
        <v>954400</v>
      </c>
      <c r="K26" s="52" t="s">
        <v>896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93">
        <f>P26+P27</f>
        <v>-23558</v>
      </c>
      <c r="S26" s="294">
        <f>R26/(J26+J27)</f>
        <v>-1.2410704878305763E-2</v>
      </c>
      <c r="U26" s="296">
        <v>43802</v>
      </c>
      <c r="V26" s="287">
        <f>DATEDIF(D26,U26,"d")</f>
        <v>18</v>
      </c>
      <c r="W26" s="298" t="s">
        <v>888</v>
      </c>
      <c r="X26" s="170"/>
      <c r="AA26" s="297">
        <f>YEAR(U26)</f>
        <v>2019</v>
      </c>
      <c r="AB26" s="297">
        <f>MONTH(U26)</f>
        <v>12</v>
      </c>
      <c r="AC26" s="297" t="str">
        <f>IF(R26&gt;0,"○","☓")</f>
        <v>☓</v>
      </c>
    </row>
    <row r="27" spans="2:29" s="106" customFormat="1" x14ac:dyDescent="0.2">
      <c r="C27" s="290"/>
      <c r="D27" s="292">
        <v>43748</v>
      </c>
      <c r="E27" s="29" t="s">
        <v>87</v>
      </c>
      <c r="F27" s="29">
        <v>1911</v>
      </c>
      <c r="G27" s="54" t="s">
        <v>57</v>
      </c>
      <c r="H27" s="46">
        <v>1573</v>
      </c>
      <c r="I27" s="46">
        <v>600</v>
      </c>
      <c r="J27" s="47">
        <f t="shared" si="3"/>
        <v>943800</v>
      </c>
      <c r="K27" s="171" t="s">
        <v>92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93"/>
      <c r="S27" s="295"/>
      <c r="U27" s="287"/>
      <c r="V27" s="287"/>
      <c r="W27" s="299"/>
      <c r="X27" s="170"/>
      <c r="AA27" s="295"/>
      <c r="AB27" s="295"/>
      <c r="AC27" s="295"/>
    </row>
    <row r="28" spans="2:29" s="106" customFormat="1" x14ac:dyDescent="0.2">
      <c r="B28" s="124" t="s">
        <v>205</v>
      </c>
      <c r="C28" s="289">
        <v>13</v>
      </c>
      <c r="D28" s="291">
        <v>43789</v>
      </c>
      <c r="E28" s="33" t="s">
        <v>86</v>
      </c>
      <c r="F28" s="33">
        <v>4182</v>
      </c>
      <c r="G28" s="55" t="s">
        <v>50</v>
      </c>
      <c r="H28" s="49">
        <v>1627</v>
      </c>
      <c r="I28" s="33">
        <v>600</v>
      </c>
      <c r="J28" s="50">
        <v>976200</v>
      </c>
      <c r="K28" s="52" t="s">
        <v>91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93">
        <v>54150</v>
      </c>
      <c r="S28" s="294">
        <v>2.7799999999999998E-2</v>
      </c>
      <c r="U28" s="296">
        <v>43805</v>
      </c>
      <c r="V28" s="287">
        <v>15</v>
      </c>
      <c r="W28" s="302" t="s">
        <v>864</v>
      </c>
      <c r="X28" s="170"/>
      <c r="AA28" s="297">
        <f>YEAR(U28)</f>
        <v>2019</v>
      </c>
      <c r="AB28" s="297">
        <f>MONTH(U28)</f>
        <v>12</v>
      </c>
      <c r="AC28" s="297" t="str">
        <f>IF(R28&gt;0,"○","☓")</f>
        <v>○</v>
      </c>
    </row>
    <row r="29" spans="2:29" s="106" customFormat="1" x14ac:dyDescent="0.2">
      <c r="C29" s="290"/>
      <c r="D29" s="292">
        <v>43748</v>
      </c>
      <c r="E29" s="29" t="s">
        <v>87</v>
      </c>
      <c r="F29" s="29">
        <v>1824</v>
      </c>
      <c r="G29" s="54" t="s">
        <v>238</v>
      </c>
      <c r="H29" s="46">
        <v>973</v>
      </c>
      <c r="I29" s="46">
        <v>1000</v>
      </c>
      <c r="J29" s="47">
        <v>973000</v>
      </c>
      <c r="K29" s="145" t="s">
        <v>91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93"/>
      <c r="S29" s="295"/>
      <c r="U29" s="287"/>
      <c r="V29" s="287"/>
      <c r="W29" s="287"/>
      <c r="X29" s="170"/>
      <c r="AA29" s="295"/>
      <c r="AB29" s="295"/>
      <c r="AC29" s="295"/>
    </row>
    <row r="30" spans="2:29" s="106" customFormat="1" x14ac:dyDescent="0.2">
      <c r="B30" s="124" t="s">
        <v>205</v>
      </c>
      <c r="C30" s="289">
        <v>14</v>
      </c>
      <c r="D30" s="291">
        <v>43790</v>
      </c>
      <c r="E30" s="33" t="s">
        <v>86</v>
      </c>
      <c r="F30" s="33">
        <v>6995</v>
      </c>
      <c r="G30" s="55" t="s">
        <v>53</v>
      </c>
      <c r="H30" s="49">
        <v>2050</v>
      </c>
      <c r="I30" s="33">
        <v>500</v>
      </c>
      <c r="J30" s="50">
        <f t="shared" ref="J30:J41" si="5">H30*I30</f>
        <v>1025000</v>
      </c>
      <c r="K30" s="52" t="s">
        <v>91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93">
        <f>P30+P31</f>
        <v>33712.972602739726</v>
      </c>
      <c r="S30" s="294">
        <f>R30/(J30+J31)</f>
        <v>1.6402146834066229E-2</v>
      </c>
      <c r="U30" s="296">
        <v>43808</v>
      </c>
      <c r="V30" s="287">
        <f>IF(U30&gt;D30,DATEDIF(D30,U30,"d"),0)</f>
        <v>18</v>
      </c>
      <c r="W30" s="321" t="s">
        <v>889</v>
      </c>
      <c r="AA30" s="297">
        <f>YEAR(U30)</f>
        <v>2019</v>
      </c>
      <c r="AB30" s="297">
        <f>MONTH(U30)</f>
        <v>12</v>
      </c>
      <c r="AC30" s="297" t="str">
        <f>IF(R30&gt;0,"○","☓")</f>
        <v>○</v>
      </c>
    </row>
    <row r="31" spans="2:29" s="106" customFormat="1" x14ac:dyDescent="0.2">
      <c r="C31" s="290"/>
      <c r="D31" s="292">
        <v>43748</v>
      </c>
      <c r="E31" s="29" t="s">
        <v>87</v>
      </c>
      <c r="F31" s="29">
        <v>6472</v>
      </c>
      <c r="G31" s="54" t="s">
        <v>70</v>
      </c>
      <c r="H31" s="46">
        <v>322</v>
      </c>
      <c r="I31" s="46">
        <v>3200</v>
      </c>
      <c r="J31" s="47">
        <f t="shared" si="5"/>
        <v>1030400</v>
      </c>
      <c r="K31" s="172" t="s">
        <v>77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93"/>
      <c r="S31" s="295"/>
      <c r="U31" s="287"/>
      <c r="V31" s="287"/>
      <c r="W31" s="287"/>
      <c r="AA31" s="295"/>
      <c r="AB31" s="295"/>
      <c r="AC31" s="295"/>
    </row>
    <row r="32" spans="2:29" s="106" customFormat="1" x14ac:dyDescent="0.2">
      <c r="B32" s="124" t="s">
        <v>205</v>
      </c>
      <c r="C32" s="289">
        <v>15</v>
      </c>
      <c r="D32" s="291">
        <v>43791</v>
      </c>
      <c r="E32" s="33" t="s">
        <v>86</v>
      </c>
      <c r="F32" s="33">
        <v>8601</v>
      </c>
      <c r="G32" s="55" t="s">
        <v>26</v>
      </c>
      <c r="H32" s="49">
        <v>533.79999999999995</v>
      </c>
      <c r="I32" s="33">
        <v>2000</v>
      </c>
      <c r="J32" s="50">
        <f t="shared" si="5"/>
        <v>1067600</v>
      </c>
      <c r="K32" s="52" t="s">
        <v>91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93">
        <f>P32+P33</f>
        <v>-7387.9621917808836</v>
      </c>
      <c r="S32" s="294">
        <f>R32/(J32+J33)</f>
        <v>-3.4469872261972761E-3</v>
      </c>
      <c r="U32" s="296">
        <v>43808</v>
      </c>
      <c r="V32" s="287">
        <f>IF(U32&gt;D32,DATEDIF(D32,U32,"d"),0)</f>
        <v>17</v>
      </c>
      <c r="W32" s="321" t="s">
        <v>889</v>
      </c>
      <c r="AA32" s="297">
        <f>YEAR(U32)</f>
        <v>2019</v>
      </c>
      <c r="AB32" s="297">
        <f>MONTH(U32)</f>
        <v>12</v>
      </c>
      <c r="AC32" s="297" t="str">
        <f>IF(R32&gt;0,"○","☓")</f>
        <v>☓</v>
      </c>
    </row>
    <row r="33" spans="2:29" s="106" customFormat="1" x14ac:dyDescent="0.2">
      <c r="C33" s="290"/>
      <c r="D33" s="292">
        <v>43748</v>
      </c>
      <c r="E33" s="29" t="s">
        <v>87</v>
      </c>
      <c r="F33" s="29">
        <v>8308</v>
      </c>
      <c r="G33" s="54" t="s">
        <v>56</v>
      </c>
      <c r="H33" s="46">
        <v>467.7</v>
      </c>
      <c r="I33" s="46">
        <v>2300</v>
      </c>
      <c r="J33" s="47">
        <f t="shared" si="5"/>
        <v>1075710</v>
      </c>
      <c r="K33" s="172" t="s">
        <v>77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93"/>
      <c r="S33" s="295"/>
      <c r="U33" s="287"/>
      <c r="V33" s="287"/>
      <c r="W33" s="287"/>
      <c r="AA33" s="295"/>
      <c r="AB33" s="295"/>
      <c r="AC33" s="295"/>
    </row>
    <row r="34" spans="2:29" s="106" customFormat="1" x14ac:dyDescent="0.2">
      <c r="B34" s="124" t="s">
        <v>205</v>
      </c>
      <c r="C34" s="289">
        <v>16</v>
      </c>
      <c r="D34" s="291">
        <v>43802</v>
      </c>
      <c r="E34" s="33" t="s">
        <v>193</v>
      </c>
      <c r="F34" s="33">
        <v>3861</v>
      </c>
      <c r="G34" s="55" t="s">
        <v>38</v>
      </c>
      <c r="H34" s="49">
        <v>616</v>
      </c>
      <c r="I34" s="49">
        <v>1700</v>
      </c>
      <c r="J34" s="50">
        <f t="shared" si="5"/>
        <v>1047200</v>
      </c>
      <c r="K34" s="52" t="s">
        <v>91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93">
        <f>P34+P35</f>
        <v>29274.382465753424</v>
      </c>
      <c r="S34" s="294">
        <f>R34/(J34+J35)</f>
        <v>1.4002861602292846E-2</v>
      </c>
      <c r="U34" s="296">
        <v>43818</v>
      </c>
      <c r="V34" s="287">
        <f>IF(U34&gt;D34,DATEDIF(D34,U34,"d"),0)</f>
        <v>16</v>
      </c>
      <c r="W34" s="288" t="s">
        <v>889</v>
      </c>
      <c r="AA34" s="297">
        <f>YEAR(U34)</f>
        <v>2019</v>
      </c>
      <c r="AB34" s="297">
        <f>MONTH(U34)</f>
        <v>12</v>
      </c>
      <c r="AC34" s="297" t="str">
        <f>IF(R34&gt;0,"○","☓")</f>
        <v>○</v>
      </c>
    </row>
    <row r="35" spans="2:29" s="106" customFormat="1" x14ac:dyDescent="0.2">
      <c r="C35" s="290"/>
      <c r="D35" s="292">
        <v>43748</v>
      </c>
      <c r="E35" s="29" t="s">
        <v>195</v>
      </c>
      <c r="F35" s="29">
        <v>5703</v>
      </c>
      <c r="G35" s="54" t="s">
        <v>233</v>
      </c>
      <c r="H35" s="46">
        <v>222</v>
      </c>
      <c r="I35" s="46">
        <v>4700</v>
      </c>
      <c r="J35" s="47">
        <f t="shared" si="5"/>
        <v>1043400</v>
      </c>
      <c r="K35" s="145" t="s">
        <v>91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20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93"/>
      <c r="S35" s="295"/>
      <c r="U35" s="287"/>
      <c r="V35" s="287"/>
      <c r="W35" s="287"/>
      <c r="AA35" s="295"/>
      <c r="AB35" s="295"/>
      <c r="AC35" s="295"/>
    </row>
    <row r="36" spans="2:29" s="106" customFormat="1" x14ac:dyDescent="0.2">
      <c r="B36" s="124" t="s">
        <v>205</v>
      </c>
      <c r="C36" s="289">
        <v>17</v>
      </c>
      <c r="D36" s="291">
        <v>43808</v>
      </c>
      <c r="E36" s="33" t="s">
        <v>193</v>
      </c>
      <c r="F36" s="33">
        <v>5991</v>
      </c>
      <c r="G36" s="55" t="s">
        <v>2328</v>
      </c>
      <c r="H36" s="49">
        <v>1013</v>
      </c>
      <c r="I36" s="49">
        <v>900</v>
      </c>
      <c r="J36" s="50">
        <f t="shared" si="5"/>
        <v>911700</v>
      </c>
      <c r="K36" s="52" t="s">
        <v>91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293">
        <f>P36+P37</f>
        <v>-25646.869041095888</v>
      </c>
      <c r="S36" s="294">
        <f>R36/(J36+J37)</f>
        <v>-1.376865251575449E-2</v>
      </c>
      <c r="U36" s="296">
        <v>43824</v>
      </c>
      <c r="V36" s="287">
        <f>IF(U36&gt;D36,DATEDIF(D36,U36,"d"),0)</f>
        <v>16</v>
      </c>
      <c r="W36" s="288" t="s">
        <v>889</v>
      </c>
      <c r="AA36" s="297">
        <f>YEAR(U36)</f>
        <v>2019</v>
      </c>
      <c r="AB36" s="297">
        <f>MONTH(U36)</f>
        <v>12</v>
      </c>
      <c r="AC36" s="297" t="str">
        <f>IF(R36&gt;0,"○","☓")</f>
        <v>☓</v>
      </c>
    </row>
    <row r="37" spans="2:29" s="106" customFormat="1" x14ac:dyDescent="0.2">
      <c r="B37" s="124"/>
      <c r="C37" s="290"/>
      <c r="D37" s="292">
        <v>43748</v>
      </c>
      <c r="E37" s="29" t="s">
        <v>195</v>
      </c>
      <c r="F37" s="29">
        <v>7267</v>
      </c>
      <c r="G37" s="54" t="s">
        <v>67</v>
      </c>
      <c r="H37" s="46">
        <v>3170</v>
      </c>
      <c r="I37" s="46">
        <v>300</v>
      </c>
      <c r="J37" s="47">
        <f t="shared" si="5"/>
        <v>951000</v>
      </c>
      <c r="K37" s="145" t="s">
        <v>91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1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293"/>
      <c r="S37" s="295"/>
      <c r="U37" s="287"/>
      <c r="V37" s="287"/>
      <c r="W37" s="287"/>
      <c r="AA37" s="295"/>
      <c r="AB37" s="295"/>
      <c r="AC37" s="295"/>
    </row>
    <row r="38" spans="2:29" s="106" customFormat="1" x14ac:dyDescent="0.2">
      <c r="B38" s="124" t="s">
        <v>205</v>
      </c>
      <c r="C38" s="289">
        <v>18</v>
      </c>
      <c r="D38" s="291">
        <v>43809</v>
      </c>
      <c r="E38" s="33" t="s">
        <v>193</v>
      </c>
      <c r="F38" s="33">
        <v>6471</v>
      </c>
      <c r="G38" s="55" t="s">
        <v>2588</v>
      </c>
      <c r="H38" s="49">
        <v>1067</v>
      </c>
      <c r="I38" s="49">
        <v>1000</v>
      </c>
      <c r="J38" s="50">
        <f t="shared" si="5"/>
        <v>1067000</v>
      </c>
      <c r="K38" s="52" t="s">
        <v>91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293">
        <f>P38+P39</f>
        <v>-12105.526027397262</v>
      </c>
      <c r="S38" s="294">
        <f>R38/(J38+J39)</f>
        <v>-5.6174134697899126E-3</v>
      </c>
      <c r="U38" s="296">
        <v>43826</v>
      </c>
      <c r="V38" s="287">
        <f>IF(U38&gt;D38,DATEDIF(D38,U38,"d"),0)</f>
        <v>17</v>
      </c>
      <c r="W38" s="288" t="s">
        <v>889</v>
      </c>
      <c r="X38" s="279" t="s">
        <v>2591</v>
      </c>
      <c r="AA38" s="297">
        <f>YEAR(U38)</f>
        <v>2019</v>
      </c>
      <c r="AB38" s="297">
        <f>MONTH(U38)</f>
        <v>12</v>
      </c>
      <c r="AC38" s="297" t="str">
        <f>IF(R38&gt;0,"○","☓")</f>
        <v>☓</v>
      </c>
    </row>
    <row r="39" spans="2:29" s="106" customFormat="1" x14ac:dyDescent="0.2">
      <c r="B39" s="124"/>
      <c r="C39" s="290"/>
      <c r="D39" s="292">
        <v>43748</v>
      </c>
      <c r="E39" s="29" t="s">
        <v>195</v>
      </c>
      <c r="F39" s="29">
        <v>6473</v>
      </c>
      <c r="G39" s="54" t="s">
        <v>2589</v>
      </c>
      <c r="H39" s="46">
        <v>1360</v>
      </c>
      <c r="I39" s="46">
        <v>800</v>
      </c>
      <c r="J39" s="47">
        <f t="shared" si="5"/>
        <v>1088000</v>
      </c>
      <c r="K39" s="145" t="s">
        <v>91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2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293"/>
      <c r="S39" s="295"/>
      <c r="U39" s="287"/>
      <c r="V39" s="287"/>
      <c r="W39" s="287"/>
      <c r="AA39" s="295"/>
      <c r="AB39" s="295"/>
      <c r="AC39" s="295"/>
    </row>
    <row r="40" spans="2:29" s="106" customFormat="1" x14ac:dyDescent="0.2">
      <c r="B40" s="124" t="s">
        <v>205</v>
      </c>
      <c r="C40" s="289">
        <f>ROW()/2-1</f>
        <v>19</v>
      </c>
      <c r="D40" s="291">
        <v>43811</v>
      </c>
      <c r="E40" s="33" t="s">
        <v>193</v>
      </c>
      <c r="F40" s="33">
        <v>1860</v>
      </c>
      <c r="G40" s="55" t="s">
        <v>63</v>
      </c>
      <c r="H40" s="49">
        <v>730</v>
      </c>
      <c r="I40" s="49">
        <v>1400</v>
      </c>
      <c r="J40" s="50">
        <f t="shared" si="5"/>
        <v>1022000</v>
      </c>
      <c r="K40" s="52" t="s">
        <v>91</v>
      </c>
      <c r="L40" s="49"/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0</v>
      </c>
      <c r="Q40" s="51">
        <f t="shared" si="0"/>
        <v>0</v>
      </c>
      <c r="R40" s="293">
        <f>P40+P41</f>
        <v>0</v>
      </c>
      <c r="S40" s="294">
        <f>R40/(J40+J41)</f>
        <v>0</v>
      </c>
      <c r="U40" s="296">
        <v>43829</v>
      </c>
      <c r="V40" s="287">
        <f>IF(U40&gt;D40,DATEDIF(D40,U40,"d"),0)</f>
        <v>18</v>
      </c>
      <c r="W40" s="288"/>
    </row>
    <row r="41" spans="2:29" s="106" customFormat="1" x14ac:dyDescent="0.2">
      <c r="B41" s="124" t="s">
        <v>2590</v>
      </c>
      <c r="C41" s="290"/>
      <c r="D41" s="292">
        <v>43748</v>
      </c>
      <c r="E41" s="29" t="s">
        <v>195</v>
      </c>
      <c r="F41" s="29">
        <v>5110</v>
      </c>
      <c r="G41" s="54" t="s">
        <v>2592</v>
      </c>
      <c r="H41" s="46">
        <v>1420</v>
      </c>
      <c r="I41" s="46">
        <v>700</v>
      </c>
      <c r="J41" s="47">
        <f t="shared" si="5"/>
        <v>994000</v>
      </c>
      <c r="K41" s="145" t="s">
        <v>91</v>
      </c>
      <c r="L41" s="41"/>
      <c r="M41" s="31">
        <v>770</v>
      </c>
      <c r="N41" s="146">
        <f>IF(OR(K41="現物",J41=0),0,IF(E41="売",J41*Fee_Refer!$B$12/365*V41, J41*Fee_Refer!$B$11/365*V40))</f>
        <v>1372.5369863013698</v>
      </c>
      <c r="O41" s="283">
        <v>0</v>
      </c>
      <c r="P41" s="148">
        <f>IF(L41&gt;0,(L41-H41)*I41-M41-N41-O41,0)</f>
        <v>0</v>
      </c>
      <c r="Q41" s="48">
        <f t="shared" si="0"/>
        <v>0</v>
      </c>
      <c r="R41" s="293"/>
      <c r="S41" s="295"/>
      <c r="U41" s="287"/>
      <c r="V41" s="287"/>
      <c r="W41" s="287"/>
    </row>
  </sheetData>
  <autoFilter ref="B3:AC23"/>
  <mergeCells count="187">
    <mergeCell ref="AA38:AA39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A28:AA29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A34:AA35"/>
    <mergeCell ref="AB34:AB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38:C39"/>
    <mergeCell ref="D38:D39"/>
    <mergeCell ref="R38:R39"/>
    <mergeCell ref="S38:S39"/>
    <mergeCell ref="U38:U39"/>
    <mergeCell ref="V38:V39"/>
    <mergeCell ref="W38:W39"/>
    <mergeCell ref="C26:C27"/>
    <mergeCell ref="D26:D27"/>
    <mergeCell ref="R26:R27"/>
    <mergeCell ref="S26:S27"/>
    <mergeCell ref="U26:U27"/>
    <mergeCell ref="V30:V31"/>
    <mergeCell ref="W30:W31"/>
    <mergeCell ref="C32:C33"/>
    <mergeCell ref="D32:D33"/>
    <mergeCell ref="R32:R3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1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I37" sqref="I3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887</v>
      </c>
    </row>
    <row r="2" spans="1:23" ht="59.25" customHeight="1" x14ac:dyDescent="0.2">
      <c r="A2" s="152" t="s">
        <v>865</v>
      </c>
      <c r="B2" s="153" t="s">
        <v>866</v>
      </c>
      <c r="C2" s="154" t="s">
        <v>873</v>
      </c>
      <c r="D2" s="153" t="s">
        <v>874</v>
      </c>
      <c r="E2" s="153" t="s">
        <v>875</v>
      </c>
      <c r="F2" s="154" t="s">
        <v>883</v>
      </c>
      <c r="G2" s="154" t="s">
        <v>884</v>
      </c>
      <c r="H2" s="154" t="s">
        <v>876</v>
      </c>
      <c r="I2" s="154" t="s">
        <v>877</v>
      </c>
      <c r="J2" s="154" t="s">
        <v>878</v>
      </c>
      <c r="K2" s="154" t="s">
        <v>885</v>
      </c>
      <c r="L2" s="154" t="s">
        <v>879</v>
      </c>
      <c r="M2" s="154" t="s">
        <v>867</v>
      </c>
      <c r="N2" s="154" t="s">
        <v>868</v>
      </c>
      <c r="O2" s="154" t="s">
        <v>869</v>
      </c>
      <c r="P2" s="154" t="s">
        <v>880</v>
      </c>
      <c r="Q2" s="155" t="s">
        <v>881</v>
      </c>
      <c r="R2" s="155" t="s">
        <v>870</v>
      </c>
      <c r="S2" s="156" t="s">
        <v>871</v>
      </c>
      <c r="T2" s="156" t="s">
        <v>872</v>
      </c>
      <c r="U2" s="156" t="s">
        <v>886</v>
      </c>
      <c r="V2" s="157" t="s">
        <v>882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86191.392876712271</v>
      </c>
      <c r="E5" s="161">
        <f>IF(D5 &lt;&gt; 0,D5/C5, 0)</f>
        <v>1.5781905406174211E-2</v>
      </c>
      <c r="F5" s="160">
        <v>117137.35506849315</v>
      </c>
      <c r="G5" s="160">
        <v>-30945.962191780884</v>
      </c>
      <c r="H5" s="158">
        <v>5</v>
      </c>
      <c r="I5" s="158">
        <v>3</v>
      </c>
      <c r="J5" s="158">
        <v>2</v>
      </c>
      <c r="K5" s="162">
        <f>IF(H5&lt;&gt;0,I5/H5,0)</f>
        <v>0.6</v>
      </c>
      <c r="L5" s="163">
        <f t="shared" si="0"/>
        <v>39045.785022831049</v>
      </c>
      <c r="M5" s="164">
        <f t="shared" si="0"/>
        <v>-15472.981095890442</v>
      </c>
      <c r="N5" s="165">
        <v>16.8</v>
      </c>
      <c r="O5" s="165">
        <v>-23558</v>
      </c>
      <c r="P5" s="166">
        <f>IF(C5&lt;&gt;0,O5/C5,0)</f>
        <v>-4.3135412382818636E-3</v>
      </c>
      <c r="Q5" s="167">
        <v>2</v>
      </c>
      <c r="R5" s="167">
        <v>1</v>
      </c>
      <c r="S5" s="167">
        <v>1</v>
      </c>
      <c r="T5" s="167">
        <v>0</v>
      </c>
      <c r="U5" s="167">
        <v>4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abSelected="1" zoomScale="70" zoomScaleNormal="70" workbookViewId="0">
      <selection activeCell="A82" sqref="A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2"/>
      <c r="C1" s="190"/>
      <c r="D1" s="242">
        <v>17</v>
      </c>
      <c r="E1" s="243" t="s">
        <v>2148</v>
      </c>
      <c r="F1" s="244">
        <v>19</v>
      </c>
      <c r="G1" s="189"/>
      <c r="H1" s="193"/>
      <c r="I1" s="136"/>
      <c r="J1" s="137"/>
      <c r="N1" s="173"/>
      <c r="O1" s="194"/>
      <c r="P1" s="135"/>
      <c r="Q1" s="215"/>
      <c r="R1" s="216"/>
      <c r="S1" s="10"/>
      <c r="T1" s="217"/>
      <c r="U1" s="135"/>
    </row>
    <row r="2" spans="1:31" ht="33" customHeight="1" thickBot="1" x14ac:dyDescent="0.25">
      <c r="A2" s="134"/>
      <c r="B2" s="68" t="s">
        <v>1725</v>
      </c>
      <c r="C2" s="60"/>
      <c r="D2" s="59" t="s">
        <v>42</v>
      </c>
      <c r="E2" s="61" t="s">
        <v>43</v>
      </c>
      <c r="F2" s="62" t="s">
        <v>79</v>
      </c>
      <c r="G2" s="62" t="s">
        <v>80</v>
      </c>
      <c r="H2" s="60" t="s">
        <v>22</v>
      </c>
      <c r="I2" s="60" t="s">
        <v>81</v>
      </c>
      <c r="J2" s="62" t="s">
        <v>82</v>
      </c>
      <c r="K2" s="63" t="s">
        <v>103</v>
      </c>
      <c r="L2" s="60" t="s">
        <v>83</v>
      </c>
      <c r="M2" s="63" t="s">
        <v>97</v>
      </c>
      <c r="N2" s="60" t="s">
        <v>190</v>
      </c>
      <c r="O2" s="60" t="s">
        <v>84</v>
      </c>
      <c r="P2" s="63" t="s">
        <v>99</v>
      </c>
      <c r="Q2" s="66" t="s">
        <v>100</v>
      </c>
      <c r="R2" s="66" t="s">
        <v>1726</v>
      </c>
      <c r="S2" s="10"/>
      <c r="T2" s="10"/>
      <c r="U2" s="326" t="s">
        <v>2234</v>
      </c>
      <c r="V2" s="327"/>
      <c r="W2" s="328"/>
      <c r="X2" s="280" t="s">
        <v>2235</v>
      </c>
      <c r="Y2" s="280" t="s">
        <v>2236</v>
      </c>
      <c r="Z2" s="280" t="s">
        <v>2237</v>
      </c>
    </row>
    <row r="3" spans="1:31" ht="22.5" customHeight="1" x14ac:dyDescent="0.2">
      <c r="A3" s="134"/>
      <c r="B3" s="233">
        <v>43808</v>
      </c>
      <c r="C3" s="36" t="s">
        <v>86</v>
      </c>
      <c r="D3" s="36">
        <v>5991</v>
      </c>
      <c r="E3" s="231" t="s">
        <v>2601</v>
      </c>
      <c r="F3" s="234">
        <v>1013</v>
      </c>
      <c r="G3" s="234">
        <v>900</v>
      </c>
      <c r="H3" s="235">
        <f>F3*G3</f>
        <v>911700</v>
      </c>
      <c r="I3" s="231" t="s">
        <v>2602</v>
      </c>
      <c r="J3" s="234">
        <v>1023</v>
      </c>
      <c r="K3" s="36">
        <v>770</v>
      </c>
      <c r="L3" s="236">
        <f>IF(OR(I3="現物",H3=0),0,IF(C3="売",H3*Fee_Refer!$B$12/365*T3, H3*Fee_Refer!$B$11/365*#REF!))</f>
        <v>0</v>
      </c>
      <c r="M3" s="231">
        <v>92</v>
      </c>
      <c r="N3" s="237">
        <v>-10209.614246575342</v>
      </c>
      <c r="O3" s="238">
        <v>-1.119843615945524E-2</v>
      </c>
      <c r="P3" s="325">
        <v>-25646.869041095888</v>
      </c>
      <c r="Q3" s="294">
        <v>-1.376865251575449E-2</v>
      </c>
      <c r="R3" s="293">
        <v>16</v>
      </c>
      <c r="S3" s="10"/>
      <c r="T3" s="10"/>
      <c r="U3" s="329" t="s">
        <v>2603</v>
      </c>
      <c r="V3" s="330"/>
      <c r="W3" s="331"/>
      <c r="X3" s="324">
        <v>2.2273777662968399</v>
      </c>
      <c r="Y3" s="324">
        <v>1.7211034637139899</v>
      </c>
      <c r="Z3" s="324">
        <v>1.3457151059396499</v>
      </c>
    </row>
    <row r="4" spans="1:31" ht="22.5" customHeight="1" x14ac:dyDescent="0.2">
      <c r="A4" s="134"/>
      <c r="B4" s="224">
        <v>43824</v>
      </c>
      <c r="C4" s="223" t="s">
        <v>87</v>
      </c>
      <c r="D4" s="223">
        <v>7267</v>
      </c>
      <c r="E4" s="232" t="s">
        <v>2593</v>
      </c>
      <c r="F4" s="239">
        <v>3170</v>
      </c>
      <c r="G4" s="239">
        <v>300</v>
      </c>
      <c r="H4" s="240">
        <f>F4*G4</f>
        <v>951000</v>
      </c>
      <c r="I4" s="232" t="s">
        <v>2602</v>
      </c>
      <c r="J4" s="241">
        <v>3125</v>
      </c>
      <c r="K4" s="31">
        <v>770</v>
      </c>
      <c r="L4" s="146">
        <f>IF(OR(I4="現物",H4=0),0,IF(C4="売",H4*Fee_Refer!$B$12/365*T4, H4*Fee_Refer!$B$11/365*T3))</f>
        <v>0</v>
      </c>
      <c r="M4" s="223">
        <v>408</v>
      </c>
      <c r="N4" s="221">
        <v>-15437.254794520548</v>
      </c>
      <c r="O4" s="222">
        <v>-1.6232654883828124E-2</v>
      </c>
      <c r="P4" s="325"/>
      <c r="Q4" s="294"/>
      <c r="R4" s="293"/>
      <c r="S4" s="10"/>
      <c r="T4" s="10"/>
      <c r="U4" s="332"/>
      <c r="V4" s="333"/>
      <c r="W4" s="334"/>
      <c r="X4" s="324"/>
      <c r="Y4" s="324"/>
      <c r="Z4" s="324"/>
    </row>
    <row r="5" spans="1:31" ht="22.5" customHeight="1" thickBot="1" x14ac:dyDescent="0.25">
      <c r="A5" s="134"/>
      <c r="B5" s="192"/>
      <c r="C5" s="190"/>
      <c r="D5" s="191"/>
      <c r="E5" s="189"/>
      <c r="F5" s="189"/>
      <c r="G5" s="189"/>
      <c r="H5" s="193"/>
      <c r="I5" s="136"/>
      <c r="J5" s="137"/>
      <c r="N5" s="173"/>
      <c r="O5" s="194"/>
      <c r="P5" s="135"/>
      <c r="Q5" s="215"/>
    </row>
    <row r="6" spans="1:31" x14ac:dyDescent="0.2">
      <c r="A6" s="205" t="s">
        <v>2147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2604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5" t="s">
        <v>2150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5" t="s">
        <v>1718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9" t="s">
        <v>2600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5" t="s">
        <v>1706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6">
        <v>0.34836468408972682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5" t="s">
        <v>1707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6">
        <v>0.27315862258384244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5" t="s">
        <v>2151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7">
        <f>B3</f>
        <v>43808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7">
        <f>B3</f>
        <v>43808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8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9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30">
        <f>B4</f>
        <v>43824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30">
        <f>B4</f>
        <v>43824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6" t="s">
        <v>2152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5" t="s">
        <v>2146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0.29989015012815817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5" t="s">
        <v>1706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1030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5" t="s">
        <v>1707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700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8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858</v>
      </c>
      <c r="B81" s="106" t="s">
        <v>2594</v>
      </c>
      <c r="C81" s="106" t="s">
        <v>2595</v>
      </c>
      <c r="D81" s="106" t="s">
        <v>2596</v>
      </c>
      <c r="E81" s="106" t="s">
        <v>2597</v>
      </c>
      <c r="F81" s="106" t="s">
        <v>859</v>
      </c>
      <c r="G81" s="106" t="s">
        <v>860</v>
      </c>
      <c r="H81" s="106" t="s">
        <v>861</v>
      </c>
      <c r="I81" s="106" t="s">
        <v>862</v>
      </c>
      <c r="J81" s="106" t="s">
        <v>863</v>
      </c>
      <c r="K81" s="106" t="s">
        <v>33</v>
      </c>
      <c r="L81" s="106" t="s">
        <v>35</v>
      </c>
      <c r="M81" s="106" t="s">
        <v>34</v>
      </c>
      <c r="N81" s="106" t="s">
        <v>36</v>
      </c>
      <c r="P81" s="106" t="s">
        <v>206</v>
      </c>
      <c r="Q81" s="106" t="s">
        <v>207</v>
      </c>
      <c r="R81" s="106" t="s">
        <v>208</v>
      </c>
      <c r="S81" s="106" t="s">
        <v>209</v>
      </c>
      <c r="U81" s="106" t="s">
        <v>1727</v>
      </c>
      <c r="V81" s="106" t="s">
        <v>1728</v>
      </c>
      <c r="W81" s="106" t="s">
        <v>1729</v>
      </c>
      <c r="X81" s="106" t="s">
        <v>1730</v>
      </c>
      <c r="Y81" s="106" t="s">
        <v>858</v>
      </c>
      <c r="AA81" s="106" t="s">
        <v>2598</v>
      </c>
      <c r="AB81" s="106" t="s">
        <v>2599</v>
      </c>
    </row>
    <row r="82" spans="1:28" x14ac:dyDescent="0.2">
      <c r="A82" s="14">
        <v>43826</v>
      </c>
      <c r="B82" s="106">
        <v>1015</v>
      </c>
      <c r="C82" s="106">
        <v>1004</v>
      </c>
      <c r="D82" s="106">
        <v>3141</v>
      </c>
      <c r="E82" s="106">
        <v>3135</v>
      </c>
      <c r="F82" s="106">
        <v>0.32025518341307802</v>
      </c>
      <c r="G82" s="106">
        <v>0.30494893245681898</v>
      </c>
      <c r="H82" s="106">
        <v>1.13740649032629E-2</v>
      </c>
      <c r="I82" s="106">
        <v>1.3457151059396499</v>
      </c>
      <c r="J82" s="106">
        <v>4.78</v>
      </c>
      <c r="K82" s="106">
        <v>0.95594900808901595</v>
      </c>
      <c r="L82" s="106">
        <v>0.11590584465618101</v>
      </c>
      <c r="M82" s="106">
        <v>0.92357829824410298</v>
      </c>
      <c r="N82" s="106">
        <v>3.7048999131728197E-2</v>
      </c>
      <c r="P82" s="106">
        <v>0.3163229973600819</v>
      </c>
      <c r="Q82" s="106">
        <v>0.29357486755355605</v>
      </c>
      <c r="R82" s="106">
        <v>0.32769706226334477</v>
      </c>
      <c r="S82" s="106">
        <v>0.28220080265029318</v>
      </c>
      <c r="U82" s="106">
        <v>7330</v>
      </c>
      <c r="V82" s="106">
        <v>-11270</v>
      </c>
      <c r="W82" s="106">
        <v>-3940</v>
      </c>
      <c r="X82" s="106">
        <v>-0.21152091050625435</v>
      </c>
      <c r="Y82" s="14">
        <v>43826</v>
      </c>
      <c r="AA82" s="106">
        <v>1004</v>
      </c>
      <c r="AB82" s="106">
        <v>940.15562065177585</v>
      </c>
    </row>
    <row r="83" spans="1:28" x14ac:dyDescent="0.2">
      <c r="A83" s="14">
        <v>43825</v>
      </c>
      <c r="B83" s="106">
        <v>997</v>
      </c>
      <c r="C83" s="106">
        <v>1005</v>
      </c>
      <c r="D83" s="106">
        <v>3116</v>
      </c>
      <c r="E83" s="106">
        <v>3142</v>
      </c>
      <c r="F83" s="106">
        <v>0.31985996180776499</v>
      </c>
      <c r="G83" s="106">
        <v>0.304516951615798</v>
      </c>
      <c r="H83" s="106">
        <v>1.1399749522704001E-2</v>
      </c>
      <c r="I83" s="106">
        <v>1.3459076588840699</v>
      </c>
      <c r="J83" s="106">
        <v>4.8</v>
      </c>
      <c r="K83" s="106">
        <v>0.95704002278063305</v>
      </c>
      <c r="L83" s="106">
        <v>0.21237349577047401</v>
      </c>
      <c r="M83" s="106">
        <v>0.92251471339855196</v>
      </c>
      <c r="N83" s="106">
        <v>3.4013411729234097E-2</v>
      </c>
      <c r="P83" s="106">
        <v>0.31591670113850201</v>
      </c>
      <c r="Q83" s="106">
        <v>0.293117202093094</v>
      </c>
      <c r="R83" s="106">
        <v>0.32731645066120602</v>
      </c>
      <c r="S83" s="106">
        <v>0.28171745257038999</v>
      </c>
      <c r="U83" s="106">
        <v>6430</v>
      </c>
      <c r="V83" s="106">
        <v>-9170</v>
      </c>
      <c r="W83" s="106">
        <v>-2740</v>
      </c>
      <c r="X83" s="106">
        <v>-0.1470982981693241</v>
      </c>
      <c r="Y83" s="14">
        <v>43825</v>
      </c>
      <c r="AA83" s="106">
        <v>1005</v>
      </c>
      <c r="AB83" s="106">
        <v>942.25485170267302</v>
      </c>
    </row>
    <row r="84" spans="1:28" x14ac:dyDescent="0.2">
      <c r="A84" s="14">
        <v>43824</v>
      </c>
      <c r="B84" s="106">
        <v>1023</v>
      </c>
      <c r="C84" s="106">
        <v>1004</v>
      </c>
      <c r="D84" s="106">
        <v>3125</v>
      </c>
      <c r="E84" s="106">
        <v>3112</v>
      </c>
      <c r="F84" s="106">
        <v>0.32262210796915097</v>
      </c>
      <c r="G84" s="106">
        <v>0.30409540758847903</v>
      </c>
      <c r="H84" s="106">
        <v>1.1409142549771399E-2</v>
      </c>
      <c r="I84" s="106">
        <v>1.6238468666554999</v>
      </c>
      <c r="J84" s="106">
        <v>5.74</v>
      </c>
      <c r="K84" s="106">
        <v>0.958349581209753</v>
      </c>
      <c r="L84" s="106">
        <v>0.218124723345232</v>
      </c>
      <c r="M84" s="106">
        <v>0.92156899790006697</v>
      </c>
      <c r="N84" s="106">
        <v>3.4560956024340103E-2</v>
      </c>
      <c r="P84" s="106">
        <v>0.31550455013825041</v>
      </c>
      <c r="Q84" s="106">
        <v>0.29268626503870765</v>
      </c>
      <c r="R84" s="106">
        <v>0.32691369268802184</v>
      </c>
      <c r="S84" s="106">
        <v>0.28127712248893622</v>
      </c>
      <c r="U84" s="106">
        <v>7330</v>
      </c>
      <c r="V84" s="106">
        <v>-18170</v>
      </c>
      <c r="W84" s="106">
        <v>-10840</v>
      </c>
      <c r="X84" s="106">
        <v>-0.58195093144360344</v>
      </c>
      <c r="Y84" s="14">
        <v>43824</v>
      </c>
      <c r="AA84" s="106">
        <v>1004</v>
      </c>
      <c r="AB84" s="106">
        <v>933.25814719882828</v>
      </c>
    </row>
    <row r="85" spans="1:28" x14ac:dyDescent="0.2">
      <c r="A85" s="14">
        <v>43823</v>
      </c>
      <c r="B85" s="106">
        <v>1017</v>
      </c>
      <c r="C85" s="106">
        <v>1011</v>
      </c>
      <c r="D85" s="106">
        <v>3145</v>
      </c>
      <c r="E85" s="106">
        <v>3128</v>
      </c>
      <c r="F85" s="106">
        <v>0.32320971867007597</v>
      </c>
      <c r="G85" s="106">
        <v>0.303606998988109</v>
      </c>
      <c r="H85" s="106">
        <v>1.1389623050125201E-2</v>
      </c>
      <c r="I85" s="106">
        <v>1.7211034637139899</v>
      </c>
      <c r="J85" s="106">
        <v>6.07</v>
      </c>
      <c r="K85" s="106">
        <v>0.96008009247446702</v>
      </c>
      <c r="L85" s="106">
        <v>0.14554814478383901</v>
      </c>
      <c r="M85" s="106">
        <v>0.92044079010730095</v>
      </c>
      <c r="N85" s="106">
        <v>3.5320827112926001E-2</v>
      </c>
      <c r="P85" s="106">
        <v>0.3149966220382342</v>
      </c>
      <c r="Q85" s="106">
        <v>0.2922173759379838</v>
      </c>
      <c r="R85" s="106">
        <v>0.32638624508835939</v>
      </c>
      <c r="S85" s="106">
        <v>0.28082775288785861</v>
      </c>
      <c r="U85" s="106">
        <v>1030</v>
      </c>
      <c r="V85" s="106">
        <v>-13370</v>
      </c>
      <c r="W85" s="106">
        <v>-12340</v>
      </c>
      <c r="X85" s="106">
        <v>-0.6624791968647662</v>
      </c>
      <c r="Y85" s="14">
        <v>43823</v>
      </c>
      <c r="AA85" s="106">
        <v>1011</v>
      </c>
      <c r="AB85" s="106">
        <v>938.05638960087879</v>
      </c>
    </row>
    <row r="86" spans="1:28" x14ac:dyDescent="0.2">
      <c r="A86" s="14">
        <v>43822</v>
      </c>
      <c r="B86" s="106">
        <v>1035</v>
      </c>
      <c r="C86" s="106">
        <v>1023</v>
      </c>
      <c r="D86" s="106">
        <v>3168</v>
      </c>
      <c r="E86" s="106">
        <v>3145</v>
      </c>
      <c r="F86" s="106">
        <v>0.32527821939586599</v>
      </c>
      <c r="G86" s="106">
        <v>0.30323042721569898</v>
      </c>
      <c r="H86" s="106">
        <v>1.12006034488312E-2</v>
      </c>
      <c r="I86" s="106">
        <v>1.96844681457472</v>
      </c>
      <c r="J86" s="106">
        <v>6.78</v>
      </c>
      <c r="K86" s="106">
        <v>0.96206499005922197</v>
      </c>
      <c r="L86" s="106">
        <v>0.23760497485073401</v>
      </c>
      <c r="M86" s="106">
        <v>0.92007062848182497</v>
      </c>
      <c r="N86" s="106">
        <v>3.6388442174000599E-2</v>
      </c>
      <c r="P86" s="106">
        <v>0.31443103066453021</v>
      </c>
      <c r="Q86" s="106">
        <v>0.29202982376686776</v>
      </c>
      <c r="R86" s="106">
        <v>0.32563163411336138</v>
      </c>
      <c r="S86" s="106">
        <v>0.28082922031803659</v>
      </c>
      <c r="U86" s="106">
        <v>-9770</v>
      </c>
      <c r="V86" s="106">
        <v>-8270</v>
      </c>
      <c r="W86" s="106">
        <v>-18040</v>
      </c>
      <c r="X86" s="106">
        <v>-0.96848660546518495</v>
      </c>
      <c r="Y86" s="14">
        <v>43822</v>
      </c>
      <c r="AA86" s="106">
        <v>1023</v>
      </c>
      <c r="AB86" s="106">
        <v>943.15452215305743</v>
      </c>
    </row>
    <row r="87" spans="1:28" x14ac:dyDescent="0.2">
      <c r="A87" s="14">
        <v>43819</v>
      </c>
      <c r="B87" s="106">
        <v>1023</v>
      </c>
      <c r="C87" s="106">
        <v>1030</v>
      </c>
      <c r="D87" s="106">
        <v>3178</v>
      </c>
      <c r="E87" s="106">
        <v>3170</v>
      </c>
      <c r="F87" s="106">
        <v>0.32492113564668701</v>
      </c>
      <c r="G87" s="106">
        <v>0.30285258139473198</v>
      </c>
      <c r="H87" s="106">
        <v>1.0925061908820999E-2</v>
      </c>
      <c r="I87" s="106">
        <v>2.0199935191339198</v>
      </c>
      <c r="J87" s="106">
        <v>6.79</v>
      </c>
      <c r="K87" s="106">
        <v>0.96272419763790695</v>
      </c>
      <c r="L87" s="106">
        <v>0.32232789112688498</v>
      </c>
      <c r="M87" s="106">
        <v>0.91930595521359404</v>
      </c>
      <c r="N87" s="106">
        <v>2.57506098068397E-2</v>
      </c>
      <c r="P87" s="106">
        <v>0.31377764330355296</v>
      </c>
      <c r="Q87" s="106">
        <v>0.291927519485911</v>
      </c>
      <c r="R87" s="106">
        <v>0.32470270521237399</v>
      </c>
      <c r="S87" s="106">
        <v>0.28100245757708997</v>
      </c>
      <c r="U87" s="106">
        <v>-16070</v>
      </c>
      <c r="V87" s="106">
        <v>-770</v>
      </c>
      <c r="W87" s="106">
        <v>-16840</v>
      </c>
      <c r="X87" s="106">
        <v>-0.90406399312825469</v>
      </c>
      <c r="Y87" s="14">
        <v>43819</v>
      </c>
      <c r="AA87" s="106">
        <v>1030</v>
      </c>
      <c r="AB87" s="106">
        <v>950.65177590626138</v>
      </c>
    </row>
    <row r="88" spans="1:28" x14ac:dyDescent="0.2">
      <c r="A88" s="14">
        <v>43818</v>
      </c>
      <c r="B88" s="106">
        <v>1030</v>
      </c>
      <c r="C88" s="106">
        <v>1029</v>
      </c>
      <c r="D88" s="106">
        <v>3160</v>
      </c>
      <c r="E88" s="106">
        <v>3163</v>
      </c>
      <c r="F88" s="106">
        <v>0.32532405943724302</v>
      </c>
      <c r="G88" s="106">
        <v>0.302509468069037</v>
      </c>
      <c r="H88" s="106">
        <v>1.0626604699629E-2</v>
      </c>
      <c r="I88" s="106">
        <v>2.1469314059459199</v>
      </c>
      <c r="J88" s="106">
        <v>7.01</v>
      </c>
      <c r="K88" s="106">
        <v>0.96375668356390598</v>
      </c>
      <c r="L88" s="106">
        <v>0.42099031433738199</v>
      </c>
      <c r="M88" s="106">
        <v>0.91870155217864602</v>
      </c>
      <c r="N88" s="106">
        <v>2.53728167877031E-2</v>
      </c>
      <c r="P88" s="106">
        <v>0.31313607276866601</v>
      </c>
      <c r="Q88" s="106">
        <v>0.291882863369408</v>
      </c>
      <c r="R88" s="106">
        <v>0.32376267746829501</v>
      </c>
      <c r="S88" s="106">
        <v>0.28125625866977899</v>
      </c>
      <c r="U88" s="106">
        <v>-15170</v>
      </c>
      <c r="V88" s="106">
        <v>-2870</v>
      </c>
      <c r="W88" s="106">
        <v>-18040</v>
      </c>
      <c r="X88" s="106">
        <v>-0.96848660546518495</v>
      </c>
      <c r="Y88" s="14">
        <v>43818</v>
      </c>
      <c r="AA88" s="106">
        <v>1029</v>
      </c>
      <c r="AB88" s="106">
        <v>948.55254485536432</v>
      </c>
    </row>
    <row r="89" spans="1:28" x14ac:dyDescent="0.2">
      <c r="A89" s="14">
        <v>43817</v>
      </c>
      <c r="B89" s="106">
        <v>1018</v>
      </c>
      <c r="C89" s="106">
        <v>1020</v>
      </c>
      <c r="D89" s="106">
        <v>3209</v>
      </c>
      <c r="E89" s="106">
        <v>3180</v>
      </c>
      <c r="F89" s="106">
        <v>0.320754716981132</v>
      </c>
      <c r="G89" s="106">
        <v>0.30216101772188397</v>
      </c>
      <c r="H89" s="106">
        <v>1.02961220158495E-2</v>
      </c>
      <c r="I89" s="106">
        <v>1.80589344518498</v>
      </c>
      <c r="J89" s="106">
        <v>5.8</v>
      </c>
      <c r="K89" s="106">
        <v>0.96298062486708702</v>
      </c>
      <c r="L89" s="106">
        <v>0.47967263050570802</v>
      </c>
      <c r="M89" s="106">
        <v>0.91835685359493902</v>
      </c>
      <c r="N89" s="106">
        <v>2.17285527385737E-2</v>
      </c>
      <c r="P89" s="106">
        <v>0.31245713973773348</v>
      </c>
      <c r="Q89" s="106">
        <v>0.29186489570603447</v>
      </c>
      <c r="R89" s="106">
        <v>0.32275326175358299</v>
      </c>
      <c r="S89" s="106">
        <v>0.28156877369018496</v>
      </c>
      <c r="U89" s="106">
        <v>-7070</v>
      </c>
      <c r="V89" s="106">
        <v>2230</v>
      </c>
      <c r="W89" s="106">
        <v>-4840</v>
      </c>
      <c r="X89" s="106">
        <v>-0.25983786975895207</v>
      </c>
      <c r="Y89" s="14">
        <v>43817</v>
      </c>
      <c r="AA89" s="106">
        <v>1020</v>
      </c>
      <c r="AB89" s="106">
        <v>953.65067740754296</v>
      </c>
    </row>
    <row r="90" spans="1:28" ht="15" customHeight="1" x14ac:dyDescent="0.2">
      <c r="A90" s="14">
        <v>43816</v>
      </c>
      <c r="B90" s="106">
        <v>1025</v>
      </c>
      <c r="C90" s="106">
        <v>1015</v>
      </c>
      <c r="D90" s="106">
        <v>3247</v>
      </c>
      <c r="E90" s="106">
        <v>3198</v>
      </c>
      <c r="F90" s="106">
        <v>0.317385866166353</v>
      </c>
      <c r="G90" s="106">
        <v>0.30181467638168002</v>
      </c>
      <c r="H90" s="106">
        <v>1.0099854805629501E-2</v>
      </c>
      <c r="I90" s="106">
        <v>1.5417241222115099</v>
      </c>
      <c r="J90" s="106">
        <v>4.91</v>
      </c>
      <c r="K90" s="106">
        <v>0.96124207630574798</v>
      </c>
      <c r="L90" s="106">
        <v>0.39576331734029102</v>
      </c>
      <c r="M90" s="106">
        <v>0.91765132967354801</v>
      </c>
      <c r="N90" s="106">
        <v>8.8935264528434199E-2</v>
      </c>
      <c r="P90" s="106">
        <v>0.31191453118730955</v>
      </c>
      <c r="Q90" s="106">
        <v>0.2917148215760505</v>
      </c>
      <c r="R90" s="106">
        <v>0.32201438599293902</v>
      </c>
      <c r="S90" s="106">
        <v>0.28161496677042103</v>
      </c>
      <c r="U90" s="106">
        <v>-2570</v>
      </c>
      <c r="V90" s="106">
        <v>7630</v>
      </c>
      <c r="W90" s="106">
        <v>5060</v>
      </c>
      <c r="X90" s="106">
        <v>0.27164868202072262</v>
      </c>
      <c r="Y90" s="14">
        <v>43816</v>
      </c>
      <c r="AA90" s="106">
        <v>1015</v>
      </c>
      <c r="AB90" s="106">
        <v>959.04870010984985</v>
      </c>
    </row>
    <row r="91" spans="1:28" x14ac:dyDescent="0.2">
      <c r="A91" s="14">
        <v>43815</v>
      </c>
      <c r="B91" s="106">
        <v>1021</v>
      </c>
      <c r="C91" s="106">
        <v>1015</v>
      </c>
      <c r="D91" s="106">
        <v>3206</v>
      </c>
      <c r="E91" s="106">
        <v>3206</v>
      </c>
      <c r="F91" s="106">
        <v>0.316593886462882</v>
      </c>
      <c r="G91" s="106">
        <v>0.30150127599758397</v>
      </c>
      <c r="H91" s="106">
        <v>9.9757354932719297E-3</v>
      </c>
      <c r="I91" s="106">
        <v>1.51293210164574</v>
      </c>
      <c r="J91" s="106">
        <v>4.7699999999999996</v>
      </c>
      <c r="K91" s="106">
        <v>0.95841111429964299</v>
      </c>
      <c r="L91" s="106">
        <v>0.56802910971224796</v>
      </c>
      <c r="M91" s="106">
        <v>0.91715753022000501</v>
      </c>
      <c r="N91" s="106">
        <v>8.8821458266969605E-2</v>
      </c>
      <c r="P91" s="106">
        <v>0.31147701149085588</v>
      </c>
      <c r="Q91" s="106">
        <v>0.29152554050431206</v>
      </c>
      <c r="R91" s="106">
        <v>0.32145274698412785</v>
      </c>
      <c r="S91" s="106">
        <v>0.2815498050110401</v>
      </c>
      <c r="U91" s="106">
        <v>-2570</v>
      </c>
      <c r="V91" s="106">
        <v>10030</v>
      </c>
      <c r="W91" s="106">
        <v>7460</v>
      </c>
      <c r="X91" s="106">
        <v>0.40049390669458318</v>
      </c>
      <c r="Y91" s="14">
        <v>43815</v>
      </c>
      <c r="AA91" s="106">
        <v>1015</v>
      </c>
      <c r="AB91" s="106">
        <v>961.44782131087516</v>
      </c>
    </row>
    <row r="92" spans="1:28" x14ac:dyDescent="0.2">
      <c r="A92" s="14">
        <v>43812</v>
      </c>
      <c r="B92" s="106">
        <v>1021</v>
      </c>
      <c r="C92" s="106">
        <v>1021</v>
      </c>
      <c r="D92" s="106">
        <v>3178</v>
      </c>
      <c r="E92" s="106">
        <v>3221</v>
      </c>
      <c r="F92" s="106">
        <v>0.31698230363241198</v>
      </c>
      <c r="G92" s="106">
        <v>0.30108488896949098</v>
      </c>
      <c r="H92" s="106">
        <v>9.9888211429705592E-3</v>
      </c>
      <c r="I92" s="106">
        <v>1.59152060442175</v>
      </c>
      <c r="J92" s="106">
        <v>5.0199999999999996</v>
      </c>
      <c r="K92" s="106">
        <v>0.95644505455936002</v>
      </c>
      <c r="L92" s="106">
        <v>0.416998754443557</v>
      </c>
      <c r="M92" s="106">
        <v>0.91650045856552897</v>
      </c>
      <c r="N92" s="106">
        <v>9.4215104650748505E-2</v>
      </c>
      <c r="P92" s="106">
        <v>0.31107371011246154</v>
      </c>
      <c r="Q92" s="106">
        <v>0.29109606782652042</v>
      </c>
      <c r="R92" s="106">
        <v>0.3210625312554321</v>
      </c>
      <c r="S92" s="106">
        <v>0.28110724668354986</v>
      </c>
      <c r="U92" s="106">
        <v>-7970</v>
      </c>
      <c r="V92" s="106">
        <v>14530</v>
      </c>
      <c r="W92" s="106">
        <v>6560</v>
      </c>
      <c r="X92" s="106">
        <v>0.35217694744188544</v>
      </c>
      <c r="Y92" s="14">
        <v>43812</v>
      </c>
      <c r="AA92" s="106">
        <v>1021</v>
      </c>
      <c r="AB92" s="106">
        <v>965.94617356279753</v>
      </c>
    </row>
    <row r="93" spans="1:28" x14ac:dyDescent="0.2">
      <c r="A93" s="14">
        <v>43811</v>
      </c>
      <c r="B93" s="106">
        <v>1007</v>
      </c>
      <c r="C93" s="106">
        <v>998</v>
      </c>
      <c r="D93" s="106">
        <v>3130</v>
      </c>
      <c r="E93" s="106">
        <v>3113</v>
      </c>
      <c r="F93" s="106">
        <v>0.32059106970767698</v>
      </c>
      <c r="G93" s="106">
        <v>0.30073763580445501</v>
      </c>
      <c r="H93" s="106">
        <v>9.8822550562864108E-3</v>
      </c>
      <c r="I93" s="106">
        <v>2.0089983298490401</v>
      </c>
      <c r="J93" s="106">
        <v>6.19</v>
      </c>
      <c r="K93" s="106">
        <v>0.95693063750312002</v>
      </c>
      <c r="L93" s="106">
        <v>0.32038663647705001</v>
      </c>
      <c r="M93" s="106">
        <v>0.91631527667628498</v>
      </c>
      <c r="N93" s="106">
        <v>8.4012776891367394E-2</v>
      </c>
      <c r="P93" s="106">
        <v>0.31061989086074143</v>
      </c>
      <c r="Q93" s="106">
        <v>0.29085538074816858</v>
      </c>
      <c r="R93" s="106">
        <v>0.3205021459170278</v>
      </c>
      <c r="S93" s="106">
        <v>0.28097312569188221</v>
      </c>
      <c r="U93" s="106">
        <v>12730</v>
      </c>
      <c r="V93" s="106">
        <v>-17870</v>
      </c>
      <c r="W93" s="106">
        <v>-5140</v>
      </c>
      <c r="X93" s="106">
        <v>-0.27594352284318463</v>
      </c>
      <c r="Y93" s="14">
        <v>43811</v>
      </c>
      <c r="AA93" s="106">
        <v>998</v>
      </c>
      <c r="AB93" s="106">
        <v>933.55803734895642</v>
      </c>
    </row>
    <row r="94" spans="1:28" x14ac:dyDescent="0.2">
      <c r="A94" s="14">
        <v>43810</v>
      </c>
      <c r="B94" s="106">
        <v>998</v>
      </c>
      <c r="C94" s="106">
        <v>994</v>
      </c>
      <c r="D94" s="106">
        <v>3151</v>
      </c>
      <c r="E94" s="106">
        <v>3149</v>
      </c>
      <c r="F94" s="106">
        <v>0.31565576373451798</v>
      </c>
      <c r="G94" s="106">
        <v>0.300334924503453</v>
      </c>
      <c r="H94" s="106">
        <v>9.6783063399086093E-3</v>
      </c>
      <c r="I94" s="106">
        <v>1.5830082963886101</v>
      </c>
      <c r="J94" s="106">
        <v>4.8499999999999996</v>
      </c>
      <c r="K94" s="106">
        <v>0.955181136346544</v>
      </c>
      <c r="L94" s="106">
        <v>0.38199541513186103</v>
      </c>
      <c r="M94" s="106">
        <v>0.91604012380391897</v>
      </c>
      <c r="N94" s="106">
        <v>9.0105694218398896E-2</v>
      </c>
      <c r="P94" s="106">
        <v>0.31001323084336163</v>
      </c>
      <c r="Q94" s="106">
        <v>0.29065661816354438</v>
      </c>
      <c r="R94" s="106">
        <v>0.3196915371832702</v>
      </c>
      <c r="S94" s="106">
        <v>0.28097831182363581</v>
      </c>
      <c r="U94" s="106">
        <v>16330</v>
      </c>
      <c r="V94" s="106">
        <v>-7070</v>
      </c>
      <c r="W94" s="106">
        <v>9260</v>
      </c>
      <c r="X94" s="106">
        <v>0.49712782519997856</v>
      </c>
      <c r="Y94" s="14">
        <v>43810</v>
      </c>
      <c r="AA94" s="106">
        <v>994</v>
      </c>
      <c r="AB94" s="106">
        <v>944.35408275357008</v>
      </c>
    </row>
    <row r="95" spans="1:28" x14ac:dyDescent="0.2">
      <c r="A95" s="14">
        <v>43809</v>
      </c>
      <c r="B95" s="106">
        <v>1008</v>
      </c>
      <c r="C95" s="106">
        <v>1005</v>
      </c>
      <c r="D95" s="106">
        <v>3141</v>
      </c>
      <c r="E95" s="106">
        <v>3135</v>
      </c>
      <c r="F95" s="106">
        <v>0.32057416267942501</v>
      </c>
      <c r="G95" s="106">
        <v>0.29994261584555598</v>
      </c>
      <c r="H95" s="106">
        <v>9.6456035582242906E-3</v>
      </c>
      <c r="I95" s="106">
        <v>2.1389586156356302</v>
      </c>
      <c r="J95" s="106">
        <v>6.44</v>
      </c>
      <c r="K95" s="106">
        <v>0.95524660762900304</v>
      </c>
      <c r="L95" s="106">
        <v>0.20053868920399501</v>
      </c>
      <c r="M95" s="106">
        <v>0.91549596945084799</v>
      </c>
      <c r="N95" s="106">
        <v>8.6237212338216906E-2</v>
      </c>
      <c r="P95" s="106">
        <v>0.30958821940378028</v>
      </c>
      <c r="Q95" s="106">
        <v>0.29029701228733168</v>
      </c>
      <c r="R95" s="106">
        <v>0.31923382296200459</v>
      </c>
      <c r="S95" s="106">
        <v>0.28065140872910738</v>
      </c>
      <c r="U95" s="106">
        <v>6430</v>
      </c>
      <c r="V95" s="106">
        <v>-11270</v>
      </c>
      <c r="W95" s="106">
        <v>-4840</v>
      </c>
      <c r="X95" s="106">
        <v>-0.25983786975895207</v>
      </c>
      <c r="Y95" s="14">
        <v>43809</v>
      </c>
      <c r="AA95" s="106">
        <v>1005</v>
      </c>
      <c r="AB95" s="106">
        <v>940.15562065177585</v>
      </c>
    </row>
    <row r="96" spans="1:28" x14ac:dyDescent="0.2">
      <c r="A96" s="14">
        <v>43808</v>
      </c>
      <c r="B96" s="106">
        <v>1013</v>
      </c>
      <c r="C96" s="106">
        <v>1013</v>
      </c>
      <c r="D96" s="106">
        <v>3170</v>
      </c>
      <c r="E96" s="106">
        <v>3141</v>
      </c>
      <c r="F96" s="106">
        <v>0.32250875517351102</v>
      </c>
      <c r="G96" s="106">
        <v>0.29952133308865397</v>
      </c>
      <c r="H96" s="106">
        <v>9.4227223283519998E-3</v>
      </c>
      <c r="I96" s="106">
        <v>2.4395733296406199</v>
      </c>
      <c r="J96" s="106">
        <v>7.13</v>
      </c>
      <c r="K96" s="106">
        <v>0.957564729552419</v>
      </c>
      <c r="L96" s="106">
        <v>9.82108331490818E-2</v>
      </c>
      <c r="M96" s="106">
        <v>0.91493367095556599</v>
      </c>
      <c r="N96" s="106">
        <v>8.8201291065971105E-2</v>
      </c>
      <c r="P96" s="106">
        <v>0.30894405541700598</v>
      </c>
      <c r="Q96" s="106">
        <v>0.29009861076030197</v>
      </c>
      <c r="R96" s="106">
        <v>0.31836677774535799</v>
      </c>
      <c r="S96" s="106">
        <v>0.28067588843194996</v>
      </c>
      <c r="U96" s="106">
        <v>-770</v>
      </c>
      <c r="V96" s="106">
        <v>-9470</v>
      </c>
      <c r="W96" s="106">
        <v>-10240</v>
      </c>
      <c r="X96" s="106">
        <v>-0.5497396252751382</v>
      </c>
      <c r="Y96" s="14">
        <v>43808</v>
      </c>
      <c r="AA96" s="106">
        <v>1013</v>
      </c>
      <c r="AB96" s="106">
        <v>941.95496155254477</v>
      </c>
    </row>
    <row r="97" spans="1:28" x14ac:dyDescent="0.2">
      <c r="A97" s="14">
        <v>43805</v>
      </c>
      <c r="B97" s="106">
        <v>1003</v>
      </c>
      <c r="C97" s="106">
        <v>1004</v>
      </c>
      <c r="D97" s="106">
        <v>3127</v>
      </c>
      <c r="E97" s="106">
        <v>3144</v>
      </c>
      <c r="F97" s="106">
        <v>0.319338422391857</v>
      </c>
      <c r="G97" s="106">
        <v>0.29909931775538101</v>
      </c>
      <c r="H97" s="106">
        <v>9.0865164152756205E-3</v>
      </c>
      <c r="I97" s="106">
        <v>2.2273777662968399</v>
      </c>
      <c r="J97" s="106">
        <v>6.34</v>
      </c>
      <c r="K97" s="106">
        <v>0.95985915705800195</v>
      </c>
      <c r="L97" s="106">
        <v>0.181677762698261</v>
      </c>
      <c r="M97" s="106">
        <v>0.91478032840502799</v>
      </c>
      <c r="N97" s="106">
        <v>7.5163591638533006E-2</v>
      </c>
      <c r="P97" s="106">
        <v>0.30818583417065665</v>
      </c>
      <c r="Q97" s="106">
        <v>0.29001280134010538</v>
      </c>
      <c r="R97" s="106">
        <v>0.31727235058593223</v>
      </c>
      <c r="S97" s="106">
        <v>0.28092628492482979</v>
      </c>
      <c r="Y97" s="14"/>
      <c r="AA97" s="106">
        <v>1004</v>
      </c>
      <c r="AB97" s="106">
        <v>942.85463200292929</v>
      </c>
    </row>
    <row r="98" spans="1:28" x14ac:dyDescent="0.2">
      <c r="A98" s="14">
        <v>43804</v>
      </c>
      <c r="B98" s="106">
        <v>994</v>
      </c>
      <c r="C98" s="106">
        <v>1004</v>
      </c>
      <c r="D98" s="106">
        <v>3129</v>
      </c>
      <c r="E98" s="106">
        <v>3129</v>
      </c>
      <c r="F98" s="106">
        <v>0.32086928731224001</v>
      </c>
      <c r="G98" s="106">
        <v>0.29871917533005199</v>
      </c>
      <c r="H98" s="106">
        <v>8.8244494117577701E-3</v>
      </c>
      <c r="I98" s="106">
        <v>2.5100843065262799</v>
      </c>
      <c r="J98" s="106">
        <v>6.9</v>
      </c>
      <c r="K98" s="106">
        <v>0.96299446913591003</v>
      </c>
      <c r="L98" s="106">
        <v>7.4216795185657505E-2</v>
      </c>
      <c r="M98" s="106">
        <v>0.91435188330634198</v>
      </c>
      <c r="N98" s="106">
        <v>9.8018478472106596E-2</v>
      </c>
      <c r="P98" s="106">
        <v>0.30754362474180974</v>
      </c>
      <c r="Q98" s="106">
        <v>0.28989472591829424</v>
      </c>
      <c r="R98" s="106">
        <v>0.31636807415356755</v>
      </c>
      <c r="S98" s="106">
        <v>0.28107027650653643</v>
      </c>
      <c r="Y98" s="14"/>
      <c r="AA98" s="106">
        <v>1004</v>
      </c>
      <c r="AB98" s="106">
        <v>938.35627975100692</v>
      </c>
    </row>
    <row r="99" spans="1:28" x14ac:dyDescent="0.2">
      <c r="A99" s="14">
        <v>43803</v>
      </c>
      <c r="B99" s="106">
        <v>975</v>
      </c>
      <c r="C99" s="106">
        <v>988</v>
      </c>
      <c r="D99" s="106">
        <v>3085</v>
      </c>
      <c r="E99" s="106">
        <v>3091</v>
      </c>
      <c r="F99" s="106">
        <v>0.31963765771594899</v>
      </c>
      <c r="G99" s="106">
        <v>0.29833251708187802</v>
      </c>
      <c r="H99" s="106">
        <v>8.4737949523270798E-3</v>
      </c>
      <c r="I99" s="106">
        <v>2.51423839660182</v>
      </c>
      <c r="J99" s="106">
        <v>6.67</v>
      </c>
      <c r="K99" s="106">
        <v>0.96744358704493205</v>
      </c>
      <c r="L99" s="106">
        <v>6.0295483968765003E-2</v>
      </c>
      <c r="M99" s="106">
        <v>0.91433056143139602</v>
      </c>
      <c r="N99" s="106">
        <v>8.6934141656787894E-2</v>
      </c>
      <c r="P99" s="106">
        <v>0.30680631203420511</v>
      </c>
      <c r="Q99" s="106">
        <v>0.28985872212955094</v>
      </c>
      <c r="R99" s="106">
        <v>0.31528010698653219</v>
      </c>
      <c r="S99" s="106">
        <v>0.28138492717722385</v>
      </c>
      <c r="Y99" s="14"/>
      <c r="AA99" s="106">
        <v>988</v>
      </c>
      <c r="AB99" s="106">
        <v>926.96045404613687</v>
      </c>
    </row>
    <row r="100" spans="1:28" x14ac:dyDescent="0.2">
      <c r="A100" s="14">
        <v>43802</v>
      </c>
      <c r="B100" s="106">
        <v>964</v>
      </c>
      <c r="C100" s="106">
        <v>978</v>
      </c>
      <c r="D100" s="106">
        <v>3065</v>
      </c>
      <c r="E100" s="106">
        <v>3105</v>
      </c>
      <c r="F100" s="106">
        <v>0.31497584541062801</v>
      </c>
      <c r="G100" s="106">
        <v>0.29798706446807899</v>
      </c>
      <c r="H100" s="106">
        <v>8.1188880689078806E-3</v>
      </c>
      <c r="I100" s="106">
        <v>2.09250094327684</v>
      </c>
      <c r="J100" s="106">
        <v>5.39</v>
      </c>
      <c r="K100" s="106">
        <v>0.97037999106082096</v>
      </c>
      <c r="L100" s="106">
        <v>7.3447160025566699E-2</v>
      </c>
      <c r="M100" s="106">
        <v>0.91479569864277499</v>
      </c>
      <c r="N100" s="15">
        <v>6.1266183831809498E-2</v>
      </c>
      <c r="P100" s="106">
        <v>0.30610595253698686</v>
      </c>
      <c r="Q100" s="106">
        <v>0.28986817639917112</v>
      </c>
      <c r="R100" s="106">
        <v>0.31422484060589473</v>
      </c>
      <c r="S100" s="106">
        <v>0.28174928833026325</v>
      </c>
      <c r="Y100" s="14"/>
      <c r="AA100" s="106">
        <v>978</v>
      </c>
      <c r="AB100" s="106">
        <v>931.15891614793111</v>
      </c>
    </row>
    <row r="101" spans="1:28" x14ac:dyDescent="0.2">
      <c r="A101" s="14">
        <v>43801</v>
      </c>
      <c r="B101" s="106">
        <v>962</v>
      </c>
      <c r="C101" s="106">
        <v>982</v>
      </c>
      <c r="D101" s="106">
        <v>3100</v>
      </c>
      <c r="E101" s="106">
        <v>3104</v>
      </c>
      <c r="F101" s="106">
        <v>0.31636597938144301</v>
      </c>
      <c r="G101" s="106">
        <v>0.29768746710944799</v>
      </c>
      <c r="H101" s="106">
        <v>7.8980307926761594E-3</v>
      </c>
      <c r="I101" s="106">
        <v>2.36495814745567</v>
      </c>
      <c r="J101" s="106">
        <v>5.9</v>
      </c>
      <c r="K101" s="106">
        <v>0.97114178791883199</v>
      </c>
      <c r="L101" s="106">
        <v>1.9423137215723901E-2</v>
      </c>
      <c r="M101" s="106">
        <v>0.91490252758887802</v>
      </c>
      <c r="N101" s="15">
        <v>5.1749975540030801E-2</v>
      </c>
      <c r="P101" s="106">
        <v>0.30558549790212414</v>
      </c>
      <c r="Q101" s="106">
        <v>0.28978943631677184</v>
      </c>
      <c r="R101" s="106">
        <v>0.31348352869480028</v>
      </c>
      <c r="S101" s="106">
        <v>0.2818914055240957</v>
      </c>
      <c r="Y101" s="14"/>
      <c r="AA101" s="106">
        <v>982</v>
      </c>
      <c r="AB101" s="106">
        <v>930.85902599780297</v>
      </c>
    </row>
    <row r="102" spans="1:28" ht="15" customHeight="1" x14ac:dyDescent="0.2">
      <c r="A102" s="14">
        <v>43798</v>
      </c>
      <c r="B102" s="106">
        <v>958</v>
      </c>
      <c r="C102" s="106">
        <v>967</v>
      </c>
      <c r="D102" s="106">
        <v>3105</v>
      </c>
      <c r="E102" s="106">
        <v>3067</v>
      </c>
      <c r="F102" s="106">
        <v>0.31529181610694401</v>
      </c>
      <c r="G102" s="106">
        <v>0.29736120264793398</v>
      </c>
      <c r="H102" s="106">
        <v>7.6202237381935798E-3</v>
      </c>
      <c r="I102" s="106">
        <v>2.35302978955069</v>
      </c>
      <c r="J102" s="106">
        <v>5.69</v>
      </c>
      <c r="K102" s="106">
        <v>0.97070394671841997</v>
      </c>
      <c r="L102" s="106">
        <v>0.11064582728838999</v>
      </c>
      <c r="M102" s="106">
        <v>0.91501032463464205</v>
      </c>
      <c r="N102" s="15">
        <v>4.9005119327744602E-2</v>
      </c>
      <c r="P102" s="106">
        <v>0.30498142638612757</v>
      </c>
      <c r="Q102" s="106">
        <v>0.28974097890974038</v>
      </c>
      <c r="R102" s="106">
        <v>0.31260165012432112</v>
      </c>
      <c r="S102" s="106">
        <v>0.28212075517154683</v>
      </c>
      <c r="Y102" s="14"/>
      <c r="AA102" s="106">
        <v>967</v>
      </c>
      <c r="AB102" s="106">
        <v>919.76309044306106</v>
      </c>
    </row>
    <row r="103" spans="1:28" x14ac:dyDescent="0.2">
      <c r="A103" s="14">
        <v>43797</v>
      </c>
      <c r="B103" s="106">
        <v>973</v>
      </c>
      <c r="C103" s="106">
        <v>962</v>
      </c>
      <c r="D103" s="106">
        <v>3120</v>
      </c>
      <c r="E103" s="106">
        <v>3080</v>
      </c>
      <c r="F103" s="106">
        <v>0.31233766233766203</v>
      </c>
      <c r="G103" s="106">
        <v>0.29707578645421301</v>
      </c>
      <c r="H103" s="106">
        <v>7.3389817277497299E-3</v>
      </c>
      <c r="I103" s="106">
        <v>2.07956313963032</v>
      </c>
      <c r="J103" s="106">
        <v>4.8899999999999997</v>
      </c>
      <c r="K103" s="106">
        <v>0.97049049287668299</v>
      </c>
      <c r="L103" s="15">
        <v>0.17078113291129099</v>
      </c>
      <c r="M103" s="106">
        <v>0.915325183916052</v>
      </c>
      <c r="N103" s="15">
        <v>4.1598152958899397E-2</v>
      </c>
      <c r="P103" s="106">
        <v>0.30441476818196272</v>
      </c>
      <c r="Q103" s="106">
        <v>0.28973680472646329</v>
      </c>
      <c r="R103" s="106">
        <v>0.3117537499097125</v>
      </c>
      <c r="S103" s="106">
        <v>0.28239782299871352</v>
      </c>
      <c r="Y103" s="14"/>
      <c r="AA103" s="106">
        <v>962</v>
      </c>
      <c r="AB103" s="106">
        <v>923.66166239472716</v>
      </c>
    </row>
    <row r="104" spans="1:28" x14ac:dyDescent="0.2">
      <c r="A104" s="14">
        <v>43796</v>
      </c>
      <c r="B104" s="106">
        <v>971</v>
      </c>
      <c r="C104" s="106">
        <v>975</v>
      </c>
      <c r="D104" s="106">
        <v>3130</v>
      </c>
      <c r="E104" s="106">
        <v>3127</v>
      </c>
      <c r="F104" s="106">
        <v>0.31180044771346299</v>
      </c>
      <c r="G104" s="106">
        <v>0.29705873155957102</v>
      </c>
      <c r="H104" s="106">
        <v>7.3049023106192502E-3</v>
      </c>
      <c r="I104" s="106">
        <v>2.0180579461633101</v>
      </c>
      <c r="J104" s="106">
        <v>4.7300000000000004</v>
      </c>
      <c r="K104" s="106">
        <v>0.97141570872272598</v>
      </c>
      <c r="L104" s="15">
        <v>0.109786734127542</v>
      </c>
      <c r="M104" s="106">
        <v>0.91559631979371903</v>
      </c>
      <c r="N104" s="106">
        <v>3.7933567551737303E-2</v>
      </c>
      <c r="P104" s="106">
        <v>0.30436363387019028</v>
      </c>
      <c r="Q104" s="106">
        <v>0.28975382924895177</v>
      </c>
      <c r="R104" s="106">
        <v>0.31166853618080953</v>
      </c>
      <c r="S104" s="106">
        <v>0.28244892693833251</v>
      </c>
      <c r="Y104" s="14"/>
      <c r="AA104" s="106">
        <v>975</v>
      </c>
      <c r="AB104" s="106">
        <v>937.75649945075065</v>
      </c>
    </row>
    <row r="105" spans="1:28" x14ac:dyDescent="0.2">
      <c r="A105" s="14">
        <v>43795</v>
      </c>
      <c r="B105" s="106">
        <v>975</v>
      </c>
      <c r="C105" s="106">
        <v>965</v>
      </c>
      <c r="D105" s="106">
        <v>3147</v>
      </c>
      <c r="E105" s="106">
        <v>3109</v>
      </c>
      <c r="F105" s="106">
        <v>0.31038919266645199</v>
      </c>
      <c r="G105" s="106">
        <v>0.29707765991278201</v>
      </c>
      <c r="H105" s="106">
        <v>7.3448065663679696E-3</v>
      </c>
      <c r="I105" s="106">
        <v>1.81237349593712</v>
      </c>
      <c r="J105" s="106">
        <v>4.29</v>
      </c>
      <c r="K105" s="106">
        <v>0.97255785516700599</v>
      </c>
      <c r="L105" s="106">
        <v>0.15747153772713299</v>
      </c>
      <c r="M105" s="106">
        <v>0.91562955599651397</v>
      </c>
      <c r="N105" s="106">
        <v>4.5605741363179603E-2</v>
      </c>
      <c r="P105" s="106">
        <v>0.30442246647915</v>
      </c>
      <c r="Q105" s="106">
        <v>0.28973285334641402</v>
      </c>
      <c r="R105" s="106">
        <v>0.31176727304551793</v>
      </c>
      <c r="S105" s="106">
        <v>0.28238804678004609</v>
      </c>
      <c r="Y105" s="14"/>
      <c r="AA105" s="106">
        <v>965</v>
      </c>
      <c r="AB105" s="106">
        <v>932.35847674844376</v>
      </c>
    </row>
    <row r="106" spans="1:28" x14ac:dyDescent="0.2">
      <c r="A106" s="14">
        <v>43794</v>
      </c>
      <c r="B106" s="106">
        <v>964</v>
      </c>
      <c r="C106" s="106">
        <v>965</v>
      </c>
      <c r="D106" s="106">
        <v>3142</v>
      </c>
      <c r="E106" s="106">
        <v>3146</v>
      </c>
      <c r="F106" s="106">
        <v>0.30673871582962398</v>
      </c>
      <c r="G106" s="106">
        <v>0.29713243430414499</v>
      </c>
      <c r="H106" s="106">
        <v>7.4583150254596397E-3</v>
      </c>
      <c r="I106" s="106">
        <v>1.2879962153230999</v>
      </c>
      <c r="J106" s="106">
        <v>3.13</v>
      </c>
      <c r="K106" s="106">
        <v>0.97392725147832804</v>
      </c>
      <c r="L106" s="106">
        <v>0.102929141908522</v>
      </c>
      <c r="M106" s="106">
        <v>0.91588622771501804</v>
      </c>
      <c r="N106" s="106">
        <v>4.4536179277517199E-2</v>
      </c>
      <c r="P106" s="106">
        <v>0.30459074932960462</v>
      </c>
      <c r="Q106" s="106">
        <v>0.28967411927868536</v>
      </c>
      <c r="R106" s="106">
        <v>0.31204906435506424</v>
      </c>
      <c r="S106" s="106">
        <v>0.28221580425322573</v>
      </c>
      <c r="Y106" s="14"/>
      <c r="AA106" s="106">
        <v>965</v>
      </c>
      <c r="AB106" s="106">
        <v>943.45441230318556</v>
      </c>
    </row>
    <row r="107" spans="1:28" x14ac:dyDescent="0.2">
      <c r="A107" s="14">
        <v>43791</v>
      </c>
      <c r="B107" s="106">
        <v>960</v>
      </c>
      <c r="C107" s="106">
        <v>956</v>
      </c>
      <c r="D107" s="106">
        <v>3099</v>
      </c>
      <c r="E107" s="106">
        <v>3108</v>
      </c>
      <c r="F107" s="106">
        <v>0.307593307593307</v>
      </c>
      <c r="G107" s="106">
        <v>0.297216586545692</v>
      </c>
      <c r="H107" s="106">
        <v>7.6004790406689199E-3</v>
      </c>
      <c r="I107" s="106">
        <v>1.3652719772123501</v>
      </c>
      <c r="J107" s="106">
        <v>3.37</v>
      </c>
      <c r="K107" s="106">
        <v>0.97479865507327401</v>
      </c>
      <c r="L107" s="106">
        <v>8.7042079317474194E-2</v>
      </c>
      <c r="M107" s="106">
        <v>0.91612185700581406</v>
      </c>
      <c r="N107" s="106">
        <v>4.7486393194625998E-2</v>
      </c>
      <c r="P107" s="106">
        <v>0.3048170655863609</v>
      </c>
      <c r="Q107" s="106">
        <v>0.28961610750502309</v>
      </c>
      <c r="R107" s="106">
        <v>0.31241754462702986</v>
      </c>
      <c r="S107" s="106">
        <v>0.28201562846435413</v>
      </c>
      <c r="Y107" s="14"/>
      <c r="AA107" s="106">
        <v>956</v>
      </c>
      <c r="AB107" s="106">
        <v>932.05858659831563</v>
      </c>
    </row>
    <row r="108" spans="1:28" x14ac:dyDescent="0.2">
      <c r="A108" s="14">
        <v>43790</v>
      </c>
      <c r="B108" s="106">
        <v>953</v>
      </c>
      <c r="C108" s="106">
        <v>957</v>
      </c>
      <c r="D108" s="106">
        <v>3089</v>
      </c>
      <c r="E108" s="106">
        <v>3103</v>
      </c>
      <c r="F108" s="106">
        <v>0.30841121495327101</v>
      </c>
      <c r="G108" s="106">
        <v>0.29726349059259599</v>
      </c>
      <c r="H108" s="106">
        <v>7.6748616470060796E-3</v>
      </c>
      <c r="I108" s="106">
        <v>1.45249841279199</v>
      </c>
      <c r="J108" s="106">
        <v>3.61</v>
      </c>
      <c r="K108" s="106">
        <v>0.97583056197107798</v>
      </c>
      <c r="L108" s="106">
        <v>5.5647370471035698E-2</v>
      </c>
      <c r="M108" s="106">
        <v>0.91637490428675705</v>
      </c>
      <c r="N108" s="106">
        <v>3.3995761461266198E-2</v>
      </c>
      <c r="P108" s="106">
        <v>0.30493835223960208</v>
      </c>
      <c r="Q108" s="106">
        <v>0.2895886289455899</v>
      </c>
      <c r="R108" s="106">
        <v>0.31261321388660818</v>
      </c>
      <c r="S108" s="106">
        <v>0.28191376729858381</v>
      </c>
      <c r="Y108" s="14"/>
      <c r="AA108" s="106">
        <v>957</v>
      </c>
      <c r="AB108" s="106">
        <v>930.55913584767484</v>
      </c>
    </row>
    <row r="109" spans="1:28" x14ac:dyDescent="0.2">
      <c r="A109" s="14">
        <v>43789</v>
      </c>
      <c r="B109" s="106">
        <v>948</v>
      </c>
      <c r="C109" s="106">
        <v>960</v>
      </c>
      <c r="D109" s="106">
        <v>3116</v>
      </c>
      <c r="E109" s="106">
        <v>3092</v>
      </c>
      <c r="F109" s="106">
        <v>0.31047865459249602</v>
      </c>
      <c r="G109" s="106">
        <v>0.29735720713625502</v>
      </c>
      <c r="H109" s="106">
        <v>7.85129799429936E-3</v>
      </c>
      <c r="I109" s="106">
        <v>1.6712456291644999</v>
      </c>
      <c r="J109" s="106">
        <v>4.2300000000000004</v>
      </c>
      <c r="K109" s="106">
        <v>0.97742783226478602</v>
      </c>
      <c r="L109" s="15">
        <v>0.10427608289920701</v>
      </c>
      <c r="M109" s="106">
        <v>0.91656689758418497</v>
      </c>
      <c r="N109" s="106">
        <v>2.9639636358909299E-2</v>
      </c>
      <c r="P109" s="106">
        <v>0.30520850513055436</v>
      </c>
      <c r="Q109" s="106">
        <v>0.28950590914195568</v>
      </c>
      <c r="R109" s="106">
        <v>0.31305980312485376</v>
      </c>
      <c r="S109" s="106">
        <v>0.28165461114765628</v>
      </c>
      <c r="Y109" s="14"/>
      <c r="AA109" s="106">
        <v>960</v>
      </c>
      <c r="AB109" s="106">
        <v>927.26034419626512</v>
      </c>
    </row>
    <row r="110" spans="1:28" x14ac:dyDescent="0.2">
      <c r="A110" s="14">
        <v>43788</v>
      </c>
      <c r="B110" s="106">
        <v>960</v>
      </c>
      <c r="C110" s="106">
        <v>956</v>
      </c>
      <c r="D110" s="106">
        <v>3135</v>
      </c>
      <c r="E110" s="106">
        <v>3134</v>
      </c>
      <c r="F110" s="106">
        <v>0.30504148053605601</v>
      </c>
      <c r="G110" s="106">
        <v>0.29741181593601301</v>
      </c>
      <c r="H110" s="106">
        <v>7.9559191890965792E-3</v>
      </c>
      <c r="I110" s="106">
        <v>0.95899221934015499</v>
      </c>
      <c r="J110" s="106">
        <v>2.5</v>
      </c>
      <c r="K110" s="106">
        <v>0.97767452018222301</v>
      </c>
      <c r="L110" s="106">
        <v>0.33401992879960002</v>
      </c>
      <c r="M110" s="106">
        <v>0.91699445288022097</v>
      </c>
      <c r="N110" s="106">
        <v>3.4245517658775503E-2</v>
      </c>
      <c r="P110" s="106">
        <v>0.30536773512510962</v>
      </c>
      <c r="Q110" s="106">
        <v>0.28945589674691641</v>
      </c>
      <c r="R110" s="106">
        <v>0.31332365431420617</v>
      </c>
      <c r="S110" s="106">
        <v>0.28149997755781986</v>
      </c>
      <c r="Y110" s="14"/>
      <c r="AA110" s="106">
        <v>956</v>
      </c>
      <c r="AB110" s="106">
        <v>939.85573050164771</v>
      </c>
    </row>
    <row r="111" spans="1:28" x14ac:dyDescent="0.2">
      <c r="A111" s="14">
        <v>43787</v>
      </c>
      <c r="B111" s="106">
        <v>962</v>
      </c>
      <c r="C111" s="106">
        <v>957</v>
      </c>
      <c r="D111" s="106">
        <v>3151</v>
      </c>
      <c r="E111" s="106">
        <v>3157</v>
      </c>
      <c r="F111" s="106">
        <v>0.303135888501742</v>
      </c>
      <c r="G111" s="106">
        <v>0.297450500543883</v>
      </c>
      <c r="H111" s="106">
        <v>7.9998557629161696E-3</v>
      </c>
      <c r="I111" s="106">
        <v>0.71068630814743605</v>
      </c>
      <c r="J111" s="106">
        <v>1.88</v>
      </c>
      <c r="K111" s="106">
        <v>0.97760446535156897</v>
      </c>
      <c r="L111" s="106">
        <v>0.11052982580564399</v>
      </c>
      <c r="M111" s="106">
        <v>0.91743247544532103</v>
      </c>
      <c r="N111" s="106">
        <v>4.0082181288518801E-2</v>
      </c>
      <c r="P111" s="106">
        <v>0.30545035630679918</v>
      </c>
      <c r="Q111" s="106">
        <v>0.28945064478096683</v>
      </c>
      <c r="R111" s="106">
        <v>0.31345021206971535</v>
      </c>
      <c r="S111" s="106">
        <v>0.28145078901805065</v>
      </c>
      <c r="Y111" s="14"/>
      <c r="AA111" s="106">
        <v>957</v>
      </c>
      <c r="AB111" s="106">
        <v>946.75320395459539</v>
      </c>
    </row>
    <row r="112" spans="1:28" x14ac:dyDescent="0.2">
      <c r="A112" s="14">
        <v>43784</v>
      </c>
      <c r="B112" s="106">
        <v>955</v>
      </c>
      <c r="C112" s="106">
        <v>958</v>
      </c>
      <c r="D112" s="106">
        <v>3123</v>
      </c>
      <c r="E112" s="106">
        <v>3150</v>
      </c>
      <c r="F112" s="106">
        <v>0.30412698412698402</v>
      </c>
      <c r="G112" s="106">
        <v>0.297563538215532</v>
      </c>
      <c r="H112" s="106">
        <v>8.1380927979162899E-3</v>
      </c>
      <c r="I112" s="106">
        <v>0.806509101632783</v>
      </c>
      <c r="J112" s="106">
        <v>2.16</v>
      </c>
      <c r="K112" s="106">
        <v>0.97751688667507197</v>
      </c>
      <c r="L112" s="106">
        <v>0.100093224250994</v>
      </c>
      <c r="M112" s="106">
        <v>0.91727168981391705</v>
      </c>
      <c r="N112" s="106">
        <v>3.9301685934427302E-2</v>
      </c>
      <c r="P112" s="106">
        <v>0.30570163101344827</v>
      </c>
      <c r="Q112" s="106">
        <v>0.28942544541761572</v>
      </c>
      <c r="R112" s="106">
        <v>0.3138397238113646</v>
      </c>
      <c r="S112" s="106">
        <v>0.28128735261969939</v>
      </c>
      <c r="Y112" s="14"/>
      <c r="AA112" s="106">
        <v>958</v>
      </c>
      <c r="AB112" s="106">
        <v>944.65397290369822</v>
      </c>
    </row>
    <row r="113" spans="1:28" x14ac:dyDescent="0.2">
      <c r="A113" s="14">
        <v>43783</v>
      </c>
      <c r="B113" s="106">
        <v>969</v>
      </c>
      <c r="C113" s="106">
        <v>960</v>
      </c>
      <c r="D113" s="106">
        <v>3187</v>
      </c>
      <c r="E113" s="106">
        <v>3139</v>
      </c>
      <c r="F113" s="106">
        <v>0.305829882128066</v>
      </c>
      <c r="G113" s="106">
        <v>0.29764967719607799</v>
      </c>
      <c r="H113" s="106">
        <v>8.2406532411338895E-3</v>
      </c>
      <c r="I113" s="106">
        <v>0.99266462167773395</v>
      </c>
      <c r="J113" s="106">
        <v>2.67</v>
      </c>
      <c r="K113" s="106">
        <v>0.977401744217124</v>
      </c>
      <c r="L113" s="15">
        <v>5.1908940090440801E-2</v>
      </c>
      <c r="M113" s="106">
        <v>0.91692878248627796</v>
      </c>
      <c r="N113" s="106">
        <v>3.7599580592513601E-2</v>
      </c>
      <c r="P113" s="106">
        <v>0.30589033043721187</v>
      </c>
      <c r="Q113" s="106">
        <v>0.28940902395494411</v>
      </c>
      <c r="R113" s="106">
        <v>0.31413098367834574</v>
      </c>
      <c r="S113" s="106">
        <v>0.28116837071381023</v>
      </c>
      <c r="Y113" s="14"/>
      <c r="AA113" s="106">
        <v>960</v>
      </c>
      <c r="AB113" s="106">
        <v>941.3551812522885</v>
      </c>
    </row>
    <row r="114" spans="1:28" x14ac:dyDescent="0.2">
      <c r="A114" s="14">
        <v>43782</v>
      </c>
      <c r="B114" s="106">
        <v>976</v>
      </c>
      <c r="C114" s="106">
        <v>978</v>
      </c>
      <c r="D114" s="106">
        <v>3202</v>
      </c>
      <c r="E114" s="106">
        <v>3209</v>
      </c>
      <c r="F114" s="106">
        <v>0.304767840448737</v>
      </c>
      <c r="G114" s="106">
        <v>0.297622696764547</v>
      </c>
      <c r="H114" s="106">
        <v>8.2171054973867608E-3</v>
      </c>
      <c r="I114" s="106">
        <v>0.86954508329765301</v>
      </c>
      <c r="J114" s="106">
        <v>2.34</v>
      </c>
      <c r="K114" s="106">
        <v>0.97625680235005197</v>
      </c>
      <c r="L114" s="106">
        <v>3.8546875249640001E-3</v>
      </c>
      <c r="M114" s="106">
        <v>0.916818794721317</v>
      </c>
      <c r="N114" s="106">
        <v>3.9599162561789997E-2</v>
      </c>
      <c r="P114" s="106">
        <v>0.30583980226193375</v>
      </c>
      <c r="Q114" s="106">
        <v>0.28940559126716026</v>
      </c>
      <c r="R114" s="106">
        <v>0.31405690775932055</v>
      </c>
      <c r="S114" s="106">
        <v>0.28118848576977346</v>
      </c>
      <c r="Y114" s="14"/>
      <c r="AA114" s="106">
        <v>978</v>
      </c>
      <c r="AB114" s="106">
        <v>962.34749176125956</v>
      </c>
    </row>
    <row r="115" spans="1:28" x14ac:dyDescent="0.2">
      <c r="A115" s="14">
        <v>43781</v>
      </c>
      <c r="B115" s="106">
        <v>966</v>
      </c>
      <c r="C115" s="106">
        <v>982</v>
      </c>
      <c r="D115" s="106">
        <v>3174</v>
      </c>
      <c r="E115" s="106">
        <v>3229</v>
      </c>
      <c r="F115" s="106">
        <v>0.30411892226695503</v>
      </c>
      <c r="G115" s="106">
        <v>0.29762379068558398</v>
      </c>
      <c r="H115" s="106">
        <v>8.2180620437089097E-3</v>
      </c>
      <c r="I115" s="106">
        <v>0.790348326263006</v>
      </c>
      <c r="J115" s="106">
        <v>2.14</v>
      </c>
      <c r="K115" s="106">
        <v>0.97484827500341797</v>
      </c>
      <c r="L115" s="106">
        <v>6.4921374236117102E-2</v>
      </c>
      <c r="M115" s="106">
        <v>0.91662958867253697</v>
      </c>
      <c r="N115" s="106">
        <v>9.6667059120761997E-2</v>
      </c>
      <c r="P115" s="106">
        <v>0.30584185272929287</v>
      </c>
      <c r="Q115" s="106">
        <v>0.28940572864187508</v>
      </c>
      <c r="R115" s="106">
        <v>0.31405991477300177</v>
      </c>
      <c r="S115" s="106">
        <v>0.28118766659816619</v>
      </c>
      <c r="Y115" s="14"/>
      <c r="AA115" s="106">
        <v>982</v>
      </c>
      <c r="AB115" s="106">
        <v>968.34529476382272</v>
      </c>
    </row>
    <row r="116" spans="1:28" x14ac:dyDescent="0.2">
      <c r="A116" s="14">
        <v>43780</v>
      </c>
      <c r="B116" s="106">
        <v>980</v>
      </c>
      <c r="C116" s="106">
        <v>970</v>
      </c>
      <c r="D116" s="106">
        <v>3197</v>
      </c>
      <c r="E116" s="106">
        <v>3201</v>
      </c>
      <c r="F116" s="106">
        <v>0.30303030303030298</v>
      </c>
      <c r="G116" s="106">
        <v>0.29753746558355199</v>
      </c>
      <c r="H116" s="106">
        <v>8.1833127571372104E-3</v>
      </c>
      <c r="I116" s="106">
        <v>0.67122418631251102</v>
      </c>
      <c r="J116" s="106">
        <v>1.81</v>
      </c>
      <c r="K116" s="106">
        <v>0.97265742469499505</v>
      </c>
      <c r="L116" s="106">
        <v>0.188824486305322</v>
      </c>
      <c r="M116" s="106">
        <v>0.91623508244859397</v>
      </c>
      <c r="N116" s="106">
        <v>4.0024880897381397E-2</v>
      </c>
      <c r="P116" s="106">
        <v>0.30572077834068917</v>
      </c>
      <c r="Q116" s="106">
        <v>0.2893541528264148</v>
      </c>
      <c r="R116" s="106">
        <v>0.31390409109782641</v>
      </c>
      <c r="S116" s="106">
        <v>0.28117084006927756</v>
      </c>
      <c r="Y116" s="14"/>
      <c r="AA116" s="106">
        <v>970</v>
      </c>
      <c r="AB116" s="106">
        <v>959.94837056023437</v>
      </c>
    </row>
    <row r="117" spans="1:28" x14ac:dyDescent="0.2">
      <c r="A117" s="14">
        <v>43777</v>
      </c>
      <c r="B117" s="106">
        <v>965</v>
      </c>
      <c r="C117" s="106">
        <v>971</v>
      </c>
      <c r="D117" s="106">
        <v>3060</v>
      </c>
      <c r="E117" s="106">
        <v>3072</v>
      </c>
      <c r="F117" s="106">
        <v>0.31608072916666602</v>
      </c>
      <c r="G117" s="106">
        <v>0.29737170541779201</v>
      </c>
      <c r="H117" s="106">
        <v>8.1962721037494093E-3</v>
      </c>
      <c r="I117" s="106">
        <v>2.2826259928968802</v>
      </c>
      <c r="J117" s="106">
        <v>5.92</v>
      </c>
      <c r="K117" s="106">
        <v>0.97626768505010697</v>
      </c>
      <c r="L117" s="106">
        <v>0.18322554460193399</v>
      </c>
      <c r="M117" s="106">
        <v>0.91520706147714403</v>
      </c>
      <c r="N117" s="106">
        <v>3.0567645601381501E-2</v>
      </c>
      <c r="P117" s="106">
        <v>0.30556797752154141</v>
      </c>
      <c r="Q117" s="106">
        <v>0.28917543331404261</v>
      </c>
      <c r="R117" s="106">
        <v>0.31376424962529081</v>
      </c>
      <c r="S117" s="106">
        <v>0.2809791612102932</v>
      </c>
      <c r="Y117" s="14"/>
      <c r="AA117" s="106">
        <v>971</v>
      </c>
      <c r="AB117" s="106">
        <v>921.26254119370196</v>
      </c>
    </row>
    <row r="118" spans="1:28" x14ac:dyDescent="0.2">
      <c r="A118" s="14">
        <v>43776</v>
      </c>
      <c r="B118" s="106">
        <v>960</v>
      </c>
      <c r="C118" s="106">
        <v>959</v>
      </c>
      <c r="D118" s="106">
        <v>3007</v>
      </c>
      <c r="E118" s="106">
        <v>3014</v>
      </c>
      <c r="F118" s="106">
        <v>0.31818181818181801</v>
      </c>
      <c r="G118" s="106">
        <v>0.29703881486693101</v>
      </c>
      <c r="H118" s="106">
        <v>7.9324116604045508E-3</v>
      </c>
      <c r="I118" s="106">
        <v>2.66539410964059</v>
      </c>
      <c r="J118" s="106">
        <v>6.64</v>
      </c>
      <c r="K118" s="106">
        <v>0.98327976540959305</v>
      </c>
      <c r="L118" s="106">
        <v>1.4179025791341501E-2</v>
      </c>
      <c r="M118" s="106">
        <v>0.91389300246126004</v>
      </c>
      <c r="N118" s="106">
        <v>4.3901601818213697E-2</v>
      </c>
      <c r="P118" s="106">
        <v>0.30497122652733555</v>
      </c>
      <c r="Q118" s="106">
        <v>0.28910640320652647</v>
      </c>
      <c r="R118" s="106">
        <v>0.31290363818774014</v>
      </c>
      <c r="S118" s="106">
        <v>0.28117399154612188</v>
      </c>
      <c r="Y118" s="14"/>
      <c r="AA118" s="106">
        <v>959</v>
      </c>
      <c r="AB118" s="106">
        <v>903.86891248626875</v>
      </c>
    </row>
    <row r="119" spans="1:28" x14ac:dyDescent="0.2">
      <c r="A119" s="14">
        <v>43775</v>
      </c>
      <c r="B119" s="106">
        <v>928</v>
      </c>
      <c r="C119" s="106">
        <v>930</v>
      </c>
      <c r="D119" s="106">
        <v>3048</v>
      </c>
      <c r="E119" s="106">
        <v>3031</v>
      </c>
      <c r="F119" s="106">
        <v>0.30682942923127599</v>
      </c>
      <c r="G119" s="106">
        <v>0.29673556857651401</v>
      </c>
      <c r="H119" s="106">
        <v>7.5435399673705796E-3</v>
      </c>
      <c r="I119" s="106">
        <v>1.3380800921613301</v>
      </c>
      <c r="J119" s="106">
        <v>3.29</v>
      </c>
      <c r="K119" s="106">
        <v>0.97895365093730302</v>
      </c>
      <c r="L119" s="106">
        <v>0.22310403339003701</v>
      </c>
      <c r="M119" s="106">
        <v>0.91424183972212802</v>
      </c>
      <c r="N119" s="106">
        <v>7.0103515775916794E-2</v>
      </c>
      <c r="P119" s="106">
        <v>0.30427910854388457</v>
      </c>
      <c r="Q119" s="106">
        <v>0.28919202860914345</v>
      </c>
      <c r="R119" s="106">
        <v>0.31182264851125518</v>
      </c>
      <c r="S119" s="106">
        <v>0.28164848864177283</v>
      </c>
      <c r="Y119" s="14"/>
      <c r="AA119" s="106">
        <v>930</v>
      </c>
      <c r="AB119" s="106">
        <v>908.9670450384474</v>
      </c>
    </row>
    <row r="120" spans="1:28" x14ac:dyDescent="0.2">
      <c r="A120" s="14">
        <v>43774</v>
      </c>
      <c r="B120" s="106">
        <v>905</v>
      </c>
      <c r="C120" s="106">
        <v>918</v>
      </c>
      <c r="D120" s="106">
        <v>3028</v>
      </c>
      <c r="E120" s="106">
        <v>3022</v>
      </c>
      <c r="F120" s="106">
        <v>0.30377233620119098</v>
      </c>
      <c r="G120" s="106">
        <v>0.29658363637831497</v>
      </c>
      <c r="H120" s="106">
        <v>7.4529189875513404E-3</v>
      </c>
      <c r="I120" s="106">
        <v>0.96454823068431395</v>
      </c>
      <c r="J120" s="106">
        <v>2.37</v>
      </c>
      <c r="K120" s="106">
        <v>0.97230970632508595</v>
      </c>
      <c r="L120" s="106">
        <v>0.53221158882679298</v>
      </c>
      <c r="M120" s="106">
        <v>0.91369951155215801</v>
      </c>
      <c r="N120" s="106">
        <v>0.19918148055153001</v>
      </c>
      <c r="P120" s="106">
        <v>0.30403655536586632</v>
      </c>
      <c r="Q120" s="106">
        <v>0.28913071739076363</v>
      </c>
      <c r="R120" s="106">
        <v>0.31148947435341767</v>
      </c>
      <c r="S120" s="106">
        <v>0.28167779840321228</v>
      </c>
      <c r="Y120" s="14"/>
      <c r="AA120" s="106">
        <v>918</v>
      </c>
      <c r="AB120" s="106">
        <v>906.26803368729395</v>
      </c>
    </row>
    <row r="121" spans="1:28" x14ac:dyDescent="0.2">
      <c r="A121" s="14">
        <v>43770</v>
      </c>
      <c r="B121" s="106">
        <v>878</v>
      </c>
      <c r="C121" s="106">
        <v>892</v>
      </c>
      <c r="D121" s="106">
        <v>2908.5</v>
      </c>
      <c r="E121" s="106">
        <v>2954.5</v>
      </c>
      <c r="F121" s="106">
        <v>0.30191233711287802</v>
      </c>
      <c r="G121" s="106">
        <v>0.29642983780126397</v>
      </c>
      <c r="H121" s="106">
        <v>7.4219386953953996E-3</v>
      </c>
      <c r="I121" s="106">
        <v>0.73868830458217605</v>
      </c>
      <c r="J121" s="106">
        <v>1.82</v>
      </c>
      <c r="K121" s="106">
        <v>0.95835107783307605</v>
      </c>
      <c r="L121" s="106">
        <v>0.63601046774173398</v>
      </c>
      <c r="M121" s="106">
        <v>0.91445582923351498</v>
      </c>
      <c r="N121" s="106">
        <v>0.118399318586435</v>
      </c>
      <c r="P121" s="106">
        <v>0.3038517764966594</v>
      </c>
      <c r="Q121" s="106">
        <v>0.28900789910586855</v>
      </c>
      <c r="R121" s="106">
        <v>0.31127371519205477</v>
      </c>
      <c r="S121" s="106">
        <v>0.28158596041047318</v>
      </c>
      <c r="Y121" s="14"/>
      <c r="AA121" s="106">
        <v>892</v>
      </c>
      <c r="AB121" s="106">
        <v>886.02544855364329</v>
      </c>
    </row>
    <row r="122" spans="1:28" x14ac:dyDescent="0.2">
      <c r="A122" s="14">
        <v>43769</v>
      </c>
      <c r="B122" s="106">
        <v>885</v>
      </c>
      <c r="C122" s="106">
        <v>893</v>
      </c>
      <c r="D122" s="106">
        <v>2963.5</v>
      </c>
      <c r="E122" s="106">
        <v>2942</v>
      </c>
      <c r="F122" s="106">
        <v>0.30353501019714402</v>
      </c>
      <c r="G122" s="106">
        <v>0.29634714353614899</v>
      </c>
      <c r="H122" s="106">
        <v>7.3948947771288803E-3</v>
      </c>
      <c r="I122" s="106">
        <v>0.97200391318973001</v>
      </c>
      <c r="J122" s="106">
        <v>2.37</v>
      </c>
      <c r="K122" s="106">
        <v>0.95320727496584901</v>
      </c>
      <c r="L122" s="106">
        <v>0.76982109797901499</v>
      </c>
      <c r="M122" s="106">
        <v>0.91381408089168603</v>
      </c>
      <c r="N122" s="106">
        <v>0.13942513764116099</v>
      </c>
      <c r="P122" s="106">
        <v>0.3037420383132779</v>
      </c>
      <c r="Q122" s="106">
        <v>0.28895224875902009</v>
      </c>
      <c r="R122" s="106">
        <v>0.31113693309040674</v>
      </c>
      <c r="S122" s="106">
        <v>0.28155735398189125</v>
      </c>
      <c r="Y122" s="14"/>
      <c r="AA122" s="106">
        <v>893</v>
      </c>
      <c r="AB122" s="106">
        <v>882.27682167704131</v>
      </c>
    </row>
    <row r="123" spans="1:28" x14ac:dyDescent="0.2">
      <c r="A123" s="14">
        <v>43768</v>
      </c>
      <c r="B123" s="106">
        <v>892</v>
      </c>
      <c r="C123" s="106">
        <v>888</v>
      </c>
      <c r="D123" s="106">
        <v>3006</v>
      </c>
      <c r="E123" s="106">
        <v>2986.5</v>
      </c>
      <c r="F123" s="106">
        <v>0.29733802109492702</v>
      </c>
      <c r="G123" s="106">
        <v>0.29620745309302399</v>
      </c>
      <c r="H123" s="106">
        <v>7.3566506835276201E-3</v>
      </c>
      <c r="I123" s="106">
        <v>0.153679717923077</v>
      </c>
      <c r="J123" s="106">
        <v>0.38</v>
      </c>
      <c r="K123" s="106">
        <v>0.94321647147076204</v>
      </c>
      <c r="L123" s="106">
        <v>0.90478290239292203</v>
      </c>
      <c r="M123" s="106">
        <v>0.91309858911258901</v>
      </c>
      <c r="N123" s="106">
        <v>0.167276646134568</v>
      </c>
      <c r="P123" s="106">
        <v>0.30356410377655163</v>
      </c>
      <c r="Q123" s="106">
        <v>0.28885080240949634</v>
      </c>
      <c r="R123" s="106">
        <v>0.31092075446007922</v>
      </c>
      <c r="S123" s="106">
        <v>0.28149415172596876</v>
      </c>
      <c r="Y123" s="14"/>
      <c r="AA123" s="106">
        <v>888</v>
      </c>
      <c r="AB123" s="106">
        <v>895.62193335774441</v>
      </c>
    </row>
    <row r="124" spans="1:28" x14ac:dyDescent="0.2">
      <c r="A124" s="14">
        <v>43767</v>
      </c>
      <c r="B124" s="106">
        <v>890</v>
      </c>
      <c r="C124" s="106">
        <v>895</v>
      </c>
      <c r="D124" s="106">
        <v>2975</v>
      </c>
      <c r="E124" s="106">
        <v>3006</v>
      </c>
      <c r="F124" s="106">
        <v>0.29773785761809701</v>
      </c>
      <c r="G124" s="106">
        <v>0.296183349300218</v>
      </c>
      <c r="H124" s="106">
        <v>7.3558684596007704E-3</v>
      </c>
      <c r="I124" s="106">
        <v>0.211328998936825</v>
      </c>
      <c r="J124" s="106">
        <v>0.52</v>
      </c>
      <c r="K124" s="106">
        <v>0.93353156464317699</v>
      </c>
      <c r="L124" s="106">
        <v>0.89919265138906201</v>
      </c>
      <c r="M124" s="106">
        <v>0.91371234726336203</v>
      </c>
      <c r="N124" s="106">
        <v>7.2456968525407603E-2</v>
      </c>
      <c r="P124" s="106">
        <v>0.30353921775981879</v>
      </c>
      <c r="Q124" s="106">
        <v>0.28882748084061721</v>
      </c>
      <c r="R124" s="106">
        <v>0.31089508621941953</v>
      </c>
      <c r="S124" s="106">
        <v>0.28147161238101648</v>
      </c>
      <c r="Y124" s="14"/>
      <c r="AA124" s="106">
        <v>895</v>
      </c>
      <c r="AB124" s="106">
        <v>901.46979128524345</v>
      </c>
    </row>
    <row r="125" spans="1:28" x14ac:dyDescent="0.2">
      <c r="A125" s="14">
        <v>43766</v>
      </c>
      <c r="B125" s="106">
        <v>885</v>
      </c>
      <c r="C125" s="106">
        <v>885</v>
      </c>
      <c r="D125" s="106">
        <v>2935.5</v>
      </c>
      <c r="E125" s="106">
        <v>2950</v>
      </c>
      <c r="F125" s="106">
        <v>0.3</v>
      </c>
      <c r="G125" s="106">
        <v>0.296231840419652</v>
      </c>
      <c r="H125" s="106">
        <v>7.3779104937024102E-3</v>
      </c>
      <c r="I125" s="106">
        <v>0.51073533401688198</v>
      </c>
      <c r="J125" s="106">
        <v>1.26</v>
      </c>
      <c r="K125" s="106">
        <v>0.92860488997051704</v>
      </c>
      <c r="L125" s="15">
        <v>0.69774455385743395</v>
      </c>
      <c r="M125" s="106">
        <v>0.91385380531323601</v>
      </c>
      <c r="N125" s="106">
        <v>7.9913189811445601E-2</v>
      </c>
      <c r="P125" s="106">
        <v>0.3036097509133544</v>
      </c>
      <c r="Q125" s="106">
        <v>0.2888539299259496</v>
      </c>
      <c r="R125" s="106">
        <v>0.3109876614070568</v>
      </c>
      <c r="S125" s="106">
        <v>0.2814760194322472</v>
      </c>
      <c r="Y125" s="14"/>
      <c r="AA125" s="106">
        <v>885</v>
      </c>
      <c r="AB125" s="106">
        <v>884.67594287806662</v>
      </c>
    </row>
    <row r="126" spans="1:28" x14ac:dyDescent="0.2">
      <c r="A126" s="14">
        <v>43763</v>
      </c>
      <c r="B126" s="106">
        <v>874</v>
      </c>
      <c r="C126" s="106">
        <v>881</v>
      </c>
      <c r="D126" s="106">
        <v>2931</v>
      </c>
      <c r="E126" s="106">
        <v>2925.5</v>
      </c>
      <c r="F126" s="106">
        <v>0.30114510340112799</v>
      </c>
      <c r="G126" s="106">
        <v>0.296311986139142</v>
      </c>
      <c r="H126" s="106">
        <v>7.4506975421509396E-3</v>
      </c>
      <c r="I126" s="106">
        <v>0.64867983630302395</v>
      </c>
      <c r="J126" s="106">
        <v>1.6</v>
      </c>
      <c r="K126" s="106">
        <v>0.92233448615107905</v>
      </c>
      <c r="L126" s="106">
        <v>0.845104427178893</v>
      </c>
      <c r="M126" s="106">
        <v>0.91383125624272099</v>
      </c>
      <c r="N126" s="106">
        <v>7.5389411427921105E-2</v>
      </c>
      <c r="P126" s="106">
        <v>0.30376268368129294</v>
      </c>
      <c r="Q126" s="106">
        <v>0.28886128859699106</v>
      </c>
      <c r="R126" s="106">
        <v>0.31121338122344389</v>
      </c>
      <c r="S126" s="106">
        <v>0.28141059105484012</v>
      </c>
      <c r="Y126" s="14"/>
      <c r="AA126" s="106">
        <v>881</v>
      </c>
      <c r="AB126" s="106">
        <v>877.32863419992668</v>
      </c>
    </row>
    <row r="127" spans="1:28" x14ac:dyDescent="0.2">
      <c r="A127" s="14">
        <v>43762</v>
      </c>
      <c r="B127" s="106">
        <v>869</v>
      </c>
      <c r="C127" s="106">
        <v>871</v>
      </c>
      <c r="D127" s="106">
        <v>2900</v>
      </c>
      <c r="E127" s="106">
        <v>2931</v>
      </c>
      <c r="F127" s="106">
        <v>0.29716820197884602</v>
      </c>
      <c r="G127" s="106">
        <v>0.29632402590026402</v>
      </c>
      <c r="H127" s="106">
        <v>7.4592224629634902E-3</v>
      </c>
      <c r="I127" s="106">
        <v>0.113172127895874</v>
      </c>
      <c r="J127" s="106">
        <v>0.28000000000000003</v>
      </c>
      <c r="K127" s="106">
        <v>0.91767548194210402</v>
      </c>
      <c r="L127" s="106">
        <v>0.82960349713322901</v>
      </c>
      <c r="M127" s="106">
        <v>0.91402573964561495</v>
      </c>
      <c r="N127" s="106">
        <v>7.9144150178542899E-2</v>
      </c>
      <c r="P127" s="106">
        <v>0.30378324836322751</v>
      </c>
      <c r="Q127" s="106">
        <v>0.28886480343730053</v>
      </c>
      <c r="R127" s="106">
        <v>0.311242470826191</v>
      </c>
      <c r="S127" s="106">
        <v>0.28140558097433704</v>
      </c>
      <c r="Y127" s="14"/>
      <c r="AA127" s="106">
        <v>871</v>
      </c>
      <c r="AB127" s="106">
        <v>878.9780300256316</v>
      </c>
    </row>
    <row r="128" spans="1:28" x14ac:dyDescent="0.2">
      <c r="A128" s="14">
        <v>43761</v>
      </c>
      <c r="B128" s="106">
        <v>859</v>
      </c>
      <c r="C128" s="106">
        <v>863</v>
      </c>
      <c r="D128" s="106">
        <v>2850</v>
      </c>
      <c r="E128" s="106">
        <v>2877</v>
      </c>
      <c r="F128" s="106">
        <v>0.29996524157108101</v>
      </c>
      <c r="G128" s="106">
        <v>0.29641435190494297</v>
      </c>
      <c r="H128" s="106">
        <v>7.5097438107965099E-3</v>
      </c>
      <c r="I128" s="106">
        <v>0.47283765672974898</v>
      </c>
      <c r="J128" s="106">
        <v>1.18</v>
      </c>
      <c r="K128" s="106">
        <v>0.91672111968709602</v>
      </c>
      <c r="L128" s="106">
        <v>0.69114046185870703</v>
      </c>
      <c r="M128" s="106">
        <v>0.91246022014998796</v>
      </c>
      <c r="N128" s="106">
        <v>8.8295364967932999E-3</v>
      </c>
      <c r="P128" s="106">
        <v>0.30392409571573947</v>
      </c>
      <c r="Q128" s="106">
        <v>0.28890460809414648</v>
      </c>
      <c r="R128" s="106">
        <v>0.31143383952653597</v>
      </c>
      <c r="S128" s="106">
        <v>0.28139486428334998</v>
      </c>
      <c r="Y128" s="14"/>
      <c r="AA128" s="106">
        <v>863</v>
      </c>
      <c r="AB128" s="106">
        <v>862.78396191871104</v>
      </c>
    </row>
    <row r="129" spans="1:28" x14ac:dyDescent="0.2">
      <c r="A129" s="14">
        <v>43759</v>
      </c>
      <c r="B129" s="106">
        <v>860</v>
      </c>
      <c r="C129" s="106">
        <v>858</v>
      </c>
      <c r="D129" s="106">
        <v>2910</v>
      </c>
      <c r="E129" s="106">
        <v>2895</v>
      </c>
      <c r="F129" s="106">
        <v>0.29637305699481797</v>
      </c>
      <c r="G129" s="106">
        <v>0.29646604317347902</v>
      </c>
      <c r="H129" s="106">
        <v>7.5472563983425703E-3</v>
      </c>
      <c r="I129" s="106">
        <v>-1.2320527321884499E-2</v>
      </c>
      <c r="J129" s="106">
        <v>-0.03</v>
      </c>
      <c r="K129" s="106">
        <v>0.91536039533837599</v>
      </c>
      <c r="L129" s="106">
        <v>0.59460389135606995</v>
      </c>
      <c r="M129" s="106">
        <v>0.91056295243924201</v>
      </c>
      <c r="N129" s="106">
        <v>6.1449393120689899E-3</v>
      </c>
      <c r="P129" s="106">
        <v>0.3040132995718216</v>
      </c>
      <c r="Q129" s="106">
        <v>0.28891878677513644</v>
      </c>
      <c r="R129" s="106">
        <v>0.31156055597016419</v>
      </c>
      <c r="S129" s="106">
        <v>0.28137153037679385</v>
      </c>
      <c r="Y129" s="14"/>
      <c r="AA129" s="106">
        <v>858</v>
      </c>
      <c r="AB129" s="106">
        <v>868.18198462101793</v>
      </c>
    </row>
    <row r="130" spans="1:28" x14ac:dyDescent="0.2">
      <c r="A130" s="14">
        <v>43756</v>
      </c>
      <c r="B130" s="106">
        <v>856</v>
      </c>
      <c r="C130" s="106">
        <v>857</v>
      </c>
      <c r="D130" s="106">
        <v>2911</v>
      </c>
      <c r="E130" s="106">
        <v>2908.5</v>
      </c>
      <c r="F130" s="106">
        <v>0.29465360151280701</v>
      </c>
      <c r="G130" s="106">
        <v>0.29653080545982802</v>
      </c>
      <c r="H130" s="106">
        <v>7.5669942859446504E-3</v>
      </c>
      <c r="I130" s="106">
        <v>-0.248077886157306</v>
      </c>
      <c r="J130" s="106">
        <v>-0.64</v>
      </c>
      <c r="K130" s="106">
        <v>0.91309689282565498</v>
      </c>
      <c r="L130" s="106">
        <v>0.60064515903926097</v>
      </c>
      <c r="M130" s="106">
        <v>0.90991604219414801</v>
      </c>
      <c r="N130" s="106">
        <v>5.68346696281788E-3</v>
      </c>
      <c r="P130" s="106">
        <v>0.30409779974577267</v>
      </c>
      <c r="Q130" s="106">
        <v>0.28896381117388337</v>
      </c>
      <c r="R130" s="106">
        <v>0.31166479403171732</v>
      </c>
      <c r="S130" s="106">
        <v>0.28139681688793872</v>
      </c>
      <c r="Y130" s="14"/>
      <c r="AA130" s="106">
        <v>857</v>
      </c>
      <c r="AB130" s="106">
        <v>872.23050164774804</v>
      </c>
    </row>
    <row r="131" spans="1:28" x14ac:dyDescent="0.2">
      <c r="A131" s="14">
        <v>43755</v>
      </c>
      <c r="B131" s="106">
        <v>864</v>
      </c>
      <c r="C131" s="106">
        <v>857</v>
      </c>
      <c r="D131" s="106">
        <v>2913</v>
      </c>
      <c r="E131" s="106">
        <v>2909.5</v>
      </c>
      <c r="F131" s="106">
        <v>0.29455232857879299</v>
      </c>
      <c r="G131" s="106">
        <v>0.29658533433971701</v>
      </c>
      <c r="H131" s="106">
        <v>7.5680057064800802E-3</v>
      </c>
      <c r="I131" s="106">
        <v>-0.268631636889967</v>
      </c>
      <c r="J131" s="106">
        <v>-0.69</v>
      </c>
      <c r="K131" s="106">
        <v>0.91076974602446004</v>
      </c>
      <c r="L131" s="106">
        <v>0.59829397726352296</v>
      </c>
      <c r="M131" s="106">
        <v>0.90950101533817096</v>
      </c>
      <c r="N131" s="106">
        <v>3.0333794109386899E-3</v>
      </c>
      <c r="P131" s="106">
        <v>0.3041533400461971</v>
      </c>
      <c r="Q131" s="106">
        <v>0.28901732863323693</v>
      </c>
      <c r="R131" s="106">
        <v>0.31172134575267718</v>
      </c>
      <c r="S131" s="106">
        <v>0.28144932292675684</v>
      </c>
      <c r="Y131" s="14"/>
      <c r="AA131" s="106">
        <v>857</v>
      </c>
      <c r="AB131" s="106">
        <v>872.53039179787618</v>
      </c>
    </row>
    <row r="132" spans="1:28" x14ac:dyDescent="0.2">
      <c r="A132" s="14">
        <v>43754</v>
      </c>
      <c r="B132" s="106">
        <v>862</v>
      </c>
      <c r="C132" s="106">
        <v>862</v>
      </c>
      <c r="D132" s="106">
        <v>2925</v>
      </c>
      <c r="E132" s="106">
        <v>2920</v>
      </c>
      <c r="F132" s="106">
        <v>0.295205479452054</v>
      </c>
      <c r="G132" s="106">
        <v>0.29667446628285599</v>
      </c>
      <c r="H132" s="106">
        <v>7.5828881113221402E-3</v>
      </c>
      <c r="I132" s="106">
        <v>-0.19372392276339101</v>
      </c>
      <c r="J132" s="106">
        <v>-0.5</v>
      </c>
      <c r="K132" s="106">
        <v>0.90904798270378795</v>
      </c>
      <c r="L132" s="106">
        <v>0.54644748318623704</v>
      </c>
      <c r="M132" s="106">
        <v>0.90885965672049296</v>
      </c>
      <c r="N132" s="106">
        <v>4.1717771551732499E-3</v>
      </c>
      <c r="P132" s="106">
        <v>0.30425735439417811</v>
      </c>
      <c r="Q132" s="106">
        <v>0.28909157817153386</v>
      </c>
      <c r="R132" s="106">
        <v>0.31184024250550024</v>
      </c>
      <c r="S132" s="106">
        <v>0.28150869006021173</v>
      </c>
      <c r="Y132" s="14"/>
      <c r="AA132" s="106">
        <v>862</v>
      </c>
      <c r="AB132" s="106">
        <v>875.67923837422188</v>
      </c>
    </row>
    <row r="133" spans="1:28" x14ac:dyDescent="0.2">
      <c r="A133" s="14">
        <v>43753</v>
      </c>
      <c r="B133" s="106">
        <v>848</v>
      </c>
      <c r="C133" s="106">
        <v>847</v>
      </c>
      <c r="D133" s="106">
        <v>2883.5</v>
      </c>
      <c r="E133" s="106">
        <v>2899.5</v>
      </c>
      <c r="F133" s="106">
        <v>0.29211933091912401</v>
      </c>
      <c r="G133" s="106">
        <v>0.29673692855853701</v>
      </c>
      <c r="H133" s="106">
        <v>7.5898216871939104E-3</v>
      </c>
      <c r="I133" s="106">
        <v>-0.60839342868943302</v>
      </c>
      <c r="J133" s="106">
        <v>-1.58</v>
      </c>
      <c r="K133" s="106">
        <v>0.909077160603875</v>
      </c>
      <c r="L133" s="106">
        <v>0.53911958322958498</v>
      </c>
      <c r="M133" s="106">
        <v>0.90805061655494201</v>
      </c>
      <c r="N133" s="106">
        <v>2.58056305233748E-3</v>
      </c>
      <c r="P133" s="106">
        <v>0.30432675024573091</v>
      </c>
      <c r="Q133" s="106">
        <v>0.2891471068713431</v>
      </c>
      <c r="R133" s="106">
        <v>0.31191657193292482</v>
      </c>
      <c r="S133" s="106">
        <v>0.28155728518414919</v>
      </c>
      <c r="Y133" s="14"/>
      <c r="AA133" s="106">
        <v>847</v>
      </c>
      <c r="AB133" s="106">
        <v>869.5314902965946</v>
      </c>
    </row>
    <row r="134" spans="1:28" x14ac:dyDescent="0.2">
      <c r="A134" s="14">
        <v>43749</v>
      </c>
      <c r="B134" s="106">
        <v>822</v>
      </c>
      <c r="C134" s="106">
        <v>825</v>
      </c>
      <c r="D134" s="106">
        <v>2800</v>
      </c>
      <c r="E134" s="106">
        <v>2828.5</v>
      </c>
      <c r="F134" s="106">
        <v>0.29167403217252902</v>
      </c>
      <c r="G134" s="106">
        <v>0.29677619326217403</v>
      </c>
      <c r="H134" s="106">
        <v>7.5734313948283101E-3</v>
      </c>
      <c r="I134" s="106">
        <v>-0.67369212496320696</v>
      </c>
      <c r="J134" s="106">
        <v>-1.75</v>
      </c>
      <c r="K134" s="106">
        <v>0.909441125651683</v>
      </c>
      <c r="L134" s="106">
        <v>0.56557482904721901</v>
      </c>
      <c r="M134" s="106">
        <v>0.90465799739882602</v>
      </c>
      <c r="N134" s="106">
        <v>1.7586612536933501E-3</v>
      </c>
      <c r="P134" s="106">
        <v>0.30434962465700233</v>
      </c>
      <c r="Q134" s="106">
        <v>0.28920276186734573</v>
      </c>
      <c r="R134" s="106">
        <v>0.31192305605183063</v>
      </c>
      <c r="S134" s="106">
        <v>0.28162933047251743</v>
      </c>
      <c r="Y134" s="14"/>
      <c r="AA134" s="106">
        <v>825</v>
      </c>
      <c r="AB134" s="106">
        <v>848.2392896374954</v>
      </c>
    </row>
    <row r="135" spans="1:28" x14ac:dyDescent="0.2">
      <c r="A135" s="14">
        <v>43748</v>
      </c>
      <c r="B135" s="106">
        <v>810</v>
      </c>
      <c r="C135" s="106">
        <v>810</v>
      </c>
      <c r="D135" s="106">
        <v>2731</v>
      </c>
      <c r="E135" s="106">
        <v>2765</v>
      </c>
      <c r="F135" s="106">
        <v>0.29294755877034301</v>
      </c>
      <c r="G135" s="106">
        <v>0.29679793434221202</v>
      </c>
      <c r="H135" s="106">
        <v>7.5610837863674301E-3</v>
      </c>
      <c r="I135" s="106">
        <v>-0.50923593504030396</v>
      </c>
      <c r="J135" s="106">
        <v>-1.31</v>
      </c>
      <c r="K135" s="106">
        <v>0.910650371856074</v>
      </c>
      <c r="L135" s="106">
        <v>0.53608478055792397</v>
      </c>
      <c r="M135" s="106">
        <v>0.90280930322168995</v>
      </c>
      <c r="N135" s="106">
        <v>9.9937187670721794E-2</v>
      </c>
      <c r="P135" s="106">
        <v>0.30435901812857946</v>
      </c>
      <c r="Q135" s="106">
        <v>0.28923685055584458</v>
      </c>
      <c r="R135" s="106">
        <v>0.3119201019149469</v>
      </c>
      <c r="S135" s="106">
        <v>0.28167576676947714</v>
      </c>
      <c r="Y135" s="14"/>
      <c r="AA135" s="106">
        <v>810</v>
      </c>
      <c r="AB135" s="106">
        <v>829.19626510435739</v>
      </c>
    </row>
    <row r="136" spans="1:28" x14ac:dyDescent="0.2">
      <c r="A136" s="14">
        <v>43747</v>
      </c>
      <c r="B136" s="106">
        <v>803</v>
      </c>
      <c r="C136" s="106">
        <v>803</v>
      </c>
      <c r="D136" s="106">
        <v>2680</v>
      </c>
      <c r="E136" s="106">
        <v>2743</v>
      </c>
      <c r="F136" s="106">
        <v>0.29274516952242002</v>
      </c>
      <c r="G136" s="106">
        <v>0.296810983522454</v>
      </c>
      <c r="H136" s="106">
        <v>7.5552697064078002E-3</v>
      </c>
      <c r="I136" s="106">
        <v>-0.53814280072432097</v>
      </c>
      <c r="J136" s="106">
        <v>-1.39</v>
      </c>
      <c r="K136" s="106">
        <v>0.91147184517094504</v>
      </c>
      <c r="L136" s="106">
        <v>0.56995541066515898</v>
      </c>
      <c r="M136" s="106">
        <v>0.90267554821770801</v>
      </c>
      <c r="N136" s="106">
        <v>2.3071177794583902E-3</v>
      </c>
      <c r="P136" s="106">
        <v>0.30436625322886179</v>
      </c>
      <c r="Q136" s="106">
        <v>0.2892557138160462</v>
      </c>
      <c r="R136" s="106">
        <v>0.31192152293526959</v>
      </c>
      <c r="S136" s="106">
        <v>0.2817004441096384</v>
      </c>
      <c r="Y136" s="14"/>
      <c r="AA136" s="106">
        <v>803</v>
      </c>
      <c r="AB136" s="106">
        <v>822.59868180153785</v>
      </c>
    </row>
    <row r="137" spans="1:28" x14ac:dyDescent="0.2">
      <c r="A137" s="14">
        <v>43746</v>
      </c>
      <c r="B137" s="106">
        <v>809</v>
      </c>
      <c r="C137" s="106">
        <v>810</v>
      </c>
      <c r="D137" s="106">
        <v>2726.5</v>
      </c>
      <c r="E137" s="106">
        <v>2724</v>
      </c>
      <c r="F137" s="106">
        <v>0.29735682819383202</v>
      </c>
      <c r="G137" s="106">
        <v>0.296887024110706</v>
      </c>
      <c r="H137" s="106">
        <v>7.5426551835913102E-3</v>
      </c>
      <c r="I137" s="106">
        <v>6.2286299942286703E-2</v>
      </c>
      <c r="J137" s="106">
        <v>0.16</v>
      </c>
      <c r="K137" s="106">
        <v>0.91242800128263302</v>
      </c>
      <c r="L137" s="106">
        <v>0.556705013658503</v>
      </c>
      <c r="M137" s="106">
        <v>0.902559701467327</v>
      </c>
      <c r="N137" s="106">
        <v>2.5022483291908299E-3</v>
      </c>
      <c r="P137" s="106">
        <v>0.30442967929429732</v>
      </c>
      <c r="Q137" s="106">
        <v>0.28934436892711468</v>
      </c>
      <c r="R137" s="106">
        <v>0.31197233447788864</v>
      </c>
      <c r="S137" s="106">
        <v>0.28180171374352336</v>
      </c>
      <c r="Y137" s="14"/>
      <c r="AA137" s="106">
        <v>810</v>
      </c>
      <c r="AB137" s="106">
        <v>816.90076894910283</v>
      </c>
    </row>
    <row r="138" spans="1:28" x14ac:dyDescent="0.2">
      <c r="A138" s="14">
        <v>43745</v>
      </c>
      <c r="B138" s="106">
        <v>813</v>
      </c>
      <c r="C138" s="106">
        <v>807</v>
      </c>
      <c r="D138" s="106">
        <v>2740</v>
      </c>
      <c r="E138" s="106">
        <v>2730</v>
      </c>
      <c r="F138" s="106">
        <v>0.295604395604395</v>
      </c>
      <c r="G138" s="106">
        <v>0.29685050058464602</v>
      </c>
      <c r="H138" s="106">
        <v>7.5469227532777398E-3</v>
      </c>
      <c r="I138" s="106">
        <v>-0.16511431493185999</v>
      </c>
      <c r="J138" s="106">
        <v>-0.42</v>
      </c>
      <c r="K138" s="106">
        <v>0.91334668219579396</v>
      </c>
      <c r="L138" s="106">
        <v>0.56392164745097295</v>
      </c>
      <c r="M138" s="106">
        <v>0.90213310738017205</v>
      </c>
      <c r="N138" s="106">
        <v>2.5155508197421401E-3</v>
      </c>
      <c r="P138" s="106">
        <v>0.30439742333792374</v>
      </c>
      <c r="Q138" s="106">
        <v>0.28930357783136829</v>
      </c>
      <c r="R138" s="106">
        <v>0.31194434609120147</v>
      </c>
      <c r="S138" s="106">
        <v>0.28175665507809056</v>
      </c>
      <c r="Y138" s="14"/>
      <c r="AA138" s="106">
        <v>807</v>
      </c>
      <c r="AB138" s="106">
        <v>818.70010984987186</v>
      </c>
    </row>
    <row r="139" spans="1:28" x14ac:dyDescent="0.2">
      <c r="A139" s="14">
        <v>43742</v>
      </c>
      <c r="B139" s="106">
        <v>805</v>
      </c>
      <c r="C139" s="106">
        <v>815</v>
      </c>
      <c r="D139" s="106">
        <v>2748</v>
      </c>
      <c r="E139" s="106">
        <v>2755</v>
      </c>
      <c r="F139" s="106">
        <v>0.29582577132486298</v>
      </c>
      <c r="G139" s="106">
        <v>0.29681848439644798</v>
      </c>
      <c r="H139" s="106">
        <v>7.5572274541505302E-3</v>
      </c>
      <c r="I139" s="106">
        <v>-0.13135942746294099</v>
      </c>
      <c r="J139" s="106">
        <v>-0.34</v>
      </c>
      <c r="K139" s="106">
        <v>0.91332010340680003</v>
      </c>
      <c r="L139" s="106">
        <v>0.62790365670590897</v>
      </c>
      <c r="M139" s="106">
        <v>0.90306625900454796</v>
      </c>
      <c r="N139" s="106">
        <v>1.1237218707322099E-3</v>
      </c>
      <c r="P139" s="106">
        <v>0.30437571185059853</v>
      </c>
      <c r="Q139" s="106">
        <v>0.28926125694229743</v>
      </c>
      <c r="R139" s="106">
        <v>0.31193293930474902</v>
      </c>
      <c r="S139" s="106">
        <v>0.28170402948814693</v>
      </c>
      <c r="Y139" s="14"/>
      <c r="AA139" s="106">
        <v>815</v>
      </c>
      <c r="AB139" s="106">
        <v>826.19736360307581</v>
      </c>
    </row>
    <row r="140" spans="1:28" x14ac:dyDescent="0.2">
      <c r="A140" s="14">
        <v>43741</v>
      </c>
      <c r="B140" s="106">
        <v>812</v>
      </c>
      <c r="C140" s="106">
        <v>815</v>
      </c>
      <c r="D140" s="106">
        <v>2736.5</v>
      </c>
      <c r="E140" s="106">
        <v>2742.5</v>
      </c>
      <c r="F140" s="106">
        <v>0.29717411121239701</v>
      </c>
      <c r="G140" s="106">
        <v>0.29680447110911301</v>
      </c>
      <c r="H140" s="106">
        <v>7.5600291457913202E-3</v>
      </c>
      <c r="I140" s="106">
        <v>4.88940050567645E-2</v>
      </c>
      <c r="J140" s="106">
        <v>0.12</v>
      </c>
      <c r="K140" s="106">
        <v>0.91362405241660805</v>
      </c>
      <c r="L140" s="106">
        <v>0.559653942399847</v>
      </c>
      <c r="M140" s="106">
        <v>0.90402201297725904</v>
      </c>
      <c r="N140" s="106">
        <v>1.2353562186855501E-3</v>
      </c>
      <c r="P140" s="106">
        <v>0.30436450025490436</v>
      </c>
      <c r="Q140" s="106">
        <v>0.28924444196332166</v>
      </c>
      <c r="R140" s="106">
        <v>0.31192452940069565</v>
      </c>
      <c r="S140" s="106">
        <v>0.28168441281753037</v>
      </c>
      <c r="Y140" s="14"/>
      <c r="AA140" s="106">
        <v>815</v>
      </c>
      <c r="AB140" s="106">
        <v>822.44873672647384</v>
      </c>
    </row>
    <row r="141" spans="1:28" x14ac:dyDescent="0.2">
      <c r="A141" s="14">
        <v>43740</v>
      </c>
      <c r="B141" s="106">
        <v>825</v>
      </c>
      <c r="C141" s="106">
        <v>829</v>
      </c>
      <c r="D141" s="106">
        <v>2795.5</v>
      </c>
      <c r="E141" s="106">
        <v>2818</v>
      </c>
      <c r="F141" s="106">
        <v>0.29418026969481897</v>
      </c>
      <c r="G141" s="106">
        <v>0.29685424883983302</v>
      </c>
      <c r="H141" s="106">
        <v>7.5745758455146098E-3</v>
      </c>
      <c r="I141" s="106">
        <v>-0.35302031421302899</v>
      </c>
      <c r="J141" s="106">
        <v>-0.91</v>
      </c>
      <c r="K141" s="106">
        <v>0.91330802112825005</v>
      </c>
      <c r="L141" s="106">
        <v>0.57088216584346396</v>
      </c>
      <c r="M141" s="106">
        <v>0.90518438794862099</v>
      </c>
      <c r="N141" s="106">
        <v>1.5331511472309999E-3</v>
      </c>
      <c r="P141" s="106">
        <v>0.30442882468534765</v>
      </c>
      <c r="Q141" s="106">
        <v>0.28927967299431839</v>
      </c>
      <c r="R141" s="106">
        <v>0.31200340053086223</v>
      </c>
      <c r="S141" s="106">
        <v>0.28170509714880382</v>
      </c>
      <c r="Y141" s="14"/>
      <c r="AA141" s="106">
        <v>829</v>
      </c>
      <c r="AB141" s="106">
        <v>845.0904430611497</v>
      </c>
    </row>
    <row r="142" spans="1:28" x14ac:dyDescent="0.2">
      <c r="A142" s="14">
        <v>43739</v>
      </c>
      <c r="B142" s="106">
        <v>824</v>
      </c>
      <c r="C142" s="106">
        <v>840</v>
      </c>
      <c r="D142" s="106">
        <v>2813</v>
      </c>
      <c r="E142" s="106">
        <v>2868.5</v>
      </c>
      <c r="F142" s="106">
        <v>0.29283597699145802</v>
      </c>
      <c r="G142" s="106">
        <v>0.29693015104652798</v>
      </c>
      <c r="H142" s="106">
        <v>7.5759225268302796E-3</v>
      </c>
      <c r="I142" s="106">
        <v>-0.54041920842900903</v>
      </c>
      <c r="J142" s="106">
        <v>-1.4</v>
      </c>
      <c r="K142" s="106">
        <v>0.91381922452963704</v>
      </c>
      <c r="L142" s="106">
        <v>0.58400419459161101</v>
      </c>
      <c r="M142" s="106">
        <v>0.90758911327661096</v>
      </c>
      <c r="N142" s="106">
        <v>4.0718738024747401E-4</v>
      </c>
      <c r="P142" s="106">
        <v>0.30450607357335824</v>
      </c>
      <c r="Q142" s="106">
        <v>0.28935422851969772</v>
      </c>
      <c r="R142" s="106">
        <v>0.31208199610018855</v>
      </c>
      <c r="S142" s="106">
        <v>0.28177830599286741</v>
      </c>
      <c r="Y142" s="14"/>
      <c r="AA142" s="106">
        <v>840</v>
      </c>
      <c r="AB142" s="106">
        <v>860.23489564262172</v>
      </c>
    </row>
    <row r="143" spans="1:28" x14ac:dyDescent="0.2">
      <c r="A143" s="14">
        <v>43738</v>
      </c>
      <c r="B143" s="106">
        <v>832</v>
      </c>
      <c r="C143" s="106">
        <v>824</v>
      </c>
      <c r="D143" s="106">
        <v>2835.5</v>
      </c>
      <c r="E143" s="106">
        <v>2798.5</v>
      </c>
      <c r="F143" s="106">
        <v>0.29444345184920401</v>
      </c>
      <c r="G143" s="106">
        <v>0.29704992250883999</v>
      </c>
      <c r="H143" s="106">
        <v>7.5812542986702898E-3</v>
      </c>
      <c r="I143" s="106">
        <v>-0.34380467360029898</v>
      </c>
      <c r="J143" s="106">
        <v>-0.89</v>
      </c>
      <c r="K143" s="106">
        <v>0.91488222960101195</v>
      </c>
      <c r="L143" s="106">
        <v>0.54296579865769001</v>
      </c>
      <c r="M143" s="106">
        <v>0.90923471477449402</v>
      </c>
      <c r="N143" s="106">
        <v>9.6892279377216398E-4</v>
      </c>
      <c r="P143" s="106">
        <v>0.30463117680751028</v>
      </c>
      <c r="Q143" s="106">
        <v>0.2894686682101697</v>
      </c>
      <c r="R143" s="106">
        <v>0.31221243110618058</v>
      </c>
      <c r="S143" s="106">
        <v>0.28188741391149941</v>
      </c>
      <c r="Y143" s="14"/>
      <c r="AA143" s="106">
        <v>824</v>
      </c>
      <c r="AB143" s="106">
        <v>839.24258513365066</v>
      </c>
    </row>
    <row r="144" spans="1:28" x14ac:dyDescent="0.2">
      <c r="A144" s="14">
        <v>43735</v>
      </c>
      <c r="B144" s="106">
        <v>837</v>
      </c>
      <c r="C144" s="106">
        <v>834</v>
      </c>
      <c r="D144" s="106">
        <v>2855</v>
      </c>
      <c r="E144" s="106">
        <v>2840</v>
      </c>
      <c r="F144" s="106">
        <v>0.29366197183098502</v>
      </c>
      <c r="G144" s="106">
        <v>0.29718021310600701</v>
      </c>
      <c r="H144" s="106">
        <v>7.61921366298256E-3</v>
      </c>
      <c r="I144" s="106">
        <v>-0.461759104107416</v>
      </c>
      <c r="J144" s="106">
        <v>-1.2</v>
      </c>
      <c r="K144" s="106">
        <v>0.91517659203822399</v>
      </c>
      <c r="L144" s="106">
        <v>0.52034091747977496</v>
      </c>
      <c r="M144" s="106">
        <v>0.91101688420596805</v>
      </c>
      <c r="N144" s="106">
        <v>1.4821471424575801E-2</v>
      </c>
      <c r="P144" s="106">
        <v>0.30479942676898958</v>
      </c>
      <c r="Q144" s="106">
        <v>0.28956099944302444</v>
      </c>
      <c r="R144" s="106">
        <v>0.31241864043197215</v>
      </c>
      <c r="S144" s="106">
        <v>0.28194178578004186</v>
      </c>
      <c r="Y144" s="14"/>
      <c r="AA144" s="106">
        <v>834</v>
      </c>
      <c r="AB144" s="106">
        <v>851.68802636396924</v>
      </c>
    </row>
    <row r="145" spans="1:28" x14ac:dyDescent="0.2">
      <c r="A145" s="14">
        <v>43734</v>
      </c>
      <c r="B145" s="106">
        <v>868</v>
      </c>
      <c r="C145" s="106">
        <v>851</v>
      </c>
      <c r="D145" s="106">
        <v>2889</v>
      </c>
      <c r="E145" s="106">
        <v>2898.5</v>
      </c>
      <c r="F145" s="106">
        <v>0.29360013800241502</v>
      </c>
      <c r="G145" s="106">
        <v>0.29729349712667802</v>
      </c>
      <c r="H145" s="106">
        <v>7.6292173739278399E-3</v>
      </c>
      <c r="I145" s="106">
        <v>-0.48410720828131198</v>
      </c>
      <c r="J145" s="106">
        <v>-1.26</v>
      </c>
      <c r="K145" s="106">
        <v>0.91494526602062898</v>
      </c>
      <c r="L145" s="106">
        <v>0.53120278535473198</v>
      </c>
      <c r="M145" s="106">
        <v>0.91280108662285997</v>
      </c>
      <c r="N145" s="106">
        <v>1.3977458450596499E-2</v>
      </c>
      <c r="P145" s="106">
        <v>0.30492271450060587</v>
      </c>
      <c r="Q145" s="106">
        <v>0.28966427975275016</v>
      </c>
      <c r="R145" s="106">
        <v>0.31255193187453367</v>
      </c>
      <c r="S145" s="106">
        <v>0.28203506237882237</v>
      </c>
      <c r="AA145" s="106">
        <v>851</v>
      </c>
      <c r="AB145" s="106">
        <v>869.23160014646646</v>
      </c>
    </row>
    <row r="146" spans="1:28" x14ac:dyDescent="0.2">
      <c r="A146" s="14">
        <v>43733</v>
      </c>
      <c r="B146" s="106">
        <v>833</v>
      </c>
      <c r="C146" s="106">
        <v>841</v>
      </c>
      <c r="D146" s="106">
        <v>2812</v>
      </c>
      <c r="E146" s="106">
        <v>2860</v>
      </c>
      <c r="F146" s="106">
        <v>0.29405594405594399</v>
      </c>
      <c r="G146" s="106">
        <v>0.29740122939913699</v>
      </c>
      <c r="H146" s="106">
        <v>7.6333499685832997E-3</v>
      </c>
      <c r="I146" s="106">
        <v>-0.43824603312587601</v>
      </c>
      <c r="J146" s="106">
        <v>-1.1399999999999999</v>
      </c>
      <c r="K146" s="106">
        <v>0.91466623339956299</v>
      </c>
      <c r="L146" s="106">
        <v>0.52497588468719203</v>
      </c>
      <c r="M146" s="106">
        <v>0.91446405849382695</v>
      </c>
      <c r="N146" s="106">
        <v>1.37497250259926E-2</v>
      </c>
      <c r="P146" s="106">
        <v>0.30503457936772027</v>
      </c>
      <c r="Q146" s="106">
        <v>0.28976787943055371</v>
      </c>
      <c r="R146" s="106">
        <v>0.31266792933630361</v>
      </c>
      <c r="S146" s="106">
        <v>0.28213452946197037</v>
      </c>
      <c r="AA146" s="106">
        <v>841</v>
      </c>
      <c r="AB146" s="106">
        <v>857.6858293665324</v>
      </c>
    </row>
    <row r="147" spans="1:28" x14ac:dyDescent="0.2">
      <c r="A147" s="14">
        <v>43732</v>
      </c>
      <c r="B147" s="106">
        <v>839</v>
      </c>
      <c r="C147" s="106">
        <v>842</v>
      </c>
      <c r="D147" s="106">
        <v>2872.5</v>
      </c>
      <c r="E147" s="106">
        <v>2858.5</v>
      </c>
      <c r="F147" s="106">
        <v>0.29456008396011801</v>
      </c>
      <c r="G147" s="106">
        <v>0.297470023100114</v>
      </c>
      <c r="H147" s="106">
        <v>7.6261374920383197E-3</v>
      </c>
      <c r="I147" s="106">
        <v>-0.38157443962082299</v>
      </c>
      <c r="J147" s="106">
        <v>-0.99</v>
      </c>
      <c r="K147" s="106">
        <v>0.91417668193778101</v>
      </c>
      <c r="L147" s="106">
        <v>0.49453963472984402</v>
      </c>
      <c r="M147" s="106">
        <v>0.91633192048436496</v>
      </c>
      <c r="N147" s="106">
        <v>4.5871425595775204E-3</v>
      </c>
      <c r="P147" s="106">
        <v>0.30509616059215233</v>
      </c>
      <c r="Q147" s="106">
        <v>0.28984388560807567</v>
      </c>
      <c r="R147" s="106">
        <v>0.31272229808419066</v>
      </c>
      <c r="S147" s="106">
        <v>0.28221774811603734</v>
      </c>
      <c r="AA147" s="106">
        <v>842</v>
      </c>
      <c r="AB147" s="106">
        <v>857.23599414134014</v>
      </c>
    </row>
    <row r="148" spans="1:28" x14ac:dyDescent="0.2">
      <c r="A148" s="14">
        <v>43728</v>
      </c>
      <c r="B148" s="106">
        <v>850</v>
      </c>
      <c r="C148" s="106">
        <v>852</v>
      </c>
      <c r="D148" s="106">
        <v>2906.5</v>
      </c>
      <c r="E148" s="106">
        <v>2905.5</v>
      </c>
      <c r="F148" s="106">
        <v>0.29323696437790397</v>
      </c>
      <c r="G148" s="106">
        <v>0.29760218560616802</v>
      </c>
      <c r="H148" s="106">
        <v>7.6603757102071601E-3</v>
      </c>
      <c r="I148" s="106">
        <v>-0.56984427310110697</v>
      </c>
      <c r="J148" s="106">
        <v>-1.49</v>
      </c>
      <c r="K148" s="106">
        <v>0.91299600919600199</v>
      </c>
      <c r="L148" s="106">
        <v>0.43789278572894402</v>
      </c>
      <c r="M148" s="106">
        <v>0.91798364662640497</v>
      </c>
      <c r="N148" s="106">
        <v>4.5783015843412402E-3</v>
      </c>
      <c r="P148" s="106">
        <v>0.30526256131637519</v>
      </c>
      <c r="Q148" s="106">
        <v>0.28994180989596086</v>
      </c>
      <c r="R148" s="106">
        <v>0.31292293702658236</v>
      </c>
      <c r="S148" s="106">
        <v>0.28228143418575369</v>
      </c>
      <c r="AA148" s="106">
        <v>852</v>
      </c>
      <c r="AB148" s="106">
        <v>871.33083119736352</v>
      </c>
    </row>
    <row r="149" spans="1:28" x14ac:dyDescent="0.2">
      <c r="A149" s="14">
        <v>43727</v>
      </c>
      <c r="B149" s="106">
        <v>835</v>
      </c>
      <c r="C149" s="106">
        <v>836</v>
      </c>
      <c r="D149" s="106">
        <v>2910</v>
      </c>
      <c r="E149" s="106">
        <v>2885.5</v>
      </c>
      <c r="F149" s="106">
        <v>0.28972448449142202</v>
      </c>
      <c r="G149" s="106">
        <v>0.29772131291710002</v>
      </c>
      <c r="H149" s="106">
        <v>7.6610364369302996E-3</v>
      </c>
      <c r="I149" s="106">
        <v>-1.04383114367255</v>
      </c>
      <c r="J149" s="106">
        <v>-2.76</v>
      </c>
      <c r="K149" s="106">
        <v>0.91477375743623701</v>
      </c>
      <c r="L149" s="106">
        <v>0.39312007054923997</v>
      </c>
      <c r="M149" s="106">
        <v>0.91965928314467005</v>
      </c>
      <c r="N149" s="106">
        <v>8.3815291215433001E-3</v>
      </c>
      <c r="P149" s="106">
        <v>0.3053823493540303</v>
      </c>
      <c r="Q149" s="106">
        <v>0.29006027648016974</v>
      </c>
      <c r="R149" s="106">
        <v>0.31304338579096064</v>
      </c>
      <c r="S149" s="106">
        <v>0.28239924004323941</v>
      </c>
      <c r="AA149" s="106">
        <v>836</v>
      </c>
      <c r="AB149" s="106">
        <v>865.33302819480036</v>
      </c>
    </row>
    <row r="150" spans="1:28" x14ac:dyDescent="0.2">
      <c r="A150" s="14">
        <v>43726</v>
      </c>
      <c r="B150" s="106">
        <v>846</v>
      </c>
      <c r="C150" s="106">
        <v>840</v>
      </c>
      <c r="D150" s="106">
        <v>2907</v>
      </c>
      <c r="E150" s="106">
        <v>2897</v>
      </c>
      <c r="F150" s="106">
        <v>0.28995512599240503</v>
      </c>
      <c r="G150" s="106">
        <v>0.29783400444305103</v>
      </c>
      <c r="H150" s="106">
        <v>7.6045304794855103E-3</v>
      </c>
      <c r="I150" s="106">
        <v>-1.0360769112439701</v>
      </c>
      <c r="J150" s="106">
        <v>-2.72</v>
      </c>
      <c r="K150" s="106">
        <v>0.91627423464444702</v>
      </c>
      <c r="L150" s="106">
        <v>0.36492481044015901</v>
      </c>
      <c r="M150" s="106">
        <v>0.92106732773005096</v>
      </c>
      <c r="N150" s="106">
        <v>8.5187751937559394E-3</v>
      </c>
      <c r="P150" s="106">
        <v>0.30543853492253653</v>
      </c>
      <c r="Q150" s="106">
        <v>0.29022947396356552</v>
      </c>
      <c r="R150" s="106">
        <v>0.31304306540202204</v>
      </c>
      <c r="S150" s="106">
        <v>0.28262494348408002</v>
      </c>
      <c r="AA150" s="106">
        <v>840</v>
      </c>
      <c r="AB150" s="106">
        <v>868.7817649212742</v>
      </c>
    </row>
    <row r="151" spans="1:28" x14ac:dyDescent="0.2">
      <c r="A151" s="14">
        <v>43725</v>
      </c>
      <c r="B151" s="106">
        <v>853</v>
      </c>
      <c r="C151" s="106">
        <v>848</v>
      </c>
      <c r="D151" s="106">
        <v>2914</v>
      </c>
      <c r="E151" s="106">
        <v>2928</v>
      </c>
      <c r="F151" s="106">
        <v>0.28961748633879703</v>
      </c>
      <c r="G151" s="106">
        <v>0.297981515877701</v>
      </c>
      <c r="H151" s="106">
        <v>7.55742327874581E-3</v>
      </c>
      <c r="I151" s="106">
        <v>-1.1067303273095701</v>
      </c>
      <c r="J151" s="106">
        <v>-2.89</v>
      </c>
      <c r="K151" s="106">
        <v>0.91732685151415705</v>
      </c>
      <c r="L151" s="106">
        <v>0.44057498779780402</v>
      </c>
      <c r="M151" s="106">
        <v>0.92163939150479801</v>
      </c>
      <c r="N151" s="106">
        <v>3.2009647999878703E-2</v>
      </c>
      <c r="P151" s="106">
        <v>0.30553893915644681</v>
      </c>
      <c r="Q151" s="106">
        <v>0.29042409259895519</v>
      </c>
      <c r="R151" s="106">
        <v>0.31309636243519262</v>
      </c>
      <c r="S151" s="106">
        <v>0.28286666932020937</v>
      </c>
      <c r="AA151" s="106">
        <v>848</v>
      </c>
      <c r="AB151" s="106">
        <v>878.07835957524708</v>
      </c>
    </row>
    <row r="152" spans="1:28" x14ac:dyDescent="0.2">
      <c r="A152" s="14">
        <v>43721</v>
      </c>
      <c r="B152" s="106">
        <v>864</v>
      </c>
      <c r="C152" s="106">
        <v>861</v>
      </c>
      <c r="D152" s="106">
        <v>2960</v>
      </c>
      <c r="E152" s="106">
        <v>2933</v>
      </c>
      <c r="F152" s="106">
        <v>0.29355608591885402</v>
      </c>
      <c r="G152" s="106">
        <v>0.29804916571676598</v>
      </c>
      <c r="H152" s="106">
        <v>7.5047756237833401E-3</v>
      </c>
      <c r="I152" s="106">
        <v>-0.59869608675214403</v>
      </c>
      <c r="J152" s="106">
        <v>-1.53</v>
      </c>
      <c r="K152" s="106">
        <v>0.91670817798285997</v>
      </c>
      <c r="L152" s="106">
        <v>0.34625656093558399</v>
      </c>
      <c r="M152" s="106">
        <v>0.92169185682447496</v>
      </c>
      <c r="N152" s="106">
        <v>3.5253530342112503E-2</v>
      </c>
      <c r="P152" s="106">
        <v>0.30555394134054931</v>
      </c>
      <c r="Q152" s="106">
        <v>0.29054439009298266</v>
      </c>
      <c r="R152" s="106">
        <v>0.31305871696433268</v>
      </c>
      <c r="S152" s="106">
        <v>0.28303961446919929</v>
      </c>
      <c r="AA152" s="106">
        <v>861</v>
      </c>
      <c r="AB152" s="106">
        <v>879.57781032588787</v>
      </c>
    </row>
    <row r="153" spans="1:28" x14ac:dyDescent="0.2">
      <c r="A153" s="14">
        <v>43720</v>
      </c>
      <c r="B153" s="106">
        <v>850</v>
      </c>
      <c r="C153" s="106">
        <v>855</v>
      </c>
      <c r="D153" s="106">
        <v>2894</v>
      </c>
      <c r="E153" s="106">
        <v>2929.5</v>
      </c>
      <c r="F153" s="106">
        <v>0.29185867895545298</v>
      </c>
      <c r="G153" s="106">
        <v>0.29802538298848202</v>
      </c>
      <c r="H153" s="106">
        <v>7.5217835849947503E-3</v>
      </c>
      <c r="I153" s="106">
        <v>-0.81984597979280804</v>
      </c>
      <c r="J153" s="106">
        <v>-2.11</v>
      </c>
      <c r="K153" s="106">
        <v>0.91752859216428995</v>
      </c>
      <c r="L153" s="106">
        <v>0.29392250541266501</v>
      </c>
      <c r="M153" s="106">
        <v>0.921404571896702</v>
      </c>
      <c r="N153" s="106">
        <v>4.2119906147765597E-2</v>
      </c>
      <c r="P153" s="106">
        <v>0.30554716657347675</v>
      </c>
      <c r="Q153" s="106">
        <v>0.2905035994034873</v>
      </c>
      <c r="R153" s="106">
        <v>0.31306895015847153</v>
      </c>
      <c r="S153" s="106">
        <v>0.28298181581849252</v>
      </c>
      <c r="AA153" s="106">
        <v>855</v>
      </c>
      <c r="AB153" s="106">
        <v>878.52819480043934</v>
      </c>
    </row>
    <row r="154" spans="1:28" x14ac:dyDescent="0.2">
      <c r="A154" s="14">
        <v>43719</v>
      </c>
      <c r="B154" s="106">
        <v>831</v>
      </c>
      <c r="C154" s="106">
        <v>841</v>
      </c>
      <c r="D154" s="106">
        <v>2825</v>
      </c>
      <c r="E154" s="106">
        <v>2895.5</v>
      </c>
      <c r="F154" s="106">
        <v>0.29045069936107698</v>
      </c>
      <c r="G154" s="106">
        <v>0.29805210481420202</v>
      </c>
      <c r="H154" s="106">
        <v>7.50336572881697E-3</v>
      </c>
      <c r="I154" s="106">
        <v>-1.0130660996480301</v>
      </c>
      <c r="J154" s="106">
        <v>-2.62</v>
      </c>
      <c r="K154" s="106">
        <v>0.92001784047372503</v>
      </c>
      <c r="L154" s="106">
        <v>0.36547784030037</v>
      </c>
      <c r="M154" s="106">
        <v>0.91957446463079795</v>
      </c>
      <c r="N154" s="106">
        <v>4.4920542250366298E-2</v>
      </c>
      <c r="P154" s="106">
        <v>0.30555547054301901</v>
      </c>
      <c r="Q154" s="106">
        <v>0.29054873908538503</v>
      </c>
      <c r="R154" s="106">
        <v>0.31305883627183595</v>
      </c>
      <c r="S154" s="106">
        <v>0.2830453733565681</v>
      </c>
      <c r="AA154" s="106">
        <v>841</v>
      </c>
      <c r="AB154" s="106">
        <v>868.33192969608194</v>
      </c>
    </row>
    <row r="155" spans="1:28" x14ac:dyDescent="0.2">
      <c r="A155" s="14">
        <v>43718</v>
      </c>
      <c r="B155" s="106">
        <v>792</v>
      </c>
      <c r="C155" s="106">
        <v>819</v>
      </c>
      <c r="D155" s="106">
        <v>2753</v>
      </c>
      <c r="E155" s="106">
        <v>2791</v>
      </c>
      <c r="F155" s="106">
        <v>0.29344321031888199</v>
      </c>
      <c r="G155" s="106">
        <v>0.29808905791538798</v>
      </c>
      <c r="H155" s="106">
        <v>7.4726003235498998E-3</v>
      </c>
      <c r="I155" s="106">
        <v>-0.62171766123564998</v>
      </c>
      <c r="J155" s="106">
        <v>-1.58</v>
      </c>
      <c r="K155" s="106">
        <v>0.92135794375181101</v>
      </c>
      <c r="L155" s="106">
        <v>0.24085519063812899</v>
      </c>
      <c r="M155" s="106">
        <v>0.91772556634976199</v>
      </c>
      <c r="N155" s="106">
        <v>3.7347504393791302E-2</v>
      </c>
      <c r="P155" s="106">
        <v>0.30556165823893788</v>
      </c>
      <c r="Q155" s="106">
        <v>0.29061645759183807</v>
      </c>
      <c r="R155" s="106">
        <v>0.31303425856248779</v>
      </c>
      <c r="S155" s="106">
        <v>0.28314385726828817</v>
      </c>
      <c r="AA155" s="106">
        <v>819</v>
      </c>
      <c r="AB155" s="106">
        <v>836.99340900768948</v>
      </c>
    </row>
    <row r="156" spans="1:28" x14ac:dyDescent="0.2">
      <c r="A156" s="14">
        <v>43717</v>
      </c>
      <c r="B156" s="106">
        <v>778</v>
      </c>
      <c r="C156" s="106">
        <v>778</v>
      </c>
      <c r="D156" s="106">
        <v>2716.5</v>
      </c>
      <c r="E156" s="106">
        <v>2727</v>
      </c>
      <c r="F156" s="106">
        <v>0.28529519618628502</v>
      </c>
      <c r="G156" s="106">
        <v>0.29807134438234301</v>
      </c>
      <c r="H156" s="106">
        <v>7.48515619543652E-3</v>
      </c>
      <c r="I156" s="106">
        <v>-1.70686460809558</v>
      </c>
      <c r="J156" s="106">
        <v>-4.4800000000000004</v>
      </c>
      <c r="K156" s="106">
        <v>0.92600537391548199</v>
      </c>
      <c r="L156" s="106">
        <v>0.250308312860055</v>
      </c>
      <c r="M156" s="106">
        <v>0.91580325700329401</v>
      </c>
      <c r="N156" s="106">
        <v>3.9063298754629702E-2</v>
      </c>
      <c r="P156" s="106">
        <v>0.3055565005777795</v>
      </c>
      <c r="Q156" s="106">
        <v>0.29058618818690651</v>
      </c>
      <c r="R156" s="106">
        <v>0.31304165677321605</v>
      </c>
      <c r="S156" s="106">
        <v>0.28310103199146996</v>
      </c>
      <c r="AA156" s="106">
        <v>778</v>
      </c>
      <c r="AB156" s="106">
        <v>817.80043939948735</v>
      </c>
    </row>
    <row r="157" spans="1:28" x14ac:dyDescent="0.2">
      <c r="A157" s="14">
        <v>43714</v>
      </c>
      <c r="B157" s="106">
        <v>780</v>
      </c>
      <c r="C157" s="106">
        <v>787</v>
      </c>
      <c r="D157" s="106">
        <v>2688</v>
      </c>
      <c r="E157" s="106">
        <v>2734</v>
      </c>
      <c r="F157" s="106">
        <v>0.287856620336503</v>
      </c>
      <c r="G157" s="106">
        <v>0.29810611619493599</v>
      </c>
      <c r="H157" s="106">
        <v>7.4315903715817403E-3</v>
      </c>
      <c r="I157" s="106">
        <v>-1.3791793338915601</v>
      </c>
      <c r="J157" s="106">
        <v>-3.56</v>
      </c>
      <c r="K157" s="106">
        <v>0.92909522069347905</v>
      </c>
      <c r="L157" s="106">
        <v>0.26700610756841597</v>
      </c>
      <c r="M157" s="106">
        <v>0.91457132447843004</v>
      </c>
      <c r="N157" s="106">
        <v>2.4950062280699799E-2</v>
      </c>
      <c r="P157" s="106">
        <v>0.30553770656651774</v>
      </c>
      <c r="Q157" s="106">
        <v>0.29067452582335424</v>
      </c>
      <c r="R157" s="106">
        <v>0.31296929693809949</v>
      </c>
      <c r="S157" s="106">
        <v>0.28324293545177248</v>
      </c>
      <c r="AA157" s="106">
        <v>787</v>
      </c>
      <c r="AB157" s="106">
        <v>819.89967045038441</v>
      </c>
    </row>
    <row r="158" spans="1:28" x14ac:dyDescent="0.2">
      <c r="A158" s="14">
        <v>43713</v>
      </c>
      <c r="B158" s="106">
        <v>747</v>
      </c>
      <c r="C158" s="106">
        <v>765</v>
      </c>
      <c r="D158" s="106">
        <v>2609</v>
      </c>
      <c r="E158" s="106">
        <v>2654</v>
      </c>
      <c r="F158" s="106">
        <v>0.28824415975885398</v>
      </c>
      <c r="G158" s="106">
        <v>0.29814347674360703</v>
      </c>
      <c r="H158" s="106">
        <v>7.3868783567496597E-3</v>
      </c>
      <c r="I158" s="106">
        <v>-1.34012183586422</v>
      </c>
      <c r="J158" s="106">
        <v>-3.43</v>
      </c>
      <c r="K158" s="106">
        <v>0.93076985226045705</v>
      </c>
      <c r="L158" s="106">
        <v>0.227882939987093</v>
      </c>
      <c r="M158" s="106">
        <v>0.91287505301232297</v>
      </c>
      <c r="N158" s="106">
        <v>2.5192941802718902E-2</v>
      </c>
      <c r="P158" s="106">
        <v>0.3055303551003567</v>
      </c>
      <c r="Q158" s="106">
        <v>0.29075659838685736</v>
      </c>
      <c r="R158" s="106">
        <v>0.31291723345710637</v>
      </c>
      <c r="S158" s="106">
        <v>0.28336972003010769</v>
      </c>
      <c r="AA158" s="106">
        <v>765</v>
      </c>
      <c r="AB158" s="106">
        <v>795.90845844013177</v>
      </c>
    </row>
    <row r="159" spans="1:28" x14ac:dyDescent="0.2">
      <c r="A159" s="14">
        <v>43712</v>
      </c>
      <c r="B159" s="106">
        <v>747</v>
      </c>
      <c r="C159" s="106">
        <v>737</v>
      </c>
      <c r="D159" s="106">
        <v>2560</v>
      </c>
      <c r="E159" s="106">
        <v>2577</v>
      </c>
      <c r="F159" s="106">
        <v>0.28599146294140398</v>
      </c>
      <c r="G159" s="106">
        <v>0.29814135102419798</v>
      </c>
      <c r="H159" s="106">
        <v>7.3897491554490704E-3</v>
      </c>
      <c r="I159" s="106">
        <v>-1.6441543315221601</v>
      </c>
      <c r="J159" s="106">
        <v>-4.25</v>
      </c>
      <c r="K159" s="106">
        <v>0.93196874640321103</v>
      </c>
      <c r="L159" s="106">
        <v>0.37562451679064901</v>
      </c>
      <c r="M159" s="106">
        <v>0.91074776142659997</v>
      </c>
      <c r="N159" s="106">
        <v>2.7723110353427501E-2</v>
      </c>
      <c r="P159" s="106">
        <v>0.30553110017964702</v>
      </c>
      <c r="Q159" s="106">
        <v>0.29075160186874893</v>
      </c>
      <c r="R159" s="106">
        <v>0.31292084933509612</v>
      </c>
      <c r="S159" s="106">
        <v>0.28336185271329983</v>
      </c>
      <c r="AA159" s="106">
        <v>737</v>
      </c>
      <c r="AB159" s="106">
        <v>772.81691688026365</v>
      </c>
    </row>
    <row r="160" spans="1:28" x14ac:dyDescent="0.2">
      <c r="A160" s="14">
        <v>43711</v>
      </c>
      <c r="B160" s="106">
        <v>752</v>
      </c>
      <c r="C160" s="106">
        <v>756</v>
      </c>
      <c r="D160" s="106">
        <v>2534</v>
      </c>
      <c r="E160" s="106">
        <v>2563</v>
      </c>
      <c r="F160" s="106">
        <v>0.29496683573936699</v>
      </c>
      <c r="G160" s="106">
        <v>0.29814506030431698</v>
      </c>
      <c r="H160" s="106">
        <v>7.3837169536754704E-3</v>
      </c>
      <c r="I160" s="106">
        <v>-0.43043694454834303</v>
      </c>
      <c r="J160" s="106">
        <v>-1.08</v>
      </c>
      <c r="K160" s="106">
        <v>0.93092469282804202</v>
      </c>
      <c r="L160" s="106">
        <v>0.37458138724774598</v>
      </c>
      <c r="M160" s="106">
        <v>0.90939056736422097</v>
      </c>
      <c r="N160" s="106">
        <v>1.6384360658961698E-2</v>
      </c>
      <c r="P160" s="106">
        <v>0.30552877725799243</v>
      </c>
      <c r="Q160" s="106">
        <v>0.29076134335064152</v>
      </c>
      <c r="R160" s="106">
        <v>0.31291249421166789</v>
      </c>
      <c r="S160" s="106">
        <v>0.28337762639696606</v>
      </c>
      <c r="AA160" s="106">
        <v>756</v>
      </c>
      <c r="AB160" s="106">
        <v>768.61845477846941</v>
      </c>
    </row>
    <row r="161" spans="1:28" x14ac:dyDescent="0.2">
      <c r="A161" s="14">
        <v>43710</v>
      </c>
      <c r="B161" s="106">
        <v>752</v>
      </c>
      <c r="C161" s="106">
        <v>752</v>
      </c>
      <c r="D161" s="106">
        <v>2519</v>
      </c>
      <c r="E161" s="106">
        <v>2532.5</v>
      </c>
      <c r="F161" s="106">
        <v>0.29693978282329703</v>
      </c>
      <c r="G161" s="106">
        <v>0.29808604303500003</v>
      </c>
      <c r="H161" s="106">
        <v>7.4264501035117203E-3</v>
      </c>
      <c r="I161" s="106">
        <v>-0.15434833543969601</v>
      </c>
      <c r="J161" s="106">
        <v>-0.39</v>
      </c>
      <c r="K161" s="106">
        <v>0.92967431937662104</v>
      </c>
      <c r="L161" s="106">
        <v>0.35679609992637601</v>
      </c>
      <c r="M161" s="106">
        <v>0.90832462513981604</v>
      </c>
      <c r="N161" s="106">
        <v>1.5960786495461302E-2</v>
      </c>
      <c r="P161" s="106">
        <v>0.30551249313851175</v>
      </c>
      <c r="Q161" s="106">
        <v>0.2906595929314883</v>
      </c>
      <c r="R161" s="106">
        <v>0.31293894324202348</v>
      </c>
      <c r="S161" s="106">
        <v>0.28323314282797657</v>
      </c>
      <c r="AA161" s="106">
        <v>752</v>
      </c>
      <c r="AB161" s="106">
        <v>759.47180519956055</v>
      </c>
    </row>
    <row r="162" spans="1:28" x14ac:dyDescent="0.2">
      <c r="A162" s="14">
        <v>43707</v>
      </c>
      <c r="B162" s="106">
        <v>741</v>
      </c>
      <c r="C162" s="106">
        <v>755</v>
      </c>
      <c r="D162" s="106">
        <v>2494.5</v>
      </c>
      <c r="E162" s="106">
        <v>2523.5</v>
      </c>
      <c r="F162" s="106">
        <v>0.29918763621953598</v>
      </c>
      <c r="G162" s="106">
        <v>0.29803406735584398</v>
      </c>
      <c r="H162" s="106">
        <v>7.4479007321850499E-3</v>
      </c>
      <c r="I162" s="106">
        <v>0.15488510187930599</v>
      </c>
      <c r="J162" s="106">
        <v>0.39</v>
      </c>
      <c r="K162" s="106">
        <v>0.92847259915089997</v>
      </c>
      <c r="L162" s="106">
        <v>0.35070406409866201</v>
      </c>
      <c r="M162" s="106">
        <v>0.90761480532652195</v>
      </c>
      <c r="N162" s="106">
        <v>1.32325373177205E-2</v>
      </c>
      <c r="P162" s="106">
        <v>0.30548196808802902</v>
      </c>
      <c r="Q162" s="106">
        <v>0.29058616662365894</v>
      </c>
      <c r="R162" s="106">
        <v>0.31292986882021406</v>
      </c>
      <c r="S162" s="106">
        <v>0.28313826589147389</v>
      </c>
      <c r="AA162" s="106">
        <v>755</v>
      </c>
      <c r="AB162" s="106">
        <v>756.7727938484071</v>
      </c>
    </row>
    <row r="163" spans="1:28" x14ac:dyDescent="0.2">
      <c r="A163" s="14">
        <v>43706</v>
      </c>
      <c r="B163" s="106">
        <v>738</v>
      </c>
      <c r="C163" s="106">
        <v>739</v>
      </c>
      <c r="D163" s="106">
        <v>2470</v>
      </c>
      <c r="E163" s="106">
        <v>2470</v>
      </c>
      <c r="F163" s="106">
        <v>0.299190283400809</v>
      </c>
      <c r="G163" s="106">
        <v>0.29795220725081401</v>
      </c>
      <c r="H163" s="106">
        <v>7.4684832772574598E-3</v>
      </c>
      <c r="I163" s="106">
        <v>0.16577343806411601</v>
      </c>
      <c r="J163" s="106">
        <v>0.41</v>
      </c>
      <c r="K163" s="106">
        <v>0.92565159363046301</v>
      </c>
      <c r="L163" s="106">
        <v>0.36561511960381798</v>
      </c>
      <c r="M163" s="106">
        <v>0.90730293381568705</v>
      </c>
      <c r="N163" s="106">
        <v>7.9110756757953208E-3</v>
      </c>
      <c r="P163" s="106">
        <v>0.30542069052807147</v>
      </c>
      <c r="Q163" s="106">
        <v>0.29048372397355654</v>
      </c>
      <c r="R163" s="106">
        <v>0.31288917380532894</v>
      </c>
      <c r="S163" s="106">
        <v>0.28301524069629908</v>
      </c>
      <c r="AA163" s="106">
        <v>739</v>
      </c>
      <c r="AB163" s="106">
        <v>740.72867081655068</v>
      </c>
    </row>
    <row r="164" spans="1:28" x14ac:dyDescent="0.2">
      <c r="A164" s="14">
        <v>43705</v>
      </c>
      <c r="B164" s="106">
        <v>737</v>
      </c>
      <c r="C164" s="106">
        <v>734</v>
      </c>
      <c r="D164" s="106">
        <v>2482</v>
      </c>
      <c r="E164" s="106">
        <v>2490</v>
      </c>
      <c r="F164" s="106">
        <v>0.29477911646586302</v>
      </c>
      <c r="G164" s="106">
        <v>0.29787309979750198</v>
      </c>
      <c r="H164" s="106">
        <v>7.4863510176020401E-3</v>
      </c>
      <c r="I164" s="106">
        <v>-0.413283230289963</v>
      </c>
      <c r="J164" s="106">
        <v>-1.05</v>
      </c>
      <c r="K164" s="106">
        <v>0.92082763717490901</v>
      </c>
      <c r="L164" s="106">
        <v>0.41316900265262402</v>
      </c>
      <c r="M164" s="106">
        <v>0.90700292844783004</v>
      </c>
      <c r="N164" s="106">
        <v>6.0789509986336598E-3</v>
      </c>
      <c r="P164" s="106">
        <v>0.30535945081510402</v>
      </c>
      <c r="Q164" s="106">
        <v>0.29038674877989995</v>
      </c>
      <c r="R164" s="106">
        <v>0.31284580183270605</v>
      </c>
      <c r="S164" s="106">
        <v>0.28290039776229792</v>
      </c>
      <c r="AA164" s="106">
        <v>734</v>
      </c>
      <c r="AB164" s="106">
        <v>746.72647381911383</v>
      </c>
    </row>
    <row r="165" spans="1:28" x14ac:dyDescent="0.2">
      <c r="A165" s="14">
        <v>43704</v>
      </c>
      <c r="B165" s="106">
        <v>715</v>
      </c>
      <c r="C165" s="106">
        <v>730</v>
      </c>
      <c r="D165" s="106">
        <v>2486.5</v>
      </c>
      <c r="E165" s="106">
        <v>2484</v>
      </c>
      <c r="F165" s="106">
        <v>0.29388083735909798</v>
      </c>
      <c r="G165" s="106">
        <v>0.29775358796117501</v>
      </c>
      <c r="H165" s="106">
        <v>7.6053885282379901E-3</v>
      </c>
      <c r="I165" s="106">
        <v>-0.50921140816124899</v>
      </c>
      <c r="J165" s="106">
        <v>-1.32</v>
      </c>
      <c r="K165" s="106">
        <v>0.91597537306241195</v>
      </c>
      <c r="L165" s="106">
        <v>0.32949016621014099</v>
      </c>
      <c r="M165" s="106">
        <v>0.90647734412613201</v>
      </c>
      <c r="N165" s="106">
        <v>5.5506598329567603E-3</v>
      </c>
      <c r="P165" s="106">
        <v>0.30535897648941301</v>
      </c>
      <c r="Q165" s="106">
        <v>0.29014819943293702</v>
      </c>
      <c r="R165" s="106">
        <v>0.31296436501765101</v>
      </c>
      <c r="S165" s="106">
        <v>0.28254281090469902</v>
      </c>
      <c r="AA165" s="106">
        <v>730</v>
      </c>
      <c r="AB165" s="106">
        <v>744.92713291834491</v>
      </c>
    </row>
    <row r="166" spans="1:28" x14ac:dyDescent="0.2">
      <c r="A166" s="14">
        <v>43703</v>
      </c>
      <c r="B166" s="106">
        <v>698</v>
      </c>
      <c r="C166" s="106">
        <v>700</v>
      </c>
      <c r="D166" s="106">
        <v>2415</v>
      </c>
      <c r="E166" s="106">
        <v>2453</v>
      </c>
      <c r="F166" s="106">
        <v>0.28536485935589001</v>
      </c>
      <c r="G166" s="106">
        <v>0.29805363254026701</v>
      </c>
      <c r="H166" s="106">
        <v>7.8854244321737692E-3</v>
      </c>
      <c r="I166" s="106">
        <v>-1.60914270290947</v>
      </c>
      <c r="J166" s="106">
        <v>-4.45</v>
      </c>
      <c r="K166" s="106">
        <v>0.90856040770479896</v>
      </c>
      <c r="L166" s="106">
        <v>0.40883775165071701</v>
      </c>
      <c r="M166" s="106">
        <v>0.90527533936503901</v>
      </c>
      <c r="N166" s="106">
        <v>7.1503355188748501E-3</v>
      </c>
      <c r="P166" s="106">
        <v>0.30593905697244078</v>
      </c>
      <c r="Q166" s="106">
        <v>0.29016820810809324</v>
      </c>
      <c r="R166" s="106">
        <v>0.31382448140461455</v>
      </c>
      <c r="S166" s="106">
        <v>0.28228278367591947</v>
      </c>
      <c r="AA166" s="106">
        <v>700</v>
      </c>
      <c r="AB166" s="106">
        <v>735.63053826437203</v>
      </c>
    </row>
    <row r="167" spans="1:28" x14ac:dyDescent="0.2">
      <c r="A167" s="14">
        <v>43700</v>
      </c>
      <c r="B167" s="106">
        <v>725</v>
      </c>
      <c r="C167" s="106">
        <v>724</v>
      </c>
      <c r="D167" s="106">
        <v>2459.5</v>
      </c>
      <c r="E167" s="106">
        <v>2488.5</v>
      </c>
      <c r="F167" s="106">
        <v>0.29093831625477101</v>
      </c>
      <c r="G167" s="106">
        <v>0.29849746635094898</v>
      </c>
      <c r="H167" s="106">
        <v>8.0928147622601598E-3</v>
      </c>
      <c r="I167" s="106">
        <v>-0.93405697748433003</v>
      </c>
      <c r="J167" s="106">
        <v>-2.6</v>
      </c>
      <c r="K167" s="106">
        <v>0.90081228366987198</v>
      </c>
      <c r="L167" s="106">
        <v>0.43158992751143599</v>
      </c>
      <c r="M167" s="106">
        <v>0.90414998722742501</v>
      </c>
      <c r="N167" s="106">
        <v>7.8852917533877506E-3</v>
      </c>
      <c r="P167" s="106">
        <v>0.30659028111320913</v>
      </c>
      <c r="Q167" s="106">
        <v>0.29040465158868883</v>
      </c>
      <c r="R167" s="106">
        <v>0.31468309587546928</v>
      </c>
      <c r="S167" s="106">
        <v>0.28231183682642869</v>
      </c>
      <c r="AA167" s="106">
        <v>724</v>
      </c>
      <c r="AB167" s="106">
        <v>746.27663859392158</v>
      </c>
    </row>
    <row r="168" spans="1:28" x14ac:dyDescent="0.2">
      <c r="A168" s="14">
        <v>43699</v>
      </c>
      <c r="B168" s="106">
        <v>712</v>
      </c>
      <c r="C168" s="106">
        <v>719</v>
      </c>
      <c r="D168" s="106">
        <v>2473.5</v>
      </c>
      <c r="E168" s="106">
        <v>2476</v>
      </c>
      <c r="F168" s="106">
        <v>0.29038772213247099</v>
      </c>
      <c r="G168" s="106">
        <v>0.29880182004914302</v>
      </c>
      <c r="H168" s="106">
        <v>8.2308594356260093E-3</v>
      </c>
      <c r="I168" s="106">
        <v>-1.0222623752086699</v>
      </c>
      <c r="J168" s="106">
        <v>-2.9</v>
      </c>
      <c r="K168" s="106">
        <v>0.88780484022919104</v>
      </c>
      <c r="L168" s="106">
        <v>2.3223500361111701E-2</v>
      </c>
      <c r="M168" s="106">
        <v>0.90296994576068801</v>
      </c>
      <c r="N168" s="106">
        <v>6.6116606839661599E-3</v>
      </c>
      <c r="P168" s="106">
        <v>0.30703267948476903</v>
      </c>
      <c r="Q168" s="106">
        <v>0.290570960613517</v>
      </c>
      <c r="R168" s="106">
        <v>0.31526353892039505</v>
      </c>
      <c r="S168" s="106">
        <v>0.28234010117789099</v>
      </c>
      <c r="AA168" s="106">
        <v>719</v>
      </c>
      <c r="AB168" s="106">
        <v>742.5280117173196</v>
      </c>
    </row>
    <row r="169" spans="1:28" x14ac:dyDescent="0.2">
      <c r="A169" s="14">
        <v>43698</v>
      </c>
      <c r="B169" s="106">
        <v>706</v>
      </c>
      <c r="C169" s="106">
        <v>710</v>
      </c>
      <c r="D169" s="106">
        <v>2465</v>
      </c>
      <c r="E169" s="106">
        <v>2480.5</v>
      </c>
      <c r="F169" s="106">
        <v>0.286232614392259</v>
      </c>
      <c r="G169" s="106">
        <v>0.29910721265665402</v>
      </c>
      <c r="H169" s="106">
        <v>8.3372312042573598E-3</v>
      </c>
      <c r="I169" s="106">
        <v>-1.54422948686137</v>
      </c>
      <c r="J169" s="106">
        <v>-4.5</v>
      </c>
      <c r="K169" s="106">
        <v>0.87514597670060901</v>
      </c>
      <c r="L169" s="106">
        <v>9.0022717479654995E-3</v>
      </c>
      <c r="M169" s="106">
        <v>0.90158226580998302</v>
      </c>
      <c r="N169" s="106">
        <v>6.0204344938440896E-3</v>
      </c>
      <c r="P169" s="106">
        <v>0.30744444386091135</v>
      </c>
      <c r="Q169" s="106">
        <v>0.29076998145239669</v>
      </c>
      <c r="R169" s="106">
        <v>0.31578167506516874</v>
      </c>
      <c r="S169" s="106">
        <v>0.2824327502481393</v>
      </c>
      <c r="AA169" s="106">
        <v>710</v>
      </c>
      <c r="AB169" s="106">
        <v>743.87751739289638</v>
      </c>
    </row>
    <row r="170" spans="1:28" x14ac:dyDescent="0.2">
      <c r="A170" s="14">
        <v>43697</v>
      </c>
      <c r="B170" s="106">
        <v>715</v>
      </c>
      <c r="C170" s="106">
        <v>721</v>
      </c>
      <c r="D170" s="106">
        <v>2474.5</v>
      </c>
      <c r="E170" s="106">
        <v>2495</v>
      </c>
      <c r="F170" s="106">
        <v>0.28897795591182301</v>
      </c>
      <c r="G170" s="106">
        <v>0.29959046607069101</v>
      </c>
      <c r="H170" s="106">
        <v>8.6225021207992601E-3</v>
      </c>
      <c r="I170" s="106">
        <v>-1.2307924092321301</v>
      </c>
      <c r="J170" s="106">
        <v>-3.67</v>
      </c>
      <c r="K170" s="106">
        <v>0.85863922658561298</v>
      </c>
      <c r="L170" s="106">
        <v>2.96651482251588E-2</v>
      </c>
      <c r="M170" s="106">
        <v>0.90028185932577798</v>
      </c>
      <c r="N170" s="106">
        <v>6.4402296331237396E-3</v>
      </c>
      <c r="P170" s="106">
        <v>0.30821296819149024</v>
      </c>
      <c r="Q170" s="106">
        <v>0.29096796394989177</v>
      </c>
      <c r="R170" s="106">
        <v>0.31683547031228954</v>
      </c>
      <c r="S170" s="106">
        <v>0.28234546182909248</v>
      </c>
      <c r="AA170" s="106">
        <v>721</v>
      </c>
      <c r="AB170" s="106">
        <v>748.22592456975462</v>
      </c>
    </row>
    <row r="171" spans="1:28" x14ac:dyDescent="0.2">
      <c r="A171" s="14">
        <v>43696</v>
      </c>
      <c r="B171" s="106">
        <v>724</v>
      </c>
      <c r="C171" s="106">
        <v>719</v>
      </c>
      <c r="D171" s="106">
        <v>2462</v>
      </c>
      <c r="E171" s="106">
        <v>2472</v>
      </c>
      <c r="F171" s="106">
        <v>0.29085760517799297</v>
      </c>
      <c r="G171" s="106">
        <v>0.300151812058426</v>
      </c>
      <c r="H171" s="106">
        <v>9.2601864104482606E-3</v>
      </c>
      <c r="I171" s="106">
        <v>-1.00367384288788</v>
      </c>
      <c r="J171" s="106">
        <v>-3.2</v>
      </c>
      <c r="K171" s="106">
        <v>0.83401811715697605</v>
      </c>
      <c r="L171" s="106">
        <v>0.31074356478459902</v>
      </c>
      <c r="M171" s="106">
        <v>0.89888351810998302</v>
      </c>
      <c r="N171" s="106">
        <v>6.2642247507099704E-3</v>
      </c>
      <c r="P171" s="106">
        <v>0.30941199846887424</v>
      </c>
      <c r="Q171" s="106">
        <v>0.29089162564797777</v>
      </c>
      <c r="R171" s="106">
        <v>0.31867218487932253</v>
      </c>
      <c r="S171" s="106">
        <v>0.28163143923752948</v>
      </c>
      <c r="AA171" s="106">
        <v>719</v>
      </c>
      <c r="AB171" s="106">
        <v>741.32845111680706</v>
      </c>
    </row>
    <row r="172" spans="1:28" x14ac:dyDescent="0.2">
      <c r="A172" s="14">
        <v>43693</v>
      </c>
      <c r="B172" s="106">
        <v>710</v>
      </c>
      <c r="C172" s="106">
        <v>715</v>
      </c>
      <c r="D172" s="106">
        <v>2430.5</v>
      </c>
      <c r="E172" s="106">
        <v>2458.5</v>
      </c>
      <c r="F172" s="106">
        <v>0.29082774049216997</v>
      </c>
      <c r="G172" s="106">
        <v>0.30076843162136202</v>
      </c>
      <c r="H172" s="106">
        <v>1.0120539980979599E-2</v>
      </c>
      <c r="I172" s="15">
        <v>-0.98222932253364204</v>
      </c>
      <c r="J172" s="106">
        <v>-3.42</v>
      </c>
      <c r="K172" s="106">
        <v>0.80581391929017998</v>
      </c>
      <c r="L172" s="106">
        <v>0.18208314153167701</v>
      </c>
      <c r="M172" s="106">
        <v>0.89737486027948599</v>
      </c>
      <c r="N172" s="106">
        <v>5.2171869246863097E-3</v>
      </c>
      <c r="P172" s="106">
        <v>0.31088897160234163</v>
      </c>
      <c r="Q172" s="106">
        <v>0.29064789164038241</v>
      </c>
      <c r="R172" s="106">
        <v>0.32100951158332119</v>
      </c>
      <c r="S172" s="106">
        <v>0.28052735165940285</v>
      </c>
      <c r="AA172" s="106">
        <v>715</v>
      </c>
      <c r="AB172" s="106">
        <v>737.27993409007684</v>
      </c>
    </row>
    <row r="173" spans="1:28" x14ac:dyDescent="0.2">
      <c r="A173" s="14">
        <v>43692</v>
      </c>
      <c r="B173" s="106">
        <v>715</v>
      </c>
      <c r="C173" s="106">
        <v>718</v>
      </c>
      <c r="D173" s="106">
        <v>2433.5</v>
      </c>
      <c r="E173" s="106">
        <v>2460</v>
      </c>
      <c r="F173" s="106">
        <v>0.29186991869918699</v>
      </c>
      <c r="G173" s="106">
        <v>0.30138685244580699</v>
      </c>
      <c r="H173" s="106">
        <v>1.08826075961251E-2</v>
      </c>
      <c r="I173" s="15">
        <v>-0.87450858285190802</v>
      </c>
      <c r="J173" s="106">
        <v>-3.26</v>
      </c>
      <c r="K173" s="106">
        <v>0.77051650045994302</v>
      </c>
      <c r="L173" s="106">
        <v>1.6848167379194999E-2</v>
      </c>
      <c r="M173" s="106">
        <v>0.895736404785205</v>
      </c>
      <c r="N173" s="106">
        <v>5.0411607796634703E-3</v>
      </c>
      <c r="P173" s="106">
        <v>0.31226946004193207</v>
      </c>
      <c r="Q173" s="106">
        <v>0.2905042448496819</v>
      </c>
      <c r="R173" s="106">
        <v>0.32315206763805721</v>
      </c>
      <c r="S173" s="106">
        <v>0.27962163725355677</v>
      </c>
      <c r="AA173" s="106">
        <v>718</v>
      </c>
      <c r="AB173" s="106">
        <v>737.7297693152691</v>
      </c>
    </row>
    <row r="174" spans="1:28" x14ac:dyDescent="0.2">
      <c r="A174" s="14">
        <v>43691</v>
      </c>
      <c r="B174" s="106">
        <v>736</v>
      </c>
      <c r="C174" s="106">
        <v>733</v>
      </c>
      <c r="D174" s="106">
        <v>2506.5</v>
      </c>
      <c r="E174" s="106">
        <v>2495.5</v>
      </c>
      <c r="F174" s="106">
        <v>0.29372871168102499</v>
      </c>
      <c r="G174" s="106">
        <v>0.30202109291514601</v>
      </c>
      <c r="H174" s="106">
        <v>1.16673223593536E-2</v>
      </c>
      <c r="I174" s="106">
        <v>-0.71073558942791404</v>
      </c>
      <c r="J174" s="106">
        <v>-2.82</v>
      </c>
      <c r="K174" s="106">
        <v>0.73260899502167698</v>
      </c>
      <c r="L174" s="106">
        <v>1.7006200981030901E-2</v>
      </c>
      <c r="M174" s="106">
        <v>0.89423622633093702</v>
      </c>
      <c r="N174" s="106">
        <v>4.45299696321681E-3</v>
      </c>
      <c r="P174" s="106">
        <v>0.31368841527449959</v>
      </c>
      <c r="Q174" s="106">
        <v>0.29035377055579242</v>
      </c>
      <c r="R174" s="106">
        <v>0.32535573763385323</v>
      </c>
      <c r="S174" s="106">
        <v>0.27868644819643879</v>
      </c>
      <c r="AA174" s="106">
        <v>733</v>
      </c>
      <c r="AB174" s="106">
        <v>748.37586964481875</v>
      </c>
    </row>
    <row r="175" spans="1:28" x14ac:dyDescent="0.2">
      <c r="A175" s="14">
        <v>43690</v>
      </c>
      <c r="B175" s="106">
        <v>727</v>
      </c>
      <c r="C175" s="106">
        <v>726</v>
      </c>
      <c r="D175" s="106">
        <v>2500.5</v>
      </c>
      <c r="E175" s="106">
        <v>2482</v>
      </c>
      <c r="F175" s="106">
        <v>0.29250604351329501</v>
      </c>
      <c r="G175" s="106">
        <v>0.30259084726179603</v>
      </c>
      <c r="H175" s="106">
        <v>1.2275954206562601E-2</v>
      </c>
      <c r="I175" s="106">
        <v>-0.82150874618852898</v>
      </c>
      <c r="J175" s="106">
        <v>-3.45</v>
      </c>
      <c r="K175" s="106">
        <v>0.67163769191029499</v>
      </c>
      <c r="L175" s="106">
        <v>0.351153731553148</v>
      </c>
      <c r="M175" s="106">
        <v>0.89277702185868402</v>
      </c>
      <c r="N175" s="106">
        <v>4.5957739057846999E-3</v>
      </c>
      <c r="P175" s="106">
        <v>0.3148668014683586</v>
      </c>
      <c r="Q175" s="106">
        <v>0.29031489305523345</v>
      </c>
      <c r="R175" s="106">
        <v>0.32714275567492124</v>
      </c>
      <c r="S175" s="106">
        <v>0.27803893884867081</v>
      </c>
      <c r="AA175" s="106">
        <v>726</v>
      </c>
      <c r="AB175" s="106">
        <v>744.32735261808864</v>
      </c>
    </row>
    <row r="176" spans="1:28" x14ac:dyDescent="0.2">
      <c r="A176" s="14">
        <v>43686</v>
      </c>
      <c r="B176" s="106">
        <v>750</v>
      </c>
      <c r="C176" s="106">
        <v>742</v>
      </c>
      <c r="D176" s="106">
        <v>2556</v>
      </c>
      <c r="E176" s="106">
        <v>2542</v>
      </c>
      <c r="F176" s="106">
        <v>0.29189614476789899</v>
      </c>
      <c r="G176" s="106">
        <v>0.30312138273637901</v>
      </c>
      <c r="H176" s="106">
        <v>1.26817578923661E-2</v>
      </c>
      <c r="I176" s="106">
        <v>-0.88514842057012999</v>
      </c>
      <c r="J176" s="106">
        <v>-3.85</v>
      </c>
      <c r="K176" s="106">
        <v>0.59486035760155898</v>
      </c>
      <c r="L176" s="106">
        <v>5.8752088914176499E-2</v>
      </c>
      <c r="M176" s="106">
        <v>0.89220648776080103</v>
      </c>
      <c r="N176" s="106">
        <v>4.6527952061750496E-3</v>
      </c>
      <c r="P176" s="106">
        <v>0.31580314062874509</v>
      </c>
      <c r="Q176" s="106">
        <v>0.29043962484401292</v>
      </c>
      <c r="R176" s="106">
        <v>0.32848489852111118</v>
      </c>
      <c r="S176" s="106">
        <v>0.27775786695164684</v>
      </c>
      <c r="AA176" s="106">
        <v>742</v>
      </c>
      <c r="AB176" s="106">
        <v>762.32076162577812</v>
      </c>
    </row>
    <row r="177" spans="1:28" x14ac:dyDescent="0.2">
      <c r="A177" s="14">
        <v>43685</v>
      </c>
      <c r="B177" s="106">
        <v>759</v>
      </c>
      <c r="C177" s="106">
        <v>745</v>
      </c>
      <c r="D177" s="106">
        <v>2519.5</v>
      </c>
      <c r="E177" s="106">
        <v>2535</v>
      </c>
      <c r="F177" s="106">
        <v>0.29388560157790899</v>
      </c>
      <c r="G177" s="106">
        <v>0.30373416600067299</v>
      </c>
      <c r="H177" s="106">
        <v>1.3223348806443E-2</v>
      </c>
      <c r="I177" s="106">
        <v>-0.74478595149553695</v>
      </c>
      <c r="J177" s="106">
        <v>-3.35</v>
      </c>
      <c r="K177" s="106">
        <v>0.51843985335841003</v>
      </c>
      <c r="L177" s="106">
        <v>0.35341317097960001</v>
      </c>
      <c r="M177" s="106">
        <v>0.89124881753794705</v>
      </c>
      <c r="N177" s="106">
        <v>4.7448626455283303E-3</v>
      </c>
      <c r="P177" s="106">
        <v>0.31695751480711598</v>
      </c>
      <c r="Q177" s="106">
        <v>0.29051081719423</v>
      </c>
      <c r="R177" s="106">
        <v>0.33018086361355897</v>
      </c>
      <c r="S177" s="106">
        <v>0.27728746838778701</v>
      </c>
      <c r="AA177" s="106">
        <v>745</v>
      </c>
      <c r="AB177" s="106">
        <v>760.22153057488094</v>
      </c>
    </row>
    <row r="178" spans="1:28" x14ac:dyDescent="0.2">
      <c r="A178" s="14">
        <v>43684</v>
      </c>
      <c r="B178" s="106">
        <v>793</v>
      </c>
      <c r="C178" s="106">
        <v>789</v>
      </c>
      <c r="D178" s="106">
        <v>2538.5</v>
      </c>
      <c r="E178" s="106">
        <v>2536.5</v>
      </c>
      <c r="F178" s="106">
        <v>0.31105854523950299</v>
      </c>
      <c r="G178" s="106">
        <v>0.30429412768432901</v>
      </c>
      <c r="H178" s="106">
        <v>1.3675910963274101E-2</v>
      </c>
      <c r="I178" s="106">
        <v>0.49462281330574998</v>
      </c>
      <c r="J178" s="106">
        <v>2.17</v>
      </c>
      <c r="K178" s="106">
        <v>0.57432989070010798</v>
      </c>
      <c r="L178" s="106">
        <v>0.39027888993146997</v>
      </c>
      <c r="M178" s="106">
        <v>0.89003874369372904</v>
      </c>
      <c r="N178" s="106">
        <v>5.1030972575001401E-3</v>
      </c>
      <c r="P178" s="106">
        <v>0.31797003864760309</v>
      </c>
      <c r="Q178" s="106">
        <v>0.29061821672105492</v>
      </c>
      <c r="R178" s="106">
        <v>0.33164594961087723</v>
      </c>
      <c r="S178" s="106">
        <v>0.27694230575778078</v>
      </c>
      <c r="AA178" s="106">
        <v>789</v>
      </c>
      <c r="AB178" s="106">
        <v>760.6713658000732</v>
      </c>
    </row>
    <row r="179" spans="1:28" x14ac:dyDescent="0.2">
      <c r="A179" s="14">
        <v>43683</v>
      </c>
      <c r="B179" s="106">
        <v>778</v>
      </c>
      <c r="C179" s="106">
        <v>802</v>
      </c>
      <c r="D179" s="106">
        <v>2516</v>
      </c>
      <c r="E179" s="106">
        <v>2560.5</v>
      </c>
      <c r="F179" s="106">
        <v>0.31322007420425602</v>
      </c>
      <c r="G179" s="106">
        <v>0.30466949755671602</v>
      </c>
      <c r="H179" s="106">
        <v>1.42315018822809E-2</v>
      </c>
      <c r="I179" s="106">
        <v>0.60082039958037303</v>
      </c>
      <c r="J179" s="106">
        <v>2.73</v>
      </c>
      <c r="K179" s="106">
        <v>0.68149887314595903</v>
      </c>
      <c r="L179" s="106">
        <v>0.224276971438538</v>
      </c>
      <c r="M179" s="106">
        <v>0.88902467600085999</v>
      </c>
      <c r="N179" s="106">
        <v>5.6190788463312399E-3</v>
      </c>
      <c r="P179" s="106">
        <v>0.31890099943899691</v>
      </c>
      <c r="Q179" s="106">
        <v>0.29043799567443512</v>
      </c>
      <c r="R179" s="106">
        <v>0.33313250132127781</v>
      </c>
      <c r="S179" s="106">
        <v>0.27620649379215423</v>
      </c>
      <c r="AA179" s="106">
        <v>802</v>
      </c>
      <c r="AB179" s="106">
        <v>767.86872940314902</v>
      </c>
    </row>
    <row r="180" spans="1:28" x14ac:dyDescent="0.2">
      <c r="A180" s="14">
        <v>43682</v>
      </c>
      <c r="B180" s="106">
        <v>808</v>
      </c>
      <c r="C180" s="106">
        <v>807</v>
      </c>
      <c r="D180" s="106">
        <v>2612.5</v>
      </c>
      <c r="E180" s="106">
        <v>2566</v>
      </c>
      <c r="F180" s="106">
        <v>0.31449727201870598</v>
      </c>
      <c r="G180" s="106">
        <v>0.30496648759919998</v>
      </c>
      <c r="H180" s="106">
        <v>1.46335759943971E-2</v>
      </c>
      <c r="I180" s="106">
        <v>0.65129565207811002</v>
      </c>
      <c r="J180" s="106">
        <v>3.03</v>
      </c>
      <c r="K180" s="106">
        <v>0.69584204174588904</v>
      </c>
      <c r="L180" s="106">
        <v>0.13910972189813001</v>
      </c>
      <c r="M180" s="106">
        <v>0.88835166793204301</v>
      </c>
      <c r="N180" s="106">
        <v>4.6009701901240201E-3</v>
      </c>
      <c r="P180" s="106">
        <v>0.31960006359359705</v>
      </c>
      <c r="Q180" s="106">
        <v>0.2903329116048029</v>
      </c>
      <c r="R180" s="106">
        <v>0.33423363958799418</v>
      </c>
      <c r="S180" s="106">
        <v>0.27569933561040577</v>
      </c>
      <c r="AA180" s="106">
        <v>807</v>
      </c>
      <c r="AB180" s="106">
        <v>769.51812522885382</v>
      </c>
    </row>
    <row r="181" spans="1:28" x14ac:dyDescent="0.2">
      <c r="A181" s="14">
        <v>43679</v>
      </c>
      <c r="B181" s="106">
        <v>820</v>
      </c>
      <c r="C181" s="106">
        <v>818</v>
      </c>
      <c r="D181" s="106">
        <v>2675</v>
      </c>
      <c r="E181" s="106">
        <v>2613</v>
      </c>
      <c r="F181" s="106">
        <v>0.31305013394565601</v>
      </c>
      <c r="G181" s="106">
        <v>0.30527113034834102</v>
      </c>
      <c r="H181" s="106">
        <v>1.5060419923049099E-2</v>
      </c>
      <c r="I181" s="106">
        <v>0.51651970111465495</v>
      </c>
      <c r="J181" s="106">
        <v>2.48</v>
      </c>
      <c r="K181" s="106">
        <v>0.71594232023318605</v>
      </c>
      <c r="L181" s="106">
        <v>0.105752692586305</v>
      </c>
      <c r="M181" s="106">
        <v>0.88784721589253301</v>
      </c>
      <c r="N181" s="106">
        <v>4.93299690802487E-3</v>
      </c>
      <c r="P181" s="106">
        <v>0.3203315502713901</v>
      </c>
      <c r="Q181" s="106">
        <v>0.29021071042529195</v>
      </c>
      <c r="R181" s="106">
        <v>0.33539197019443923</v>
      </c>
      <c r="S181" s="106">
        <v>0.27515029050224282</v>
      </c>
      <c r="AA181" s="106">
        <v>818</v>
      </c>
      <c r="AB181" s="106">
        <v>783.61296228487731</v>
      </c>
    </row>
    <row r="182" spans="1:28" x14ac:dyDescent="0.2">
      <c r="A182" s="14">
        <v>43678</v>
      </c>
      <c r="B182" s="106">
        <v>840</v>
      </c>
      <c r="C182" s="106">
        <v>847</v>
      </c>
      <c r="D182" s="106">
        <v>2699</v>
      </c>
      <c r="E182" s="106">
        <v>2722.5</v>
      </c>
      <c r="F182" s="106">
        <v>0.31111111111111101</v>
      </c>
      <c r="G182" s="106">
        <v>0.305575859945663</v>
      </c>
      <c r="H182" s="106">
        <v>1.54411425406257E-2</v>
      </c>
      <c r="I182" s="106">
        <v>0.35847419651003098</v>
      </c>
      <c r="J182" s="106">
        <v>1.78</v>
      </c>
      <c r="K182" s="106">
        <v>0.73130862283090203</v>
      </c>
      <c r="L182" s="106">
        <v>4.0847241041679902E-2</v>
      </c>
      <c r="M182" s="106">
        <v>0.88746505804185505</v>
      </c>
      <c r="N182" s="106">
        <v>4.8111659177330198E-3</v>
      </c>
      <c r="P182" s="106">
        <v>0.32101700248628867</v>
      </c>
      <c r="Q182" s="106">
        <v>0.29013471740503732</v>
      </c>
      <c r="R182" s="106">
        <v>0.3364581450269144</v>
      </c>
      <c r="S182" s="106">
        <v>0.27469357486441159</v>
      </c>
      <c r="AA182" s="106">
        <v>847</v>
      </c>
      <c r="AB182" s="106">
        <v>816.45093372391068</v>
      </c>
    </row>
    <row r="183" spans="1:28" x14ac:dyDescent="0.2">
      <c r="A183" s="14">
        <v>43677</v>
      </c>
      <c r="B183" s="106">
        <v>857</v>
      </c>
      <c r="C183" s="106">
        <v>855</v>
      </c>
      <c r="D183" s="106">
        <v>2731.5</v>
      </c>
      <c r="E183" s="106">
        <v>2710.5</v>
      </c>
      <c r="F183" s="106">
        <v>0.31543995572772499</v>
      </c>
      <c r="G183" s="106">
        <v>0.30590608329878699</v>
      </c>
      <c r="H183" s="106">
        <v>1.5816261682793101E-2</v>
      </c>
      <c r="I183" s="106">
        <v>0.60278924439584902</v>
      </c>
      <c r="J183" s="106">
        <v>3.02</v>
      </c>
      <c r="K183" s="106">
        <v>0.75960045555741895</v>
      </c>
      <c r="L183" s="106">
        <v>2.79120045620142E-2</v>
      </c>
      <c r="M183" s="106">
        <v>0.886808216167284</v>
      </c>
      <c r="N183" s="106">
        <v>4.6725621494222999E-3</v>
      </c>
      <c r="P183" s="106">
        <v>0.32172234498158009</v>
      </c>
      <c r="Q183" s="106">
        <v>0.29008982161599389</v>
      </c>
      <c r="R183" s="106">
        <v>0.33753860666437319</v>
      </c>
      <c r="S183" s="106">
        <v>0.27427355993320079</v>
      </c>
      <c r="AA183" s="106">
        <v>855</v>
      </c>
      <c r="AB183" s="106">
        <v>812.85225192237272</v>
      </c>
    </row>
    <row r="184" spans="1:28" x14ac:dyDescent="0.2">
      <c r="A184" s="14">
        <v>43676</v>
      </c>
      <c r="B184" s="106">
        <v>854</v>
      </c>
      <c r="C184" s="106">
        <v>872</v>
      </c>
      <c r="D184" s="106">
        <v>2776.5</v>
      </c>
      <c r="E184" s="106">
        <v>2772</v>
      </c>
      <c r="F184" s="106">
        <v>0.31457431457431401</v>
      </c>
      <c r="G184" s="106">
        <v>0.30617163210584097</v>
      </c>
      <c r="H184" s="106">
        <v>1.6138021781478499E-2</v>
      </c>
      <c r="I184" s="106">
        <v>0.52067611397801905</v>
      </c>
      <c r="J184" s="106">
        <v>2.67</v>
      </c>
      <c r="K184" s="106">
        <v>0.77762852238213798</v>
      </c>
      <c r="L184" s="106">
        <v>3.8237598541145498E-3</v>
      </c>
      <c r="M184" s="106">
        <v>0.88675624456334601</v>
      </c>
      <c r="N184" s="106">
        <v>2.92869324938656E-3</v>
      </c>
      <c r="P184" s="106">
        <v>0.32230965388731947</v>
      </c>
      <c r="Q184" s="106">
        <v>0.29003361032436248</v>
      </c>
      <c r="R184" s="106">
        <v>0.33844767566879796</v>
      </c>
      <c r="S184" s="106">
        <v>0.27389558854288398</v>
      </c>
      <c r="AA184" s="106">
        <v>872</v>
      </c>
      <c r="AB184" s="106">
        <v>831.29549615525445</v>
      </c>
    </row>
    <row r="185" spans="1:28" x14ac:dyDescent="0.2">
      <c r="A185" s="14">
        <v>43675</v>
      </c>
      <c r="B185" s="106">
        <v>860</v>
      </c>
      <c r="C185" s="106">
        <v>851</v>
      </c>
      <c r="D185" s="106">
        <v>2777.5</v>
      </c>
      <c r="E185" s="106">
        <v>2763.5</v>
      </c>
      <c r="F185" s="106">
        <v>0.30794282612628898</v>
      </c>
      <c r="G185" s="106">
        <v>0.306402179464416</v>
      </c>
      <c r="H185" s="106">
        <v>1.6378138898299002E-2</v>
      </c>
      <c r="I185" s="106">
        <v>9.4067260721080695E-2</v>
      </c>
      <c r="J185" s="106">
        <v>0.5</v>
      </c>
      <c r="K185" s="106">
        <v>0.78630009599503703</v>
      </c>
      <c r="L185" s="106">
        <v>3.9672570108746303E-3</v>
      </c>
      <c r="M185" s="106">
        <v>0.88611973224310903</v>
      </c>
      <c r="N185" s="106">
        <v>3.5087495254133801E-3</v>
      </c>
      <c r="P185" s="106">
        <v>0.32278031836271498</v>
      </c>
      <c r="Q185" s="106">
        <v>0.29002404056611703</v>
      </c>
      <c r="R185" s="106">
        <v>0.33915845726101401</v>
      </c>
      <c r="S185" s="106">
        <v>0.27364590166781799</v>
      </c>
      <c r="AA185" s="106">
        <v>851</v>
      </c>
      <c r="AB185" s="106">
        <v>828.74642987916513</v>
      </c>
    </row>
    <row r="186" spans="1:28" x14ac:dyDescent="0.2">
      <c r="A186" s="14">
        <v>43672</v>
      </c>
      <c r="B186" s="106">
        <v>872</v>
      </c>
      <c r="C186" s="106">
        <v>868</v>
      </c>
      <c r="D186" s="106">
        <v>2793</v>
      </c>
      <c r="E186" s="106">
        <v>2785.5</v>
      </c>
      <c r="F186" s="106">
        <v>0.31161371387542602</v>
      </c>
      <c r="G186" s="106">
        <v>0.306674699052012</v>
      </c>
      <c r="H186" s="106">
        <v>1.6570422416279599E-2</v>
      </c>
      <c r="I186" s="106">
        <v>0.29806209518000298</v>
      </c>
      <c r="J186" s="106">
        <v>1.58</v>
      </c>
      <c r="K186" s="106">
        <v>0.79821718441143696</v>
      </c>
      <c r="L186" s="106">
        <v>3.4321298426917401E-3</v>
      </c>
      <c r="M186" s="106">
        <v>0.88591057889972802</v>
      </c>
      <c r="N186" s="106">
        <v>3.4570561874859899E-3</v>
      </c>
      <c r="P186" s="106">
        <v>0.3232451214682916</v>
      </c>
      <c r="Q186" s="106">
        <v>0.29010427663573241</v>
      </c>
      <c r="R186" s="106">
        <v>0.33981554388457119</v>
      </c>
      <c r="S186" s="106">
        <v>0.27353385421945281</v>
      </c>
      <c r="AA186" s="106">
        <v>868</v>
      </c>
      <c r="AB186" s="106">
        <v>835.34401318198456</v>
      </c>
    </row>
    <row r="187" spans="1:28" x14ac:dyDescent="0.2">
      <c r="A187" s="14">
        <v>43671</v>
      </c>
      <c r="B187" s="106">
        <v>879</v>
      </c>
      <c r="C187" s="106">
        <v>883</v>
      </c>
      <c r="D187" s="106">
        <v>2837</v>
      </c>
      <c r="E187" s="106">
        <v>2843</v>
      </c>
      <c r="F187" s="106">
        <v>0.31058740766795601</v>
      </c>
      <c r="G187" s="106">
        <v>0.30687923284042401</v>
      </c>
      <c r="H187" s="106">
        <v>1.6724084761332799E-2</v>
      </c>
      <c r="I187" s="106">
        <v>0.22172662244005001</v>
      </c>
      <c r="J187" s="106">
        <v>1.19</v>
      </c>
      <c r="K187" s="106">
        <v>0.86003438430670998</v>
      </c>
      <c r="L187" s="106">
        <v>3.2080601134912901E-3</v>
      </c>
      <c r="M187" s="106">
        <v>0.88584402074269497</v>
      </c>
      <c r="N187" s="106">
        <v>3.1789770283651301E-3</v>
      </c>
      <c r="P187" s="106">
        <v>0.32360331760175681</v>
      </c>
      <c r="Q187" s="106">
        <v>0.29015514807909121</v>
      </c>
      <c r="R187" s="106">
        <v>0.34032740236308962</v>
      </c>
      <c r="S187" s="106">
        <v>0.2734310633177584</v>
      </c>
      <c r="AA187" s="106">
        <v>883</v>
      </c>
      <c r="AB187" s="106">
        <v>852.58769681435365</v>
      </c>
    </row>
    <row r="188" spans="1:28" x14ac:dyDescent="0.2">
      <c r="A188" s="14">
        <v>43670</v>
      </c>
      <c r="B188" s="106">
        <v>864</v>
      </c>
      <c r="C188" s="106">
        <v>866</v>
      </c>
      <c r="D188" s="106">
        <v>2840</v>
      </c>
      <c r="E188" s="106">
        <v>2850.5</v>
      </c>
      <c r="F188" s="106">
        <v>0.30380634976319898</v>
      </c>
      <c r="G188" s="106">
        <v>0.30711105775854902</v>
      </c>
      <c r="H188" s="106">
        <v>1.6893527530179302E-2</v>
      </c>
      <c r="I188" s="106">
        <v>-0.19561977150401899</v>
      </c>
      <c r="J188" s="106">
        <v>-1.0900000000000001</v>
      </c>
      <c r="K188" s="106">
        <v>0.89211886246056504</v>
      </c>
      <c r="L188" s="106">
        <v>0.103233794529866</v>
      </c>
      <c r="M188" s="106">
        <v>0.88550739873677897</v>
      </c>
      <c r="N188" s="106">
        <v>3.2841581565707799E-3</v>
      </c>
      <c r="P188" s="106">
        <v>0.32400458528872833</v>
      </c>
      <c r="Q188" s="106">
        <v>0.29021753022836971</v>
      </c>
      <c r="R188" s="106">
        <v>0.34089811281890764</v>
      </c>
      <c r="S188" s="106">
        <v>0.2733240026981904</v>
      </c>
      <c r="AA188" s="106">
        <v>866</v>
      </c>
      <c r="AB188" s="106">
        <v>854.83687294031483</v>
      </c>
    </row>
    <row r="189" spans="1:28" x14ac:dyDescent="0.2">
      <c r="A189" s="14">
        <v>43669</v>
      </c>
      <c r="B189" s="106">
        <v>840</v>
      </c>
      <c r="C189" s="106">
        <v>858</v>
      </c>
      <c r="D189" s="106">
        <v>2771</v>
      </c>
      <c r="E189" s="106">
        <v>2814.5</v>
      </c>
      <c r="F189" s="106">
        <v>0.30484988452655798</v>
      </c>
      <c r="G189" s="106">
        <v>0.30747873461265501</v>
      </c>
      <c r="H189" s="106">
        <v>1.7116218245959901E-2</v>
      </c>
      <c r="I189" s="106">
        <v>-0.15358825462029099</v>
      </c>
      <c r="J189" s="106">
        <v>-0.86</v>
      </c>
      <c r="K189" s="106">
        <v>0.90962704646085701</v>
      </c>
      <c r="L189" s="106">
        <v>0.108012623485577</v>
      </c>
      <c r="M189" s="106">
        <v>0.88496799296270501</v>
      </c>
      <c r="N189" s="106">
        <v>3.0325791656970499E-3</v>
      </c>
      <c r="P189" s="106">
        <v>0.32459495285861489</v>
      </c>
      <c r="Q189" s="106">
        <v>0.29036251636669513</v>
      </c>
      <c r="R189" s="106">
        <v>0.34171117110457483</v>
      </c>
      <c r="S189" s="106">
        <v>0.2732462981207352</v>
      </c>
      <c r="AA189" s="106">
        <v>858</v>
      </c>
      <c r="AB189" s="106">
        <v>844.04082753570117</v>
      </c>
    </row>
    <row r="190" spans="1:28" x14ac:dyDescent="0.2">
      <c r="A190" s="14">
        <v>43668</v>
      </c>
      <c r="B190" s="106">
        <v>828</v>
      </c>
      <c r="C190" s="106">
        <v>834</v>
      </c>
      <c r="D190" s="106">
        <v>2808</v>
      </c>
      <c r="E190" s="106">
        <v>2802</v>
      </c>
      <c r="F190" s="106">
        <v>0.297644539614561</v>
      </c>
      <c r="G190" s="106">
        <v>0.30783922251846702</v>
      </c>
      <c r="H190" s="106">
        <v>1.73402999673123E-2</v>
      </c>
      <c r="I190" s="106">
        <v>-0.58791848601951302</v>
      </c>
      <c r="J190" s="106">
        <v>-3.43</v>
      </c>
      <c r="K190" s="106">
        <v>0.92999252553002498</v>
      </c>
      <c r="L190" s="106">
        <v>0.61125483910287504</v>
      </c>
      <c r="M190" s="106">
        <v>0.88424206603886801</v>
      </c>
      <c r="N190" s="106">
        <v>3.2021913003102802E-3</v>
      </c>
      <c r="P190" s="106">
        <v>0.3251795224857793</v>
      </c>
      <c r="Q190" s="106">
        <v>0.29049892255115473</v>
      </c>
      <c r="R190" s="106">
        <v>0.34251982245309159</v>
      </c>
      <c r="S190" s="106">
        <v>0.27315862258384244</v>
      </c>
      <c r="AA190" s="106">
        <v>834</v>
      </c>
      <c r="AB190" s="106">
        <v>840.29220065909919</v>
      </c>
    </row>
    <row r="191" spans="1:28" x14ac:dyDescent="0.2">
      <c r="A191" s="14">
        <v>43665</v>
      </c>
      <c r="B191" s="106">
        <v>798</v>
      </c>
      <c r="C191" s="106">
        <v>816</v>
      </c>
      <c r="D191" s="106">
        <v>2757</v>
      </c>
      <c r="E191" s="106">
        <v>2808</v>
      </c>
      <c r="F191" s="106">
        <v>0.29059829059829001</v>
      </c>
      <c r="G191" s="106">
        <v>0.308249931344037</v>
      </c>
      <c r="H191" s="106">
        <v>1.7458360724506999E-2</v>
      </c>
      <c r="I191" s="106">
        <v>-1.01107091463453</v>
      </c>
      <c r="J191" s="106">
        <v>-6.07</v>
      </c>
      <c r="K191" s="106">
        <v>0.94249435090913802</v>
      </c>
      <c r="L191" s="106">
        <v>5.7118849613492402E-2</v>
      </c>
      <c r="M191" s="106">
        <v>0.88352093656834496</v>
      </c>
      <c r="N191" s="106">
        <v>3.0981250300008601E-3</v>
      </c>
      <c r="P191" s="106">
        <v>0.32570829206854401</v>
      </c>
      <c r="Q191" s="106">
        <v>0.29079157061952998</v>
      </c>
      <c r="R191" s="106">
        <v>0.34316665279305097</v>
      </c>
      <c r="S191" s="106">
        <v>0.27333320989502302</v>
      </c>
      <c r="AA191" s="106">
        <v>816</v>
      </c>
      <c r="AB191" s="106">
        <v>842.09154155986812</v>
      </c>
    </row>
    <row r="192" spans="1:28" x14ac:dyDescent="0.2">
      <c r="A192" s="14">
        <v>43664</v>
      </c>
      <c r="B192" s="106">
        <v>821</v>
      </c>
      <c r="C192" s="106">
        <v>801</v>
      </c>
      <c r="D192" s="106">
        <v>2800</v>
      </c>
      <c r="E192" s="106">
        <v>2751.5</v>
      </c>
      <c r="F192" s="106">
        <v>0.29111393785208001</v>
      </c>
      <c r="G192" s="106">
        <v>0.30880066963149599</v>
      </c>
      <c r="H192" s="106">
        <v>1.7544133701352001E-2</v>
      </c>
      <c r="I192" s="106">
        <v>-1.0081279634828899</v>
      </c>
      <c r="J192" s="106">
        <v>-6.08</v>
      </c>
      <c r="K192" s="106">
        <v>0.95118112556273304</v>
      </c>
      <c r="L192" s="106">
        <v>3.66193468013652E-2</v>
      </c>
      <c r="M192" s="106">
        <v>0.88242703053233795</v>
      </c>
      <c r="N192" s="106">
        <v>3.46913629493324E-3</v>
      </c>
      <c r="P192" s="106">
        <v>0.32634480333284799</v>
      </c>
      <c r="Q192" s="106">
        <v>0.291256535930144</v>
      </c>
      <c r="R192" s="106">
        <v>0.34388893703419998</v>
      </c>
      <c r="S192" s="106">
        <v>0.27371240222879201</v>
      </c>
      <c r="AA192" s="106">
        <v>801</v>
      </c>
      <c r="AB192" s="106">
        <v>825.14774807762717</v>
      </c>
    </row>
    <row r="193" spans="1:28" x14ac:dyDescent="0.2">
      <c r="A193" s="14">
        <v>43663</v>
      </c>
      <c r="B193" s="106">
        <v>838</v>
      </c>
      <c r="C193" s="106">
        <v>829</v>
      </c>
      <c r="D193" s="106">
        <v>2826.5</v>
      </c>
      <c r="E193" s="106">
        <v>2806</v>
      </c>
      <c r="F193" s="106">
        <v>0.29543834640056998</v>
      </c>
      <c r="G193" s="106">
        <v>0.30933158908533898</v>
      </c>
      <c r="H193" s="106">
        <v>1.7603265375959399E-2</v>
      </c>
      <c r="I193" s="106">
        <v>-0.78924235862191205</v>
      </c>
      <c r="J193" s="106">
        <v>-4.7</v>
      </c>
      <c r="K193" s="106">
        <v>0.95747104887714796</v>
      </c>
      <c r="L193" s="106">
        <v>8.6459044588338904E-2</v>
      </c>
      <c r="M193" s="106">
        <v>0.88157915243956197</v>
      </c>
      <c r="N193" s="106">
        <v>4.5539163112201398E-3</v>
      </c>
      <c r="P193" s="106">
        <v>0.32693485446129839</v>
      </c>
      <c r="Q193" s="106">
        <v>0.29172832370937957</v>
      </c>
      <c r="R193" s="106">
        <v>0.34453811983725779</v>
      </c>
      <c r="S193" s="106">
        <v>0.27412505833342016</v>
      </c>
      <c r="AA193" s="106">
        <v>829</v>
      </c>
      <c r="AB193" s="106">
        <v>841.49176125961185</v>
      </c>
    </row>
    <row r="194" spans="1:28" x14ac:dyDescent="0.2">
      <c r="A194" s="14">
        <v>43662</v>
      </c>
      <c r="B194" s="106">
        <v>831</v>
      </c>
      <c r="C194" s="106">
        <v>838</v>
      </c>
      <c r="D194" s="106">
        <v>2830</v>
      </c>
      <c r="E194" s="106">
        <v>2836.5</v>
      </c>
      <c r="F194" s="106">
        <v>0.29543451436629597</v>
      </c>
      <c r="G194" s="106">
        <v>0.30978509749057498</v>
      </c>
      <c r="H194" s="106">
        <v>1.7677474872765199E-2</v>
      </c>
      <c r="I194" s="106">
        <v>-0.81180051039915901</v>
      </c>
      <c r="J194" s="106">
        <v>-4.8600000000000003</v>
      </c>
      <c r="K194" s="106">
        <v>0.96203427450379497</v>
      </c>
      <c r="L194" s="106">
        <v>9.6504241323095694E-2</v>
      </c>
      <c r="M194" s="106">
        <v>0.88076372439112605</v>
      </c>
      <c r="N194" s="106">
        <v>5.6546982681500999E-3</v>
      </c>
      <c r="P194" s="106">
        <v>0.3274625723633402</v>
      </c>
      <c r="Q194" s="106">
        <v>0.29210762261780976</v>
      </c>
      <c r="R194" s="106">
        <v>0.34514004723610536</v>
      </c>
      <c r="S194" s="106">
        <v>0.27443014774504459</v>
      </c>
      <c r="AA194" s="106">
        <v>838</v>
      </c>
      <c r="AB194" s="106">
        <v>850.63841083852071</v>
      </c>
    </row>
    <row r="195" spans="1:28" x14ac:dyDescent="0.2">
      <c r="A195" s="14">
        <v>43658</v>
      </c>
      <c r="B195" s="106">
        <v>835</v>
      </c>
      <c r="C195" s="106">
        <v>832</v>
      </c>
      <c r="D195" s="106">
        <v>2865</v>
      </c>
      <c r="E195" s="106">
        <v>2847</v>
      </c>
      <c r="F195" s="106">
        <v>0.29223744292237402</v>
      </c>
      <c r="G195" s="106">
        <v>0.31016817102528499</v>
      </c>
      <c r="H195" s="106">
        <v>1.7673641823737301E-2</v>
      </c>
      <c r="I195" s="106">
        <v>-1.0145463103608101</v>
      </c>
      <c r="J195" s="106">
        <v>-6.14</v>
      </c>
      <c r="K195" s="106">
        <v>0.96720186778407202</v>
      </c>
      <c r="L195" s="106">
        <v>2.3655518985198101E-2</v>
      </c>
      <c r="M195" s="106">
        <v>0.87994412767465602</v>
      </c>
      <c r="N195" s="106">
        <v>5.7412789446085397E-3</v>
      </c>
      <c r="P195" s="106">
        <v>0.32784181284902231</v>
      </c>
      <c r="Q195" s="106">
        <v>0.29249452920154767</v>
      </c>
      <c r="R195" s="106">
        <v>0.34551545467275957</v>
      </c>
      <c r="S195" s="106">
        <v>0.27482088737781041</v>
      </c>
      <c r="AA195" s="106">
        <v>832</v>
      </c>
      <c r="AB195" s="106">
        <v>853.7872574148663</v>
      </c>
    </row>
    <row r="196" spans="1:28" x14ac:dyDescent="0.2">
      <c r="A196" s="14">
        <v>43657</v>
      </c>
      <c r="B196" s="106">
        <v>835</v>
      </c>
      <c r="C196" s="106">
        <v>841</v>
      </c>
      <c r="D196" s="106">
        <v>2830</v>
      </c>
      <c r="E196" s="106">
        <v>2844</v>
      </c>
      <c r="F196" s="106">
        <v>0.29571026722925398</v>
      </c>
      <c r="G196" s="106">
        <v>0.31048310652202699</v>
      </c>
      <c r="H196" s="106">
        <v>1.75614126127621E-2</v>
      </c>
      <c r="I196" s="106">
        <v>-0.84121019296801502</v>
      </c>
      <c r="J196" s="106">
        <v>-5</v>
      </c>
      <c r="K196" s="106">
        <v>0.96861444500057503</v>
      </c>
      <c r="L196" s="106">
        <v>1.3656687997703299E-2</v>
      </c>
      <c r="M196" s="106">
        <v>0.87898501876048896</v>
      </c>
      <c r="N196" s="106">
        <v>6.3484725779948499E-3</v>
      </c>
      <c r="P196" s="106">
        <v>0.3280445191347891</v>
      </c>
      <c r="Q196" s="106">
        <v>0.29292169390926487</v>
      </c>
      <c r="R196" s="106">
        <v>0.34560593174755116</v>
      </c>
      <c r="S196" s="106">
        <v>0.27536028129650281</v>
      </c>
      <c r="AA196" s="106">
        <v>841</v>
      </c>
      <c r="AB196" s="106">
        <v>852.8875869644819</v>
      </c>
    </row>
    <row r="197" spans="1:28" x14ac:dyDescent="0.2">
      <c r="A197" s="14">
        <v>43656</v>
      </c>
      <c r="B197" s="106">
        <v>830</v>
      </c>
      <c r="C197" s="106">
        <v>838</v>
      </c>
      <c r="D197" s="106">
        <v>2858.5</v>
      </c>
      <c r="E197" s="106">
        <v>2859.5</v>
      </c>
      <c r="F197" s="106">
        <v>0.29305822696275502</v>
      </c>
      <c r="G197" s="106">
        <v>0.31071888986837598</v>
      </c>
      <c r="H197" s="106">
        <v>1.74800107031827E-2</v>
      </c>
      <c r="I197" s="106">
        <v>-1.0103347878617299</v>
      </c>
      <c r="J197" s="106">
        <v>-6.03</v>
      </c>
      <c r="K197" s="106">
        <v>0.97022725069261895</v>
      </c>
      <c r="L197" s="106">
        <v>1.9031708064121699E-2</v>
      </c>
      <c r="M197" s="106">
        <v>0.878138318327502</v>
      </c>
      <c r="N197" s="106">
        <v>5.9169153331275698E-3</v>
      </c>
      <c r="P197" s="106">
        <v>0.3281989005715587</v>
      </c>
      <c r="Q197" s="106">
        <v>0.29323887916519326</v>
      </c>
      <c r="R197" s="106">
        <v>0.34567891127474137</v>
      </c>
      <c r="S197" s="106">
        <v>0.27575886846201059</v>
      </c>
      <c r="AA197" s="106">
        <v>838</v>
      </c>
      <c r="AB197" s="106">
        <v>857.53588429146828</v>
      </c>
    </row>
    <row r="198" spans="1:28" x14ac:dyDescent="0.2">
      <c r="A198" s="14">
        <v>43655</v>
      </c>
      <c r="B198" s="106">
        <v>855</v>
      </c>
      <c r="C198" s="106">
        <v>843</v>
      </c>
      <c r="D198" s="106">
        <v>2855</v>
      </c>
      <c r="E198" s="106">
        <v>2852.5</v>
      </c>
      <c r="F198" s="106">
        <v>0.29553023663453099</v>
      </c>
      <c r="G198" s="106">
        <v>0.31102610652807</v>
      </c>
      <c r="H198" s="106">
        <v>1.7369045686945701E-2</v>
      </c>
      <c r="I198" s="106">
        <v>-0.89215436316030505</v>
      </c>
      <c r="J198" s="106">
        <v>-5.24</v>
      </c>
      <c r="K198" s="106">
        <v>0.97210061772985701</v>
      </c>
      <c r="L198" s="106">
        <v>2.0173898374317299E-2</v>
      </c>
      <c r="M198" s="106">
        <v>0.87730650609844396</v>
      </c>
      <c r="N198" s="106">
        <v>5.2412830286559103E-3</v>
      </c>
      <c r="P198" s="106">
        <v>0.3283951522150157</v>
      </c>
      <c r="Q198" s="106">
        <v>0.29365706084112431</v>
      </c>
      <c r="R198" s="106">
        <v>0.34576419790196139</v>
      </c>
      <c r="S198" s="106">
        <v>0.27628801515417861</v>
      </c>
      <c r="AA198" s="106">
        <v>843</v>
      </c>
      <c r="AB198" s="106">
        <v>855.43665324057122</v>
      </c>
    </row>
    <row r="199" spans="1:28" x14ac:dyDescent="0.2">
      <c r="A199" s="14">
        <v>43654</v>
      </c>
      <c r="B199" s="106">
        <v>871</v>
      </c>
      <c r="C199" s="106">
        <v>855</v>
      </c>
      <c r="D199" s="106">
        <v>2837</v>
      </c>
      <c r="E199" s="106">
        <v>2837</v>
      </c>
      <c r="F199" s="106">
        <v>0.30137469157560798</v>
      </c>
      <c r="G199" s="106">
        <v>0.31129898436738201</v>
      </c>
      <c r="H199" s="106">
        <v>1.72840099632426E-2</v>
      </c>
      <c r="I199" s="106">
        <v>-0.57418925428068901</v>
      </c>
      <c r="J199" s="106">
        <v>-3.29</v>
      </c>
      <c r="K199" s="106">
        <v>0.97351487465806097</v>
      </c>
      <c r="L199" s="106">
        <v>1.8834132750929499E-2</v>
      </c>
      <c r="M199" s="106">
        <v>0.87625462951230404</v>
      </c>
      <c r="N199" s="106">
        <v>5.4643969140476898E-3</v>
      </c>
      <c r="P199" s="106">
        <v>0.3285829943306246</v>
      </c>
      <c r="Q199" s="106">
        <v>0.29401497440413943</v>
      </c>
      <c r="R199" s="106">
        <v>0.34586700429386719</v>
      </c>
      <c r="S199" s="106">
        <v>0.27673096444089684</v>
      </c>
      <c r="AA199" s="106">
        <v>855</v>
      </c>
      <c r="AB199" s="106">
        <v>850.78835591358472</v>
      </c>
    </row>
    <row r="200" spans="1:28" x14ac:dyDescent="0.2">
      <c r="A200" s="14">
        <v>43651</v>
      </c>
      <c r="B200" s="106">
        <v>848</v>
      </c>
      <c r="C200" s="106">
        <v>868</v>
      </c>
      <c r="D200" s="106">
        <v>2826.5</v>
      </c>
      <c r="E200" s="106">
        <v>2836.5</v>
      </c>
      <c r="F200" s="106">
        <v>0.30601092896174797</v>
      </c>
      <c r="G200" s="106">
        <v>0.31149280643096999</v>
      </c>
      <c r="H200" s="106">
        <v>1.7253111720064902E-2</v>
      </c>
      <c r="I200" s="106">
        <v>-0.31773268255408199</v>
      </c>
      <c r="J200" s="106">
        <v>-1.79</v>
      </c>
      <c r="K200" s="106">
        <v>0.97463341315437102</v>
      </c>
      <c r="L200" s="106">
        <v>1.8937888721448099E-2</v>
      </c>
      <c r="M200" s="106">
        <v>0.87503882343689998</v>
      </c>
      <c r="N200" s="106">
        <v>6.3028343972359596E-3</v>
      </c>
      <c r="P200" s="106">
        <v>0.32874591815103488</v>
      </c>
      <c r="Q200" s="106">
        <v>0.29423969471090511</v>
      </c>
      <c r="R200" s="106">
        <v>0.34599902987109982</v>
      </c>
      <c r="S200" s="106">
        <v>0.27698658299084017</v>
      </c>
      <c r="AA200" s="106">
        <v>868</v>
      </c>
      <c r="AB200" s="106">
        <v>850.63841083852071</v>
      </c>
    </row>
    <row r="201" spans="1:28" x14ac:dyDescent="0.2">
      <c r="A201" s="14">
        <v>43650</v>
      </c>
      <c r="B201" s="106">
        <v>853</v>
      </c>
      <c r="C201" s="106">
        <v>848</v>
      </c>
      <c r="D201" s="106">
        <v>2805.5</v>
      </c>
      <c r="E201" s="106">
        <v>2807.5</v>
      </c>
      <c r="F201" s="106">
        <v>0.30204808548530698</v>
      </c>
      <c r="G201" s="106">
        <v>0.31165709044896001</v>
      </c>
      <c r="H201" s="106">
        <v>1.7258791903417201E-2</v>
      </c>
      <c r="I201" s="106">
        <v>-0.55675999904437601</v>
      </c>
      <c r="J201" s="106">
        <v>-3.18</v>
      </c>
      <c r="K201" s="106">
        <v>0.97553442443386496</v>
      </c>
      <c r="L201" s="106">
        <v>1.6571828358753999E-2</v>
      </c>
      <c r="M201" s="106">
        <v>0.87373442906433496</v>
      </c>
      <c r="N201" s="106">
        <v>5.9668460872223401E-3</v>
      </c>
      <c r="P201" s="106">
        <v>0.32891588235237723</v>
      </c>
      <c r="Q201" s="106">
        <v>0.29439829854554278</v>
      </c>
      <c r="R201" s="106">
        <v>0.3461746742557944</v>
      </c>
      <c r="S201" s="106">
        <v>0.27713950664212561</v>
      </c>
      <c r="AA201" s="106">
        <v>848</v>
      </c>
      <c r="AB201" s="106">
        <v>841.94159648480411</v>
      </c>
    </row>
    <row r="202" spans="1:28" x14ac:dyDescent="0.2">
      <c r="A202" s="14">
        <v>43649</v>
      </c>
      <c r="B202" s="106">
        <v>847</v>
      </c>
      <c r="C202" s="106">
        <v>848</v>
      </c>
      <c r="D202" s="106">
        <v>2805</v>
      </c>
      <c r="E202" s="106">
        <v>2790</v>
      </c>
      <c r="F202" s="106">
        <v>0.30394265232974899</v>
      </c>
      <c r="G202" s="106">
        <v>0.31194003316212698</v>
      </c>
      <c r="H202" s="106">
        <v>1.7272883052231701E-2</v>
      </c>
      <c r="I202" s="106">
        <v>-0.46300208298721501</v>
      </c>
      <c r="J202" s="106">
        <v>-2.63</v>
      </c>
      <c r="K202" s="106">
        <v>0.97611593851029099</v>
      </c>
      <c r="L202" s="106">
        <v>2.24678869921041E-2</v>
      </c>
      <c r="M202" s="106">
        <v>0.87241431910882905</v>
      </c>
      <c r="N202" s="106">
        <v>5.2616741465530501E-3</v>
      </c>
      <c r="P202" s="106">
        <v>0.32921291621435866</v>
      </c>
      <c r="Q202" s="106">
        <v>0.2946671501098953</v>
      </c>
      <c r="R202" s="106">
        <v>0.3464857992665904</v>
      </c>
      <c r="S202" s="106">
        <v>0.27739426705766357</v>
      </c>
      <c r="AA202" s="106">
        <v>848</v>
      </c>
      <c r="AB202" s="106">
        <v>836.69351885756134</v>
      </c>
    </row>
    <row r="203" spans="1:28" x14ac:dyDescent="0.2">
      <c r="A203" s="14">
        <v>43648</v>
      </c>
      <c r="B203" s="106">
        <v>859</v>
      </c>
      <c r="C203" s="106">
        <v>862</v>
      </c>
      <c r="D203" s="106">
        <v>2845</v>
      </c>
      <c r="E203" s="106">
        <v>2837</v>
      </c>
      <c r="F203" s="106">
        <v>0.30384208671131402</v>
      </c>
      <c r="G203" s="106">
        <v>0.31219767577095697</v>
      </c>
      <c r="H203" s="106">
        <v>1.7295769877072001E-2</v>
      </c>
      <c r="I203" s="106">
        <v>-0.48310015217761998</v>
      </c>
      <c r="J203" s="106">
        <v>-2.75</v>
      </c>
      <c r="K203" s="106">
        <v>0.97649315490957</v>
      </c>
      <c r="L203" s="106">
        <v>2.2654018206714099E-2</v>
      </c>
      <c r="M203" s="106">
        <v>0.87110441331900401</v>
      </c>
      <c r="N203" s="106">
        <v>5.9406060312733096E-3</v>
      </c>
      <c r="P203" s="106">
        <v>0.32949344564802896</v>
      </c>
      <c r="Q203" s="106">
        <v>0.29490190589388499</v>
      </c>
      <c r="R203" s="106">
        <v>0.346789215525101</v>
      </c>
      <c r="S203" s="106">
        <v>0.27760613601681294</v>
      </c>
      <c r="AA203" s="106">
        <v>862</v>
      </c>
      <c r="AB203" s="106">
        <v>850.78835591358472</v>
      </c>
    </row>
    <row r="204" spans="1:28" x14ac:dyDescent="0.2">
      <c r="A204" s="14">
        <v>43647</v>
      </c>
      <c r="B204" s="106">
        <v>844</v>
      </c>
      <c r="C204" s="106">
        <v>857</v>
      </c>
      <c r="D204" s="106">
        <v>2800.5</v>
      </c>
      <c r="E204" s="106">
        <v>2845</v>
      </c>
      <c r="F204" s="106">
        <v>0.301230228471001</v>
      </c>
      <c r="G204" s="106">
        <v>0.31248763687231301</v>
      </c>
      <c r="H204" s="106">
        <v>1.7335506759549601E-2</v>
      </c>
      <c r="I204" s="106">
        <v>-0.649384443008033</v>
      </c>
      <c r="J204" s="106">
        <v>-3.74</v>
      </c>
      <c r="K204" s="106">
        <v>0.97699659292594798</v>
      </c>
      <c r="L204" s="106">
        <v>2.2413802962583801E-2</v>
      </c>
      <c r="M204" s="106">
        <v>0.86981848345302903</v>
      </c>
      <c r="N204" s="106">
        <v>6.0549210027118702E-3</v>
      </c>
      <c r="P204" s="106">
        <v>0.3298231436318626</v>
      </c>
      <c r="Q204" s="106">
        <v>0.29515213011276342</v>
      </c>
      <c r="R204" s="106">
        <v>0.34715865039141219</v>
      </c>
      <c r="S204" s="106">
        <v>0.27781662335321383</v>
      </c>
      <c r="AA204" s="106">
        <v>857</v>
      </c>
      <c r="AB204" s="106">
        <v>853.18747711461003</v>
      </c>
    </row>
    <row r="205" spans="1:28" x14ac:dyDescent="0.2">
      <c r="A205" s="14">
        <v>43644</v>
      </c>
      <c r="B205" s="106">
        <v>837</v>
      </c>
      <c r="C205" s="106">
        <v>832</v>
      </c>
      <c r="D205" s="106">
        <v>2760</v>
      </c>
      <c r="E205" s="106">
        <v>2785</v>
      </c>
      <c r="F205" s="106">
        <v>0.29874326750448799</v>
      </c>
      <c r="G205" s="106">
        <v>0.312800408700185</v>
      </c>
      <c r="H205" s="106">
        <v>1.7341191833660001E-2</v>
      </c>
      <c r="I205" s="106">
        <v>-0.810621399644054</v>
      </c>
      <c r="J205" s="106">
        <v>-4.71</v>
      </c>
      <c r="K205" s="106">
        <v>0.97632920554248304</v>
      </c>
      <c r="L205" s="106">
        <v>3.2205424954039698E-2</v>
      </c>
      <c r="M205" s="106">
        <v>0.86788631446205</v>
      </c>
      <c r="N205" s="106">
        <v>7.27281694733999E-3</v>
      </c>
      <c r="P205" s="106">
        <v>0.330141600533845</v>
      </c>
      <c r="Q205" s="106">
        <v>0.29545921686652499</v>
      </c>
      <c r="R205" s="106">
        <v>0.34748279236750501</v>
      </c>
      <c r="S205" s="106">
        <v>0.27811802503286498</v>
      </c>
      <c r="AA205" s="106">
        <v>832</v>
      </c>
      <c r="AB205" s="106">
        <v>835.19406810692055</v>
      </c>
    </row>
    <row r="206" spans="1:28" x14ac:dyDescent="0.2">
      <c r="A206" s="14">
        <v>43643</v>
      </c>
      <c r="B206" s="106">
        <v>824</v>
      </c>
      <c r="C206" s="106">
        <v>840</v>
      </c>
      <c r="D206" s="106">
        <v>2754</v>
      </c>
      <c r="E206" s="106">
        <v>2788.5</v>
      </c>
      <c r="F206" s="106">
        <v>0.30123722431414701</v>
      </c>
      <c r="G206" s="106">
        <v>0.31317978356584503</v>
      </c>
      <c r="H206" s="106">
        <v>1.7340748353799899E-2</v>
      </c>
      <c r="I206" s="106">
        <v>-0.68869918460473201</v>
      </c>
      <c r="J206" s="106">
        <v>-3.96</v>
      </c>
      <c r="K206" s="106">
        <v>0.97596179489801804</v>
      </c>
      <c r="L206" s="106">
        <v>2.2719459863054001E-2</v>
      </c>
      <c r="M206" s="106">
        <v>0.86604022458885099</v>
      </c>
      <c r="N206" s="106">
        <v>6.5384091467818196E-3</v>
      </c>
      <c r="P206" s="106">
        <v>0.33052053191964492</v>
      </c>
      <c r="Q206" s="106">
        <v>0.29583903521204513</v>
      </c>
      <c r="R206" s="106">
        <v>0.34786128027344482</v>
      </c>
      <c r="S206" s="106">
        <v>0.27849828685824524</v>
      </c>
      <c r="AA206" s="106">
        <v>840</v>
      </c>
      <c r="AB206" s="106">
        <v>836.24368363236908</v>
      </c>
    </row>
    <row r="207" spans="1:28" x14ac:dyDescent="0.2">
      <c r="A207" s="14">
        <v>43642</v>
      </c>
      <c r="B207" s="106">
        <v>806</v>
      </c>
      <c r="C207" s="106">
        <v>819</v>
      </c>
      <c r="D207" s="106">
        <v>2723.5</v>
      </c>
      <c r="E207" s="106">
        <v>2731</v>
      </c>
      <c r="F207" s="106">
        <v>0.29989015012815801</v>
      </c>
      <c r="G207" s="106">
        <v>0.31357035925545501</v>
      </c>
      <c r="H207" s="106">
        <v>1.7397162417135899E-2</v>
      </c>
      <c r="I207" s="106">
        <v>-0.78634715244266595</v>
      </c>
      <c r="J207" s="106">
        <v>-4.5599999999999996</v>
      </c>
      <c r="K207" s="106">
        <v>0.97575945053109703</v>
      </c>
      <c r="L207" s="106">
        <v>3.2972332382179899E-2</v>
      </c>
      <c r="M207" s="106">
        <v>0.86316903492120001</v>
      </c>
      <c r="N207" s="106">
        <v>8.3401308624844704E-3</v>
      </c>
      <c r="P207" s="106">
        <v>0.33096752167259091</v>
      </c>
      <c r="Q207" s="106">
        <v>0.29617319683831911</v>
      </c>
      <c r="R207" s="106">
        <v>0.34836468408972682</v>
      </c>
      <c r="S207" s="106">
        <v>0.27877603442118321</v>
      </c>
      <c r="AA207" s="106">
        <v>819</v>
      </c>
      <c r="AB207" s="106">
        <v>819</v>
      </c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2"/>
  <sheetViews>
    <sheetView showGridLines="0" zoomScale="115" zoomScaleNormal="115" workbookViewId="0">
      <selection activeCell="F35" sqref="F35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44</v>
      </c>
      <c r="G8" s="150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45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46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40</v>
      </c>
      <c r="C17" s="335" t="s">
        <v>1724</v>
      </c>
      <c r="D17" s="336"/>
      <c r="E17" s="336"/>
      <c r="F17" s="336"/>
      <c r="G17" s="337"/>
    </row>
    <row r="18" spans="2:9" x14ac:dyDescent="0.2">
      <c r="B18" s="4" t="s">
        <v>39</v>
      </c>
      <c r="C18" s="340" t="str">
        <f>C17 &amp; "\master\" &amp; H18</f>
        <v>G:\Stock\pairs_trade\pair_trade\stock_data\master\master.csv</v>
      </c>
      <c r="D18" s="341"/>
      <c r="E18" s="341"/>
      <c r="F18" s="341"/>
      <c r="G18" s="341"/>
      <c r="H18" s="338" t="s">
        <v>857</v>
      </c>
      <c r="I18" s="339"/>
    </row>
    <row r="19" spans="2:9" x14ac:dyDescent="0.2">
      <c r="B19" s="4" t="s">
        <v>260</v>
      </c>
      <c r="C19" s="342" t="str">
        <f>C17 &amp; "\master\" &amp; H19</f>
        <v>G:\Stock\pairs_trade\pair_trade\stock_data\master\fiscal_data.csv</v>
      </c>
      <c r="D19" s="343"/>
      <c r="E19" s="343"/>
      <c r="F19" s="343"/>
      <c r="G19" s="343"/>
      <c r="H19" s="338" t="s">
        <v>856</v>
      </c>
      <c r="I19" s="339"/>
    </row>
    <row r="20" spans="2:9" x14ac:dyDescent="0.2">
      <c r="B20" s="4" t="s">
        <v>932</v>
      </c>
      <c r="C20" s="186" t="str">
        <f>C17 &amp; "\master\" &amp; H20</f>
        <v>G:\Stock\pairs_trade\pair_trade\stock_data\master\gyakunipo_data.csv</v>
      </c>
      <c r="D20" s="187"/>
      <c r="E20" s="187"/>
      <c r="F20" s="187"/>
      <c r="G20" s="187"/>
      <c r="H20" s="338" t="s">
        <v>933</v>
      </c>
      <c r="I20" s="339"/>
    </row>
    <row r="21" spans="2:9" x14ac:dyDescent="0.2">
      <c r="B21" s="4" t="s">
        <v>1722</v>
      </c>
      <c r="C21" s="186" t="str">
        <f>C17 &amp; "\" &amp; H21</f>
        <v>G:\Stock\pairs_trade\pair_trade\stock_data\trade</v>
      </c>
      <c r="D21" s="187"/>
      <c r="E21" s="187"/>
      <c r="F21" s="187"/>
      <c r="G21" s="187"/>
      <c r="H21" s="338" t="s">
        <v>1723</v>
      </c>
      <c r="I21" s="339"/>
    </row>
    <row r="22" spans="2:9" x14ac:dyDescent="0.2">
      <c r="B22" s="4" t="s">
        <v>2233</v>
      </c>
      <c r="C22" s="266" t="str">
        <f>C17 &amp; "\" &amp; H22</f>
        <v>G:\Stock\pairs_trade\pair_trade\stock_data\result</v>
      </c>
      <c r="D22" s="267"/>
      <c r="E22" s="267"/>
      <c r="F22" s="267"/>
      <c r="G22" s="267"/>
      <c r="H22" s="338" t="s">
        <v>2232</v>
      </c>
      <c r="I22" s="339"/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zoomScaleNormal="100" workbookViewId="0">
      <selection activeCell="P37" sqref="P3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50" t="s">
        <v>910</v>
      </c>
      <c r="F2" s="348" t="s">
        <v>1708</v>
      </c>
      <c r="G2" s="345"/>
      <c r="H2" s="345"/>
      <c r="I2" s="345"/>
      <c r="J2" s="345"/>
      <c r="K2" s="345"/>
      <c r="L2" s="183"/>
      <c r="M2" s="183"/>
      <c r="N2" s="182"/>
      <c r="O2" s="349" t="s">
        <v>211</v>
      </c>
      <c r="P2" s="345"/>
      <c r="Q2" s="345"/>
      <c r="R2" s="345"/>
      <c r="S2" s="345"/>
      <c r="T2" s="345"/>
      <c r="U2" s="345"/>
      <c r="V2" s="345"/>
      <c r="W2" s="346"/>
      <c r="X2" s="344" t="s">
        <v>897</v>
      </c>
      <c r="Y2" s="345"/>
      <c r="Z2" s="345"/>
      <c r="AA2" s="345"/>
      <c r="AB2" s="345"/>
      <c r="AC2" s="345"/>
      <c r="AD2" s="345"/>
      <c r="AE2" s="346"/>
      <c r="AF2" s="347" t="s">
        <v>212</v>
      </c>
      <c r="AG2" s="345"/>
      <c r="AH2" s="345"/>
      <c r="AI2" s="345"/>
      <c r="AJ2" s="345"/>
      <c r="AK2" s="345"/>
      <c r="AL2" s="345"/>
      <c r="AM2" s="345"/>
      <c r="AN2" s="345"/>
      <c r="AO2" s="346"/>
      <c r="AP2" s="111" t="s">
        <v>2156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51"/>
      <c r="F3" s="109" t="s">
        <v>213</v>
      </c>
      <c r="G3" s="125" t="s">
        <v>214</v>
      </c>
      <c r="H3" s="125" t="s">
        <v>215</v>
      </c>
      <c r="I3" s="125" t="s">
        <v>216</v>
      </c>
      <c r="J3" s="125" t="s">
        <v>217</v>
      </c>
      <c r="K3" s="181" t="s">
        <v>259</v>
      </c>
      <c r="L3" s="181" t="s">
        <v>909</v>
      </c>
      <c r="M3" s="181"/>
      <c r="N3" s="126"/>
      <c r="O3" s="110" t="s">
        <v>213</v>
      </c>
      <c r="P3" s="114" t="s">
        <v>214</v>
      </c>
      <c r="Q3" s="114" t="s">
        <v>215</v>
      </c>
      <c r="R3" s="114" t="s">
        <v>216</v>
      </c>
      <c r="S3" s="114" t="s">
        <v>217</v>
      </c>
      <c r="T3" s="184" t="s">
        <v>259</v>
      </c>
      <c r="U3" s="184" t="s">
        <v>909</v>
      </c>
      <c r="V3" s="184"/>
      <c r="W3" s="115"/>
      <c r="X3" s="116" t="s">
        <v>898</v>
      </c>
      <c r="Y3" s="117" t="s">
        <v>899</v>
      </c>
      <c r="Z3" s="185" t="s">
        <v>1714</v>
      </c>
      <c r="AA3" s="185" t="s">
        <v>1715</v>
      </c>
      <c r="AB3" s="185" t="s">
        <v>1703</v>
      </c>
      <c r="AC3" s="185" t="s">
        <v>2326</v>
      </c>
      <c r="AD3" s="117" t="s">
        <v>2327</v>
      </c>
      <c r="AE3" s="118"/>
      <c r="AF3" s="119" t="s">
        <v>1704</v>
      </c>
      <c r="AG3" s="120" t="s">
        <v>218</v>
      </c>
      <c r="AH3" s="108" t="s">
        <v>219</v>
      </c>
      <c r="AI3" s="108" t="s">
        <v>220</v>
      </c>
      <c r="AJ3" s="108" t="s">
        <v>221</v>
      </c>
      <c r="AK3" s="120" t="s">
        <v>222</v>
      </c>
      <c r="AL3" s="120" t="s">
        <v>223</v>
      </c>
      <c r="AM3" s="108"/>
      <c r="AN3" s="120"/>
      <c r="AO3" s="121"/>
      <c r="AP3" s="122" t="s">
        <v>900</v>
      </c>
      <c r="AQ3" s="123" t="s">
        <v>224</v>
      </c>
      <c r="AR3" s="123" t="s">
        <v>901</v>
      </c>
      <c r="AS3" s="149" t="s">
        <v>225</v>
      </c>
    </row>
    <row r="4" spans="1:68" s="133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68" s="133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68" s="133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68" s="133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68" s="133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68" s="133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3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3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68" s="133" customFormat="1" ht="17.25" hidden="1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68" s="133" customFormat="1" ht="17.25" hidden="1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68" s="133" customFormat="1" ht="17.25" hidden="1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68" s="133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3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68" s="133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 x14ac:dyDescent="0.2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 x14ac:dyDescent="0.2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 s="133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68" s="133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3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A33" sqref="A33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2" t="s">
        <v>2213</v>
      </c>
      <c r="C1" s="190">
        <v>8795</v>
      </c>
      <c r="D1" s="191" t="s">
        <v>2214</v>
      </c>
      <c r="E1" s="189"/>
      <c r="F1" s="189"/>
      <c r="G1" s="189"/>
      <c r="H1" s="193" t="s">
        <v>2215</v>
      </c>
      <c r="I1" s="136">
        <v>6752</v>
      </c>
      <c r="J1" s="137" t="s">
        <v>2216</v>
      </c>
      <c r="N1" s="173"/>
      <c r="O1" s="194">
        <v>13</v>
      </c>
      <c r="P1" s="135" t="s">
        <v>2225</v>
      </c>
      <c r="Q1" s="195">
        <v>14</v>
      </c>
      <c r="R1" s="135"/>
      <c r="T1" s="173"/>
      <c r="U1" s="135" t="s">
        <v>1705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2217</v>
      </c>
      <c r="X2" s="174">
        <v>-2.8140612143613999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2218</v>
      </c>
      <c r="X3" s="174">
        <v>-8.11</v>
      </c>
    </row>
    <row r="4" spans="1:24" x14ac:dyDescent="0.2">
      <c r="A4" s="205" t="s">
        <v>2207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2219</v>
      </c>
      <c r="X4" s="174">
        <v>1.34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2220</v>
      </c>
      <c r="X5" s="174">
        <v>-86216</v>
      </c>
    </row>
    <row r="6" spans="1:24" ht="15" customHeight="1" x14ac:dyDescent="0.2">
      <c r="A6" s="205" t="s">
        <v>1706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2221</v>
      </c>
      <c r="X6" s="174">
        <v>0.90524543736923602</v>
      </c>
    </row>
    <row r="7" spans="1:24" x14ac:dyDescent="0.2">
      <c r="A7" s="206">
        <v>0.86120224196219175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2222</v>
      </c>
      <c r="X7" s="174">
        <v>0.91052373189302604</v>
      </c>
    </row>
    <row r="8" spans="1:24" x14ac:dyDescent="0.2">
      <c r="A8" s="205" t="s">
        <v>1707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2223</v>
      </c>
      <c r="X8" s="174">
        <v>4.6756204401709599E-2</v>
      </c>
    </row>
    <row r="9" spans="1:24" x14ac:dyDescent="0.2">
      <c r="A9" s="206">
        <v>0.49517257575023244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2224</v>
      </c>
      <c r="X9" s="174">
        <v>6.1995489679687E-3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858</v>
      </c>
      <c r="B41" s="106" t="s">
        <v>2209</v>
      </c>
      <c r="C41" s="106" t="s">
        <v>2210</v>
      </c>
      <c r="D41" s="106" t="s">
        <v>2211</v>
      </c>
      <c r="E41" s="106" t="s">
        <v>2212</v>
      </c>
      <c r="F41" s="106" t="s">
        <v>859</v>
      </c>
      <c r="G41" s="106" t="s">
        <v>860</v>
      </c>
      <c r="H41" s="106" t="s">
        <v>861</v>
      </c>
      <c r="I41" s="106" t="s">
        <v>862</v>
      </c>
      <c r="J41" s="106" t="s">
        <v>863</v>
      </c>
      <c r="L41" s="106" t="s">
        <v>206</v>
      </c>
      <c r="M41" s="106" t="s">
        <v>207</v>
      </c>
      <c r="N41" s="106" t="s">
        <v>208</v>
      </c>
      <c r="O41" s="106" t="s">
        <v>209</v>
      </c>
    </row>
    <row r="42" spans="1:20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L42">
        <v>0.78729131994466706</v>
      </c>
      <c r="M42">
        <v>0.74642133716202685</v>
      </c>
      <c r="N42">
        <v>0.80772631133598716</v>
      </c>
      <c r="O42">
        <v>0.72598634577070675</v>
      </c>
    </row>
    <row r="43" spans="1:20" x14ac:dyDescent="0.2">
      <c r="A43" s="14">
        <v>43818</v>
      </c>
      <c r="B43">
        <v>1025</v>
      </c>
      <c r="C43">
        <v>1026.5</v>
      </c>
      <c r="D43">
        <v>1414</v>
      </c>
      <c r="E43">
        <v>1429</v>
      </c>
      <c r="F43">
        <v>0.71833449965010499</v>
      </c>
      <c r="G43">
        <v>0.76796321039195004</v>
      </c>
      <c r="H43">
        <v>1.9517929187571701E-2</v>
      </c>
      <c r="I43">
        <v>-2.5427241929664799</v>
      </c>
      <c r="J43">
        <v>-6.91</v>
      </c>
      <c r="L43">
        <v>0.78748113957952171</v>
      </c>
      <c r="M43">
        <v>0.74844528120437837</v>
      </c>
      <c r="N43">
        <v>0.80699906876709349</v>
      </c>
      <c r="O43">
        <v>0.72892735201680658</v>
      </c>
    </row>
    <row r="44" spans="1:20" x14ac:dyDescent="0.2">
      <c r="A44" s="14">
        <v>43817</v>
      </c>
      <c r="B44">
        <v>1040.5</v>
      </c>
      <c r="C44">
        <v>1025.5</v>
      </c>
      <c r="D44">
        <v>1415</v>
      </c>
      <c r="E44">
        <v>1424</v>
      </c>
      <c r="F44">
        <v>0.72015449438202195</v>
      </c>
      <c r="G44">
        <v>0.76902326906066198</v>
      </c>
      <c r="H44">
        <v>1.8944299245301902E-2</v>
      </c>
      <c r="I44">
        <v>-2.5796031854152299</v>
      </c>
      <c r="J44">
        <v>-6.79</v>
      </c>
      <c r="L44">
        <v>0.78796756830596393</v>
      </c>
      <c r="M44">
        <v>0.75007896981536004</v>
      </c>
      <c r="N44">
        <v>0.80691186755126576</v>
      </c>
      <c r="O44">
        <v>0.73113467057005821</v>
      </c>
    </row>
    <row r="45" spans="1:20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L45">
        <v>0.78873464780974678</v>
      </c>
      <c r="M45">
        <v>0.7516150168382032</v>
      </c>
      <c r="N45">
        <v>0.80729446329551857</v>
      </c>
      <c r="O45">
        <v>0.73305520135243141</v>
      </c>
    </row>
    <row r="46" spans="1:20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L46">
        <v>0.78958171540593314</v>
      </c>
      <c r="M46">
        <v>0.75238492619448694</v>
      </c>
      <c r="N46">
        <v>0.80818011001165624</v>
      </c>
      <c r="O46">
        <v>0.73378653158876384</v>
      </c>
    </row>
    <row r="47" spans="1:20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L47">
        <v>0.79032030910304707</v>
      </c>
      <c r="M47">
        <v>0.75281310210735497</v>
      </c>
      <c r="N47">
        <v>0.80907391260089323</v>
      </c>
      <c r="O47">
        <v>0.73405949860950881</v>
      </c>
    </row>
    <row r="48" spans="1:20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L48">
        <v>0.79090640125255884</v>
      </c>
      <c r="M48">
        <v>0.75293924483070507</v>
      </c>
      <c r="N48">
        <v>0.80988997946348573</v>
      </c>
      <c r="O48">
        <v>0.73395566661977818</v>
      </c>
    </row>
    <row r="49" spans="1:15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L49">
        <v>0.79163643784006776</v>
      </c>
      <c r="M49">
        <v>0.75295606878516419</v>
      </c>
      <c r="N49">
        <v>0.81097662236751955</v>
      </c>
      <c r="O49">
        <v>0.7336158842577124</v>
      </c>
    </row>
    <row r="50" spans="1:15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L50">
        <v>0.7926909140972076</v>
      </c>
      <c r="M50">
        <v>0.7527381360758385</v>
      </c>
      <c r="N50">
        <v>0.81266730310789226</v>
      </c>
      <c r="O50">
        <v>0.73276174706515385</v>
      </c>
    </row>
    <row r="51" spans="1:15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L51">
        <v>0.79360300364146108</v>
      </c>
      <c r="M51">
        <v>0.75273203652764098</v>
      </c>
      <c r="N51">
        <v>0.81403848719837102</v>
      </c>
      <c r="O51">
        <v>0.73229655297073104</v>
      </c>
    </row>
    <row r="52" spans="1:15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L52">
        <v>0.79427300296012793</v>
      </c>
      <c r="M52">
        <v>0.752905778761918</v>
      </c>
      <c r="N52">
        <v>0.814956615059233</v>
      </c>
      <c r="O52">
        <v>0.73222216666281292</v>
      </c>
    </row>
    <row r="53" spans="1:15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L53">
        <v>0.79553696508389193</v>
      </c>
      <c r="M53">
        <v>0.75314387409799211</v>
      </c>
      <c r="N53">
        <v>0.81673351057684185</v>
      </c>
      <c r="O53">
        <v>0.73194732860504219</v>
      </c>
    </row>
    <row r="54" spans="1:15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L54">
        <v>0.7962958552957019</v>
      </c>
      <c r="M54">
        <v>0.7531993321318341</v>
      </c>
      <c r="N54">
        <v>0.81784411687763581</v>
      </c>
      <c r="O54">
        <v>0.7316510705499002</v>
      </c>
    </row>
    <row r="55" spans="1:15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L55">
        <v>0.79733950929475461</v>
      </c>
      <c r="M55">
        <v>0.75301982062642137</v>
      </c>
      <c r="N55">
        <v>0.81949935362892123</v>
      </c>
      <c r="O55">
        <v>0.73085997629225474</v>
      </c>
    </row>
    <row r="56" spans="1:15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L56">
        <v>0.79863474408375401</v>
      </c>
      <c r="M56">
        <v>0.75274895165972588</v>
      </c>
      <c r="N56">
        <v>0.82157764029576819</v>
      </c>
      <c r="O56">
        <v>0.72980605544771171</v>
      </c>
    </row>
    <row r="57" spans="1:15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L57">
        <v>0.79840257700444162</v>
      </c>
      <c r="M57">
        <v>0.75270910416353631</v>
      </c>
      <c r="N57">
        <v>0.82124931342489438</v>
      </c>
      <c r="O57">
        <v>0.72986236774308355</v>
      </c>
    </row>
    <row r="58" spans="1:15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L58">
        <v>0.79777588085832496</v>
      </c>
      <c r="M58">
        <v>0.7524417427791471</v>
      </c>
      <c r="N58">
        <v>0.82044294989791378</v>
      </c>
      <c r="O58">
        <v>0.72977467373955829</v>
      </c>
    </row>
    <row r="59" spans="1:15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L59">
        <v>0.79739064723358677</v>
      </c>
      <c r="M59">
        <v>0.75200546528013934</v>
      </c>
      <c r="N59">
        <v>0.82008323821031048</v>
      </c>
      <c r="O59">
        <v>0.72931287430341563</v>
      </c>
    </row>
    <row r="60" spans="1:15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L60">
        <v>0.79732617627845692</v>
      </c>
      <c r="M60">
        <v>0.75127514293333308</v>
      </c>
      <c r="N60">
        <v>0.82035169295101884</v>
      </c>
      <c r="O60">
        <v>0.72824962626077117</v>
      </c>
    </row>
    <row r="61" spans="1:15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L61">
        <v>0.79700976929007683</v>
      </c>
      <c r="M61">
        <v>0.75063665972246518</v>
      </c>
      <c r="N61">
        <v>0.82019632407388265</v>
      </c>
      <c r="O61">
        <v>0.72745010493865936</v>
      </c>
    </row>
    <row r="62" spans="1:15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L62">
        <v>0.79697139683620877</v>
      </c>
      <c r="M62">
        <v>0.75044277607682319</v>
      </c>
      <c r="N62">
        <v>0.82023570721590155</v>
      </c>
      <c r="O62">
        <v>0.72717846569713041</v>
      </c>
    </row>
    <row r="63" spans="1:15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L63">
        <v>0.79648882755290096</v>
      </c>
      <c r="M63">
        <v>0.74952927885593312</v>
      </c>
      <c r="N63">
        <v>0.81996860190138487</v>
      </c>
      <c r="O63">
        <v>0.72604950450744921</v>
      </c>
    </row>
    <row r="64" spans="1:15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L64">
        <v>0.79549409515870018</v>
      </c>
      <c r="M64">
        <v>0.74907637605366384</v>
      </c>
      <c r="N64">
        <v>0.81870295471121846</v>
      </c>
      <c r="O64">
        <v>0.72586751650114556</v>
      </c>
    </row>
    <row r="65" spans="1:15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L65">
        <v>0.79504067961166902</v>
      </c>
      <c r="M65">
        <v>0.74880300977990288</v>
      </c>
      <c r="N65">
        <v>0.8181595145275522</v>
      </c>
      <c r="O65">
        <v>0.7256841748640197</v>
      </c>
    </row>
    <row r="66" spans="1:15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L66">
        <v>0.7950229425203591</v>
      </c>
      <c r="M66">
        <v>0.74872714379693284</v>
      </c>
      <c r="N66">
        <v>0.81817084188207212</v>
      </c>
      <c r="O66">
        <v>0.72557924443521982</v>
      </c>
    </row>
    <row r="67" spans="1:15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L67">
        <v>0.79503933295258744</v>
      </c>
      <c r="M67">
        <v>0.74845857166158847</v>
      </c>
      <c r="N67">
        <v>0.81832971359808693</v>
      </c>
      <c r="O67">
        <v>0.72516819101608898</v>
      </c>
    </row>
    <row r="68" spans="1:15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L68">
        <v>0.79503345724528851</v>
      </c>
      <c r="M68">
        <v>0.74856306554940544</v>
      </c>
      <c r="N68">
        <v>0.81826865309322994</v>
      </c>
      <c r="O68">
        <v>0.72532786970146401</v>
      </c>
    </row>
    <row r="69" spans="1:15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L69">
        <v>0.79503852232934102</v>
      </c>
      <c r="M69">
        <v>0.74858509218542291</v>
      </c>
      <c r="N69">
        <v>0.81826523740130019</v>
      </c>
      <c r="O69">
        <v>0.72535837711346374</v>
      </c>
    </row>
    <row r="70" spans="1:15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L70">
        <v>0.79502659062798453</v>
      </c>
      <c r="M70">
        <v>0.74855505306349546</v>
      </c>
      <c r="N70">
        <v>0.81826235941022896</v>
      </c>
      <c r="O70">
        <v>0.72531928428125103</v>
      </c>
    </row>
    <row r="71" spans="1:15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L71">
        <v>0.79508191968768205</v>
      </c>
      <c r="M71">
        <v>0.74879475391720385</v>
      </c>
      <c r="N71">
        <v>0.81822550257292115</v>
      </c>
      <c r="O71">
        <v>0.72565117103196475</v>
      </c>
    </row>
    <row r="72" spans="1:15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L72">
        <v>0.79511167648339398</v>
      </c>
      <c r="M72">
        <v>0.74887345208754807</v>
      </c>
      <c r="N72">
        <v>0.81823078868131704</v>
      </c>
      <c r="O72">
        <v>0.72575433988962501</v>
      </c>
    </row>
    <row r="73" spans="1:15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L73">
        <v>0.79499440446465197</v>
      </c>
      <c r="M73">
        <v>0.74837825739901409</v>
      </c>
      <c r="N73">
        <v>0.8183024779974708</v>
      </c>
      <c r="O73">
        <v>0.72507018386619526</v>
      </c>
    </row>
    <row r="74" spans="1:15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L74">
        <v>0.79464448246512009</v>
      </c>
      <c r="M74">
        <v>0.74814734073874989</v>
      </c>
      <c r="N74">
        <v>0.8178930533283052</v>
      </c>
      <c r="O74">
        <v>0.72489876987556479</v>
      </c>
    </row>
    <row r="75" spans="1:15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L75">
        <v>0.79449152350194929</v>
      </c>
      <c r="M75">
        <v>0.74804547725797665</v>
      </c>
      <c r="N75">
        <v>0.81771454662393561</v>
      </c>
      <c r="O75">
        <v>0.72482245413599034</v>
      </c>
    </row>
    <row r="76" spans="1:15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L76">
        <v>0.79372984361392107</v>
      </c>
      <c r="M76">
        <v>0.74805724326195899</v>
      </c>
      <c r="N76">
        <v>0.816566143789902</v>
      </c>
      <c r="O76">
        <v>0.72522094308597806</v>
      </c>
    </row>
    <row r="77" spans="1:15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L77">
        <v>0.7925367199889124</v>
      </c>
      <c r="M77">
        <v>0.74808094882376963</v>
      </c>
      <c r="N77">
        <v>0.81476460557148378</v>
      </c>
      <c r="O77">
        <v>0.72585306324119825</v>
      </c>
    </row>
    <row r="78" spans="1:15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L78">
        <v>0.79274567330631118</v>
      </c>
      <c r="M78">
        <v>0.74849323348291485</v>
      </c>
      <c r="N78">
        <v>0.81487189321800946</v>
      </c>
      <c r="O78">
        <v>0.72636701357121658</v>
      </c>
    </row>
    <row r="79" spans="1:15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L79">
        <v>0.79301335514810567</v>
      </c>
      <c r="M79">
        <v>0.74908521553829643</v>
      </c>
      <c r="N79">
        <v>0.81497742495301029</v>
      </c>
      <c r="O79">
        <v>0.72712114573339182</v>
      </c>
    </row>
    <row r="80" spans="1:15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L80">
        <v>0.79320275262649742</v>
      </c>
      <c r="M80">
        <v>0.75030311394303462</v>
      </c>
      <c r="N80">
        <v>0.81465257196822882</v>
      </c>
      <c r="O80">
        <v>0.72885329460130321</v>
      </c>
    </row>
    <row r="81" spans="1:15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L81">
        <v>0.79358684588089679</v>
      </c>
      <c r="M81">
        <v>0.75097722036130321</v>
      </c>
      <c r="N81">
        <v>0.81489165864069357</v>
      </c>
      <c r="O81">
        <v>0.72967240760150642</v>
      </c>
    </row>
    <row r="82" spans="1:15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L82">
        <v>0.79403426408060374</v>
      </c>
      <c r="M82">
        <v>0.75161629132675034</v>
      </c>
      <c r="N82">
        <v>0.81524325045753043</v>
      </c>
      <c r="O82">
        <v>0.73040730494982364</v>
      </c>
    </row>
    <row r="83" spans="1:15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L83">
        <v>0.79417081896599173</v>
      </c>
      <c r="M83">
        <v>0.75230963964607622</v>
      </c>
      <c r="N83">
        <v>0.8151014086259496</v>
      </c>
      <c r="O83">
        <v>0.73137904998611836</v>
      </c>
    </row>
    <row r="84" spans="1:15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L84">
        <v>0.79420039002234544</v>
      </c>
      <c r="M84">
        <v>0.75312389162049864</v>
      </c>
      <c r="N84">
        <v>0.81473863922326883</v>
      </c>
      <c r="O84">
        <v>0.73258564241957524</v>
      </c>
    </row>
    <row r="85" spans="1:15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L85">
        <v>0.79427195865430544</v>
      </c>
      <c r="M85">
        <v>0.75342129020544046</v>
      </c>
      <c r="N85">
        <v>0.81469729287873793</v>
      </c>
      <c r="O85">
        <v>0.73299595598100797</v>
      </c>
    </row>
    <row r="86" spans="1:15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L86">
        <v>0.79431435684963059</v>
      </c>
      <c r="M86">
        <v>0.75393337021165141</v>
      </c>
      <c r="N86">
        <v>0.81450485016862018</v>
      </c>
      <c r="O86">
        <v>0.73374287689266182</v>
      </c>
    </row>
    <row r="87" spans="1:15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L87">
        <v>0.79428803371595269</v>
      </c>
      <c r="M87">
        <v>0.75379745208604321</v>
      </c>
      <c r="N87">
        <v>0.81453332453090732</v>
      </c>
      <c r="O87">
        <v>0.73355216127108858</v>
      </c>
    </row>
    <row r="88" spans="1:15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L88">
        <v>0.79445806675598585</v>
      </c>
      <c r="M88">
        <v>0.75432303330838424</v>
      </c>
      <c r="N88">
        <v>0.81452558347978665</v>
      </c>
      <c r="O88">
        <v>0.73425551658458343</v>
      </c>
    </row>
    <row r="89" spans="1:15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L89">
        <v>0.79458806821141559</v>
      </c>
      <c r="M89">
        <v>0.7548584255470544</v>
      </c>
      <c r="N89">
        <v>0.81445288954359618</v>
      </c>
      <c r="O89">
        <v>0.73499360421487381</v>
      </c>
    </row>
    <row r="90" spans="1:15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L90">
        <v>0.79478956323809102</v>
      </c>
      <c r="M90">
        <v>0.75535158168640093</v>
      </c>
      <c r="N90">
        <v>0.81450855401393596</v>
      </c>
      <c r="O90">
        <v>0.73563259091055599</v>
      </c>
    </row>
    <row r="91" spans="1:15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L91">
        <v>0.79503594781966602</v>
      </c>
      <c r="M91">
        <v>0.75566252152861191</v>
      </c>
      <c r="N91">
        <v>0.81472266096519319</v>
      </c>
      <c r="O91">
        <v>0.73597580838308474</v>
      </c>
    </row>
    <row r="92" spans="1:15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L92">
        <v>0.79510582083509573</v>
      </c>
      <c r="M92">
        <v>0.75586862654506637</v>
      </c>
      <c r="N92">
        <v>0.81472441798011042</v>
      </c>
      <c r="O92">
        <v>0.73625002940005169</v>
      </c>
    </row>
    <row r="93" spans="1:15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L93">
        <v>0.79516202463816343</v>
      </c>
      <c r="M93">
        <v>0.75626282988435256</v>
      </c>
      <c r="N93">
        <v>0.81461162201506876</v>
      </c>
      <c r="O93">
        <v>0.73681323250744724</v>
      </c>
    </row>
    <row r="94" spans="1:15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L94">
        <v>0.79516483912433755</v>
      </c>
      <c r="M94">
        <v>0.75627249807804642</v>
      </c>
      <c r="N94">
        <v>0.81461100964748323</v>
      </c>
      <c r="O94">
        <v>0.73682632755490074</v>
      </c>
    </row>
    <row r="95" spans="1:15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L95">
        <v>0.79499298452305722</v>
      </c>
      <c r="M95">
        <v>0.75581574934123474</v>
      </c>
      <c r="N95">
        <v>0.81458160211396835</v>
      </c>
      <c r="O95">
        <v>0.73622713175032362</v>
      </c>
    </row>
    <row r="96" spans="1:15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L96">
        <v>0.79496912335504677</v>
      </c>
      <c r="M96">
        <v>0.75565113132209516</v>
      </c>
      <c r="N96">
        <v>0.81462811937152257</v>
      </c>
      <c r="O96">
        <v>0.73599213530561935</v>
      </c>
    </row>
    <row r="97" spans="1:15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L97">
        <v>0.79495340905272294</v>
      </c>
      <c r="M97">
        <v>0.75557651448261309</v>
      </c>
      <c r="N97">
        <v>0.81464185633777786</v>
      </c>
      <c r="O97">
        <v>0.73588806719755817</v>
      </c>
    </row>
    <row r="98" spans="1:15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L98">
        <v>0.79500391827519246</v>
      </c>
      <c r="M98">
        <v>0.75573040734773156</v>
      </c>
      <c r="N98">
        <v>0.81464067373892302</v>
      </c>
      <c r="O98">
        <v>0.736093651884001</v>
      </c>
    </row>
    <row r="99" spans="1:15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L99">
        <v>0.79503680290385637</v>
      </c>
      <c r="M99">
        <v>0.75581358629494155</v>
      </c>
      <c r="N99">
        <v>0.81464841120831377</v>
      </c>
      <c r="O99">
        <v>0.73620197799048415</v>
      </c>
    </row>
    <row r="100" spans="1:15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L100">
        <v>0.79527916391460762</v>
      </c>
      <c r="M100">
        <v>0.7560866692620184</v>
      </c>
      <c r="N100">
        <v>0.81487541124090224</v>
      </c>
      <c r="O100">
        <v>0.73649042193572378</v>
      </c>
    </row>
    <row r="101" spans="1:15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L101">
        <v>0.79533762728030166</v>
      </c>
      <c r="M101">
        <v>0.75615687712529445</v>
      </c>
      <c r="N101">
        <v>0.81492800235780527</v>
      </c>
      <c r="O101">
        <v>0.73656650204779084</v>
      </c>
    </row>
    <row r="102" spans="1:15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L102">
        <v>0.79546056878785643</v>
      </c>
      <c r="M102">
        <v>0.7563234846639435</v>
      </c>
      <c r="N102">
        <v>0.815029110849813</v>
      </c>
      <c r="O102">
        <v>0.73675494260198693</v>
      </c>
    </row>
    <row r="103" spans="1:15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L103">
        <v>0.79561281731773903</v>
      </c>
      <c r="M103">
        <v>0.75671456398173698</v>
      </c>
      <c r="N103">
        <v>0.81506194398574006</v>
      </c>
      <c r="O103">
        <v>0.73726543731373595</v>
      </c>
    </row>
    <row r="104" spans="1:15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L104">
        <v>0.79576360485522202</v>
      </c>
      <c r="M104">
        <v>0.75677871949790798</v>
      </c>
      <c r="N104">
        <v>0.81525604753387904</v>
      </c>
      <c r="O104">
        <v>0.73728627681925096</v>
      </c>
    </row>
    <row r="105" spans="1:15" x14ac:dyDescent="0.2">
      <c r="A105" s="14">
        <v>43726</v>
      </c>
      <c r="B105">
        <v>903.7</v>
      </c>
      <c r="C105">
        <v>900.8</v>
      </c>
      <c r="D105">
        <v>1170</v>
      </c>
      <c r="E105">
        <v>1155</v>
      </c>
      <c r="F105">
        <v>0.779913419913419</v>
      </c>
      <c r="G105">
        <v>0.77617609216066796</v>
      </c>
      <c r="H105">
        <v>1.9519903724671401E-2</v>
      </c>
      <c r="I105">
        <v>0.19146240706237899</v>
      </c>
      <c r="J105">
        <v>0.48</v>
      </c>
      <c r="L105">
        <v>0.79569599588533935</v>
      </c>
      <c r="M105">
        <v>0.75665618843599658</v>
      </c>
      <c r="N105">
        <v>0.81521589961001073</v>
      </c>
      <c r="O105">
        <v>0.7371362847113252</v>
      </c>
    </row>
    <row r="106" spans="1:15" x14ac:dyDescent="0.2">
      <c r="A106" s="14">
        <v>43725</v>
      </c>
      <c r="B106">
        <v>900</v>
      </c>
      <c r="C106">
        <v>901.5</v>
      </c>
      <c r="D106">
        <v>1183</v>
      </c>
      <c r="E106">
        <v>1181</v>
      </c>
      <c r="F106">
        <v>0.763336155800169</v>
      </c>
      <c r="G106">
        <v>0.775927481303606</v>
      </c>
      <c r="H106">
        <v>1.9589336523205499E-2</v>
      </c>
      <c r="I106">
        <v>-0.64276426557488797</v>
      </c>
      <c r="J106">
        <v>-1.65</v>
      </c>
      <c r="L106">
        <v>0.7955168178268115</v>
      </c>
      <c r="M106">
        <v>0.75633814478040051</v>
      </c>
      <c r="N106">
        <v>0.81510615435001699</v>
      </c>
      <c r="O106">
        <v>0.73674880825719502</v>
      </c>
    </row>
    <row r="107" spans="1:15" x14ac:dyDescent="0.2">
      <c r="A107" s="14">
        <v>43721</v>
      </c>
      <c r="B107">
        <v>903.4</v>
      </c>
      <c r="C107">
        <v>907.6</v>
      </c>
      <c r="D107">
        <v>1178</v>
      </c>
      <c r="E107">
        <v>1189</v>
      </c>
      <c r="F107">
        <v>0.76333052985702199</v>
      </c>
      <c r="G107">
        <v>0.77599708857335004</v>
      </c>
      <c r="H107">
        <v>1.9553714546499502E-2</v>
      </c>
      <c r="I107">
        <v>-0.64778273643127904</v>
      </c>
      <c r="J107">
        <v>-1.66</v>
      </c>
      <c r="L107">
        <v>0.79555080311984949</v>
      </c>
      <c r="M107">
        <v>0.75644337402685058</v>
      </c>
      <c r="N107">
        <v>0.81510451766634906</v>
      </c>
      <c r="O107">
        <v>0.73688965948035101</v>
      </c>
    </row>
    <row r="108" spans="1:15" x14ac:dyDescent="0.2">
      <c r="A108" s="14">
        <v>43720</v>
      </c>
      <c r="B108">
        <v>899.1</v>
      </c>
      <c r="C108">
        <v>902.3</v>
      </c>
      <c r="D108">
        <v>1194</v>
      </c>
      <c r="E108">
        <v>1183</v>
      </c>
      <c r="F108">
        <v>0.76272189349112396</v>
      </c>
      <c r="G108">
        <v>0.77612659455206801</v>
      </c>
      <c r="H108">
        <v>1.95014890582654E-2</v>
      </c>
      <c r="I108">
        <v>-0.68736807845258896</v>
      </c>
      <c r="J108">
        <v>-1.76</v>
      </c>
      <c r="L108">
        <v>0.79562808361033344</v>
      </c>
      <c r="M108">
        <v>0.75662510549380257</v>
      </c>
      <c r="N108">
        <v>0.81512957266859876</v>
      </c>
      <c r="O108">
        <v>0.73712361643553725</v>
      </c>
    </row>
    <row r="109" spans="1:15" x14ac:dyDescent="0.2">
      <c r="A109" s="14">
        <v>43719</v>
      </c>
      <c r="B109">
        <v>890.4</v>
      </c>
      <c r="C109">
        <v>901.6</v>
      </c>
      <c r="D109">
        <v>1150</v>
      </c>
      <c r="E109">
        <v>1186</v>
      </c>
      <c r="F109">
        <v>0.76020236087689697</v>
      </c>
      <c r="G109">
        <v>0.77621346744890696</v>
      </c>
      <c r="H109">
        <v>1.9456041110153401E-2</v>
      </c>
      <c r="I109">
        <v>-0.82293753808192804</v>
      </c>
      <c r="J109">
        <v>-2.11</v>
      </c>
      <c r="L109">
        <v>0.79566950855906038</v>
      </c>
      <c r="M109">
        <v>0.75675742633875354</v>
      </c>
      <c r="N109">
        <v>0.8151255496692138</v>
      </c>
      <c r="O109">
        <v>0.73730138522860011</v>
      </c>
    </row>
    <row r="110" spans="1:15" x14ac:dyDescent="0.2">
      <c r="A110" s="14">
        <v>43718</v>
      </c>
      <c r="B110">
        <v>863</v>
      </c>
      <c r="C110">
        <v>881.4</v>
      </c>
      <c r="D110">
        <v>1110</v>
      </c>
      <c r="E110">
        <v>1121</v>
      </c>
      <c r="F110">
        <v>0.78626226583407599</v>
      </c>
      <c r="G110">
        <v>0.776250573732987</v>
      </c>
      <c r="H110">
        <v>1.9428103334853002E-2</v>
      </c>
      <c r="I110">
        <v>0.51532009731121697</v>
      </c>
      <c r="J110">
        <v>1.27</v>
      </c>
      <c r="L110">
        <v>0.79567867706784001</v>
      </c>
      <c r="M110">
        <v>0.756822470398134</v>
      </c>
      <c r="N110">
        <v>0.81510678040269302</v>
      </c>
      <c r="O110">
        <v>0.73739436706328099</v>
      </c>
    </row>
    <row r="111" spans="1:15" x14ac:dyDescent="0.2">
      <c r="A111" s="14">
        <v>43717</v>
      </c>
      <c r="B111">
        <v>853.1</v>
      </c>
      <c r="C111">
        <v>852.2</v>
      </c>
      <c r="D111">
        <v>1076</v>
      </c>
      <c r="E111">
        <v>1084</v>
      </c>
      <c r="F111">
        <v>0.78616236162361597</v>
      </c>
      <c r="G111">
        <v>0.77603712643233602</v>
      </c>
      <c r="H111">
        <v>1.9404862364710701E-2</v>
      </c>
      <c r="I111">
        <v>0.52178856005149898</v>
      </c>
      <c r="J111">
        <v>1.29</v>
      </c>
      <c r="L111">
        <v>0.79544198879704675</v>
      </c>
      <c r="M111">
        <v>0.75663226406762529</v>
      </c>
      <c r="N111">
        <v>0.81484685116175748</v>
      </c>
      <c r="O111">
        <v>0.73722740170291456</v>
      </c>
    </row>
    <row r="112" spans="1:15" x14ac:dyDescent="0.2">
      <c r="A112" s="14">
        <v>43714</v>
      </c>
      <c r="B112">
        <v>843.3</v>
      </c>
      <c r="C112">
        <v>850.3</v>
      </c>
      <c r="D112">
        <v>1087</v>
      </c>
      <c r="E112">
        <v>1073</v>
      </c>
      <c r="F112">
        <v>0.79245107176141605</v>
      </c>
      <c r="G112">
        <v>0.77582529379854603</v>
      </c>
      <c r="H112">
        <v>1.93798756370464E-2</v>
      </c>
      <c r="I112">
        <v>0.85788878495632204</v>
      </c>
      <c r="J112">
        <v>2.1</v>
      </c>
      <c r="L112">
        <v>0.79520516943559238</v>
      </c>
      <c r="M112">
        <v>0.75644541816149968</v>
      </c>
      <c r="N112">
        <v>0.81458504507263885</v>
      </c>
      <c r="O112">
        <v>0.73706554252445322</v>
      </c>
    </row>
    <row r="113" spans="1:15" x14ac:dyDescent="0.2">
      <c r="A113" s="14">
        <v>43713</v>
      </c>
      <c r="B113">
        <v>826.1</v>
      </c>
      <c r="C113">
        <v>835</v>
      </c>
      <c r="D113">
        <v>1045</v>
      </c>
      <c r="E113">
        <v>1069</v>
      </c>
      <c r="F113">
        <v>0.78110383536014905</v>
      </c>
      <c r="G113">
        <v>0.77566595192714505</v>
      </c>
      <c r="H113">
        <v>1.9291450493050699E-2</v>
      </c>
      <c r="I113">
        <v>0.28188048560490397</v>
      </c>
      <c r="J113">
        <v>0.7</v>
      </c>
      <c r="L113">
        <v>0.79495740242019575</v>
      </c>
      <c r="M113">
        <v>0.75637450143409435</v>
      </c>
      <c r="N113">
        <v>0.81424885291324645</v>
      </c>
      <c r="O113">
        <v>0.73708305094104365</v>
      </c>
    </row>
    <row r="114" spans="1:15" x14ac:dyDescent="0.2">
      <c r="A114" s="14">
        <v>43712</v>
      </c>
      <c r="B114">
        <v>815</v>
      </c>
      <c r="C114">
        <v>818</v>
      </c>
      <c r="D114">
        <v>1048</v>
      </c>
      <c r="E114">
        <v>1039</v>
      </c>
      <c r="F114">
        <v>0.78729547641963404</v>
      </c>
      <c r="G114">
        <v>0.77570845872892402</v>
      </c>
      <c r="H114">
        <v>1.9306891554023001E-2</v>
      </c>
      <c r="I114">
        <v>0.60014931239904201</v>
      </c>
      <c r="J114">
        <v>1.47</v>
      </c>
      <c r="L114">
        <v>0.79501535028294701</v>
      </c>
      <c r="M114">
        <v>0.75640156717490103</v>
      </c>
      <c r="N114">
        <v>0.81432224183697</v>
      </c>
      <c r="O114">
        <v>0.73709467562087805</v>
      </c>
    </row>
    <row r="115" spans="1:15" x14ac:dyDescent="0.2">
      <c r="A115" s="14">
        <v>43711</v>
      </c>
      <c r="B115">
        <v>815.5</v>
      </c>
      <c r="C115">
        <v>819.3</v>
      </c>
      <c r="D115">
        <v>1043</v>
      </c>
      <c r="E115">
        <v>1051</v>
      </c>
      <c r="F115">
        <v>0.77954329210275897</v>
      </c>
      <c r="G115">
        <v>0.77567912331831401</v>
      </c>
      <c r="H115">
        <v>1.9290928529823701E-2</v>
      </c>
      <c r="I115">
        <v>0.200310149844279</v>
      </c>
      <c r="J115">
        <v>0.5</v>
      </c>
      <c r="L115">
        <v>0.79497005184813774</v>
      </c>
      <c r="M115">
        <v>0.75638819478849029</v>
      </c>
      <c r="N115">
        <v>0.81426098037796146</v>
      </c>
      <c r="O115">
        <v>0.73709726625866656</v>
      </c>
    </row>
    <row r="116" spans="1:15" x14ac:dyDescent="0.2">
      <c r="A116" s="14">
        <v>43710</v>
      </c>
      <c r="B116">
        <v>817</v>
      </c>
      <c r="C116">
        <v>814.1</v>
      </c>
      <c r="D116">
        <v>1029</v>
      </c>
      <c r="E116">
        <v>1047</v>
      </c>
      <c r="F116">
        <v>0.77755491881566297</v>
      </c>
      <c r="G116">
        <v>0.77583343908353497</v>
      </c>
      <c r="H116">
        <v>1.9367362137572099E-2</v>
      </c>
      <c r="I116">
        <v>8.8885606614905993E-2</v>
      </c>
      <c r="J116">
        <v>0.22</v>
      </c>
      <c r="L116">
        <v>0.79520080122110703</v>
      </c>
      <c r="M116">
        <v>0.75646607694596291</v>
      </c>
      <c r="N116">
        <v>0.81456816335867921</v>
      </c>
      <c r="O116">
        <v>0.73709871480839073</v>
      </c>
    </row>
    <row r="117" spans="1:15" x14ac:dyDescent="0.2">
      <c r="A117" s="14">
        <v>43707</v>
      </c>
      <c r="B117">
        <v>817.4</v>
      </c>
      <c r="C117">
        <v>820.1</v>
      </c>
      <c r="D117">
        <v>1034</v>
      </c>
      <c r="E117">
        <v>1035</v>
      </c>
      <c r="F117">
        <v>0.79236714975845401</v>
      </c>
      <c r="G117">
        <v>0.77638048358825595</v>
      </c>
      <c r="H117">
        <v>1.9978068908017999E-2</v>
      </c>
      <c r="I117">
        <v>0.80021078332460505</v>
      </c>
      <c r="J117">
        <v>2.02</v>
      </c>
      <c r="L117">
        <v>0.79635855249627396</v>
      </c>
      <c r="M117">
        <v>0.75640241468023794</v>
      </c>
      <c r="N117">
        <v>0.81633662140429197</v>
      </c>
      <c r="O117">
        <v>0.73642434577221993</v>
      </c>
    </row>
    <row r="118" spans="1:15" x14ac:dyDescent="0.2">
      <c r="A118" s="14">
        <v>43706</v>
      </c>
      <c r="B118">
        <v>815</v>
      </c>
      <c r="C118">
        <v>812.2</v>
      </c>
      <c r="D118">
        <v>1008</v>
      </c>
      <c r="E118">
        <v>1018</v>
      </c>
      <c r="F118">
        <v>0.79783889980353595</v>
      </c>
      <c r="G118">
        <v>0.775964488427348</v>
      </c>
      <c r="H118">
        <v>1.9965678847219899E-2</v>
      </c>
      <c r="I118">
        <v>1.09560068273031</v>
      </c>
      <c r="J118">
        <v>2.74</v>
      </c>
      <c r="L118">
        <v>0.79593016727456789</v>
      </c>
      <c r="M118">
        <v>0.75599880958012811</v>
      </c>
      <c r="N118">
        <v>0.81589584612178778</v>
      </c>
      <c r="O118">
        <v>0.73603313073290821</v>
      </c>
    </row>
    <row r="119" spans="1:15" x14ac:dyDescent="0.2">
      <c r="A119" s="14">
        <v>43705</v>
      </c>
      <c r="B119">
        <v>808.1</v>
      </c>
      <c r="C119">
        <v>816.2</v>
      </c>
      <c r="D119">
        <v>1013</v>
      </c>
      <c r="E119">
        <v>1012</v>
      </c>
      <c r="F119">
        <v>0.80652173913043401</v>
      </c>
      <c r="G119">
        <v>0.77550636654768201</v>
      </c>
      <c r="H119">
        <v>1.9852376117441301E-2</v>
      </c>
      <c r="I119">
        <v>1.56230027072195</v>
      </c>
      <c r="J119">
        <v>3.85</v>
      </c>
      <c r="L119">
        <v>0.7953587426651233</v>
      </c>
      <c r="M119">
        <v>0.75565399043024073</v>
      </c>
      <c r="N119">
        <v>0.81521111878256458</v>
      </c>
      <c r="O119">
        <v>0.73580161431279945</v>
      </c>
    </row>
    <row r="120" spans="1:15" x14ac:dyDescent="0.2">
      <c r="A120" s="14">
        <v>43704</v>
      </c>
      <c r="B120">
        <v>813.6</v>
      </c>
      <c r="C120">
        <v>809</v>
      </c>
      <c r="D120">
        <v>1027</v>
      </c>
      <c r="E120">
        <v>1009</v>
      </c>
      <c r="F120">
        <v>0.80178394449950396</v>
      </c>
      <c r="G120">
        <v>0.77494411725244905</v>
      </c>
      <c r="H120">
        <v>1.95610145630414E-2</v>
      </c>
      <c r="I120">
        <v>1.3721081368532699</v>
      </c>
      <c r="J120">
        <v>3.35</v>
      </c>
      <c r="L120">
        <v>0.79450513181549043</v>
      </c>
      <c r="M120">
        <v>0.75538310268940767</v>
      </c>
      <c r="N120">
        <v>0.81406614637853181</v>
      </c>
      <c r="O120">
        <v>0.73582208812636629</v>
      </c>
    </row>
    <row r="121" spans="1:15" x14ac:dyDescent="0.2">
      <c r="A121" s="14">
        <v>43703</v>
      </c>
      <c r="B121">
        <v>792</v>
      </c>
      <c r="C121">
        <v>806.9</v>
      </c>
      <c r="D121">
        <v>990</v>
      </c>
      <c r="E121">
        <v>1011</v>
      </c>
      <c r="F121">
        <v>0.79812067260138397</v>
      </c>
      <c r="G121">
        <v>0.77468899229444999</v>
      </c>
      <c r="H121">
        <v>1.9332740059486202E-2</v>
      </c>
      <c r="I121">
        <v>1.2120206569185401</v>
      </c>
      <c r="J121">
        <v>2.94</v>
      </c>
      <c r="L121">
        <v>0.79402173235393614</v>
      </c>
      <c r="M121">
        <v>0.75535625223496383</v>
      </c>
      <c r="N121">
        <v>0.8133544724134224</v>
      </c>
      <c r="O121">
        <v>0.73602351217547757</v>
      </c>
    </row>
    <row r="122" spans="1:15" x14ac:dyDescent="0.2">
      <c r="A122" s="14">
        <v>43700</v>
      </c>
      <c r="B122">
        <v>821.6</v>
      </c>
      <c r="C122">
        <v>822</v>
      </c>
      <c r="D122">
        <v>1030</v>
      </c>
      <c r="E122">
        <v>1031</v>
      </c>
      <c r="F122">
        <v>0.79728419010669205</v>
      </c>
      <c r="G122">
        <v>0.77500264059712498</v>
      </c>
      <c r="H122">
        <v>1.9893044533125102E-2</v>
      </c>
      <c r="I122">
        <v>1.1200673417517499</v>
      </c>
      <c r="J122">
        <v>2.79</v>
      </c>
      <c r="L122">
        <v>0.79489568513025011</v>
      </c>
      <c r="M122">
        <v>0.75510959606399985</v>
      </c>
      <c r="N122">
        <v>0.81478872966337523</v>
      </c>
      <c r="O122">
        <v>0.73521655153087473</v>
      </c>
    </row>
    <row r="123" spans="1:15" x14ac:dyDescent="0.2">
      <c r="A123" s="14">
        <v>43699</v>
      </c>
      <c r="B123">
        <v>821.4</v>
      </c>
      <c r="C123">
        <v>820.5</v>
      </c>
      <c r="D123">
        <v>1007</v>
      </c>
      <c r="E123">
        <v>1020</v>
      </c>
      <c r="F123">
        <v>0.80441176470588205</v>
      </c>
      <c r="G123">
        <v>0.77537667406685895</v>
      </c>
      <c r="H123">
        <v>2.0560982176070299E-2</v>
      </c>
      <c r="I123">
        <v>1.41214511983845</v>
      </c>
      <c r="J123">
        <v>3.61</v>
      </c>
      <c r="L123">
        <v>0.79593765624292923</v>
      </c>
      <c r="M123">
        <v>0.75481569189078868</v>
      </c>
      <c r="N123">
        <v>0.8164986384189995</v>
      </c>
      <c r="O123">
        <v>0.7342547097147184</v>
      </c>
    </row>
    <row r="124" spans="1:15" x14ac:dyDescent="0.2">
      <c r="A124" s="14">
        <v>43698</v>
      </c>
      <c r="B124">
        <v>812</v>
      </c>
      <c r="C124">
        <v>823</v>
      </c>
      <c r="D124">
        <v>993</v>
      </c>
      <c r="E124">
        <v>1006</v>
      </c>
      <c r="F124">
        <v>0.81809145129224603</v>
      </c>
      <c r="G124">
        <v>0.77581617829664395</v>
      </c>
      <c r="H124">
        <v>2.1507445500866699E-2</v>
      </c>
      <c r="I124">
        <v>1.9656110714727999</v>
      </c>
      <c r="J124">
        <v>5.17</v>
      </c>
      <c r="L124">
        <v>0.79732362379751065</v>
      </c>
      <c r="M124">
        <v>0.75430873279577726</v>
      </c>
      <c r="N124">
        <v>0.81883106929837735</v>
      </c>
      <c r="O124">
        <v>0.73280128729491056</v>
      </c>
    </row>
    <row r="125" spans="1:15" x14ac:dyDescent="0.2">
      <c r="A125" s="14">
        <v>43697</v>
      </c>
      <c r="B125">
        <v>810</v>
      </c>
      <c r="C125">
        <v>817.7</v>
      </c>
      <c r="D125">
        <v>1005</v>
      </c>
      <c r="E125">
        <v>1009</v>
      </c>
      <c r="F125">
        <v>0.810406342913776</v>
      </c>
      <c r="G125">
        <v>0.77628116891544896</v>
      </c>
      <c r="H125">
        <v>2.2757096191432499E-2</v>
      </c>
      <c r="I125">
        <v>1.4995399110354899</v>
      </c>
      <c r="J125">
        <v>4.21</v>
      </c>
      <c r="L125">
        <v>0.79903826510688147</v>
      </c>
      <c r="M125">
        <v>0.75352407272401645</v>
      </c>
      <c r="N125">
        <v>0.82179536129831399</v>
      </c>
      <c r="O125">
        <v>0.73076697653258393</v>
      </c>
    </row>
    <row r="126" spans="1:15" x14ac:dyDescent="0.2">
      <c r="A126" s="14">
        <v>43696</v>
      </c>
      <c r="B126">
        <v>810</v>
      </c>
      <c r="C126">
        <v>806.9</v>
      </c>
      <c r="D126">
        <v>993</v>
      </c>
      <c r="E126">
        <v>1007</v>
      </c>
      <c r="F126">
        <v>0.80129096325719895</v>
      </c>
      <c r="G126">
        <v>0.77667991083478105</v>
      </c>
      <c r="H126">
        <v>2.3597994418395801E-2</v>
      </c>
      <c r="I126">
        <v>1.0429298348859799</v>
      </c>
      <c r="J126">
        <v>3.07</v>
      </c>
      <c r="L126">
        <v>0.80027790525317688</v>
      </c>
      <c r="M126">
        <v>0.75308191641638522</v>
      </c>
      <c r="N126">
        <v>0.82387589967157271</v>
      </c>
      <c r="O126">
        <v>0.72948392199798939</v>
      </c>
    </row>
    <row r="127" spans="1:15" x14ac:dyDescent="0.2">
      <c r="A127" s="14">
        <v>43693</v>
      </c>
      <c r="B127">
        <v>797.3</v>
      </c>
      <c r="C127">
        <v>805</v>
      </c>
      <c r="D127">
        <v>984</v>
      </c>
      <c r="E127">
        <v>986</v>
      </c>
      <c r="F127">
        <v>0.81643002028397504</v>
      </c>
      <c r="G127">
        <v>0.77729047576913002</v>
      </c>
      <c r="H127">
        <v>2.47892125262958E-2</v>
      </c>
      <c r="I127">
        <v>1.5788942255962</v>
      </c>
      <c r="J127">
        <v>4.79</v>
      </c>
      <c r="L127">
        <v>0.80207968829542586</v>
      </c>
      <c r="M127">
        <v>0.75250126324283417</v>
      </c>
      <c r="N127">
        <v>0.8268689008217216</v>
      </c>
      <c r="O127">
        <v>0.72771205071653844</v>
      </c>
    </row>
    <row r="128" spans="1:15" x14ac:dyDescent="0.2">
      <c r="A128" s="14">
        <v>43692</v>
      </c>
      <c r="B128">
        <v>800</v>
      </c>
      <c r="C128">
        <v>801</v>
      </c>
      <c r="D128">
        <v>970</v>
      </c>
      <c r="E128">
        <v>991</v>
      </c>
      <c r="F128">
        <v>0.80827447023208798</v>
      </c>
      <c r="G128">
        <v>0.77751766733541094</v>
      </c>
      <c r="H128">
        <v>2.5221201222266201E-2</v>
      </c>
      <c r="I128">
        <v>1.2194820788124701</v>
      </c>
      <c r="J128">
        <v>3.81</v>
      </c>
      <c r="L128">
        <v>0.80273886855767718</v>
      </c>
      <c r="M128">
        <v>0.75229646611314471</v>
      </c>
      <c r="N128">
        <v>0.8279600697799433</v>
      </c>
      <c r="O128">
        <v>0.72707526489087859</v>
      </c>
    </row>
    <row r="129" spans="1:15" x14ac:dyDescent="0.2">
      <c r="A129" s="14">
        <v>43691</v>
      </c>
      <c r="B129">
        <v>826</v>
      </c>
      <c r="C129">
        <v>822.1</v>
      </c>
      <c r="D129">
        <v>1004</v>
      </c>
      <c r="E129">
        <v>1000</v>
      </c>
      <c r="F129">
        <v>0.82210000000000005</v>
      </c>
      <c r="G129">
        <v>0.778060806412185</v>
      </c>
      <c r="H129">
        <v>2.6293524646779601E-2</v>
      </c>
      <c r="I129">
        <v>1.6749064334061601</v>
      </c>
      <c r="J129">
        <v>5.36</v>
      </c>
      <c r="L129">
        <v>0.80435433105896459</v>
      </c>
      <c r="M129">
        <v>0.75176728176540542</v>
      </c>
      <c r="N129">
        <v>0.83064785570574418</v>
      </c>
      <c r="O129">
        <v>0.72547375711862583</v>
      </c>
    </row>
    <row r="130" spans="1:15" x14ac:dyDescent="0.2">
      <c r="A130" s="14">
        <v>43690</v>
      </c>
      <c r="B130">
        <v>824.1</v>
      </c>
      <c r="C130">
        <v>820</v>
      </c>
      <c r="D130">
        <v>1045</v>
      </c>
      <c r="E130">
        <v>989</v>
      </c>
      <c r="F130">
        <v>0.82912032355915</v>
      </c>
      <c r="G130">
        <v>0.77829382704193495</v>
      </c>
      <c r="H130">
        <v>2.67561510129103E-2</v>
      </c>
      <c r="I130">
        <v>1.8996191377709899</v>
      </c>
      <c r="J130">
        <v>6.13</v>
      </c>
      <c r="L130">
        <v>0.80504997805484524</v>
      </c>
      <c r="M130">
        <v>0.75153767602902466</v>
      </c>
      <c r="N130">
        <v>0.83180612906775553</v>
      </c>
      <c r="O130">
        <v>0.72478152501611437</v>
      </c>
    </row>
    <row r="131" spans="1:15" x14ac:dyDescent="0.2">
      <c r="A131" s="14">
        <v>43686</v>
      </c>
      <c r="B131">
        <v>828</v>
      </c>
      <c r="C131">
        <v>834.7</v>
      </c>
      <c r="D131">
        <v>1084</v>
      </c>
      <c r="E131">
        <v>1061</v>
      </c>
      <c r="F131">
        <v>0.78671065032987697</v>
      </c>
      <c r="G131">
        <v>0.77817672433552998</v>
      </c>
      <c r="H131">
        <v>2.6551883957110702E-2</v>
      </c>
      <c r="I131">
        <v>0.32140566779110502</v>
      </c>
      <c r="J131">
        <v>1.08</v>
      </c>
      <c r="L131">
        <v>0.8047286082926407</v>
      </c>
      <c r="M131">
        <v>0.75162484037841926</v>
      </c>
      <c r="N131">
        <v>0.83128049224975142</v>
      </c>
      <c r="O131">
        <v>0.72507295642130853</v>
      </c>
    </row>
    <row r="132" spans="1:15" x14ac:dyDescent="0.2">
      <c r="A132" s="14">
        <v>43685</v>
      </c>
      <c r="B132">
        <v>835.3</v>
      </c>
      <c r="C132">
        <v>829.9</v>
      </c>
      <c r="D132">
        <v>1094</v>
      </c>
      <c r="E132">
        <v>1081</v>
      </c>
      <c r="F132">
        <v>0.76771507863089705</v>
      </c>
      <c r="G132">
        <v>0.77864534881098202</v>
      </c>
      <c r="H132">
        <v>2.7004666511228001E-2</v>
      </c>
      <c r="I132" s="15">
        <v>-0.404754866183617</v>
      </c>
      <c r="J132">
        <v>-1.42</v>
      </c>
      <c r="L132">
        <v>0.80565001532221003</v>
      </c>
      <c r="M132">
        <v>0.751640682299754</v>
      </c>
      <c r="N132">
        <v>0.83265468183343805</v>
      </c>
      <c r="O132">
        <v>0.72463601578852599</v>
      </c>
    </row>
    <row r="133" spans="1:15" x14ac:dyDescent="0.2">
      <c r="A133" s="14">
        <v>43684</v>
      </c>
      <c r="B133">
        <v>833.5</v>
      </c>
      <c r="C133">
        <v>833.9</v>
      </c>
      <c r="D133">
        <v>1115</v>
      </c>
      <c r="E133">
        <v>1100</v>
      </c>
      <c r="F133">
        <v>0.75809090909090904</v>
      </c>
      <c r="G133">
        <v>0.77958561835080498</v>
      </c>
      <c r="H133">
        <v>2.7823032130131601E-2</v>
      </c>
      <c r="I133" s="15">
        <v>-0.77255092684950599</v>
      </c>
      <c r="J133">
        <v>-2.84</v>
      </c>
      <c r="L133">
        <v>0.80740865048093657</v>
      </c>
      <c r="M133">
        <v>0.75176258622067338</v>
      </c>
      <c r="N133">
        <v>0.83523168261106817</v>
      </c>
      <c r="O133">
        <v>0.72393955409054178</v>
      </c>
    </row>
    <row r="134" spans="1:15" x14ac:dyDescent="0.2">
      <c r="A134" s="14">
        <v>43683</v>
      </c>
      <c r="B134">
        <v>811.9</v>
      </c>
      <c r="C134">
        <v>829.3</v>
      </c>
      <c r="D134">
        <v>1082</v>
      </c>
      <c r="E134">
        <v>1120</v>
      </c>
      <c r="F134">
        <v>0.74044642857142795</v>
      </c>
      <c r="G134">
        <v>0.78051315453994696</v>
      </c>
      <c r="H134">
        <v>2.8247315018732198E-2</v>
      </c>
      <c r="I134">
        <v>-1.41842599701773</v>
      </c>
      <c r="J134">
        <v>-5.41</v>
      </c>
      <c r="L134">
        <v>0.8087604695586792</v>
      </c>
      <c r="M134">
        <v>0.75226583952121473</v>
      </c>
      <c r="N134">
        <v>0.83700778457741132</v>
      </c>
      <c r="O134">
        <v>0.72401852450248261</v>
      </c>
    </row>
    <row r="135" spans="1:15" x14ac:dyDescent="0.2">
      <c r="A135" s="14">
        <v>43682</v>
      </c>
      <c r="B135">
        <v>864</v>
      </c>
      <c r="C135">
        <v>846.4</v>
      </c>
      <c r="D135">
        <v>1150</v>
      </c>
      <c r="E135">
        <v>1131</v>
      </c>
      <c r="F135">
        <v>0.74836427939876204</v>
      </c>
      <c r="G135">
        <v>0.78202264931346699</v>
      </c>
      <c r="H135">
        <v>2.9078588166541498E-2</v>
      </c>
      <c r="I135">
        <v>-1.1574967024510701</v>
      </c>
      <c r="J135">
        <v>-4.5</v>
      </c>
      <c r="L135">
        <v>0.81110123748000851</v>
      </c>
      <c r="M135">
        <v>0.75294406114692547</v>
      </c>
      <c r="N135">
        <v>0.84017982564655003</v>
      </c>
      <c r="O135">
        <v>0.72386547298038395</v>
      </c>
    </row>
    <row r="136" spans="1:15" x14ac:dyDescent="0.2">
      <c r="A136" s="14">
        <v>43679</v>
      </c>
      <c r="B136">
        <v>892.2</v>
      </c>
      <c r="C136">
        <v>879</v>
      </c>
      <c r="D136">
        <v>1190</v>
      </c>
      <c r="E136">
        <v>1166</v>
      </c>
      <c r="F136">
        <v>0.75385934819897005</v>
      </c>
      <c r="G136">
        <v>0.78328222911488499</v>
      </c>
      <c r="H136">
        <v>2.96340604441457E-2</v>
      </c>
      <c r="I136">
        <v>-0.99287375658055799</v>
      </c>
      <c r="J136">
        <v>-3.9</v>
      </c>
      <c r="L136">
        <v>0.81291628955903072</v>
      </c>
      <c r="M136">
        <v>0.75364816867073925</v>
      </c>
      <c r="N136">
        <v>0.84255035000317635</v>
      </c>
      <c r="O136">
        <v>0.72401410822659362</v>
      </c>
    </row>
    <row r="137" spans="1:15" x14ac:dyDescent="0.2">
      <c r="A137" s="14">
        <v>43678</v>
      </c>
      <c r="B137">
        <v>900</v>
      </c>
      <c r="C137">
        <v>910.9</v>
      </c>
      <c r="D137">
        <v>1211</v>
      </c>
      <c r="E137">
        <v>1231</v>
      </c>
      <c r="F137">
        <v>0.73996750609260697</v>
      </c>
      <c r="G137">
        <v>0.78418844748744598</v>
      </c>
      <c r="H137">
        <v>2.9759394761263599E-2</v>
      </c>
      <c r="I137">
        <v>-1.48594894988922</v>
      </c>
      <c r="J137">
        <v>-5.98</v>
      </c>
      <c r="L137">
        <v>0.81394784224870953</v>
      </c>
      <c r="M137">
        <v>0.75442905272618244</v>
      </c>
      <c r="N137">
        <v>0.84370723700997319</v>
      </c>
      <c r="O137">
        <v>0.72466965796491878</v>
      </c>
    </row>
    <row r="138" spans="1:15" x14ac:dyDescent="0.2">
      <c r="A138" s="14">
        <v>43677</v>
      </c>
      <c r="B138">
        <v>916</v>
      </c>
      <c r="C138">
        <v>924.7</v>
      </c>
      <c r="D138">
        <v>1194</v>
      </c>
      <c r="E138">
        <v>1226</v>
      </c>
      <c r="F138">
        <v>0.75424143556280498</v>
      </c>
      <c r="G138">
        <v>0.78528664748892396</v>
      </c>
      <c r="H138">
        <v>2.96267092459933E-2</v>
      </c>
      <c r="I138">
        <v>-1.0478791845677999</v>
      </c>
      <c r="J138">
        <v>-4.12</v>
      </c>
      <c r="L138">
        <v>0.81491335673491727</v>
      </c>
      <c r="M138">
        <v>0.75565993824293065</v>
      </c>
      <c r="N138">
        <v>0.84454006598091058</v>
      </c>
      <c r="O138">
        <v>0.72603322899693734</v>
      </c>
    </row>
    <row r="139" spans="1:15" x14ac:dyDescent="0.2">
      <c r="A139" s="14">
        <v>43676</v>
      </c>
      <c r="B139">
        <v>918.9</v>
      </c>
      <c r="C139">
        <v>924.7</v>
      </c>
      <c r="D139">
        <v>1194</v>
      </c>
      <c r="E139">
        <v>1210</v>
      </c>
      <c r="F139">
        <v>0.76421487603305704</v>
      </c>
      <c r="G139">
        <v>0.78618671410235497</v>
      </c>
      <c r="H139">
        <v>2.96952059508062E-2</v>
      </c>
      <c r="I139">
        <v>-0.73991196106525203</v>
      </c>
      <c r="J139">
        <v>-2.88</v>
      </c>
      <c r="L139">
        <v>0.81588192005316118</v>
      </c>
      <c r="M139">
        <v>0.75649150815154875</v>
      </c>
      <c r="N139">
        <v>0.84557712600396739</v>
      </c>
      <c r="O139">
        <v>0.72679630220074254</v>
      </c>
    </row>
    <row r="140" spans="1:15" x14ac:dyDescent="0.2">
      <c r="A140" s="14">
        <v>43675</v>
      </c>
      <c r="B140">
        <v>905.8</v>
      </c>
      <c r="C140">
        <v>909.2</v>
      </c>
      <c r="D140">
        <v>1231</v>
      </c>
      <c r="E140">
        <v>1203</v>
      </c>
      <c r="F140">
        <v>0.75577722360764699</v>
      </c>
      <c r="G140">
        <v>0.78691157823804403</v>
      </c>
      <c r="H140">
        <v>2.98133147228383E-2</v>
      </c>
      <c r="I140">
        <v>-1.0443104002302299</v>
      </c>
      <c r="J140">
        <v>-4.12</v>
      </c>
      <c r="L140">
        <v>0.81672489296088235</v>
      </c>
      <c r="M140">
        <v>0.7570982635152057</v>
      </c>
      <c r="N140">
        <v>0.84653820768372068</v>
      </c>
      <c r="O140">
        <v>0.72728494879236738</v>
      </c>
    </row>
    <row r="141" spans="1:15" x14ac:dyDescent="0.2">
      <c r="A141" s="14">
        <v>43672</v>
      </c>
      <c r="B141">
        <v>913.2</v>
      </c>
      <c r="C141">
        <v>910.5</v>
      </c>
      <c r="D141">
        <v>1226</v>
      </c>
      <c r="E141">
        <v>1229</v>
      </c>
      <c r="F141">
        <v>0.74084621643612603</v>
      </c>
      <c r="G141">
        <v>0.78791225129264497</v>
      </c>
      <c r="H141">
        <v>3.0010377552840899E-2</v>
      </c>
      <c r="I141">
        <v>-1.56832531592269</v>
      </c>
      <c r="J141">
        <v>-6.35</v>
      </c>
      <c r="L141">
        <v>0.81792262884548583</v>
      </c>
      <c r="M141">
        <v>0.75790187373980411</v>
      </c>
      <c r="N141">
        <v>0.84793300639832681</v>
      </c>
      <c r="O141">
        <v>0.72789149618696314</v>
      </c>
    </row>
    <row r="142" spans="1:15" x14ac:dyDescent="0.2">
      <c r="A142" s="14">
        <v>43671</v>
      </c>
      <c r="B142">
        <v>914</v>
      </c>
      <c r="C142">
        <v>914.3</v>
      </c>
      <c r="D142">
        <v>1218</v>
      </c>
      <c r="E142">
        <v>1223</v>
      </c>
      <c r="F142">
        <v>0.74758789860997499</v>
      </c>
      <c r="G142">
        <v>0.78904179549536702</v>
      </c>
      <c r="H142">
        <v>2.9811253161621799E-2</v>
      </c>
      <c r="I142">
        <v>-1.39054526358385</v>
      </c>
      <c r="J142">
        <v>-5.55</v>
      </c>
      <c r="L142">
        <v>0.81885304865698882</v>
      </c>
      <c r="M142">
        <v>0.75923054233374521</v>
      </c>
      <c r="N142">
        <v>0.84866430181861063</v>
      </c>
      <c r="O142">
        <v>0.7294192891721234</v>
      </c>
    </row>
    <row r="143" spans="1:15" x14ac:dyDescent="0.2">
      <c r="A143" s="14">
        <v>43670</v>
      </c>
      <c r="B143">
        <v>920.8</v>
      </c>
      <c r="C143">
        <v>916.9</v>
      </c>
      <c r="D143">
        <v>1219</v>
      </c>
      <c r="E143">
        <v>1210</v>
      </c>
      <c r="F143">
        <v>0.75776859504132199</v>
      </c>
      <c r="G143">
        <v>0.79004729018056796</v>
      </c>
      <c r="H143">
        <v>2.9667539780938799E-2</v>
      </c>
      <c r="I143">
        <v>-1.0880138824313399</v>
      </c>
      <c r="J143">
        <v>-4.26</v>
      </c>
      <c r="L143">
        <v>0.8197148299615068</v>
      </c>
      <c r="M143">
        <v>0.76037975039962913</v>
      </c>
      <c r="N143">
        <v>0.84938236974244552</v>
      </c>
      <c r="O143">
        <v>0.73071221061869041</v>
      </c>
    </row>
    <row r="144" spans="1:15" x14ac:dyDescent="0.2">
      <c r="A144" s="14">
        <v>43669</v>
      </c>
      <c r="B144">
        <v>916.5</v>
      </c>
      <c r="C144">
        <v>920.8</v>
      </c>
      <c r="D144">
        <v>1203</v>
      </c>
      <c r="E144">
        <v>1210</v>
      </c>
      <c r="F144">
        <v>0.76099173553719002</v>
      </c>
      <c r="G144">
        <v>0.79098534017928002</v>
      </c>
      <c r="H144">
        <v>2.9744247410083101E-2</v>
      </c>
      <c r="I144">
        <v>-1.00838337674407</v>
      </c>
      <c r="J144">
        <v>-3.94</v>
      </c>
      <c r="L144">
        <v>0.8207295875893631</v>
      </c>
      <c r="M144">
        <v>0.76124109276919694</v>
      </c>
      <c r="N144">
        <v>0.85047383499944618</v>
      </c>
      <c r="O144">
        <v>0.73149684535911386</v>
      </c>
    </row>
    <row r="145" spans="1:15" x14ac:dyDescent="0.2">
      <c r="A145" s="14">
        <v>43668</v>
      </c>
      <c r="B145">
        <v>911.5</v>
      </c>
      <c r="C145">
        <v>919.3</v>
      </c>
      <c r="D145">
        <v>1201</v>
      </c>
      <c r="E145">
        <v>1205</v>
      </c>
      <c r="F145">
        <v>0.76290456431535203</v>
      </c>
      <c r="G145">
        <v>0.79176890970774205</v>
      </c>
      <c r="H145">
        <v>2.9717851771936501E-2</v>
      </c>
      <c r="I145">
        <v>-0.97127967438236296</v>
      </c>
      <c r="J145">
        <v>-3.78</v>
      </c>
      <c r="L145">
        <v>0.82148676147967858</v>
      </c>
      <c r="M145">
        <v>0.76205105793580552</v>
      </c>
      <c r="N145">
        <v>0.85120461325161501</v>
      </c>
      <c r="O145">
        <v>0.7323332061638691</v>
      </c>
    </row>
    <row r="146" spans="1:15" x14ac:dyDescent="0.2">
      <c r="A146" s="14">
        <v>43665</v>
      </c>
      <c r="B146">
        <v>897.7</v>
      </c>
      <c r="C146">
        <v>917.8</v>
      </c>
      <c r="D146">
        <v>1203</v>
      </c>
      <c r="E146">
        <v>1202</v>
      </c>
      <c r="F146">
        <v>0.76356073211314401</v>
      </c>
      <c r="G146">
        <v>0.79248038298675005</v>
      </c>
      <c r="H146">
        <v>2.9656983423677001E-2</v>
      </c>
      <c r="I146">
        <v>-0.97513797881809094</v>
      </c>
      <c r="J146">
        <v>-3.79</v>
      </c>
      <c r="L146">
        <v>0.82213736641042701</v>
      </c>
      <c r="M146">
        <v>0.7628233995630731</v>
      </c>
      <c r="N146">
        <v>0.85179434983410407</v>
      </c>
      <c r="O146">
        <v>0.73316641613939604</v>
      </c>
    </row>
    <row r="147" spans="1:15" x14ac:dyDescent="0.2">
      <c r="A147" s="14">
        <v>43664</v>
      </c>
      <c r="B147">
        <v>914.1</v>
      </c>
      <c r="C147">
        <v>893</v>
      </c>
      <c r="D147">
        <v>1196</v>
      </c>
      <c r="E147">
        <v>1197</v>
      </c>
      <c r="F147">
        <v>0.74603174603174605</v>
      </c>
      <c r="G147">
        <v>0.79330698063264904</v>
      </c>
      <c r="H147">
        <v>2.97033389802355E-2</v>
      </c>
      <c r="I147">
        <v>-1.5915798096759499</v>
      </c>
      <c r="J147">
        <v>-6.34</v>
      </c>
      <c r="L147">
        <v>0.82301031961288451</v>
      </c>
      <c r="M147">
        <v>0.76360364165241357</v>
      </c>
      <c r="N147">
        <v>0.85271365859312009</v>
      </c>
      <c r="O147">
        <v>0.73390030267217798</v>
      </c>
    </row>
    <row r="148" spans="1:15" x14ac:dyDescent="0.2">
      <c r="A148" s="14">
        <v>43663</v>
      </c>
      <c r="B148">
        <v>915.7</v>
      </c>
      <c r="C148">
        <v>920.8</v>
      </c>
      <c r="D148">
        <v>1203</v>
      </c>
      <c r="E148">
        <v>1203</v>
      </c>
      <c r="F148">
        <v>0.76541978387364895</v>
      </c>
      <c r="G148">
        <v>0.79455028519670801</v>
      </c>
      <c r="H148">
        <v>2.9650008066929901E-2</v>
      </c>
      <c r="I148">
        <v>-0.98247869805978905</v>
      </c>
      <c r="J148">
        <v>-3.81</v>
      </c>
      <c r="L148">
        <v>0.82420029326363786</v>
      </c>
      <c r="M148">
        <v>0.76490027712977815</v>
      </c>
      <c r="N148">
        <v>0.85385030133056783</v>
      </c>
      <c r="O148">
        <v>0.73525026906284818</v>
      </c>
    </row>
    <row r="149" spans="1:15" x14ac:dyDescent="0.2">
      <c r="A149" s="14">
        <v>43662</v>
      </c>
      <c r="B149">
        <v>925</v>
      </c>
      <c r="C149">
        <v>921.6</v>
      </c>
      <c r="D149">
        <v>1191</v>
      </c>
      <c r="E149">
        <v>1195</v>
      </c>
      <c r="F149">
        <v>0.77121338912133897</v>
      </c>
      <c r="G149">
        <v>0.79534000971581997</v>
      </c>
      <c r="H149">
        <v>2.9652386623368301E-2</v>
      </c>
      <c r="I149">
        <v>-0.81364852350427097</v>
      </c>
      <c r="J149">
        <v>-3.13</v>
      </c>
      <c r="L149">
        <v>0.82499239633918831</v>
      </c>
      <c r="M149">
        <v>0.76568762309245164</v>
      </c>
      <c r="N149">
        <v>0.85464478296255653</v>
      </c>
      <c r="O149">
        <v>0.73603523646908342</v>
      </c>
    </row>
    <row r="150" spans="1:15" x14ac:dyDescent="0.2">
      <c r="A150" s="14">
        <v>43658</v>
      </c>
      <c r="B150">
        <v>934.9</v>
      </c>
      <c r="C150">
        <v>929.9</v>
      </c>
      <c r="D150">
        <v>1202</v>
      </c>
      <c r="E150">
        <v>1191</v>
      </c>
      <c r="F150">
        <v>0.78077246011754797</v>
      </c>
      <c r="G150">
        <v>0.79596635894825896</v>
      </c>
      <c r="H150">
        <v>2.9632277006544399E-2</v>
      </c>
      <c r="I150">
        <v>-0.51274827200606299</v>
      </c>
      <c r="J150">
        <v>-1.95</v>
      </c>
      <c r="L150">
        <v>0.82559863595480332</v>
      </c>
      <c r="M150">
        <v>0.7663340819417146</v>
      </c>
      <c r="N150">
        <v>0.85523091296134779</v>
      </c>
      <c r="O150">
        <v>0.73670180493517012</v>
      </c>
    </row>
    <row r="151" spans="1:15" x14ac:dyDescent="0.2">
      <c r="A151" s="14">
        <v>43657</v>
      </c>
      <c r="B151">
        <v>927.4</v>
      </c>
      <c r="C151">
        <v>925</v>
      </c>
      <c r="D151">
        <v>1189</v>
      </c>
      <c r="E151">
        <v>1198</v>
      </c>
      <c r="F151">
        <v>0.77212020033388895</v>
      </c>
      <c r="G151">
        <v>0.796272317580898</v>
      </c>
      <c r="H151">
        <v>2.95922561196806E-2</v>
      </c>
      <c r="I151">
        <v>-0.81616342969355604</v>
      </c>
      <c r="J151">
        <v>-3.13</v>
      </c>
      <c r="L151">
        <v>0.82586457370057864</v>
      </c>
      <c r="M151">
        <v>0.76668006146121737</v>
      </c>
      <c r="N151">
        <v>0.85545682982025917</v>
      </c>
      <c r="O151">
        <v>0.73708780534153684</v>
      </c>
    </row>
    <row r="152" spans="1:15" x14ac:dyDescent="0.2">
      <c r="A152" s="14">
        <v>43656</v>
      </c>
      <c r="B152">
        <v>930.1</v>
      </c>
      <c r="C152">
        <v>927.5</v>
      </c>
      <c r="D152">
        <v>1190</v>
      </c>
      <c r="E152">
        <v>1197</v>
      </c>
      <c r="F152">
        <v>0.77485380116959002</v>
      </c>
      <c r="G152">
        <v>0.79688080836772401</v>
      </c>
      <c r="H152">
        <v>2.95585564157777E-2</v>
      </c>
      <c r="I152">
        <v>-0.74519901744510497</v>
      </c>
      <c r="J152">
        <v>-2.84</v>
      </c>
      <c r="L152">
        <v>0.82643936478350166</v>
      </c>
      <c r="M152">
        <v>0.76732225195194637</v>
      </c>
      <c r="N152">
        <v>0.85599792119927942</v>
      </c>
      <c r="O152">
        <v>0.73776369553616861</v>
      </c>
    </row>
    <row r="153" spans="1:15" x14ac:dyDescent="0.2">
      <c r="A153" s="14">
        <v>43655</v>
      </c>
      <c r="B153">
        <v>943.5</v>
      </c>
      <c r="C153">
        <v>936.7</v>
      </c>
      <c r="D153">
        <v>1199</v>
      </c>
      <c r="E153">
        <v>1203</v>
      </c>
      <c r="F153">
        <v>0.77863674147963402</v>
      </c>
      <c r="G153">
        <v>0.79751578002077494</v>
      </c>
      <c r="H153">
        <v>2.95900522651311E-2</v>
      </c>
      <c r="I153">
        <v>-0.63801977678112898</v>
      </c>
      <c r="J153">
        <v>-2.42</v>
      </c>
      <c r="L153">
        <v>0.82710583228590606</v>
      </c>
      <c r="M153">
        <v>0.76792572775564383</v>
      </c>
      <c r="N153">
        <v>0.85669588455103718</v>
      </c>
      <c r="O153">
        <v>0.73833567549051271</v>
      </c>
    </row>
    <row r="154" spans="1:15" x14ac:dyDescent="0.2">
      <c r="A154" s="14">
        <v>43654</v>
      </c>
      <c r="B154">
        <v>939.2</v>
      </c>
      <c r="C154">
        <v>943</v>
      </c>
      <c r="D154">
        <v>1205</v>
      </c>
      <c r="E154">
        <v>1206</v>
      </c>
      <c r="F154">
        <v>0.78192371475953504</v>
      </c>
      <c r="G154">
        <v>0.79807570161491403</v>
      </c>
      <c r="H154">
        <v>2.96248127845361E-2</v>
      </c>
      <c r="I154">
        <v>-0.54521819168456298</v>
      </c>
      <c r="J154">
        <v>-2.0699999999999998</v>
      </c>
      <c r="L154">
        <v>0.82770051439945014</v>
      </c>
      <c r="M154">
        <v>0.76845088883037793</v>
      </c>
      <c r="N154">
        <v>0.85732532718398624</v>
      </c>
      <c r="O154">
        <v>0.73882607604584183</v>
      </c>
    </row>
    <row r="155" spans="1:15" x14ac:dyDescent="0.2">
      <c r="A155" s="14">
        <v>43651</v>
      </c>
      <c r="B155">
        <v>948.3</v>
      </c>
      <c r="C155">
        <v>943.2</v>
      </c>
      <c r="D155">
        <v>1195</v>
      </c>
      <c r="E155">
        <v>1200</v>
      </c>
      <c r="F155">
        <v>0.78600000000000003</v>
      </c>
      <c r="G155">
        <v>0.79838021081494503</v>
      </c>
      <c r="H155">
        <v>2.9574556436930698E-2</v>
      </c>
      <c r="I155">
        <v>-0.41861019425083201</v>
      </c>
      <c r="J155">
        <v>-1.58</v>
      </c>
      <c r="L155">
        <v>0.82795476725187578</v>
      </c>
      <c r="M155">
        <v>0.76880565437801429</v>
      </c>
      <c r="N155">
        <v>0.85752932368880641</v>
      </c>
      <c r="O155">
        <v>0.73923109794108366</v>
      </c>
    </row>
    <row r="156" spans="1:15" x14ac:dyDescent="0.2">
      <c r="A156" s="14">
        <v>43650</v>
      </c>
      <c r="B156">
        <v>932.3</v>
      </c>
      <c r="C156">
        <v>947.8</v>
      </c>
      <c r="D156">
        <v>1210</v>
      </c>
      <c r="E156">
        <v>1201</v>
      </c>
      <c r="F156">
        <v>0.78917568692756002</v>
      </c>
      <c r="G156">
        <v>0.79874199524276501</v>
      </c>
      <c r="H156">
        <v>2.95868579510058E-2</v>
      </c>
      <c r="I156">
        <v>-0.32332964625868799</v>
      </c>
      <c r="J156">
        <v>-1.21</v>
      </c>
      <c r="L156">
        <v>0.82832885319377081</v>
      </c>
      <c r="M156">
        <v>0.76915513729175922</v>
      </c>
      <c r="N156">
        <v>0.8579157111447766</v>
      </c>
      <c r="O156">
        <v>0.73956827934075342</v>
      </c>
    </row>
    <row r="157" spans="1:15" x14ac:dyDescent="0.2">
      <c r="A157" s="14">
        <v>43649</v>
      </c>
      <c r="B157">
        <v>929.5</v>
      </c>
      <c r="C157">
        <v>927.8</v>
      </c>
      <c r="D157">
        <v>1191</v>
      </c>
      <c r="E157">
        <v>1198</v>
      </c>
      <c r="F157">
        <v>0.77445742904841397</v>
      </c>
      <c r="G157">
        <v>0.79878220255119403</v>
      </c>
      <c r="H157">
        <v>2.9575877380751701E-2</v>
      </c>
      <c r="I157">
        <v>-0.82245314955935001</v>
      </c>
      <c r="J157">
        <v>-3.14</v>
      </c>
      <c r="L157">
        <v>0.82835807993194577</v>
      </c>
      <c r="M157">
        <v>0.7692063251704423</v>
      </c>
      <c r="N157">
        <v>0.85793395731269739</v>
      </c>
      <c r="O157">
        <v>0.73963044778969067</v>
      </c>
    </row>
    <row r="158" spans="1:15" x14ac:dyDescent="0.2">
      <c r="A158" s="14">
        <v>43648</v>
      </c>
      <c r="B158">
        <v>928</v>
      </c>
      <c r="C158">
        <v>926.3</v>
      </c>
      <c r="D158">
        <v>1211</v>
      </c>
      <c r="E158">
        <v>1203</v>
      </c>
      <c r="F158">
        <v>0.76999168744804602</v>
      </c>
      <c r="G158">
        <v>0.79897570338907797</v>
      </c>
      <c r="H158">
        <v>2.9463359367668598E-2</v>
      </c>
      <c r="I158">
        <v>-0.98373086311526403</v>
      </c>
      <c r="J158">
        <v>-3.76</v>
      </c>
      <c r="L158">
        <v>0.82843906275674661</v>
      </c>
      <c r="M158">
        <v>0.76951234402140933</v>
      </c>
      <c r="N158">
        <v>0.85790242212441514</v>
      </c>
      <c r="O158">
        <v>0.7400489846537408</v>
      </c>
    </row>
    <row r="159" spans="1:15" x14ac:dyDescent="0.2">
      <c r="A159" s="14">
        <v>43647</v>
      </c>
      <c r="B159">
        <v>920</v>
      </c>
      <c r="C159">
        <v>923.3</v>
      </c>
      <c r="D159">
        <v>1200</v>
      </c>
      <c r="E159">
        <v>1202</v>
      </c>
      <c r="F159">
        <v>0.768136439267886</v>
      </c>
      <c r="G159">
        <v>0.79928944445252403</v>
      </c>
      <c r="H159">
        <v>2.9277750407465698E-2</v>
      </c>
      <c r="I159">
        <v>-1.0640505076747</v>
      </c>
      <c r="J159">
        <v>-4.0599999999999996</v>
      </c>
      <c r="L159">
        <v>0.82856719485998975</v>
      </c>
      <c r="M159">
        <v>0.77001169404505831</v>
      </c>
      <c r="N159">
        <v>0.85784494526745547</v>
      </c>
      <c r="O159">
        <v>0.7407339436375926</v>
      </c>
    </row>
    <row r="160" spans="1:15" x14ac:dyDescent="0.2">
      <c r="A160" s="14">
        <v>43644</v>
      </c>
      <c r="B160">
        <v>902.8</v>
      </c>
      <c r="C160">
        <v>897.6</v>
      </c>
      <c r="D160">
        <v>1178</v>
      </c>
      <c r="E160">
        <v>1170</v>
      </c>
      <c r="F160">
        <v>0.76717948717948703</v>
      </c>
      <c r="G160">
        <v>0.799176856031516</v>
      </c>
      <c r="H160">
        <v>2.9413256187252702E-2</v>
      </c>
      <c r="I160">
        <v>-1.0878553754240901</v>
      </c>
      <c r="J160">
        <v>-4.17</v>
      </c>
      <c r="L160">
        <v>0.82859011221876866</v>
      </c>
      <c r="M160">
        <v>0.76976359984426335</v>
      </c>
      <c r="N160">
        <v>0.85800336840602143</v>
      </c>
      <c r="O160">
        <v>0.74035034365701058</v>
      </c>
    </row>
    <row r="161" spans="1:15" x14ac:dyDescent="0.2">
      <c r="A161" s="14">
        <v>43643</v>
      </c>
      <c r="B161">
        <v>890</v>
      </c>
      <c r="C161">
        <v>897.5</v>
      </c>
      <c r="D161">
        <v>1132</v>
      </c>
      <c r="E161">
        <v>1185</v>
      </c>
      <c r="F161">
        <v>0.75738396624472504</v>
      </c>
      <c r="G161">
        <v>0.79904004252506899</v>
      </c>
      <c r="H161">
        <v>2.9585133280531899E-2</v>
      </c>
      <c r="I161">
        <v>-1.4080070515604</v>
      </c>
      <c r="J161">
        <v>-5.5</v>
      </c>
      <c r="L161">
        <v>0.82862517580560091</v>
      </c>
      <c r="M161">
        <v>0.76945490924453708</v>
      </c>
      <c r="N161">
        <v>0.85821030908613283</v>
      </c>
      <c r="O161">
        <v>0.73986977596400516</v>
      </c>
    </row>
    <row r="162" spans="1:15" x14ac:dyDescent="0.2">
      <c r="A162" s="14">
        <v>43642</v>
      </c>
      <c r="B162">
        <v>883.9</v>
      </c>
      <c r="C162">
        <v>883.4</v>
      </c>
      <c r="D162">
        <v>1136</v>
      </c>
      <c r="E162">
        <v>1137</v>
      </c>
      <c r="F162">
        <v>0.77695690413368501</v>
      </c>
      <c r="G162">
        <v>0.79912622038032899</v>
      </c>
      <c r="H162">
        <v>2.9472869196680199E-2</v>
      </c>
      <c r="I162">
        <v>-0.75219402965834103</v>
      </c>
      <c r="J162">
        <v>-2.85</v>
      </c>
      <c r="L162">
        <v>0.82859908957700923</v>
      </c>
      <c r="M162">
        <v>0.76965335118364875</v>
      </c>
      <c r="N162">
        <v>0.85807195877368936</v>
      </c>
      <c r="O162">
        <v>0.74018048198696862</v>
      </c>
    </row>
    <row r="163" spans="1:15" x14ac:dyDescent="0.2">
      <c r="A163" s="14">
        <v>43641</v>
      </c>
      <c r="B163">
        <v>879.5</v>
      </c>
      <c r="C163">
        <v>884.9</v>
      </c>
      <c r="D163">
        <v>1136</v>
      </c>
      <c r="E163">
        <v>1142</v>
      </c>
      <c r="F163">
        <v>0.77486865148861594</v>
      </c>
      <c r="G163">
        <v>0.79871566277858497</v>
      </c>
      <c r="H163">
        <v>2.9988778561113601E-2</v>
      </c>
      <c r="I163">
        <v>-0.79519781845639104</v>
      </c>
      <c r="J163">
        <v>-3.08</v>
      </c>
      <c r="L163">
        <v>0.82870444133969856</v>
      </c>
      <c r="M163">
        <v>0.76872688421747137</v>
      </c>
      <c r="N163">
        <v>0.85869321990081215</v>
      </c>
      <c r="O163">
        <v>0.73873810565635778</v>
      </c>
    </row>
    <row r="164" spans="1:15" x14ac:dyDescent="0.2">
      <c r="A164" s="14">
        <v>43640</v>
      </c>
      <c r="B164">
        <v>864</v>
      </c>
      <c r="C164">
        <v>883.3</v>
      </c>
      <c r="D164">
        <v>1120</v>
      </c>
      <c r="E164">
        <v>1133</v>
      </c>
      <c r="F164">
        <v>0.77961165048543601</v>
      </c>
      <c r="G164">
        <v>0.79849833808610904</v>
      </c>
      <c r="H164">
        <v>3.02189832721531E-2</v>
      </c>
      <c r="I164">
        <v>-0.62499414459376201</v>
      </c>
      <c r="J164">
        <v>-2.42</v>
      </c>
      <c r="L164">
        <v>0.82871732135826215</v>
      </c>
      <c r="M164">
        <v>0.76827935481395593</v>
      </c>
      <c r="N164">
        <v>0.85893630463041526</v>
      </c>
      <c r="O164">
        <v>0.73806037154180282</v>
      </c>
    </row>
    <row r="165" spans="1:15" x14ac:dyDescent="0.2">
      <c r="A165" s="14">
        <v>43637</v>
      </c>
      <c r="B165">
        <v>883.8</v>
      </c>
      <c r="C165">
        <v>886</v>
      </c>
      <c r="D165">
        <v>1146</v>
      </c>
      <c r="E165">
        <v>1131</v>
      </c>
      <c r="F165">
        <v>0.78337754199823095</v>
      </c>
      <c r="G165">
        <v>0.79832540588267797</v>
      </c>
      <c r="H165">
        <v>3.0363336336510099E-2</v>
      </c>
      <c r="I165">
        <v>-0.49229978282963199</v>
      </c>
      <c r="J165">
        <v>-1.91</v>
      </c>
      <c r="L165">
        <v>0.82868874221918809</v>
      </c>
      <c r="M165">
        <v>0.76796206954616786</v>
      </c>
      <c r="N165">
        <v>0.85905207855569821</v>
      </c>
      <c r="O165">
        <v>0.73759873320965774</v>
      </c>
    </row>
    <row r="166" spans="1:15" x14ac:dyDescent="0.2">
      <c r="A166" s="14">
        <v>43636</v>
      </c>
      <c r="B166">
        <v>874.8</v>
      </c>
      <c r="C166">
        <v>881.9</v>
      </c>
      <c r="D166">
        <v>1132</v>
      </c>
      <c r="E166">
        <v>1144</v>
      </c>
      <c r="F166">
        <v>0.77089160839160797</v>
      </c>
      <c r="G166">
        <v>0.79815691519924503</v>
      </c>
      <c r="H166">
        <v>3.0480651883734802E-2</v>
      </c>
      <c r="I166">
        <v>-0.89451193208194701</v>
      </c>
      <c r="J166">
        <v>-3.54</v>
      </c>
      <c r="L166">
        <v>0.82863756708297986</v>
      </c>
      <c r="M166">
        <v>0.7676762633155102</v>
      </c>
      <c r="N166">
        <v>0.85911821896671459</v>
      </c>
      <c r="O166">
        <v>0.73719561143177548</v>
      </c>
    </row>
    <row r="167" spans="1:15" x14ac:dyDescent="0.2">
      <c r="A167" s="14">
        <v>43635</v>
      </c>
      <c r="B167">
        <v>869.5</v>
      </c>
      <c r="C167">
        <v>877.1</v>
      </c>
      <c r="D167">
        <v>1145</v>
      </c>
      <c r="E167">
        <v>1140</v>
      </c>
      <c r="F167">
        <v>0.76938596491227995</v>
      </c>
      <c r="G167">
        <v>0.79806750313746699</v>
      </c>
      <c r="H167">
        <v>3.0570204907611E-2</v>
      </c>
      <c r="I167">
        <v>-0.93821871040341998</v>
      </c>
      <c r="J167">
        <v>-3.73</v>
      </c>
      <c r="L167">
        <v>0.82863770804507797</v>
      </c>
      <c r="M167">
        <v>0.76749729822985602</v>
      </c>
      <c r="N167">
        <v>0.85920791295268895</v>
      </c>
      <c r="O167">
        <v>0.73692709332224504</v>
      </c>
    </row>
    <row r="168" spans="1:15" x14ac:dyDescent="0.2">
      <c r="A168" s="14">
        <v>43634</v>
      </c>
      <c r="B168">
        <v>861.8</v>
      </c>
      <c r="C168">
        <v>859.4</v>
      </c>
      <c r="D168">
        <v>1123</v>
      </c>
      <c r="E168">
        <v>1123</v>
      </c>
      <c r="F168">
        <v>0.76527159394479005</v>
      </c>
      <c r="G168">
        <v>0.79790001977388603</v>
      </c>
      <c r="H168">
        <v>3.0760697963249602E-2</v>
      </c>
      <c r="I168">
        <v>-1.0607179937229401</v>
      </c>
      <c r="J168">
        <v>-4.26</v>
      </c>
      <c r="L168">
        <v>0.82866071773713568</v>
      </c>
      <c r="M168">
        <v>0.76713932181063638</v>
      </c>
      <c r="N168">
        <v>0.85942141570038522</v>
      </c>
      <c r="O168">
        <v>0.73637862384738684</v>
      </c>
    </row>
    <row r="169" spans="1:15" x14ac:dyDescent="0.2">
      <c r="A169" s="14">
        <v>43633</v>
      </c>
      <c r="B169">
        <v>855.6</v>
      </c>
      <c r="C169">
        <v>857.6</v>
      </c>
      <c r="D169">
        <v>1129</v>
      </c>
      <c r="E169">
        <v>1136</v>
      </c>
      <c r="F169">
        <v>0.75492957746478795</v>
      </c>
      <c r="G169">
        <v>0.79792155760107297</v>
      </c>
      <c r="H169">
        <v>3.0738402290367301E-2</v>
      </c>
      <c r="I169">
        <v>-1.3986406882883999</v>
      </c>
      <c r="J169">
        <v>-5.69</v>
      </c>
      <c r="L169">
        <v>0.82865995989144026</v>
      </c>
      <c r="M169">
        <v>0.76718315531070569</v>
      </c>
      <c r="N169">
        <v>0.85939836218180754</v>
      </c>
      <c r="O169">
        <v>0.73644475302033841</v>
      </c>
    </row>
    <row r="170" spans="1:15" x14ac:dyDescent="0.2">
      <c r="A170" s="14">
        <v>43630</v>
      </c>
      <c r="B170">
        <v>846.6</v>
      </c>
      <c r="C170">
        <v>855.6</v>
      </c>
      <c r="D170">
        <v>1117</v>
      </c>
      <c r="E170">
        <v>1130</v>
      </c>
      <c r="F170">
        <v>0.75716814159292001</v>
      </c>
      <c r="G170">
        <v>0.79796726401007001</v>
      </c>
      <c r="H170">
        <v>3.0676928609624898E-2</v>
      </c>
      <c r="I170">
        <v>-1.3299611227816801</v>
      </c>
      <c r="J170">
        <v>-5.39</v>
      </c>
      <c r="L170">
        <v>0.82864419261969491</v>
      </c>
      <c r="M170">
        <v>0.76729033540044511</v>
      </c>
      <c r="N170">
        <v>0.85932112122931981</v>
      </c>
      <c r="O170">
        <v>0.73661340679082021</v>
      </c>
    </row>
    <row r="171" spans="1:15" x14ac:dyDescent="0.2">
      <c r="A171" s="14">
        <v>43629</v>
      </c>
      <c r="B171">
        <v>865</v>
      </c>
      <c r="C171">
        <v>855.1</v>
      </c>
      <c r="D171">
        <v>1124</v>
      </c>
      <c r="E171">
        <v>1124</v>
      </c>
      <c r="F171">
        <v>0.76076512455515999</v>
      </c>
      <c r="G171">
        <v>0.79799047666761902</v>
      </c>
      <c r="H171">
        <v>3.0646691665478398E-2</v>
      </c>
      <c r="I171">
        <v>-1.2146613578649701</v>
      </c>
      <c r="J171">
        <v>-4.8899999999999997</v>
      </c>
      <c r="L171">
        <v>0.82863716833309742</v>
      </c>
      <c r="M171">
        <v>0.76734378500214062</v>
      </c>
      <c r="N171">
        <v>0.85928385999857582</v>
      </c>
      <c r="O171">
        <v>0.73669709333666222</v>
      </c>
    </row>
    <row r="172" spans="1:15" x14ac:dyDescent="0.2">
      <c r="A172" s="14">
        <v>43628</v>
      </c>
      <c r="B172">
        <v>863.4</v>
      </c>
      <c r="C172">
        <v>869.2</v>
      </c>
      <c r="D172">
        <v>1115</v>
      </c>
      <c r="E172">
        <v>1130</v>
      </c>
      <c r="F172">
        <v>0.76920353982300804</v>
      </c>
      <c r="G172">
        <v>0.79792729229444104</v>
      </c>
      <c r="H172">
        <v>3.0728150916204101E-2</v>
      </c>
      <c r="I172">
        <v>-0.93476996223309206</v>
      </c>
      <c r="J172">
        <v>-3.73</v>
      </c>
      <c r="L172">
        <v>0.8286554432106451</v>
      </c>
      <c r="M172">
        <v>0.76719914137823697</v>
      </c>
      <c r="N172">
        <v>0.85938359412684928</v>
      </c>
      <c r="O172">
        <v>0.73647099046203279</v>
      </c>
    </row>
    <row r="173" spans="1:15" x14ac:dyDescent="0.2">
      <c r="A173" s="14">
        <v>43627</v>
      </c>
      <c r="B173">
        <v>865.1</v>
      </c>
      <c r="C173">
        <v>875.2</v>
      </c>
      <c r="D173">
        <v>1124</v>
      </c>
      <c r="E173">
        <v>1138</v>
      </c>
      <c r="F173">
        <v>0.76906854130052704</v>
      </c>
      <c r="G173">
        <v>0.79774617862351105</v>
      </c>
      <c r="H173">
        <v>3.09362432626848E-2</v>
      </c>
      <c r="I173">
        <v>-0.92699158975050699</v>
      </c>
      <c r="J173">
        <v>-3.73</v>
      </c>
      <c r="L173">
        <v>0.8286824218861959</v>
      </c>
      <c r="M173">
        <v>0.7668099353608262</v>
      </c>
      <c r="N173">
        <v>0.85961866514888063</v>
      </c>
      <c r="O173">
        <v>0.73587369209814146</v>
      </c>
    </row>
    <row r="174" spans="1:15" x14ac:dyDescent="0.2">
      <c r="A174" s="14">
        <v>43626</v>
      </c>
      <c r="B174">
        <v>875.1</v>
      </c>
      <c r="C174">
        <v>875</v>
      </c>
      <c r="D174">
        <v>1131</v>
      </c>
      <c r="E174">
        <v>1116</v>
      </c>
      <c r="F174">
        <v>0.78405017921146902</v>
      </c>
      <c r="G174">
        <v>0.79769093638129496</v>
      </c>
      <c r="H174">
        <v>3.09910536667669E-2</v>
      </c>
      <c r="I174">
        <v>-0.44015144875354301</v>
      </c>
      <c r="J174">
        <v>-1.74</v>
      </c>
      <c r="L174">
        <v>0.82868199004806187</v>
      </c>
      <c r="M174">
        <v>0.76669988271452805</v>
      </c>
      <c r="N174">
        <v>0.85967304371482878</v>
      </c>
      <c r="O174">
        <v>0.73570882904776114</v>
      </c>
    </row>
    <row r="175" spans="1:15" x14ac:dyDescent="0.2">
      <c r="A175" s="14">
        <v>43623</v>
      </c>
      <c r="B175">
        <v>866.6</v>
      </c>
      <c r="C175">
        <v>869.5</v>
      </c>
      <c r="D175">
        <v>1119</v>
      </c>
      <c r="E175">
        <v>1120</v>
      </c>
      <c r="F175">
        <v>0.77633928571428501</v>
      </c>
      <c r="G175">
        <v>0.79724893303188604</v>
      </c>
      <c r="H175">
        <v>3.1415936770965699E-2</v>
      </c>
      <c r="I175">
        <v>-0.66557452894179403</v>
      </c>
      <c r="J175">
        <v>-2.69</v>
      </c>
      <c r="L175">
        <v>0.8286648698028517</v>
      </c>
      <c r="M175">
        <v>0.76583299626092038</v>
      </c>
      <c r="N175">
        <v>0.86008080657381747</v>
      </c>
      <c r="O175">
        <v>0.73441705948995462</v>
      </c>
    </row>
    <row r="176" spans="1:15" x14ac:dyDescent="0.2">
      <c r="A176" s="14">
        <v>43622</v>
      </c>
      <c r="B176">
        <v>871</v>
      </c>
      <c r="C176">
        <v>867.8</v>
      </c>
      <c r="D176">
        <v>1118</v>
      </c>
      <c r="E176">
        <v>1115</v>
      </c>
      <c r="F176">
        <v>0.77829596412556001</v>
      </c>
      <c r="G176">
        <v>0.79699875265670606</v>
      </c>
      <c r="H176">
        <v>3.1655254323859197E-2</v>
      </c>
      <c r="I176">
        <v>-0.59082730278521001</v>
      </c>
      <c r="J176">
        <v>-2.4</v>
      </c>
      <c r="L176">
        <v>0.82865400698056524</v>
      </c>
      <c r="M176">
        <v>0.76534349833284687</v>
      </c>
      <c r="N176">
        <v>0.86030926130442442</v>
      </c>
      <c r="O176">
        <v>0.73368824400898769</v>
      </c>
    </row>
    <row r="177" spans="1:15" x14ac:dyDescent="0.2">
      <c r="A177" s="14">
        <v>43621</v>
      </c>
      <c r="B177">
        <v>880</v>
      </c>
      <c r="C177">
        <v>876.4</v>
      </c>
      <c r="D177">
        <v>1122</v>
      </c>
      <c r="E177">
        <v>1127</v>
      </c>
      <c r="F177">
        <v>0.77763975155279497</v>
      </c>
      <c r="G177">
        <v>0.79658055857426102</v>
      </c>
      <c r="H177">
        <v>3.2103574610778701E-2</v>
      </c>
      <c r="I177">
        <v>-0.58999059298236101</v>
      </c>
      <c r="J177">
        <v>-2.44</v>
      </c>
      <c r="L177">
        <v>0.82868413318503975</v>
      </c>
      <c r="M177">
        <v>0.76447698396348229</v>
      </c>
      <c r="N177">
        <v>0.86078770779581837</v>
      </c>
      <c r="O177">
        <v>0.73237340935270367</v>
      </c>
    </row>
    <row r="178" spans="1:15" x14ac:dyDescent="0.2">
      <c r="A178" s="14">
        <v>43620</v>
      </c>
      <c r="B178">
        <v>860.8</v>
      </c>
      <c r="C178">
        <v>860.6</v>
      </c>
      <c r="D178">
        <v>1115</v>
      </c>
      <c r="E178">
        <v>1092</v>
      </c>
      <c r="F178">
        <v>0.78809523809523796</v>
      </c>
      <c r="G178">
        <v>0.79643119267180396</v>
      </c>
      <c r="H178">
        <v>3.2217210882482403E-2</v>
      </c>
      <c r="I178">
        <v>-0.25874227930447402</v>
      </c>
      <c r="J178">
        <v>-1.06</v>
      </c>
      <c r="L178">
        <v>0.82864840355428637</v>
      </c>
      <c r="M178">
        <v>0.76421398178932154</v>
      </c>
      <c r="N178">
        <v>0.86086561443676879</v>
      </c>
      <c r="O178">
        <v>0.73199677090683912</v>
      </c>
    </row>
    <row r="179" spans="1:15" x14ac:dyDescent="0.2">
      <c r="A179" s="14">
        <v>43619</v>
      </c>
      <c r="B179">
        <v>850</v>
      </c>
      <c r="C179">
        <v>858.3</v>
      </c>
      <c r="D179">
        <v>1117</v>
      </c>
      <c r="E179">
        <v>1119</v>
      </c>
      <c r="F179">
        <v>0.76702412868632697</v>
      </c>
      <c r="G179">
        <v>0.79608832145088404</v>
      </c>
      <c r="H179">
        <v>3.2440167767425997E-2</v>
      </c>
      <c r="I179">
        <v>-0.89593225820926603</v>
      </c>
      <c r="J179">
        <v>-3.79</v>
      </c>
      <c r="L179">
        <v>0.82852848921831002</v>
      </c>
      <c r="M179">
        <v>0.76364815368345806</v>
      </c>
      <c r="N179">
        <v>0.86096865698573599</v>
      </c>
      <c r="O179">
        <v>0.73120798591603209</v>
      </c>
    </row>
    <row r="180" spans="1:15" x14ac:dyDescent="0.2">
      <c r="A180" s="14">
        <v>43616</v>
      </c>
      <c r="B180">
        <v>881.8</v>
      </c>
      <c r="C180">
        <v>864.8</v>
      </c>
      <c r="D180">
        <v>1143</v>
      </c>
      <c r="E180">
        <v>1136</v>
      </c>
      <c r="F180">
        <v>0.76126760563380202</v>
      </c>
      <c r="G180">
        <v>0.79618641797863698</v>
      </c>
      <c r="H180">
        <v>3.2363164071556198E-2</v>
      </c>
      <c r="I180">
        <v>-1.07896781252995</v>
      </c>
      <c r="J180">
        <v>-4.59</v>
      </c>
      <c r="L180">
        <v>0.82854958205019313</v>
      </c>
      <c r="M180">
        <v>0.76382325390708083</v>
      </c>
      <c r="N180">
        <v>0.86091274612174939</v>
      </c>
      <c r="O180">
        <v>0.73146008983552457</v>
      </c>
    </row>
    <row r="181" spans="1:15" x14ac:dyDescent="0.2">
      <c r="A181" s="14">
        <v>43615</v>
      </c>
      <c r="B181">
        <v>881</v>
      </c>
      <c r="C181">
        <v>894.6</v>
      </c>
      <c r="D181">
        <v>1148</v>
      </c>
      <c r="E181">
        <v>1164</v>
      </c>
      <c r="F181">
        <v>0.76855670103092699</v>
      </c>
      <c r="G181">
        <v>0.79602171145682399</v>
      </c>
      <c r="H181">
        <v>3.2571223351496002E-2</v>
      </c>
      <c r="I181">
        <v>-0.84322931716457905</v>
      </c>
      <c r="J181">
        <v>-3.57</v>
      </c>
      <c r="L181">
        <v>0.82859293480831997</v>
      </c>
      <c r="M181">
        <v>0.76345048810532801</v>
      </c>
      <c r="N181">
        <v>0.86116415815981595</v>
      </c>
      <c r="O181">
        <v>0.73087926475383203</v>
      </c>
    </row>
    <row r="182" spans="1:15" x14ac:dyDescent="0.2">
      <c r="A182" s="14">
        <v>43614</v>
      </c>
      <c r="B182">
        <v>883.1</v>
      </c>
      <c r="C182">
        <v>889</v>
      </c>
      <c r="D182">
        <v>1142</v>
      </c>
      <c r="E182">
        <v>1150</v>
      </c>
      <c r="F182">
        <v>0.77304347826086905</v>
      </c>
      <c r="G182">
        <v>0.79597376005735399</v>
      </c>
      <c r="H182">
        <v>3.2614240952418903E-2</v>
      </c>
      <c r="I182">
        <v>-0.703075746264894</v>
      </c>
      <c r="J182">
        <v>-2.97</v>
      </c>
      <c r="L182">
        <v>0.82858800100977292</v>
      </c>
      <c r="M182">
        <v>0.76335951910493505</v>
      </c>
      <c r="N182">
        <v>0.86120224196219175</v>
      </c>
      <c r="O182">
        <v>0.73074527815251622</v>
      </c>
    </row>
    <row r="183" spans="1:15" x14ac:dyDescent="0.2">
      <c r="A183" s="14">
        <v>43613</v>
      </c>
      <c r="B183">
        <v>887.9</v>
      </c>
      <c r="C183">
        <v>897.7</v>
      </c>
      <c r="D183">
        <v>1153</v>
      </c>
      <c r="E183">
        <v>1167</v>
      </c>
      <c r="F183">
        <v>0.76923736075407001</v>
      </c>
      <c r="G183">
        <v>0.79613417537208497</v>
      </c>
      <c r="H183">
        <v>3.2530542933937603E-2</v>
      </c>
      <c r="I183">
        <v>-0.826817267471879</v>
      </c>
      <c r="J183">
        <v>-3.5</v>
      </c>
      <c r="L183">
        <v>0.82866471830602262</v>
      </c>
      <c r="M183">
        <v>0.76360363243814733</v>
      </c>
      <c r="N183">
        <v>0.86119526123996015</v>
      </c>
      <c r="O183">
        <v>0.73107308950420979</v>
      </c>
    </row>
    <row r="184" spans="1:15" x14ac:dyDescent="0.2">
      <c r="A184" s="14">
        <v>43612</v>
      </c>
      <c r="B184">
        <v>873.4</v>
      </c>
      <c r="C184">
        <v>884.3</v>
      </c>
      <c r="D184">
        <v>1154</v>
      </c>
      <c r="E184">
        <v>1159</v>
      </c>
      <c r="F184">
        <v>0.76298533218291598</v>
      </c>
      <c r="G184">
        <v>0.796389926671904</v>
      </c>
      <c r="H184">
        <v>3.2393188771749903E-2</v>
      </c>
      <c r="I184">
        <v>-1.03122278959213</v>
      </c>
      <c r="J184">
        <v>-4.38</v>
      </c>
      <c r="L184">
        <v>0.82878311544365391</v>
      </c>
      <c r="M184">
        <v>0.7639967379001541</v>
      </c>
      <c r="N184">
        <v>0.86117630421540381</v>
      </c>
      <c r="O184">
        <v>0.7316035491284042</v>
      </c>
    </row>
    <row r="185" spans="1:15" x14ac:dyDescent="0.2">
      <c r="A185" s="14">
        <v>43609</v>
      </c>
      <c r="B185">
        <v>876</v>
      </c>
      <c r="C185">
        <v>880.4</v>
      </c>
      <c r="D185">
        <v>1145</v>
      </c>
      <c r="E185">
        <v>1143</v>
      </c>
      <c r="F185">
        <v>0.77025371828521405</v>
      </c>
      <c r="G185">
        <v>0.79669511476895705</v>
      </c>
      <c r="H185">
        <v>3.2184183271779902E-2</v>
      </c>
      <c r="I185">
        <v>-0.82156493643037598</v>
      </c>
      <c r="J185">
        <v>-3.43</v>
      </c>
      <c r="L185">
        <v>0.8288792980407369</v>
      </c>
      <c r="M185">
        <v>0.76451093149717719</v>
      </c>
      <c r="N185">
        <v>0.86106348131251687</v>
      </c>
      <c r="O185">
        <v>0.73232674822539723</v>
      </c>
    </row>
    <row r="186" spans="1:15" x14ac:dyDescent="0.2">
      <c r="A186" s="14">
        <v>43608</v>
      </c>
      <c r="B186">
        <v>895</v>
      </c>
      <c r="C186">
        <v>896.6</v>
      </c>
      <c r="D186">
        <v>1157</v>
      </c>
      <c r="E186">
        <v>1164</v>
      </c>
      <c r="F186">
        <v>0.77027491408934701</v>
      </c>
      <c r="G186">
        <v>0.79681312489331402</v>
      </c>
      <c r="H186">
        <v>3.2103138487014897E-2</v>
      </c>
      <c r="I186">
        <v>-0.82665471522982603</v>
      </c>
      <c r="J186">
        <v>-3.45</v>
      </c>
      <c r="L186">
        <v>0.82891626338032887</v>
      </c>
      <c r="M186">
        <v>0.76470998640629917</v>
      </c>
      <c r="N186">
        <v>0.86101940186734383</v>
      </c>
      <c r="O186">
        <v>0.73260684791928421</v>
      </c>
    </row>
    <row r="187" spans="1:15" x14ac:dyDescent="0.2">
      <c r="A187" s="14">
        <v>43607</v>
      </c>
      <c r="B187">
        <v>913.8</v>
      </c>
      <c r="C187">
        <v>904.6</v>
      </c>
      <c r="D187">
        <v>1165</v>
      </c>
      <c r="E187">
        <v>1159</v>
      </c>
      <c r="F187">
        <v>0.78050043140638403</v>
      </c>
      <c r="G187">
        <v>0.79697202988965998</v>
      </c>
      <c r="H187">
        <v>3.20007179790813E-2</v>
      </c>
      <c r="I187">
        <v>-0.51472590377637295</v>
      </c>
      <c r="J187">
        <v>-2.11</v>
      </c>
      <c r="L187">
        <v>0.82897274786874131</v>
      </c>
      <c r="M187">
        <v>0.76497131191057866</v>
      </c>
      <c r="N187">
        <v>0.86097346584782253</v>
      </c>
      <c r="O187">
        <v>0.73297059393149744</v>
      </c>
    </row>
    <row r="188" spans="1:15" x14ac:dyDescent="0.2">
      <c r="A188" s="14">
        <v>43606</v>
      </c>
      <c r="B188">
        <v>895.2</v>
      </c>
      <c r="C188">
        <v>913.7</v>
      </c>
      <c r="D188">
        <v>1147</v>
      </c>
      <c r="E188">
        <v>1165</v>
      </c>
      <c r="F188">
        <v>0.78429184549356201</v>
      </c>
      <c r="G188">
        <v>0.79701646695639905</v>
      </c>
      <c r="H188">
        <v>3.1980121582775703E-2</v>
      </c>
      <c r="I188">
        <v>-0.39789159118428702</v>
      </c>
      <c r="J188">
        <v>-1.62</v>
      </c>
      <c r="L188">
        <v>0.82899658853917479</v>
      </c>
      <c r="M188">
        <v>0.76503634537362331</v>
      </c>
      <c r="N188">
        <v>0.86097671012195043</v>
      </c>
      <c r="O188">
        <v>0.73305622379084767</v>
      </c>
    </row>
    <row r="189" spans="1:15" x14ac:dyDescent="0.2">
      <c r="A189" s="14">
        <v>43605</v>
      </c>
      <c r="B189">
        <v>901.1</v>
      </c>
      <c r="C189">
        <v>906</v>
      </c>
      <c r="D189">
        <v>1140</v>
      </c>
      <c r="E189">
        <v>1154</v>
      </c>
      <c r="F189">
        <v>0.78509532062391596</v>
      </c>
      <c r="G189">
        <v>0.79698081097727003</v>
      </c>
      <c r="H189">
        <v>3.1995775876488303E-2</v>
      </c>
      <c r="I189">
        <v>-0.37147060909646601</v>
      </c>
      <c r="J189">
        <v>-1.51</v>
      </c>
      <c r="L189">
        <v>0.8289765868537583</v>
      </c>
      <c r="M189">
        <v>0.76498503510078175</v>
      </c>
      <c r="N189">
        <v>0.86097236273024658</v>
      </c>
      <c r="O189">
        <v>0.73298925922429348</v>
      </c>
    </row>
    <row r="190" spans="1:15" x14ac:dyDescent="0.2">
      <c r="A190" s="14">
        <v>43602</v>
      </c>
      <c r="B190">
        <v>895.8</v>
      </c>
      <c r="C190">
        <v>899.5</v>
      </c>
      <c r="D190">
        <v>1098</v>
      </c>
      <c r="E190">
        <v>1137</v>
      </c>
      <c r="F190">
        <v>0.79111697449428298</v>
      </c>
      <c r="G190">
        <v>0.79692923207799204</v>
      </c>
      <c r="H190">
        <v>3.2018004673761501E-2</v>
      </c>
      <c r="I190">
        <v>-0.18153091183950601</v>
      </c>
      <c r="J190">
        <v>-0.73</v>
      </c>
      <c r="L190">
        <v>0.82894723675175352</v>
      </c>
      <c r="M190">
        <v>0.76491122740423056</v>
      </c>
      <c r="N190">
        <v>0.860965241425515</v>
      </c>
      <c r="O190">
        <v>0.73289322273046908</v>
      </c>
    </row>
    <row r="191" spans="1:15" x14ac:dyDescent="0.2">
      <c r="A191" s="14">
        <v>43601</v>
      </c>
      <c r="B191">
        <v>897.4</v>
      </c>
      <c r="C191">
        <v>889.8</v>
      </c>
      <c r="D191">
        <v>1120</v>
      </c>
      <c r="E191">
        <v>1087</v>
      </c>
      <c r="F191">
        <v>0.81858325666973297</v>
      </c>
      <c r="G191">
        <v>0.79684806573173605</v>
      </c>
      <c r="H191">
        <v>3.2040344144823603E-2</v>
      </c>
      <c r="I191">
        <v>0.67836945944627003</v>
      </c>
      <c r="J191">
        <v>2.66</v>
      </c>
      <c r="L191">
        <v>0.82888840987655965</v>
      </c>
      <c r="M191">
        <v>0.76480772158691246</v>
      </c>
      <c r="N191">
        <v>0.86092875402138325</v>
      </c>
      <c r="O191">
        <v>0.73276737744208886</v>
      </c>
    </row>
    <row r="192" spans="1:15" x14ac:dyDescent="0.2">
      <c r="A192" s="14">
        <v>43600</v>
      </c>
      <c r="B192">
        <v>892</v>
      </c>
      <c r="C192">
        <v>899.7</v>
      </c>
      <c r="D192">
        <v>1172</v>
      </c>
      <c r="E192">
        <v>1182</v>
      </c>
      <c r="F192">
        <v>0.76116751269035499</v>
      </c>
      <c r="G192">
        <v>0.79633305169606405</v>
      </c>
      <c r="H192">
        <v>3.19972423175824E-2</v>
      </c>
      <c r="I192">
        <v>-1.0990178046182799</v>
      </c>
      <c r="J192">
        <v>-4.62</v>
      </c>
      <c r="L192">
        <v>0.82833029401364644</v>
      </c>
      <c r="M192">
        <v>0.76433580937848167</v>
      </c>
      <c r="N192">
        <v>0.86032753633122883</v>
      </c>
      <c r="O192">
        <v>0.73233856706089928</v>
      </c>
    </row>
    <row r="193" spans="1:15" x14ac:dyDescent="0.2">
      <c r="A193" s="14">
        <v>43599</v>
      </c>
      <c r="B193">
        <v>871.9</v>
      </c>
      <c r="C193">
        <v>886.4</v>
      </c>
      <c r="D193">
        <v>1136</v>
      </c>
      <c r="E193">
        <v>1161</v>
      </c>
      <c r="F193">
        <v>0.76347975882859598</v>
      </c>
      <c r="G193">
        <v>0.79638164670990297</v>
      </c>
      <c r="H193">
        <v>3.1946526030198603E-2</v>
      </c>
      <c r="I193">
        <v>-1.0299050309947899</v>
      </c>
      <c r="J193">
        <v>-4.3099999999999996</v>
      </c>
      <c r="L193">
        <v>0.82832817274010162</v>
      </c>
      <c r="M193">
        <v>0.76443512067970432</v>
      </c>
      <c r="N193">
        <v>0.86027469877030016</v>
      </c>
      <c r="O193">
        <v>0.73248859464950578</v>
      </c>
    </row>
    <row r="194" spans="1:15" x14ac:dyDescent="0.2">
      <c r="A194" s="14">
        <v>43598</v>
      </c>
      <c r="B194">
        <v>908.5</v>
      </c>
      <c r="C194">
        <v>892</v>
      </c>
      <c r="D194">
        <v>1157</v>
      </c>
      <c r="E194">
        <v>1167</v>
      </c>
      <c r="F194">
        <v>0.76435304198800302</v>
      </c>
      <c r="G194">
        <v>0.79636481472007603</v>
      </c>
      <c r="H194">
        <v>3.1964184633080102E-2</v>
      </c>
      <c r="I194">
        <v>-1.00148879439719</v>
      </c>
      <c r="J194">
        <v>-4.1900000000000004</v>
      </c>
      <c r="L194">
        <v>0.82832899935315618</v>
      </c>
      <c r="M194">
        <v>0.76440063008699588</v>
      </c>
      <c r="N194">
        <v>0.86029318398623622</v>
      </c>
      <c r="O194">
        <v>0.73243644545391584</v>
      </c>
    </row>
    <row r="195" spans="1:15" x14ac:dyDescent="0.2">
      <c r="A195" s="14">
        <v>43595</v>
      </c>
      <c r="B195">
        <v>950</v>
      </c>
      <c r="C195">
        <v>915.7</v>
      </c>
      <c r="D195">
        <v>1177</v>
      </c>
      <c r="E195">
        <v>1170</v>
      </c>
      <c r="F195">
        <v>0.78264957264957202</v>
      </c>
      <c r="G195">
        <v>0.79643853655591601</v>
      </c>
      <c r="H195">
        <v>3.1896572687687398E-2</v>
      </c>
      <c r="I195">
        <v>-0.432302368074369</v>
      </c>
      <c r="J195">
        <v>-1.76</v>
      </c>
      <c r="L195">
        <v>0.82833510924360343</v>
      </c>
      <c r="M195">
        <v>0.76454196386822859</v>
      </c>
      <c r="N195">
        <v>0.86023168193129085</v>
      </c>
      <c r="O195">
        <v>0.73264539118054117</v>
      </c>
    </row>
    <row r="196" spans="1:15" x14ac:dyDescent="0.2">
      <c r="A196" s="14">
        <v>43594</v>
      </c>
      <c r="B196">
        <v>978.8</v>
      </c>
      <c r="C196">
        <v>979.4</v>
      </c>
      <c r="D196">
        <v>1177</v>
      </c>
      <c r="E196">
        <v>1192</v>
      </c>
      <c r="F196">
        <v>0.82164429530201299</v>
      </c>
      <c r="G196">
        <v>0.79616402763403804</v>
      </c>
      <c r="H196">
        <v>3.2101993978855603E-2</v>
      </c>
      <c r="I196">
        <v>0.79372850436509901</v>
      </c>
      <c r="J196">
        <v>3.1</v>
      </c>
      <c r="L196">
        <v>0.82826602161289364</v>
      </c>
      <c r="M196">
        <v>0.76406203365518244</v>
      </c>
      <c r="N196">
        <v>0.86036801559174925</v>
      </c>
      <c r="O196">
        <v>0.73196003967632683</v>
      </c>
    </row>
    <row r="197" spans="1:15" x14ac:dyDescent="0.2">
      <c r="A197" s="14">
        <v>43593</v>
      </c>
      <c r="B197">
        <v>990</v>
      </c>
      <c r="C197">
        <v>980.5</v>
      </c>
      <c r="D197">
        <v>1180</v>
      </c>
      <c r="E197">
        <v>1188</v>
      </c>
      <c r="F197">
        <v>0.82533670033670004</v>
      </c>
      <c r="G197">
        <v>0.79580986325951997</v>
      </c>
      <c r="H197">
        <v>3.1965162430453498E-2</v>
      </c>
      <c r="I197">
        <v>0.92371928787853397</v>
      </c>
      <c r="J197">
        <v>3.58</v>
      </c>
      <c r="L197">
        <v>0.82777502568997341</v>
      </c>
      <c r="M197">
        <v>0.76384470082906653</v>
      </c>
      <c r="N197">
        <v>0.85974018812042696</v>
      </c>
      <c r="O197">
        <v>0.73187953839861297</v>
      </c>
    </row>
    <row r="198" spans="1:15" x14ac:dyDescent="0.2">
      <c r="A198" s="14">
        <v>43592</v>
      </c>
      <c r="B198">
        <v>1020</v>
      </c>
      <c r="C198">
        <v>1001.5</v>
      </c>
      <c r="D198">
        <v>1221</v>
      </c>
      <c r="E198">
        <v>1196</v>
      </c>
      <c r="F198">
        <v>0.83737458193979897</v>
      </c>
      <c r="G198">
        <v>0.795218597062193</v>
      </c>
      <c r="H198">
        <v>3.1823344432057199E-2</v>
      </c>
      <c r="I198">
        <v>1.32468744658842</v>
      </c>
      <c r="J198">
        <v>5.03</v>
      </c>
      <c r="L198">
        <v>0.82704194149425025</v>
      </c>
      <c r="M198">
        <v>0.76339525263013575</v>
      </c>
      <c r="N198">
        <v>0.8588652859263074</v>
      </c>
      <c r="O198">
        <v>0.7315719081980786</v>
      </c>
    </row>
    <row r="199" spans="1:15" x14ac:dyDescent="0.2">
      <c r="A199" s="14">
        <v>43581</v>
      </c>
      <c r="B199">
        <v>1014.5</v>
      </c>
      <c r="C199">
        <v>1021</v>
      </c>
      <c r="D199">
        <v>1206</v>
      </c>
      <c r="E199">
        <v>1197</v>
      </c>
      <c r="F199">
        <v>0.85296574770258904</v>
      </c>
      <c r="G199">
        <v>0.79449838024752395</v>
      </c>
      <c r="H199">
        <v>3.1470415627944198E-2</v>
      </c>
      <c r="I199">
        <v>1.8578517724802299</v>
      </c>
      <c r="J199">
        <v>6.85</v>
      </c>
      <c r="L199">
        <v>0.82596879587546812</v>
      </c>
      <c r="M199">
        <v>0.76302796461957978</v>
      </c>
      <c r="N199">
        <v>0.8574392115034124</v>
      </c>
      <c r="O199">
        <v>0.7315575489916355</v>
      </c>
    </row>
    <row r="200" spans="1:15" x14ac:dyDescent="0.2">
      <c r="A200" s="14">
        <v>43580</v>
      </c>
      <c r="B200">
        <v>1017</v>
      </c>
      <c r="C200">
        <v>1023.5</v>
      </c>
      <c r="D200">
        <v>1214</v>
      </c>
      <c r="E200">
        <v>1218</v>
      </c>
      <c r="F200">
        <v>0.840311986863711</v>
      </c>
      <c r="G200">
        <v>0.793352776338762</v>
      </c>
      <c r="H200">
        <v>3.0879514014625999E-2</v>
      </c>
      <c r="I200">
        <v>1.52072375564934</v>
      </c>
      <c r="J200">
        <v>5.59</v>
      </c>
      <c r="L200">
        <v>0.82423229035338796</v>
      </c>
      <c r="M200">
        <v>0.76247326232413604</v>
      </c>
      <c r="N200">
        <v>0.85511180436801404</v>
      </c>
      <c r="O200">
        <v>0.73159374830950996</v>
      </c>
    </row>
    <row r="201" spans="1:15" x14ac:dyDescent="0.2">
      <c r="A201" s="14">
        <v>43579</v>
      </c>
      <c r="B201">
        <v>1025</v>
      </c>
      <c r="C201">
        <v>1016.5</v>
      </c>
      <c r="D201">
        <v>1223</v>
      </c>
      <c r="E201">
        <v>1200</v>
      </c>
      <c r="F201">
        <v>0.84708333333333297</v>
      </c>
      <c r="G201">
        <v>0.79243023453746597</v>
      </c>
      <c r="H201">
        <v>3.0493948353886201E-2</v>
      </c>
      <c r="I201">
        <v>1.7922604892489</v>
      </c>
      <c r="J201">
        <v>6.45</v>
      </c>
      <c r="L201">
        <v>0.82292418289135216</v>
      </c>
      <c r="M201">
        <v>0.76193628618357978</v>
      </c>
      <c r="N201">
        <v>0.85341813124523835</v>
      </c>
      <c r="O201">
        <v>0.73144233782969359</v>
      </c>
    </row>
    <row r="202" spans="1:15" x14ac:dyDescent="0.2">
      <c r="A202" s="14">
        <v>43578</v>
      </c>
      <c r="B202">
        <v>1024</v>
      </c>
      <c r="C202">
        <v>1021</v>
      </c>
      <c r="D202">
        <v>1215</v>
      </c>
      <c r="E202">
        <v>1225</v>
      </c>
      <c r="F202">
        <v>0.83346938775510204</v>
      </c>
      <c r="G202">
        <v>0.79135872513712702</v>
      </c>
      <c r="H202">
        <v>2.99619769909414E-2</v>
      </c>
      <c r="I202">
        <v>1.40547009400301</v>
      </c>
      <c r="J202">
        <v>5.05</v>
      </c>
      <c r="L202">
        <v>0.8213207021280684</v>
      </c>
      <c r="M202">
        <v>0.76139674814618563</v>
      </c>
      <c r="N202">
        <v>0.85128267911900979</v>
      </c>
      <c r="O202">
        <v>0.73143477115524425</v>
      </c>
    </row>
    <row r="203" spans="1:15" x14ac:dyDescent="0.2">
      <c r="A203" s="14">
        <v>43577</v>
      </c>
      <c r="B203">
        <v>1028</v>
      </c>
      <c r="C203">
        <v>1029</v>
      </c>
      <c r="D203">
        <v>1227</v>
      </c>
      <c r="E203">
        <v>1212</v>
      </c>
      <c r="F203">
        <v>0.84900990099009899</v>
      </c>
      <c r="G203">
        <v>0.79057261779348598</v>
      </c>
      <c r="H203">
        <v>2.9618279066655699E-2</v>
      </c>
      <c r="I203">
        <v>1.9730141331000299</v>
      </c>
      <c r="J203">
        <v>6.88</v>
      </c>
      <c r="L203">
        <v>0.82019089686014168</v>
      </c>
      <c r="M203">
        <v>0.76095433872683027</v>
      </c>
      <c r="N203">
        <v>0.84980917592679739</v>
      </c>
      <c r="O203">
        <v>0.73133605966017456</v>
      </c>
    </row>
    <row r="204" spans="1:15" x14ac:dyDescent="0.2">
      <c r="A204" s="14">
        <v>43574</v>
      </c>
      <c r="B204">
        <v>1030</v>
      </c>
      <c r="C204">
        <v>1031</v>
      </c>
      <c r="D204">
        <v>1250</v>
      </c>
      <c r="E204">
        <v>1228</v>
      </c>
      <c r="F204">
        <v>0.83957654723126995</v>
      </c>
      <c r="G204">
        <v>0.78953953726234405</v>
      </c>
      <c r="H204">
        <v>2.89046452001545E-2</v>
      </c>
      <c r="I204">
        <v>1.7311061811150801</v>
      </c>
      <c r="J204">
        <v>5.96</v>
      </c>
      <c r="L204">
        <v>0.8184441824624985</v>
      </c>
      <c r="M204">
        <v>0.76063489206218959</v>
      </c>
      <c r="N204">
        <v>0.84734882766265307</v>
      </c>
      <c r="O204">
        <v>0.73173024686203503</v>
      </c>
    </row>
    <row r="205" spans="1:15" x14ac:dyDescent="0.2">
      <c r="A205" s="14">
        <v>43573</v>
      </c>
      <c r="B205">
        <v>1028</v>
      </c>
      <c r="C205">
        <v>1020.5</v>
      </c>
      <c r="D205">
        <v>1264</v>
      </c>
      <c r="E205">
        <v>1244</v>
      </c>
      <c r="F205">
        <v>0.82033762057877802</v>
      </c>
      <c r="G205">
        <v>0.78848024542783901</v>
      </c>
      <c r="H205">
        <v>2.8504495471566402E-2</v>
      </c>
      <c r="I205">
        <v>1.1176263471393899</v>
      </c>
      <c r="J205">
        <v>3.88</v>
      </c>
      <c r="L205">
        <v>0.81698474089940543</v>
      </c>
      <c r="M205">
        <v>0.75997574995627259</v>
      </c>
      <c r="N205">
        <v>0.84548923637097184</v>
      </c>
      <c r="O205">
        <v>0.73147125448470618</v>
      </c>
    </row>
    <row r="206" spans="1:15" x14ac:dyDescent="0.2">
      <c r="A206" s="14">
        <v>43572</v>
      </c>
      <c r="B206">
        <v>1029</v>
      </c>
      <c r="C206">
        <v>1026.5</v>
      </c>
      <c r="D206">
        <v>1231</v>
      </c>
      <c r="E206">
        <v>1249</v>
      </c>
      <c r="F206">
        <v>0.82185748598879105</v>
      </c>
      <c r="G206">
        <v>0.78735574382012197</v>
      </c>
      <c r="H206">
        <v>2.8886540274060301E-2</v>
      </c>
      <c r="I206">
        <v>1.1943881766848401</v>
      </c>
      <c r="J206">
        <v>4.2</v>
      </c>
      <c r="L206">
        <v>0.81624228409418231</v>
      </c>
      <c r="M206">
        <v>0.75846920354606162</v>
      </c>
      <c r="N206">
        <v>0.84512882436824255</v>
      </c>
      <c r="O206">
        <v>0.72958266327200139</v>
      </c>
    </row>
    <row r="207" spans="1:15" x14ac:dyDescent="0.2">
      <c r="A207" s="14">
        <v>43571</v>
      </c>
      <c r="B207">
        <v>1015.5</v>
      </c>
      <c r="C207">
        <v>1026</v>
      </c>
      <c r="D207">
        <v>1229</v>
      </c>
      <c r="E207">
        <v>1224</v>
      </c>
      <c r="F207">
        <v>0.83823529411764697</v>
      </c>
      <c r="G207">
        <v>0.78620831872999997</v>
      </c>
      <c r="H207">
        <v>2.9200738359519699E-2</v>
      </c>
      <c r="I207">
        <v>1.78170067986261</v>
      </c>
      <c r="J207">
        <v>6.21</v>
      </c>
      <c r="L207">
        <v>0.81540905708951972</v>
      </c>
      <c r="M207">
        <v>0.75700758037048022</v>
      </c>
      <c r="N207">
        <v>0.84460979544903936</v>
      </c>
      <c r="O207">
        <v>0.72780684201096058</v>
      </c>
    </row>
    <row r="208" spans="1:15" x14ac:dyDescent="0.2">
      <c r="A208" s="14">
        <v>43570</v>
      </c>
      <c r="B208">
        <v>1026.5</v>
      </c>
      <c r="C208">
        <v>1020.5</v>
      </c>
      <c r="D208">
        <v>1217</v>
      </c>
      <c r="E208">
        <v>1233</v>
      </c>
      <c r="F208">
        <v>0.82765612327656102</v>
      </c>
      <c r="G208">
        <v>0.78477207635249502</v>
      </c>
      <c r="H208">
        <v>2.9255478930354701E-2</v>
      </c>
      <c r="I208">
        <v>1.4658466889622499</v>
      </c>
      <c r="J208">
        <v>5.18</v>
      </c>
      <c r="L208">
        <v>0.81402755528284976</v>
      </c>
      <c r="M208">
        <v>0.75551659742214028</v>
      </c>
      <c r="N208">
        <v>0.84328303421320439</v>
      </c>
      <c r="O208">
        <v>0.72626111849178565</v>
      </c>
    </row>
    <row r="209" spans="1:15" x14ac:dyDescent="0.2">
      <c r="A209" s="14">
        <v>43567</v>
      </c>
      <c r="B209">
        <v>993.8</v>
      </c>
      <c r="C209">
        <v>1015</v>
      </c>
      <c r="D209">
        <v>1192</v>
      </c>
      <c r="E209">
        <v>1189</v>
      </c>
      <c r="F209">
        <v>0.85365853658536495</v>
      </c>
      <c r="G209">
        <v>0.783635935210096</v>
      </c>
      <c r="H209">
        <v>2.9222573856213699E-2</v>
      </c>
      <c r="I209">
        <v>2.3961818599486402</v>
      </c>
      <c r="J209">
        <v>8.1999999999999993</v>
      </c>
      <c r="L209">
        <v>0.81285850906630974</v>
      </c>
      <c r="M209">
        <v>0.75441336135388226</v>
      </c>
      <c r="N209">
        <v>0.84208108292252337</v>
      </c>
      <c r="O209">
        <v>0.72519078749766863</v>
      </c>
    </row>
    <row r="210" spans="1:15" x14ac:dyDescent="0.2">
      <c r="A210" s="14">
        <v>43566</v>
      </c>
      <c r="B210">
        <v>981.2</v>
      </c>
      <c r="C210">
        <v>987.8</v>
      </c>
      <c r="D210">
        <v>1191</v>
      </c>
      <c r="E210">
        <v>1172</v>
      </c>
      <c r="F210">
        <v>0.84283276450511901</v>
      </c>
      <c r="G210">
        <v>0.78228199040304303</v>
      </c>
      <c r="H210">
        <v>2.8284265445040601E-2</v>
      </c>
      <c r="I210">
        <v>2.1407935878601099</v>
      </c>
      <c r="J210">
        <v>7.18</v>
      </c>
      <c r="L210">
        <v>0.81056625584808362</v>
      </c>
      <c r="M210">
        <v>0.75399772495800244</v>
      </c>
      <c r="N210">
        <v>0.83885052129312421</v>
      </c>
      <c r="O210">
        <v>0.72571345951296184</v>
      </c>
    </row>
    <row r="211" spans="1:15" x14ac:dyDescent="0.2">
      <c r="A211" s="14">
        <v>43565</v>
      </c>
      <c r="B211">
        <v>987.6</v>
      </c>
      <c r="C211">
        <v>990.3</v>
      </c>
      <c r="D211">
        <v>1188</v>
      </c>
      <c r="E211">
        <v>1205</v>
      </c>
      <c r="F211">
        <v>0.82182572614107796</v>
      </c>
      <c r="G211">
        <v>0.78102585473673003</v>
      </c>
      <c r="H211">
        <v>2.7652171378069201E-2</v>
      </c>
      <c r="I211">
        <v>1.4754671829029</v>
      </c>
      <c r="J211">
        <v>4.96</v>
      </c>
      <c r="L211">
        <v>0.80867802611479922</v>
      </c>
      <c r="M211">
        <v>0.75337368335866084</v>
      </c>
      <c r="N211">
        <v>0.83633019749286841</v>
      </c>
      <c r="O211">
        <v>0.72572151198059165</v>
      </c>
    </row>
    <row r="212" spans="1:15" x14ac:dyDescent="0.2">
      <c r="A212" s="14">
        <v>43564</v>
      </c>
      <c r="B212">
        <v>980.2</v>
      </c>
      <c r="C212">
        <v>994.2</v>
      </c>
      <c r="D212">
        <v>1196</v>
      </c>
      <c r="E212">
        <v>1209</v>
      </c>
      <c r="F212">
        <v>0.82233250620347398</v>
      </c>
      <c r="G212">
        <v>0.78012576880513695</v>
      </c>
      <c r="H212">
        <v>2.7407065658932198E-2</v>
      </c>
      <c r="I212">
        <v>1.5399947562274201</v>
      </c>
      <c r="J212">
        <v>5.13</v>
      </c>
      <c r="L212">
        <v>0.8075328344640692</v>
      </c>
      <c r="M212">
        <v>0.7527187031462047</v>
      </c>
      <c r="N212">
        <v>0.83493990012300134</v>
      </c>
      <c r="O212">
        <v>0.72531163748727256</v>
      </c>
    </row>
    <row r="213" spans="1:15" x14ac:dyDescent="0.2">
      <c r="A213" s="14">
        <v>43563</v>
      </c>
      <c r="B213">
        <v>995</v>
      </c>
      <c r="C213">
        <v>978.7</v>
      </c>
      <c r="D213">
        <v>1210</v>
      </c>
      <c r="E213">
        <v>1191</v>
      </c>
      <c r="F213">
        <v>0.82174643157010896</v>
      </c>
      <c r="G213">
        <v>0.77908245326152703</v>
      </c>
      <c r="H213">
        <v>2.7269523274699E-2</v>
      </c>
      <c r="I213">
        <v>1.56452967214743</v>
      </c>
      <c r="J213">
        <v>5.19</v>
      </c>
      <c r="L213">
        <v>0.80635197653622603</v>
      </c>
      <c r="M213">
        <v>0.75181292998682803</v>
      </c>
      <c r="N213">
        <v>0.83362149981092504</v>
      </c>
      <c r="O213">
        <v>0.72454340671212902</v>
      </c>
    </row>
    <row r="214" spans="1:15" x14ac:dyDescent="0.2">
      <c r="A214" s="14">
        <v>43560</v>
      </c>
      <c r="B214">
        <v>979.9</v>
      </c>
      <c r="C214">
        <v>991.3</v>
      </c>
      <c r="D214">
        <v>1180</v>
      </c>
      <c r="E214">
        <v>1211</v>
      </c>
      <c r="F214">
        <v>0.81857968620974397</v>
      </c>
      <c r="G214">
        <v>0.77793135203914499</v>
      </c>
      <c r="H214">
        <v>2.7266431784384901E-2</v>
      </c>
      <c r="I214">
        <v>1.49078304385531</v>
      </c>
      <c r="J214">
        <v>4.97</v>
      </c>
      <c r="L214">
        <v>0.80519778382352991</v>
      </c>
      <c r="M214">
        <v>0.75066492025476006</v>
      </c>
      <c r="N214">
        <v>0.83246421560791484</v>
      </c>
      <c r="O214">
        <v>0.72339848847037513</v>
      </c>
    </row>
    <row r="215" spans="1:15" x14ac:dyDescent="0.2">
      <c r="A215" s="14">
        <v>43559</v>
      </c>
      <c r="B215">
        <v>988</v>
      </c>
      <c r="C215">
        <v>983.7</v>
      </c>
      <c r="D215">
        <v>1200</v>
      </c>
      <c r="E215">
        <v>1184</v>
      </c>
      <c r="F215">
        <v>0.83082770270270201</v>
      </c>
      <c r="G215">
        <v>0.77666342086948004</v>
      </c>
      <c r="H215">
        <v>2.7556229456284699E-2</v>
      </c>
      <c r="I215">
        <v>1.96559118943137</v>
      </c>
      <c r="J215">
        <v>6.52</v>
      </c>
      <c r="L215">
        <v>0.8042196503257647</v>
      </c>
      <c r="M215">
        <v>0.74910719141319537</v>
      </c>
      <c r="N215">
        <v>0.83177587978204948</v>
      </c>
      <c r="O215">
        <v>0.7215509619569106</v>
      </c>
    </row>
    <row r="216" spans="1:15" x14ac:dyDescent="0.2">
      <c r="A216" s="14">
        <v>43558</v>
      </c>
      <c r="B216">
        <v>993.8</v>
      </c>
      <c r="C216">
        <v>991.5</v>
      </c>
      <c r="D216">
        <v>1215</v>
      </c>
      <c r="E216">
        <v>1201</v>
      </c>
      <c r="F216">
        <v>0.82556203164029895</v>
      </c>
      <c r="G216">
        <v>0.77527781990707101</v>
      </c>
      <c r="H216">
        <v>2.74101711372777E-2</v>
      </c>
      <c r="I216">
        <v>1.8345092221931201</v>
      </c>
      <c r="J216">
        <v>6.09</v>
      </c>
      <c r="L216">
        <v>0.80268799104434874</v>
      </c>
      <c r="M216">
        <v>0.74786764876979328</v>
      </c>
      <c r="N216">
        <v>0.83009816218162635</v>
      </c>
      <c r="O216">
        <v>0.72045747763251566</v>
      </c>
    </row>
    <row r="217" spans="1:15" x14ac:dyDescent="0.2">
      <c r="A217" s="14">
        <v>43557</v>
      </c>
      <c r="B217">
        <v>999</v>
      </c>
      <c r="C217">
        <v>987.6</v>
      </c>
      <c r="D217">
        <v>1200</v>
      </c>
      <c r="E217">
        <v>1200</v>
      </c>
      <c r="F217">
        <v>0.82299999999999995</v>
      </c>
      <c r="G217">
        <v>0.77396411442833302</v>
      </c>
      <c r="H217">
        <v>2.73296730159561E-2</v>
      </c>
      <c r="I217" s="15">
        <v>1.7942360870193199</v>
      </c>
      <c r="J217">
        <v>5.96</v>
      </c>
      <c r="L217">
        <v>0.80129378744428914</v>
      </c>
      <c r="M217">
        <v>0.74663444141237689</v>
      </c>
      <c r="N217">
        <v>0.82862346046024526</v>
      </c>
      <c r="O217">
        <v>0.71930476839642077</v>
      </c>
    </row>
    <row r="218" spans="1:15" x14ac:dyDescent="0.2">
      <c r="A218" s="14">
        <v>43556</v>
      </c>
      <c r="B218">
        <v>964.1</v>
      </c>
      <c r="C218">
        <v>974.7</v>
      </c>
      <c r="D218">
        <v>1178</v>
      </c>
      <c r="E218">
        <v>1177</v>
      </c>
      <c r="F218">
        <v>0.82812234494477399</v>
      </c>
      <c r="G218">
        <v>0.77275144253973405</v>
      </c>
      <c r="H218">
        <v>2.7144144070570701E-2</v>
      </c>
      <c r="I218">
        <v>2.0398838976496898</v>
      </c>
      <c r="J218">
        <v>6.69</v>
      </c>
      <c r="L218">
        <v>0.7998955866103048</v>
      </c>
      <c r="M218">
        <v>0.74560729846916329</v>
      </c>
      <c r="N218">
        <v>0.82703973068087544</v>
      </c>
      <c r="O218">
        <v>0.71846315439859265</v>
      </c>
    </row>
    <row r="219" spans="1:15" x14ac:dyDescent="0.2">
      <c r="A219" s="14">
        <v>43553</v>
      </c>
      <c r="B219">
        <v>963.5</v>
      </c>
      <c r="C219">
        <v>954.2</v>
      </c>
      <c r="D219">
        <v>1172</v>
      </c>
      <c r="E219">
        <v>1164</v>
      </c>
      <c r="F219">
        <v>0.81975945017182095</v>
      </c>
      <c r="G219">
        <v>0.77154762604119598</v>
      </c>
      <c r="H219">
        <v>2.6659531759108599E-2</v>
      </c>
      <c r="I219">
        <v>1.80842726594973</v>
      </c>
      <c r="J219">
        <v>5.88</v>
      </c>
      <c r="L219">
        <v>0.7982071578003046</v>
      </c>
      <c r="M219">
        <v>0.74488809428208735</v>
      </c>
      <c r="N219">
        <v>0.82486668955941322</v>
      </c>
      <c r="O219">
        <v>0.71822856252297873</v>
      </c>
    </row>
    <row r="220" spans="1:15" x14ac:dyDescent="0.2">
      <c r="A220" s="14">
        <v>43552</v>
      </c>
      <c r="B220">
        <v>955.1</v>
      </c>
      <c r="C220">
        <v>948.5</v>
      </c>
      <c r="D220">
        <v>1162</v>
      </c>
      <c r="E220">
        <v>1162</v>
      </c>
      <c r="F220">
        <v>0.81626506024096301</v>
      </c>
      <c r="G220">
        <v>0.77030232575378699</v>
      </c>
      <c r="H220">
        <v>2.65595825334831E-2</v>
      </c>
      <c r="I220">
        <v>1.7305518424181501</v>
      </c>
      <c r="J220">
        <v>5.63</v>
      </c>
      <c r="L220">
        <v>0.7968619082872701</v>
      </c>
      <c r="M220">
        <v>0.74374274322030387</v>
      </c>
      <c r="N220">
        <v>0.82342149082075322</v>
      </c>
      <c r="O220">
        <v>0.71718316068682075</v>
      </c>
    </row>
    <row r="221" spans="1:15" x14ac:dyDescent="0.2">
      <c r="A221" s="14">
        <v>43551</v>
      </c>
      <c r="B221">
        <v>969.8</v>
      </c>
      <c r="C221">
        <v>965.9</v>
      </c>
      <c r="D221">
        <v>1155</v>
      </c>
      <c r="E221">
        <v>1170</v>
      </c>
      <c r="F221">
        <v>0.82555555555555504</v>
      </c>
      <c r="G221">
        <v>0.76896333010978402</v>
      </c>
      <c r="H221">
        <v>2.6739463580783801E-2</v>
      </c>
      <c r="I221">
        <v>2.1164308429298702</v>
      </c>
      <c r="J221">
        <v>6.86</v>
      </c>
      <c r="L221">
        <v>0.79570279369056784</v>
      </c>
      <c r="M221">
        <v>0.74222386652900019</v>
      </c>
      <c r="N221">
        <v>0.82244225727135167</v>
      </c>
      <c r="O221">
        <v>0.71548440294821636</v>
      </c>
    </row>
    <row r="222" spans="1:15" x14ac:dyDescent="0.2">
      <c r="A222" s="14">
        <v>43550</v>
      </c>
      <c r="B222">
        <v>948.5</v>
      </c>
      <c r="C222">
        <v>978.6</v>
      </c>
      <c r="D222">
        <v>1141</v>
      </c>
      <c r="E222">
        <v>1166</v>
      </c>
      <c r="F222">
        <v>0.83927958833619198</v>
      </c>
      <c r="G222">
        <v>0.76758187847836301</v>
      </c>
      <c r="H222">
        <v>2.6454910799115199E-2</v>
      </c>
      <c r="I222">
        <v>2.7101852809961402</v>
      </c>
      <c r="J222">
        <v>8.5399999999999991</v>
      </c>
      <c r="L222">
        <v>0.79403678927747823</v>
      </c>
      <c r="M222">
        <v>0.74112696767924779</v>
      </c>
      <c r="N222">
        <v>0.82049170007659344</v>
      </c>
      <c r="O222">
        <v>0.71467205688013258</v>
      </c>
    </row>
    <row r="223" spans="1:15" x14ac:dyDescent="0.2">
      <c r="A223" s="14">
        <v>43549</v>
      </c>
      <c r="B223">
        <v>944.9</v>
      </c>
      <c r="C223">
        <v>940.1</v>
      </c>
      <c r="D223">
        <v>1141</v>
      </c>
      <c r="E223">
        <v>1140</v>
      </c>
      <c r="F223">
        <v>0.82464912280701697</v>
      </c>
      <c r="G223">
        <v>0.76592880660756002</v>
      </c>
      <c r="H223">
        <v>2.57882767900115E-2</v>
      </c>
      <c r="I223">
        <v>2.2770158967039298</v>
      </c>
      <c r="J223">
        <v>7.12</v>
      </c>
      <c r="L223">
        <v>0.79171708339757152</v>
      </c>
      <c r="M223">
        <v>0.74014052981754852</v>
      </c>
      <c r="N223">
        <v>0.81750536018758302</v>
      </c>
      <c r="O223">
        <v>0.71435225302753702</v>
      </c>
    </row>
    <row r="224" spans="1:15" x14ac:dyDescent="0.2">
      <c r="A224" s="14">
        <v>43546</v>
      </c>
      <c r="B224">
        <v>954.9</v>
      </c>
      <c r="C224">
        <v>958.1</v>
      </c>
      <c r="D224">
        <v>1178</v>
      </c>
      <c r="E224">
        <v>1171</v>
      </c>
      <c r="F224">
        <v>0.81818958155422705</v>
      </c>
      <c r="G224">
        <v>0.76425477011069498</v>
      </c>
      <c r="H224">
        <v>2.5996399389480399E-2</v>
      </c>
      <c r="I224">
        <v>2.0747031400570202</v>
      </c>
      <c r="J224">
        <v>6.59</v>
      </c>
      <c r="L224">
        <v>0.79025116950017538</v>
      </c>
      <c r="M224">
        <v>0.73825837072121459</v>
      </c>
      <c r="N224">
        <v>0.81624756888965577</v>
      </c>
      <c r="O224">
        <v>0.71226197133173419</v>
      </c>
    </row>
    <row r="225" spans="1:15" x14ac:dyDescent="0.2">
      <c r="A225" s="14">
        <v>43544</v>
      </c>
      <c r="B225">
        <v>961</v>
      </c>
      <c r="C225">
        <v>950.8</v>
      </c>
      <c r="D225">
        <v>1168</v>
      </c>
      <c r="E225">
        <v>1183</v>
      </c>
      <c r="F225">
        <v>0.80371935756551105</v>
      </c>
      <c r="G225">
        <v>0.76251624876689506</v>
      </c>
      <c r="H225">
        <v>2.6682221004468799E-2</v>
      </c>
      <c r="I225">
        <v>1.5442158578820999</v>
      </c>
      <c r="J225">
        <v>5.13</v>
      </c>
      <c r="L225">
        <v>0.78919846977136388</v>
      </c>
      <c r="M225">
        <v>0.73583402776242623</v>
      </c>
      <c r="N225">
        <v>0.8158806907758327</v>
      </c>
      <c r="O225">
        <v>0.70915180675795741</v>
      </c>
    </row>
    <row r="226" spans="1:15" x14ac:dyDescent="0.2">
      <c r="A226" s="14">
        <v>43543</v>
      </c>
      <c r="B226">
        <v>966.6</v>
      </c>
      <c r="C226">
        <v>962.5</v>
      </c>
      <c r="D226">
        <v>1174</v>
      </c>
      <c r="E226">
        <v>1177</v>
      </c>
      <c r="F226">
        <v>0.81775700934579398</v>
      </c>
      <c r="G226">
        <v>0.76091246510364996</v>
      </c>
      <c r="H226">
        <v>2.77509676056087E-2</v>
      </c>
      <c r="I226">
        <v>2.0483806204528698</v>
      </c>
      <c r="J226">
        <v>6.95</v>
      </c>
      <c r="L226">
        <v>0.78866343270925865</v>
      </c>
      <c r="M226">
        <v>0.73316149749804127</v>
      </c>
      <c r="N226">
        <v>0.81641440031486734</v>
      </c>
      <c r="O226">
        <v>0.70541052989243258</v>
      </c>
    </row>
    <row r="227" spans="1:15" x14ac:dyDescent="0.2">
      <c r="A227" s="14">
        <v>43542</v>
      </c>
      <c r="B227">
        <v>968.1</v>
      </c>
      <c r="C227">
        <v>969.7</v>
      </c>
      <c r="D227">
        <v>1180</v>
      </c>
      <c r="E227">
        <v>1179</v>
      </c>
      <c r="F227">
        <v>0.82247667514843004</v>
      </c>
      <c r="G227">
        <v>0.75906132589407105</v>
      </c>
      <c r="H227">
        <v>2.8517343587238599E-2</v>
      </c>
      <c r="I227">
        <v>2.2237467196186098</v>
      </c>
      <c r="J227">
        <v>7.71</v>
      </c>
      <c r="L227">
        <v>0.78757866948130961</v>
      </c>
      <c r="M227">
        <v>0.73054398230683248</v>
      </c>
      <c r="N227">
        <v>0.81609601306854829</v>
      </c>
      <c r="O227">
        <v>0.70202663871959381</v>
      </c>
    </row>
    <row r="228" spans="1:15" x14ac:dyDescent="0.2">
      <c r="A228" s="14">
        <v>43539</v>
      </c>
      <c r="B228">
        <v>960.4</v>
      </c>
      <c r="C228">
        <v>962.6</v>
      </c>
      <c r="D228">
        <v>1199</v>
      </c>
      <c r="E228">
        <v>1173</v>
      </c>
      <c r="F228">
        <v>0.82063086104006799</v>
      </c>
      <c r="G228">
        <v>0.75707481139830302</v>
      </c>
      <c r="H228">
        <v>2.9211463716785801E-2</v>
      </c>
      <c r="I228">
        <v>2.17572286886957</v>
      </c>
      <c r="J228">
        <v>7.74</v>
      </c>
      <c r="L228">
        <v>0.78628627511508886</v>
      </c>
      <c r="M228">
        <v>0.72786334768151717</v>
      </c>
      <c r="N228">
        <v>0.8154977388318746</v>
      </c>
      <c r="O228">
        <v>0.69865188396473143</v>
      </c>
    </row>
    <row r="229" spans="1:15" x14ac:dyDescent="0.2">
      <c r="A229" s="14">
        <v>43538</v>
      </c>
      <c r="B229">
        <v>978.7</v>
      </c>
      <c r="C229">
        <v>963.3</v>
      </c>
      <c r="D229">
        <v>1207</v>
      </c>
      <c r="E229">
        <v>1197</v>
      </c>
      <c r="F229">
        <v>0.80476190476190401</v>
      </c>
      <c r="G229">
        <v>0.75498205920362604</v>
      </c>
      <c r="H229">
        <v>3.0189182783037598E-2</v>
      </c>
      <c r="I229">
        <v>1.64892988048184</v>
      </c>
      <c r="J229">
        <v>6.19</v>
      </c>
      <c r="L229">
        <v>0.78517124198666366</v>
      </c>
      <c r="M229">
        <v>0.72479287642058843</v>
      </c>
      <c r="N229">
        <v>0.81536042476970128</v>
      </c>
      <c r="O229">
        <v>0.69460369363755081</v>
      </c>
    </row>
    <row r="230" spans="1:15" x14ac:dyDescent="0.2">
      <c r="A230" s="14">
        <v>43537</v>
      </c>
      <c r="B230">
        <v>991.5</v>
      </c>
      <c r="C230">
        <v>978.2</v>
      </c>
      <c r="D230">
        <v>1225</v>
      </c>
      <c r="E230">
        <v>1203</v>
      </c>
      <c r="F230">
        <v>0.81313383208644996</v>
      </c>
      <c r="G230">
        <v>0.75308533283631096</v>
      </c>
      <c r="H230">
        <v>3.1444705649245598E-2</v>
      </c>
      <c r="I230">
        <v>1.9096537242217699</v>
      </c>
      <c r="J230">
        <v>7.38</v>
      </c>
      <c r="L230">
        <v>0.78453003848555658</v>
      </c>
      <c r="M230">
        <v>0.72164062718706534</v>
      </c>
      <c r="N230">
        <v>0.8159747441348022</v>
      </c>
      <c r="O230">
        <v>0.69019592153781972</v>
      </c>
    </row>
    <row r="231" spans="1:15" x14ac:dyDescent="0.2">
      <c r="A231" s="14">
        <v>43536</v>
      </c>
      <c r="B231">
        <v>987</v>
      </c>
      <c r="C231">
        <v>994.2</v>
      </c>
      <c r="D231">
        <v>1247</v>
      </c>
      <c r="E231">
        <v>1255</v>
      </c>
      <c r="F231">
        <v>0.79219123505976097</v>
      </c>
      <c r="G231">
        <v>0.75074230534098396</v>
      </c>
      <c r="H231">
        <v>3.3370982967556098E-2</v>
      </c>
      <c r="I231">
        <v>1.2420649927835301</v>
      </c>
      <c r="J231">
        <v>5.23</v>
      </c>
      <c r="L231">
        <v>0.7841132883085401</v>
      </c>
      <c r="M231">
        <v>0.71737132237342782</v>
      </c>
      <c r="N231">
        <v>0.81748427127609613</v>
      </c>
      <c r="O231">
        <v>0.68400033940587179</v>
      </c>
    </row>
    <row r="232" spans="1:15" x14ac:dyDescent="0.2">
      <c r="A232" s="14">
        <v>43535</v>
      </c>
      <c r="B232">
        <v>978.2</v>
      </c>
      <c r="C232">
        <v>972.8</v>
      </c>
      <c r="D232">
        <v>1238</v>
      </c>
      <c r="E232">
        <v>1233</v>
      </c>
      <c r="F232">
        <v>0.78896999188969896</v>
      </c>
      <c r="G232">
        <v>0.74866907299150098</v>
      </c>
      <c r="H232">
        <v>3.5494078605843603E-2</v>
      </c>
      <c r="I232">
        <v>1.1354265410220701</v>
      </c>
      <c r="J232">
        <v>5.1100000000000003</v>
      </c>
      <c r="L232">
        <v>0.78416315159734462</v>
      </c>
      <c r="M232">
        <v>0.71317499438565735</v>
      </c>
      <c r="N232">
        <v>0.81965723020318815</v>
      </c>
      <c r="O232">
        <v>0.67768091577981382</v>
      </c>
    </row>
    <row r="233" spans="1:15" x14ac:dyDescent="0.2">
      <c r="A233" s="14">
        <v>43532</v>
      </c>
      <c r="B233">
        <v>979</v>
      </c>
      <c r="C233">
        <v>980</v>
      </c>
      <c r="D233">
        <v>1274</v>
      </c>
      <c r="E233">
        <v>1235</v>
      </c>
      <c r="F233">
        <v>0.79352226720647701</v>
      </c>
      <c r="G233">
        <v>0.74642810183778496</v>
      </c>
      <c r="H233">
        <v>3.8089731546857401E-2</v>
      </c>
      <c r="I233">
        <v>1.2364005587899001</v>
      </c>
      <c r="J233">
        <v>5.93</v>
      </c>
      <c r="L233">
        <v>0.78451783338464232</v>
      </c>
      <c r="M233">
        <v>0.70833837029092761</v>
      </c>
      <c r="N233">
        <v>0.82260756493149978</v>
      </c>
      <c r="O233">
        <v>0.67024863874407015</v>
      </c>
    </row>
    <row r="234" spans="1:15" x14ac:dyDescent="0.2">
      <c r="A234" s="14">
        <v>43531</v>
      </c>
      <c r="B234">
        <v>1003.5</v>
      </c>
      <c r="C234">
        <v>987.6</v>
      </c>
      <c r="D234">
        <v>1323</v>
      </c>
      <c r="E234">
        <v>1300</v>
      </c>
      <c r="F234">
        <v>0.759692307692307</v>
      </c>
      <c r="G234">
        <v>0.74416557905848502</v>
      </c>
      <c r="H234">
        <v>4.0206107691012197E-2</v>
      </c>
      <c r="I234">
        <v>0.38617835760543701</v>
      </c>
      <c r="J234">
        <v>2.04</v>
      </c>
      <c r="L234">
        <v>0.7843716867494972</v>
      </c>
      <c r="M234">
        <v>0.70395947136747283</v>
      </c>
      <c r="N234">
        <v>0.82457779444050938</v>
      </c>
      <c r="O234">
        <v>0.66375336367646065</v>
      </c>
    </row>
    <row r="235" spans="1:15" x14ac:dyDescent="0.2">
      <c r="A235" s="14">
        <v>43530</v>
      </c>
      <c r="B235">
        <v>1014.5</v>
      </c>
      <c r="C235">
        <v>1012</v>
      </c>
      <c r="D235">
        <v>1322</v>
      </c>
      <c r="E235">
        <v>1337</v>
      </c>
      <c r="F235">
        <v>0.75691847419596103</v>
      </c>
      <c r="G235">
        <v>0.74230287242964199</v>
      </c>
      <c r="H235">
        <v>4.2608023163017303E-2</v>
      </c>
      <c r="I235">
        <v>0.34302463905446301</v>
      </c>
      <c r="J235">
        <v>1.93</v>
      </c>
      <c r="L235">
        <v>0.78491089559265925</v>
      </c>
      <c r="M235">
        <v>0.69969484926662473</v>
      </c>
      <c r="N235">
        <v>0.82751891875567662</v>
      </c>
      <c r="O235">
        <v>0.65708682610360736</v>
      </c>
    </row>
    <row r="236" spans="1:15" x14ac:dyDescent="0.2">
      <c r="A236" s="14">
        <v>43529</v>
      </c>
      <c r="B236">
        <v>1013.5</v>
      </c>
      <c r="C236">
        <v>1020.5</v>
      </c>
      <c r="D236">
        <v>1355</v>
      </c>
      <c r="E236">
        <v>1336</v>
      </c>
      <c r="F236">
        <v>0.76384730538922097</v>
      </c>
      <c r="G236">
        <v>0.74056788288533903</v>
      </c>
      <c r="H236">
        <v>4.4581181798579603E-2</v>
      </c>
      <c r="I236">
        <v>0.52218047087804698</v>
      </c>
      <c r="J236">
        <v>3.05</v>
      </c>
      <c r="L236">
        <v>0.78514906468391865</v>
      </c>
      <c r="M236">
        <v>0.69598670108675942</v>
      </c>
      <c r="N236">
        <v>0.82973024648249827</v>
      </c>
      <c r="O236">
        <v>0.6514055192881798</v>
      </c>
    </row>
    <row r="237" spans="1:15" x14ac:dyDescent="0.2">
      <c r="A237" s="14">
        <v>43528</v>
      </c>
      <c r="B237">
        <v>1026</v>
      </c>
      <c r="C237">
        <v>1021.5</v>
      </c>
      <c r="D237">
        <v>1356</v>
      </c>
      <c r="E237">
        <v>1369</v>
      </c>
      <c r="F237">
        <v>0.74616508400292103</v>
      </c>
      <c r="G237">
        <v>0.73872895734299804</v>
      </c>
      <c r="H237">
        <v>4.6390790146014098E-2</v>
      </c>
      <c r="I237">
        <v>0.16029316673671401</v>
      </c>
      <c r="J237">
        <v>1</v>
      </c>
      <c r="L237">
        <v>0.78511974748901214</v>
      </c>
      <c r="M237">
        <v>0.69233816719698393</v>
      </c>
      <c r="N237">
        <v>0.83151053763502625</v>
      </c>
      <c r="O237">
        <v>0.64594737705096983</v>
      </c>
    </row>
    <row r="238" spans="1:15" x14ac:dyDescent="0.2">
      <c r="A238" s="14">
        <v>43525</v>
      </c>
      <c r="B238">
        <v>1025</v>
      </c>
      <c r="C238">
        <v>1018</v>
      </c>
      <c r="D238">
        <v>1338</v>
      </c>
      <c r="E238">
        <v>1342</v>
      </c>
      <c r="F238">
        <v>0.75856929955290597</v>
      </c>
      <c r="G238">
        <v>0.73730101307721596</v>
      </c>
      <c r="H238">
        <v>4.7767734912402E-2</v>
      </c>
      <c r="I238">
        <v>0.44524377207108301</v>
      </c>
      <c r="J238">
        <v>2.8</v>
      </c>
      <c r="L238">
        <v>0.78506874798961801</v>
      </c>
      <c r="M238">
        <v>0.68953327816481391</v>
      </c>
      <c r="N238">
        <v>0.83283648290201995</v>
      </c>
      <c r="O238">
        <v>0.64176554325241197</v>
      </c>
    </row>
    <row r="239" spans="1:15" x14ac:dyDescent="0.2">
      <c r="A239" s="14">
        <v>43524</v>
      </c>
      <c r="B239">
        <v>1032.5</v>
      </c>
      <c r="C239">
        <v>1025</v>
      </c>
      <c r="D239">
        <v>1360</v>
      </c>
      <c r="E239">
        <v>1337</v>
      </c>
      <c r="F239">
        <v>0.76664173522812196</v>
      </c>
      <c r="G239">
        <v>0.73548665015322301</v>
      </c>
      <c r="H239">
        <v>4.9479099289112698E-2</v>
      </c>
      <c r="I239">
        <v>0.62966152420956101</v>
      </c>
      <c r="J239">
        <v>4.0599999999999996</v>
      </c>
      <c r="L239">
        <v>0.78496574944233566</v>
      </c>
      <c r="M239">
        <v>0.68600755086411036</v>
      </c>
      <c r="N239">
        <v>0.83444484873144842</v>
      </c>
      <c r="O239">
        <v>0.6365284515749976</v>
      </c>
    </row>
    <row r="240" spans="1:15" x14ac:dyDescent="0.2">
      <c r="A240" s="14">
        <v>43523</v>
      </c>
      <c r="B240">
        <v>1038</v>
      </c>
      <c r="C240">
        <v>1040.5</v>
      </c>
      <c r="D240">
        <v>1351</v>
      </c>
      <c r="E240">
        <v>1350</v>
      </c>
      <c r="F240">
        <v>0.77074074074073995</v>
      </c>
      <c r="G240">
        <v>0.73369466020712004</v>
      </c>
      <c r="H240">
        <v>5.0736110784791399E-2</v>
      </c>
      <c r="I240">
        <v>0.73017186301014103</v>
      </c>
      <c r="J240">
        <v>4.8099999999999996</v>
      </c>
      <c r="L240">
        <v>0.78443077099191139</v>
      </c>
      <c r="M240">
        <v>0.6829585494223287</v>
      </c>
      <c r="N240">
        <v>0.83516688177670284</v>
      </c>
      <c r="O240">
        <v>0.63222243863753724</v>
      </c>
    </row>
    <row r="241" spans="1:15" x14ac:dyDescent="0.2">
      <c r="A241" s="14">
        <v>43522</v>
      </c>
      <c r="B241">
        <v>1046</v>
      </c>
      <c r="C241">
        <v>1037</v>
      </c>
      <c r="D241">
        <v>1383</v>
      </c>
      <c r="E241">
        <v>1357</v>
      </c>
      <c r="F241">
        <v>0.76418570375828998</v>
      </c>
      <c r="G241">
        <v>0.73182530688868297</v>
      </c>
      <c r="H241">
        <v>5.1906070606072399E-2</v>
      </c>
      <c r="I241">
        <v>0.62344146824746605</v>
      </c>
      <c r="J241">
        <v>4.2300000000000004</v>
      </c>
      <c r="L241">
        <v>0.78373137749475541</v>
      </c>
      <c r="M241">
        <v>0.67991923628261053</v>
      </c>
      <c r="N241">
        <v>0.83563744810082774</v>
      </c>
      <c r="O241">
        <v>0.6280131656765382</v>
      </c>
    </row>
    <row r="242" spans="1:15" x14ac:dyDescent="0.2">
      <c r="A242" s="14">
        <v>43521</v>
      </c>
      <c r="B242">
        <v>1055</v>
      </c>
      <c r="C242">
        <v>1053.5</v>
      </c>
      <c r="D242">
        <v>1362</v>
      </c>
      <c r="E242">
        <v>1392</v>
      </c>
      <c r="F242">
        <v>0.75682471264367801</v>
      </c>
      <c r="G242">
        <v>0.73016110994197103</v>
      </c>
      <c r="H242">
        <v>5.2834447359312801E-2</v>
      </c>
      <c r="I242">
        <v>0.504663227011244</v>
      </c>
      <c r="J242">
        <v>3.52</v>
      </c>
      <c r="L242">
        <v>0.78299555730128378</v>
      </c>
      <c r="M242">
        <v>0.67732666258265828</v>
      </c>
      <c r="N242">
        <v>0.83583000466059665</v>
      </c>
      <c r="O242">
        <v>0.62449221522334541</v>
      </c>
    </row>
    <row r="243" spans="1:15" x14ac:dyDescent="0.2">
      <c r="A243" s="14">
        <v>43518</v>
      </c>
      <c r="B243">
        <v>1038.5</v>
      </c>
      <c r="C243">
        <v>1044.5</v>
      </c>
      <c r="D243">
        <v>1364</v>
      </c>
      <c r="E243">
        <v>1362</v>
      </c>
      <c r="F243">
        <v>0.76688693098384697</v>
      </c>
      <c r="G243">
        <v>0.72922899227806204</v>
      </c>
      <c r="H243">
        <v>5.2972313568071298E-2</v>
      </c>
      <c r="I243">
        <v>0.710898508470718</v>
      </c>
      <c r="J243">
        <v>4.91</v>
      </c>
      <c r="L243">
        <v>0.78220130584613334</v>
      </c>
      <c r="M243">
        <v>0.67625667870999073</v>
      </c>
      <c r="N243">
        <v>0.83517361941420465</v>
      </c>
      <c r="O243">
        <v>0.62328436514191943</v>
      </c>
    </row>
    <row r="244" spans="1:15" x14ac:dyDescent="0.2">
      <c r="A244" s="14">
        <v>43517</v>
      </c>
      <c r="B244">
        <v>1040</v>
      </c>
      <c r="C244">
        <v>1043.5</v>
      </c>
      <c r="D244">
        <v>1376</v>
      </c>
      <c r="E244">
        <v>1376</v>
      </c>
      <c r="F244">
        <v>0.75835755813953398</v>
      </c>
      <c r="G244">
        <v>0.72818876855521897</v>
      </c>
      <c r="H244">
        <v>5.2988616527397898E-2</v>
      </c>
      <c r="I244">
        <v>0.56934473027270605</v>
      </c>
      <c r="J244">
        <v>3.98</v>
      </c>
      <c r="L244">
        <v>0.78117738508261692</v>
      </c>
      <c r="M244">
        <v>0.67520015202782102</v>
      </c>
      <c r="N244">
        <v>0.83416600161001475</v>
      </c>
      <c r="O244">
        <v>0.62221153550042319</v>
      </c>
    </row>
    <row r="245" spans="1:15" x14ac:dyDescent="0.2">
      <c r="A245" s="14">
        <v>43516</v>
      </c>
      <c r="B245">
        <v>1040.5</v>
      </c>
      <c r="C245">
        <v>1043.5</v>
      </c>
      <c r="D245">
        <v>1369</v>
      </c>
      <c r="E245">
        <v>1375</v>
      </c>
      <c r="F245">
        <v>0.75890909090908998</v>
      </c>
      <c r="G245">
        <v>0.72735120522999697</v>
      </c>
      <c r="H245">
        <v>5.30015929006038E-2</v>
      </c>
      <c r="I245">
        <v>0.59541391026257195</v>
      </c>
      <c r="J245">
        <v>4.16</v>
      </c>
      <c r="L245">
        <v>0.78035279813060077</v>
      </c>
      <c r="M245">
        <v>0.67434961232939317</v>
      </c>
      <c r="N245">
        <v>0.83335439103120457</v>
      </c>
      <c r="O245">
        <v>0.62134801942878937</v>
      </c>
    </row>
    <row r="246" spans="1:15" x14ac:dyDescent="0.2">
      <c r="A246" s="14">
        <v>43515</v>
      </c>
      <c r="B246">
        <v>1035</v>
      </c>
      <c r="C246">
        <v>1035</v>
      </c>
      <c r="D246">
        <v>1372</v>
      </c>
      <c r="E246">
        <v>1369</v>
      </c>
      <c r="F246">
        <v>0.75602629656683695</v>
      </c>
      <c r="G246">
        <v>0.726445223377574</v>
      </c>
      <c r="H246">
        <v>5.3035144359199898E-2</v>
      </c>
      <c r="I246">
        <v>0.55776360273319103</v>
      </c>
      <c r="J246">
        <v>3.91</v>
      </c>
      <c r="L246">
        <v>0.77948036773677387</v>
      </c>
      <c r="M246">
        <v>0.67341007901837413</v>
      </c>
      <c r="N246">
        <v>0.83251551209597374</v>
      </c>
      <c r="O246">
        <v>0.62037493465917426</v>
      </c>
    </row>
    <row r="247" spans="1:15" x14ac:dyDescent="0.2">
      <c r="A247" s="14">
        <v>43514</v>
      </c>
      <c r="B247">
        <v>1041.5</v>
      </c>
      <c r="C247">
        <v>1042</v>
      </c>
      <c r="D247">
        <v>1380</v>
      </c>
      <c r="E247">
        <v>1379</v>
      </c>
      <c r="F247">
        <v>0.75562001450326299</v>
      </c>
      <c r="G247">
        <v>0.72556871239530496</v>
      </c>
      <c r="H247">
        <v>5.3082222610932601E-2</v>
      </c>
      <c r="I247">
        <v>0.566127427033699</v>
      </c>
      <c r="J247">
        <v>3.98</v>
      </c>
      <c r="L247">
        <v>0.77865093500623761</v>
      </c>
      <c r="M247">
        <v>0.67248648978437231</v>
      </c>
      <c r="N247">
        <v>0.83173315761717015</v>
      </c>
      <c r="O247">
        <v>0.61940426717343977</v>
      </c>
    </row>
    <row r="248" spans="1:15" x14ac:dyDescent="0.2">
      <c r="A248" s="14">
        <v>43511</v>
      </c>
      <c r="B248">
        <v>1025.5</v>
      </c>
      <c r="C248">
        <v>1025</v>
      </c>
      <c r="D248">
        <v>1366</v>
      </c>
      <c r="E248">
        <v>1340</v>
      </c>
      <c r="F248">
        <v>0.76492537313432796</v>
      </c>
      <c r="G248">
        <v>0.72427558720644003</v>
      </c>
      <c r="H248">
        <v>5.3513950981873303E-2</v>
      </c>
      <c r="I248">
        <v>0.75961100202929899</v>
      </c>
      <c r="J248">
        <v>5.31</v>
      </c>
      <c r="L248">
        <v>0.77778953818831331</v>
      </c>
      <c r="M248">
        <v>0.67076163622456675</v>
      </c>
      <c r="N248">
        <v>0.83130348917018659</v>
      </c>
      <c r="O248">
        <v>0.61724768524269347</v>
      </c>
    </row>
    <row r="249" spans="1:15" x14ac:dyDescent="0.2">
      <c r="A249" s="14">
        <v>43510</v>
      </c>
      <c r="B249">
        <v>1057</v>
      </c>
      <c r="C249">
        <v>1043</v>
      </c>
      <c r="D249">
        <v>1385</v>
      </c>
      <c r="E249">
        <v>1389</v>
      </c>
      <c r="F249">
        <v>0.750899928005759</v>
      </c>
      <c r="G249">
        <v>0.72261005725788396</v>
      </c>
      <c r="H249">
        <v>5.4162822476913501E-2</v>
      </c>
      <c r="I249">
        <v>0.52231160515931196</v>
      </c>
      <c r="J249">
        <v>3.77</v>
      </c>
      <c r="L249">
        <v>0.77677287973479747</v>
      </c>
      <c r="M249">
        <v>0.66844723478097046</v>
      </c>
      <c r="N249">
        <v>0.83093570221171098</v>
      </c>
      <c r="O249">
        <v>0.61428441230405695</v>
      </c>
    </row>
    <row r="250" spans="1:15" x14ac:dyDescent="0.2">
      <c r="A250" s="14">
        <v>43509</v>
      </c>
      <c r="B250">
        <v>1041.5</v>
      </c>
      <c r="C250">
        <v>1050</v>
      </c>
      <c r="D250">
        <v>1384</v>
      </c>
      <c r="E250">
        <v>1386</v>
      </c>
      <c r="F250">
        <v>0.75757575757575701</v>
      </c>
      <c r="G250">
        <v>0.72108510484993105</v>
      </c>
      <c r="H250">
        <v>5.4949207767472398E-2</v>
      </c>
      <c r="I250">
        <v>0.66407968755878599</v>
      </c>
      <c r="J250">
        <v>4.82</v>
      </c>
      <c r="L250">
        <v>0.77603431261740341</v>
      </c>
      <c r="M250">
        <v>0.66613589708245868</v>
      </c>
      <c r="N250">
        <v>0.83098352038487588</v>
      </c>
      <c r="O250">
        <v>0.61118668931498621</v>
      </c>
    </row>
    <row r="251" spans="1:15" x14ac:dyDescent="0.2">
      <c r="A251" s="14">
        <v>43508</v>
      </c>
      <c r="B251">
        <v>1010</v>
      </c>
      <c r="C251">
        <v>1034.5</v>
      </c>
      <c r="D251">
        <v>1322</v>
      </c>
      <c r="E251">
        <v>1385</v>
      </c>
      <c r="F251">
        <v>0.746931407942238</v>
      </c>
      <c r="G251">
        <v>0.71948746088045901</v>
      </c>
      <c r="H251">
        <v>5.5603055621700398E-2</v>
      </c>
      <c r="I251">
        <v>0.49356904499090098</v>
      </c>
      <c r="J251">
        <v>3.67</v>
      </c>
      <c r="L251">
        <v>0.77509051650215943</v>
      </c>
      <c r="M251">
        <v>0.66388440525875858</v>
      </c>
      <c r="N251">
        <v>0.83069357212385975</v>
      </c>
      <c r="O251">
        <v>0.60828134963705827</v>
      </c>
    </row>
    <row r="252" spans="1:15" x14ac:dyDescent="0.2">
      <c r="A252" s="14">
        <v>43504</v>
      </c>
      <c r="B252">
        <v>1022.5</v>
      </c>
      <c r="C252">
        <v>1002.5</v>
      </c>
      <c r="D252">
        <v>1323</v>
      </c>
      <c r="E252">
        <v>1308</v>
      </c>
      <c r="F252">
        <v>0.76643730886850103</v>
      </c>
      <c r="G252">
        <v>0.71813544404829799</v>
      </c>
      <c r="H252">
        <v>5.61494318920688E-2</v>
      </c>
      <c r="I252">
        <v>0.86023781884471395</v>
      </c>
      <c r="J252">
        <v>6.3</v>
      </c>
      <c r="L252">
        <v>0.77428487594036677</v>
      </c>
      <c r="M252">
        <v>0.66198601215622921</v>
      </c>
      <c r="N252">
        <v>0.83043430783243555</v>
      </c>
      <c r="O252">
        <v>0.60583658026416043</v>
      </c>
    </row>
    <row r="253" spans="1:15" x14ac:dyDescent="0.2">
      <c r="A253" s="14">
        <v>43503</v>
      </c>
      <c r="B253">
        <v>1046</v>
      </c>
      <c r="C253">
        <v>1031.5</v>
      </c>
      <c r="D253">
        <v>1372</v>
      </c>
      <c r="E253">
        <v>1353</v>
      </c>
      <c r="F253">
        <v>0.76237989652623706</v>
      </c>
      <c r="G253">
        <v>0.71664577382184902</v>
      </c>
      <c r="H253">
        <v>5.6329971492775702E-2</v>
      </c>
      <c r="I253">
        <v>0.81189678411703303</v>
      </c>
      <c r="J253">
        <v>6</v>
      </c>
      <c r="L253">
        <v>0.77297574531462476</v>
      </c>
      <c r="M253">
        <v>0.66031580232907328</v>
      </c>
      <c r="N253">
        <v>0.82930571680740039</v>
      </c>
      <c r="O253">
        <v>0.60398583083629764</v>
      </c>
    </row>
    <row r="254" spans="1:15" x14ac:dyDescent="0.2">
      <c r="A254" s="14">
        <v>43502</v>
      </c>
      <c r="B254">
        <v>1043.5</v>
      </c>
      <c r="C254">
        <v>1064</v>
      </c>
      <c r="D254">
        <v>1378</v>
      </c>
      <c r="E254">
        <v>1374</v>
      </c>
      <c r="F254">
        <v>0.77438136826783099</v>
      </c>
      <c r="G254">
        <v>0.71513826198733799</v>
      </c>
      <c r="H254">
        <v>5.6598127432356503E-2</v>
      </c>
      <c r="I254">
        <v>1.0467326211683701</v>
      </c>
      <c r="J254">
        <v>7.65</v>
      </c>
      <c r="L254">
        <v>0.77173638941969447</v>
      </c>
      <c r="M254">
        <v>0.6585401345549815</v>
      </c>
      <c r="N254">
        <v>0.82833451685205095</v>
      </c>
      <c r="O254">
        <v>0.60194200712262502</v>
      </c>
    </row>
    <row r="255" spans="1:15" x14ac:dyDescent="0.2">
      <c r="A255" s="14">
        <v>43501</v>
      </c>
      <c r="B255">
        <v>1007</v>
      </c>
      <c r="C255">
        <v>1035</v>
      </c>
      <c r="D255">
        <v>1391</v>
      </c>
      <c r="E255">
        <v>1382</v>
      </c>
      <c r="F255">
        <v>0.74891461649782898</v>
      </c>
      <c r="G255">
        <v>0.71350283224951405</v>
      </c>
      <c r="H255">
        <v>5.6634749093904001E-2</v>
      </c>
      <c r="I255">
        <v>0.62526602156565403</v>
      </c>
      <c r="J255">
        <v>4.7300000000000004</v>
      </c>
      <c r="L255">
        <v>0.77013758134341803</v>
      </c>
      <c r="M255">
        <v>0.65686808315561007</v>
      </c>
      <c r="N255">
        <v>0.82677233043732201</v>
      </c>
      <c r="O255">
        <v>0.60023333406170609</v>
      </c>
    </row>
    <row r="256" spans="1:15" x14ac:dyDescent="0.2">
      <c r="A256" s="14">
        <v>43500</v>
      </c>
      <c r="B256">
        <v>1059.5</v>
      </c>
      <c r="C256">
        <v>1061</v>
      </c>
      <c r="D256">
        <v>1358</v>
      </c>
      <c r="E256">
        <v>1387</v>
      </c>
      <c r="F256">
        <v>0.76496034607065599</v>
      </c>
      <c r="G256">
        <v>0.71235081410377399</v>
      </c>
      <c r="H256">
        <v>5.6781278240945997E-2</v>
      </c>
      <c r="I256">
        <v>0.92652954629935502</v>
      </c>
      <c r="J256">
        <v>6.88</v>
      </c>
      <c r="L256">
        <v>0.76913209234472002</v>
      </c>
      <c r="M256">
        <v>0.65556953586282796</v>
      </c>
      <c r="N256">
        <v>0.82591337058566594</v>
      </c>
      <c r="O256">
        <v>0.59878825762188204</v>
      </c>
    </row>
    <row r="257" spans="1:15" x14ac:dyDescent="0.2">
      <c r="A257" s="14">
        <v>43497</v>
      </c>
      <c r="B257">
        <v>1058</v>
      </c>
      <c r="C257">
        <v>1052</v>
      </c>
      <c r="D257">
        <v>1343</v>
      </c>
      <c r="E257">
        <v>1340</v>
      </c>
      <c r="F257">
        <v>0.78507462686567098</v>
      </c>
      <c r="G257">
        <v>0.71081905169898296</v>
      </c>
      <c r="H257">
        <v>5.6890850416080399E-2</v>
      </c>
      <c r="I257">
        <v>1.3052287779776099</v>
      </c>
      <c r="J257">
        <v>9.4600000000000009</v>
      </c>
      <c r="L257">
        <v>0.7677099021150634</v>
      </c>
      <c r="M257">
        <v>0.65392820128290252</v>
      </c>
      <c r="N257">
        <v>0.82460075253114373</v>
      </c>
      <c r="O257">
        <v>0.59703735086682219</v>
      </c>
    </row>
    <row r="258" spans="1:15" x14ac:dyDescent="0.2">
      <c r="A258" s="14">
        <v>43496</v>
      </c>
      <c r="B258">
        <v>1070</v>
      </c>
      <c r="C258">
        <v>1062</v>
      </c>
      <c r="D258">
        <v>1359</v>
      </c>
      <c r="E258">
        <v>1347</v>
      </c>
      <c r="F258">
        <v>0.78841870824053395</v>
      </c>
      <c r="G258">
        <v>0.709091534278536</v>
      </c>
      <c r="H258">
        <v>5.6576078674130698E-2</v>
      </c>
      <c r="I258">
        <v>1.4021327709703899</v>
      </c>
      <c r="J258">
        <v>10.06</v>
      </c>
      <c r="L258">
        <v>0.76566761295266672</v>
      </c>
      <c r="M258">
        <v>0.65251545560440527</v>
      </c>
      <c r="N258">
        <v>0.82224369162679745</v>
      </c>
      <c r="O258">
        <v>0.59593937693027454</v>
      </c>
    </row>
    <row r="259" spans="1:15" x14ac:dyDescent="0.2">
      <c r="A259" s="14">
        <v>43495</v>
      </c>
      <c r="B259">
        <v>1058.5</v>
      </c>
      <c r="C259">
        <v>1051.5</v>
      </c>
      <c r="D259">
        <v>1339</v>
      </c>
      <c r="E259">
        <v>1338</v>
      </c>
      <c r="F259">
        <v>0.78587443946188296</v>
      </c>
      <c r="G259">
        <v>0.70753547922273496</v>
      </c>
      <c r="H259">
        <v>5.5974588170384101E-2</v>
      </c>
      <c r="I259">
        <v>1.39954509358224</v>
      </c>
      <c r="J259">
        <v>9.9700000000000006</v>
      </c>
      <c r="L259">
        <v>0.76351006739311911</v>
      </c>
      <c r="M259">
        <v>0.65156089105235082</v>
      </c>
      <c r="N259">
        <v>0.81948465556350314</v>
      </c>
      <c r="O259">
        <v>0.59558630288196679</v>
      </c>
    </row>
    <row r="260" spans="1:15" x14ac:dyDescent="0.2">
      <c r="A260" s="14">
        <v>43494</v>
      </c>
      <c r="B260">
        <v>1050</v>
      </c>
      <c r="C260">
        <v>1044</v>
      </c>
      <c r="D260">
        <v>1348</v>
      </c>
      <c r="E260">
        <v>1340</v>
      </c>
      <c r="F260">
        <v>0.77910447761194002</v>
      </c>
      <c r="G260">
        <v>0.705971649021226</v>
      </c>
      <c r="H260">
        <v>5.53995366354968E-2</v>
      </c>
      <c r="I260">
        <v>1.32009819995235</v>
      </c>
      <c r="J260">
        <v>9.39</v>
      </c>
      <c r="L260">
        <v>0.76137118565672279</v>
      </c>
      <c r="M260">
        <v>0.65057211238572921</v>
      </c>
      <c r="N260">
        <v>0.81677072229221959</v>
      </c>
      <c r="O260">
        <v>0.59517257575023241</v>
      </c>
    </row>
    <row r="261" spans="1:15" x14ac:dyDescent="0.2">
      <c r="A261" s="14">
        <v>43493</v>
      </c>
      <c r="B261">
        <v>1077</v>
      </c>
      <c r="C261">
        <v>1063</v>
      </c>
      <c r="D261">
        <v>1359</v>
      </c>
      <c r="E261">
        <v>1359</v>
      </c>
      <c r="F261">
        <v>0.78219278881530496</v>
      </c>
      <c r="G261">
        <v>0.70477864100588805</v>
      </c>
      <c r="H261">
        <v>5.4771656897217497E-2</v>
      </c>
      <c r="I261">
        <v>1.41339795425012</v>
      </c>
      <c r="J261">
        <v>9.9</v>
      </c>
      <c r="L261">
        <v>0.75955029790310558</v>
      </c>
      <c r="M261">
        <v>0.65000698410867053</v>
      </c>
      <c r="N261">
        <v>0.8143219548003231</v>
      </c>
      <c r="O261">
        <v>0.595235327211453</v>
      </c>
    </row>
    <row r="262" spans="1:15" x14ac:dyDescent="0.2">
      <c r="A262" s="14">
        <v>43490</v>
      </c>
      <c r="B262">
        <v>1053</v>
      </c>
      <c r="C262">
        <v>1071.5</v>
      </c>
      <c r="D262">
        <v>1361</v>
      </c>
      <c r="E262">
        <v>1367</v>
      </c>
      <c r="F262">
        <v>0.78383321141185003</v>
      </c>
      <c r="G262">
        <v>0.70382846049187098</v>
      </c>
      <c r="H262">
        <v>5.4033600217208599E-2</v>
      </c>
      <c r="I262">
        <v>1.4806481633348501</v>
      </c>
      <c r="J262">
        <v>10.210000000000001</v>
      </c>
      <c r="L262">
        <v>0.75786206070907958</v>
      </c>
      <c r="M262">
        <v>0.64979486027466238</v>
      </c>
      <c r="N262">
        <v>0.81189566092628818</v>
      </c>
      <c r="O262">
        <v>0.59576126005745378</v>
      </c>
    </row>
    <row r="263" spans="1:15" x14ac:dyDescent="0.2">
      <c r="A263" s="14">
        <v>43489</v>
      </c>
      <c r="B263">
        <v>1050</v>
      </c>
      <c r="C263">
        <v>1063</v>
      </c>
      <c r="D263">
        <v>1346</v>
      </c>
      <c r="E263">
        <v>1360</v>
      </c>
      <c r="F263">
        <v>0.78161764705882297</v>
      </c>
      <c r="G263">
        <v>0.70288679805092802</v>
      </c>
      <c r="H263">
        <v>5.3240707148336799E-2</v>
      </c>
      <c r="I263">
        <v>1.4787716622271501</v>
      </c>
      <c r="J263">
        <v>10.07</v>
      </c>
      <c r="L263">
        <v>0.75612750519926486</v>
      </c>
      <c r="M263">
        <v>0.64964609090259118</v>
      </c>
      <c r="N263">
        <v>0.80936821234760159</v>
      </c>
      <c r="O263">
        <v>0.59640538375425445</v>
      </c>
    </row>
    <row r="264" spans="1:15" x14ac:dyDescent="0.2">
      <c r="A264" s="14">
        <v>43488</v>
      </c>
      <c r="B264">
        <v>1059</v>
      </c>
      <c r="C264">
        <v>1057</v>
      </c>
      <c r="D264">
        <v>1340</v>
      </c>
      <c r="E264">
        <v>1353</v>
      </c>
      <c r="F264">
        <v>0.78122690317812205</v>
      </c>
      <c r="G264">
        <v>0.70177833960478797</v>
      </c>
      <c r="H264">
        <v>5.2449551741939902E-2</v>
      </c>
      <c r="I264">
        <v>1.51476153627077</v>
      </c>
      <c r="J264">
        <v>10.17</v>
      </c>
      <c r="L264">
        <v>0.75422789134672785</v>
      </c>
      <c r="M264">
        <v>0.64932878786284809</v>
      </c>
      <c r="N264">
        <v>0.80667744308866773</v>
      </c>
      <c r="O264">
        <v>0.59687923612090821</v>
      </c>
    </row>
    <row r="265" spans="1:15" x14ac:dyDescent="0.2">
      <c r="A265" s="14">
        <v>43487</v>
      </c>
      <c r="B265">
        <v>1108.5</v>
      </c>
      <c r="C265">
        <v>1064.5</v>
      </c>
      <c r="D265">
        <v>1393</v>
      </c>
      <c r="E265">
        <v>1356</v>
      </c>
      <c r="F265">
        <v>0.78502949852507298</v>
      </c>
      <c r="G265">
        <v>0.70077353645130203</v>
      </c>
      <c r="H265">
        <v>5.1633397306496201E-2</v>
      </c>
      <c r="I265">
        <v>1.6318113172686901</v>
      </c>
      <c r="J265">
        <v>10.73</v>
      </c>
      <c r="L265">
        <v>0.75240693375779821</v>
      </c>
      <c r="M265">
        <v>0.64914013914480584</v>
      </c>
      <c r="N265">
        <v>0.8040403310642944</v>
      </c>
      <c r="O265">
        <v>0.59750674183830965</v>
      </c>
    </row>
    <row r="266" spans="1:15" x14ac:dyDescent="0.2">
      <c r="A266" s="14">
        <v>43486</v>
      </c>
      <c r="B266">
        <v>1105</v>
      </c>
      <c r="C266">
        <v>1093.5</v>
      </c>
      <c r="D266">
        <v>1404</v>
      </c>
      <c r="E266">
        <v>1402</v>
      </c>
      <c r="F266">
        <v>0.77995720399429302</v>
      </c>
      <c r="G266">
        <v>0.69992172278524301</v>
      </c>
      <c r="H266">
        <v>5.0755889905826697E-2</v>
      </c>
      <c r="I266">
        <v>1.57687080962524</v>
      </c>
      <c r="J266">
        <v>10.26</v>
      </c>
      <c r="L266">
        <v>0.7506776126910697</v>
      </c>
      <c r="M266">
        <v>0.64916583287941632</v>
      </c>
      <c r="N266">
        <v>0.80143350259689639</v>
      </c>
      <c r="O266">
        <v>0.59840994297358963</v>
      </c>
    </row>
    <row r="267" spans="1:15" x14ac:dyDescent="0.2">
      <c r="A267" s="14">
        <v>43483</v>
      </c>
      <c r="B267">
        <v>1051.5</v>
      </c>
      <c r="C267">
        <v>1058.5</v>
      </c>
      <c r="D267">
        <v>1384</v>
      </c>
      <c r="E267">
        <v>1384</v>
      </c>
      <c r="F267">
        <v>0.76481213872832299</v>
      </c>
      <c r="G267">
        <v>0.69910140900866802</v>
      </c>
      <c r="H267">
        <v>4.9946447637866098E-2</v>
      </c>
      <c r="I267">
        <v>1.3156236895181599</v>
      </c>
      <c r="J267">
        <v>8.59</v>
      </c>
      <c r="L267">
        <v>0.74904785664653417</v>
      </c>
      <c r="M267">
        <v>0.64915496137080186</v>
      </c>
      <c r="N267">
        <v>0.79899430428440021</v>
      </c>
      <c r="O267">
        <v>0.59920851373293582</v>
      </c>
    </row>
    <row r="268" spans="1:15" x14ac:dyDescent="0.2">
      <c r="A268" s="14">
        <v>43482</v>
      </c>
      <c r="B268">
        <v>1054.5</v>
      </c>
      <c r="C268">
        <v>1045</v>
      </c>
      <c r="D268">
        <v>1382</v>
      </c>
      <c r="E268">
        <v>1371</v>
      </c>
      <c r="F268">
        <v>0.76221735959153902</v>
      </c>
      <c r="G268">
        <v>0.698563345623753</v>
      </c>
      <c r="H268">
        <v>4.9450565816616297E-2</v>
      </c>
      <c r="I268">
        <v>1.2872251897752001</v>
      </c>
      <c r="J268">
        <v>8.35</v>
      </c>
      <c r="L268">
        <v>0.74801391144036933</v>
      </c>
      <c r="M268">
        <v>0.64911277980713666</v>
      </c>
      <c r="N268">
        <v>0.79746447725698555</v>
      </c>
      <c r="O268">
        <v>0.59966221399052044</v>
      </c>
    </row>
    <row r="269" spans="1:15" x14ac:dyDescent="0.2">
      <c r="A269" s="14">
        <v>43481</v>
      </c>
      <c r="B269">
        <v>1050.5</v>
      </c>
      <c r="C269">
        <v>1045.5</v>
      </c>
      <c r="D269">
        <v>1369</v>
      </c>
      <c r="E269">
        <v>1358</v>
      </c>
      <c r="F269">
        <v>0.76988217967599404</v>
      </c>
      <c r="G269">
        <v>0.69819782960094101</v>
      </c>
      <c r="H269">
        <v>4.9078629573342698E-2</v>
      </c>
      <c r="I269">
        <v>1.4606021133481</v>
      </c>
      <c r="J269">
        <v>9.31</v>
      </c>
      <c r="L269">
        <v>0.74727645917428376</v>
      </c>
      <c r="M269">
        <v>0.64911920002759826</v>
      </c>
      <c r="N269">
        <v>0.79635508874762639</v>
      </c>
      <c r="O269">
        <v>0.60004057045425563</v>
      </c>
    </row>
    <row r="270" spans="1:15" x14ac:dyDescent="0.2">
      <c r="A270" s="14">
        <v>43480</v>
      </c>
      <c r="B270">
        <v>1049</v>
      </c>
      <c r="C270">
        <v>1042.5</v>
      </c>
      <c r="D270">
        <v>1334</v>
      </c>
      <c r="E270">
        <v>1368</v>
      </c>
      <c r="F270">
        <v>0.76206140350877105</v>
      </c>
      <c r="G270">
        <v>0.697858659797853</v>
      </c>
      <c r="H270">
        <v>4.86682465524775E-2</v>
      </c>
      <c r="I270">
        <v>1.3191916343583501</v>
      </c>
      <c r="J270">
        <v>8.42</v>
      </c>
      <c r="L270">
        <v>0.74652690635033048</v>
      </c>
      <c r="M270">
        <v>0.64919041324537552</v>
      </c>
      <c r="N270">
        <v>0.79519515290280796</v>
      </c>
      <c r="O270">
        <v>0.60052216669289804</v>
      </c>
    </row>
    <row r="271" spans="1:15" x14ac:dyDescent="0.2">
      <c r="A271" s="14">
        <v>43476</v>
      </c>
      <c r="B271">
        <v>1050.5</v>
      </c>
      <c r="C271">
        <v>1067</v>
      </c>
      <c r="D271">
        <v>1345</v>
      </c>
      <c r="E271">
        <v>1342</v>
      </c>
      <c r="F271">
        <v>0.79508196721311397</v>
      </c>
      <c r="G271">
        <v>0.69775193546977898</v>
      </c>
      <c r="H271">
        <v>4.8535936162904997E-2</v>
      </c>
      <c r="I271">
        <v>2.0053189335147201</v>
      </c>
      <c r="J271">
        <v>12.24</v>
      </c>
      <c r="L271">
        <v>0.74628787163268395</v>
      </c>
      <c r="M271">
        <v>0.64921599930687401</v>
      </c>
      <c r="N271">
        <v>0.79482380779558892</v>
      </c>
      <c r="O271">
        <v>0.60068006314396905</v>
      </c>
    </row>
    <row r="272" spans="1:15" x14ac:dyDescent="0.2">
      <c r="A272" s="14">
        <v>43475</v>
      </c>
      <c r="B272">
        <v>1045</v>
      </c>
      <c r="C272">
        <v>1039.5</v>
      </c>
      <c r="D272">
        <v>1306</v>
      </c>
      <c r="E272">
        <v>1331</v>
      </c>
      <c r="F272">
        <v>0.78099173553719003</v>
      </c>
      <c r="G272">
        <v>0.69737280744524999</v>
      </c>
      <c r="H272">
        <v>4.78808169338205E-2</v>
      </c>
      <c r="I272">
        <v>1.7463972723672301</v>
      </c>
      <c r="J272">
        <v>10.71</v>
      </c>
      <c r="L272">
        <v>0.7452536243790705</v>
      </c>
      <c r="M272">
        <v>0.64949199051142947</v>
      </c>
      <c r="N272">
        <v>0.79313444131289101</v>
      </c>
      <c r="O272">
        <v>0.60161117357760896</v>
      </c>
    </row>
    <row r="273" spans="1:15" x14ac:dyDescent="0.2">
      <c r="A273" s="14">
        <v>43474</v>
      </c>
      <c r="B273">
        <v>1033.5</v>
      </c>
      <c r="C273">
        <v>1045</v>
      </c>
      <c r="D273">
        <v>1332</v>
      </c>
      <c r="E273">
        <v>1334</v>
      </c>
      <c r="F273">
        <v>0.78335832083958001</v>
      </c>
      <c r="G273">
        <v>0.69732366197465701</v>
      </c>
      <c r="H273">
        <v>4.7796782084420897E-2</v>
      </c>
      <c r="I273">
        <v>1.8000094381450999</v>
      </c>
      <c r="J273">
        <v>10.98</v>
      </c>
      <c r="L273">
        <v>0.74512044405907796</v>
      </c>
      <c r="M273">
        <v>0.64952687989023605</v>
      </c>
      <c r="N273">
        <v>0.7929172261434988</v>
      </c>
      <c r="O273">
        <v>0.60173009780581521</v>
      </c>
    </row>
    <row r="274" spans="1:15" x14ac:dyDescent="0.2">
      <c r="A274" s="14">
        <v>43473</v>
      </c>
      <c r="B274">
        <v>1009.5</v>
      </c>
      <c r="C274">
        <v>1012.5</v>
      </c>
      <c r="D274">
        <v>1312</v>
      </c>
      <c r="E274">
        <v>1320</v>
      </c>
      <c r="F274">
        <v>0.76704545454545403</v>
      </c>
      <c r="G274">
        <v>0.69717486313464105</v>
      </c>
      <c r="H274">
        <v>4.7545421480511198E-2</v>
      </c>
      <c r="I274">
        <v>1.46955456982231</v>
      </c>
      <c r="J274">
        <v>9.11</v>
      </c>
      <c r="L274">
        <v>0.74472028461515227</v>
      </c>
      <c r="M274">
        <v>0.64962944165412984</v>
      </c>
      <c r="N274">
        <v>0.79226570609566349</v>
      </c>
      <c r="O274">
        <v>0.60208402017361862</v>
      </c>
    </row>
    <row r="275" spans="1:15" x14ac:dyDescent="0.2">
      <c r="A275" s="14">
        <v>43472</v>
      </c>
      <c r="B275">
        <v>994.8</v>
      </c>
      <c r="C275">
        <v>1004</v>
      </c>
      <c r="D275">
        <v>1310</v>
      </c>
      <c r="E275">
        <v>1302</v>
      </c>
      <c r="F275">
        <v>0.77112135176651297</v>
      </c>
      <c r="G275">
        <v>0.697255472180767</v>
      </c>
      <c r="H275">
        <v>4.7668777472961797E-2</v>
      </c>
      <c r="I275">
        <v>1.54956521860966</v>
      </c>
      <c r="J275">
        <v>9.58</v>
      </c>
      <c r="L275">
        <v>0.74492424965372883</v>
      </c>
      <c r="M275">
        <v>0.64958669470780517</v>
      </c>
      <c r="N275">
        <v>0.79259302712669055</v>
      </c>
      <c r="O275">
        <v>0.60191791723484345</v>
      </c>
    </row>
    <row r="276" spans="1:15" x14ac:dyDescent="0.2">
      <c r="A276" s="14">
        <v>43469</v>
      </c>
      <c r="B276">
        <v>960</v>
      </c>
      <c r="C276">
        <v>956.1</v>
      </c>
      <c r="D276">
        <v>1255</v>
      </c>
      <c r="E276">
        <v>1247</v>
      </c>
      <c r="F276">
        <v>0.76672012830793901</v>
      </c>
      <c r="G276">
        <v>0.69732526589802202</v>
      </c>
      <c r="H276">
        <v>4.7780577230246903E-2</v>
      </c>
      <c r="I276">
        <v>1.45236550984961</v>
      </c>
      <c r="J276">
        <v>9.0500000000000007</v>
      </c>
      <c r="L276">
        <v>0.74510584312826889</v>
      </c>
      <c r="M276">
        <v>0.64954468866777515</v>
      </c>
      <c r="N276">
        <v>0.79288642035851586</v>
      </c>
      <c r="O276">
        <v>0.60176411143752817</v>
      </c>
    </row>
    <row r="277" spans="1:15" x14ac:dyDescent="0.2">
      <c r="A277" s="14">
        <v>43462</v>
      </c>
      <c r="B277">
        <v>982.5</v>
      </c>
      <c r="C277">
        <v>990.6</v>
      </c>
      <c r="D277">
        <v>1266</v>
      </c>
      <c r="E277">
        <v>1279</v>
      </c>
      <c r="F277">
        <v>0.77451133698201702</v>
      </c>
      <c r="G277">
        <v>0.69731647226805804</v>
      </c>
      <c r="H277">
        <v>4.7767863854680903E-2</v>
      </c>
      <c r="I277">
        <v>1.61604180058796</v>
      </c>
      <c r="J277">
        <v>9.9700000000000006</v>
      </c>
      <c r="L277">
        <v>0.74508433612273894</v>
      </c>
      <c r="M277">
        <v>0.64954860841337714</v>
      </c>
      <c r="N277">
        <v>0.79285219997741985</v>
      </c>
      <c r="O277">
        <v>0.60178074455869623</v>
      </c>
    </row>
    <row r="278" spans="1:15" x14ac:dyDescent="0.2">
      <c r="A278" s="14">
        <v>43461</v>
      </c>
      <c r="B278">
        <v>983</v>
      </c>
      <c r="C278">
        <v>989.1</v>
      </c>
      <c r="D278">
        <v>1294</v>
      </c>
      <c r="E278">
        <v>1282</v>
      </c>
      <c r="F278">
        <v>0.77152886115444597</v>
      </c>
      <c r="G278">
        <v>0.69751010053828499</v>
      </c>
      <c r="H278">
        <v>4.8108600422477901E-2</v>
      </c>
      <c r="I278">
        <v>1.5385764700312601</v>
      </c>
      <c r="J278">
        <v>9.59</v>
      </c>
      <c r="L278">
        <v>0.74561870096076288</v>
      </c>
      <c r="M278">
        <v>0.64940150011580711</v>
      </c>
      <c r="N278">
        <v>0.79372730138324077</v>
      </c>
      <c r="O278">
        <v>0.60129289969332922</v>
      </c>
    </row>
    <row r="279" spans="1:15" x14ac:dyDescent="0.2">
      <c r="A279" s="14">
        <v>43460</v>
      </c>
      <c r="B279">
        <v>930</v>
      </c>
      <c r="C279">
        <v>938</v>
      </c>
      <c r="D279">
        <v>1246</v>
      </c>
      <c r="E279">
        <v>1234</v>
      </c>
      <c r="F279">
        <v>0.76012965964343504</v>
      </c>
      <c r="G279">
        <v>0.69787571531111603</v>
      </c>
      <c r="H279">
        <v>4.87693964213387E-2</v>
      </c>
      <c r="I279">
        <v>1.2764961000231101</v>
      </c>
      <c r="J279">
        <v>8.19</v>
      </c>
      <c r="L279">
        <v>0.74664511173245474</v>
      </c>
      <c r="M279">
        <v>0.64910631888977732</v>
      </c>
      <c r="N279">
        <v>0.79541450815379344</v>
      </c>
      <c r="O279">
        <v>0.60033692246843862</v>
      </c>
    </row>
    <row r="280" spans="1:15" x14ac:dyDescent="0.2">
      <c r="A280" s="14">
        <v>43459</v>
      </c>
      <c r="B280">
        <v>930</v>
      </c>
      <c r="C280">
        <v>920</v>
      </c>
      <c r="D280">
        <v>1272</v>
      </c>
      <c r="E280">
        <v>1250</v>
      </c>
      <c r="F280">
        <v>0.73599999999999999</v>
      </c>
      <c r="G280">
        <v>0.69840001613648195</v>
      </c>
      <c r="H280">
        <v>4.9639455843097098E-2</v>
      </c>
      <c r="I280">
        <v>0.75746164467163002</v>
      </c>
      <c r="J280">
        <v>5.1100000000000003</v>
      </c>
      <c r="L280">
        <v>0.7480394719795791</v>
      </c>
      <c r="M280">
        <v>0.6487605602933848</v>
      </c>
      <c r="N280">
        <v>0.79767892782267613</v>
      </c>
      <c r="O280">
        <v>0.59912110445028777</v>
      </c>
    </row>
    <row r="281" spans="1:15" x14ac:dyDescent="0.2">
      <c r="A281" s="14">
        <v>43455</v>
      </c>
      <c r="B281">
        <v>981.1</v>
      </c>
      <c r="C281">
        <v>974.2</v>
      </c>
      <c r="D281">
        <v>1353</v>
      </c>
      <c r="E281">
        <v>1324</v>
      </c>
      <c r="F281">
        <v>0.73580060422960702</v>
      </c>
      <c r="G281">
        <v>0.69912509780617405</v>
      </c>
      <c r="H281">
        <v>5.0571797557636002E-2</v>
      </c>
      <c r="I281">
        <v>0.72521658700452996</v>
      </c>
      <c r="J281">
        <v>4.9800000000000004</v>
      </c>
      <c r="L281">
        <v>0.74969689536381001</v>
      </c>
      <c r="M281">
        <v>0.64855330024853808</v>
      </c>
      <c r="N281">
        <v>0.80026869292144609</v>
      </c>
      <c r="O281">
        <v>0.597981502690902</v>
      </c>
    </row>
    <row r="282" spans="1:15" x14ac:dyDescent="0.2">
      <c r="A282" s="14">
        <v>43454</v>
      </c>
      <c r="B282">
        <v>1035</v>
      </c>
      <c r="C282">
        <v>1003</v>
      </c>
      <c r="D282">
        <v>1402</v>
      </c>
      <c r="E282">
        <v>1373</v>
      </c>
      <c r="F282">
        <v>0.73051711580480605</v>
      </c>
      <c r="G282">
        <v>0.69996094876287096</v>
      </c>
      <c r="H282">
        <v>5.1677046038713197E-2</v>
      </c>
      <c r="I282">
        <v>0.59129089962001602</v>
      </c>
      <c r="J282">
        <v>4.18</v>
      </c>
      <c r="L282">
        <v>0.75163799480158411</v>
      </c>
      <c r="M282">
        <v>0.64828390272415781</v>
      </c>
      <c r="N282">
        <v>0.80331504084029737</v>
      </c>
      <c r="O282">
        <v>0.59660685668544455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E35" sqref="E3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8">
        <v>13</v>
      </c>
      <c r="F1" s="269" t="s">
        <v>2164</v>
      </c>
      <c r="G1" s="270">
        <v>14</v>
      </c>
      <c r="N1" s="253" t="s">
        <v>2163</v>
      </c>
      <c r="O1" s="254" t="s">
        <v>2161</v>
      </c>
      <c r="P1" s="255" t="s">
        <v>2162</v>
      </c>
    </row>
    <row r="2" spans="1:16" s="106" customFormat="1" x14ac:dyDescent="0.2">
      <c r="B2" s="211"/>
      <c r="C2" s="209" t="s">
        <v>1709</v>
      </c>
      <c r="D2" s="209" t="s">
        <v>1710</v>
      </c>
      <c r="E2" s="209" t="s">
        <v>1711</v>
      </c>
      <c r="F2" s="209" t="s">
        <v>1712</v>
      </c>
      <c r="G2" s="210" t="s">
        <v>1716</v>
      </c>
      <c r="H2" s="210" t="s">
        <v>1713</v>
      </c>
      <c r="I2" s="210" t="s">
        <v>909</v>
      </c>
      <c r="J2" s="256" t="s">
        <v>1719</v>
      </c>
      <c r="K2" s="257"/>
      <c r="M2" s="249" t="s">
        <v>2153</v>
      </c>
      <c r="N2" s="251">
        <v>-2.8140612143613999</v>
      </c>
      <c r="O2" s="247">
        <f>MAX(I42:I1000)</f>
        <v>1.97404281422524</v>
      </c>
      <c r="P2" s="248">
        <f>MIN(I42:I1000)</f>
        <v>-2.8140612143613999</v>
      </c>
    </row>
    <row r="3" spans="1:16" s="106" customFormat="1" x14ac:dyDescent="0.2">
      <c r="B3" s="212" t="s">
        <v>1720</v>
      </c>
      <c r="C3" s="259">
        <v>8795</v>
      </c>
      <c r="D3" s="260" t="s">
        <v>2226</v>
      </c>
      <c r="E3" s="259" t="s">
        <v>2228</v>
      </c>
      <c r="F3" s="259">
        <v>1433</v>
      </c>
      <c r="G3" s="259">
        <v>700</v>
      </c>
      <c r="H3" s="259"/>
      <c r="I3" s="261">
        <v>0.05</v>
      </c>
      <c r="J3" s="262">
        <v>1003100</v>
      </c>
      <c r="K3" s="258"/>
      <c r="M3" s="249" t="s">
        <v>2154</v>
      </c>
      <c r="N3" s="251">
        <v>-8.11</v>
      </c>
      <c r="O3" s="248">
        <f>MAX(J42:J1000)</f>
        <v>5.52</v>
      </c>
      <c r="P3" s="248">
        <f>MIN(J42:J1000)</f>
        <v>-8.11</v>
      </c>
    </row>
    <row r="4" spans="1:16" s="106" customFormat="1" x14ac:dyDescent="0.2">
      <c r="B4" s="213" t="s">
        <v>1721</v>
      </c>
      <c r="C4" s="263">
        <v>6752</v>
      </c>
      <c r="D4" s="263" t="s">
        <v>2227</v>
      </c>
      <c r="E4" s="263" t="s">
        <v>2229</v>
      </c>
      <c r="F4" s="263">
        <v>1016.5</v>
      </c>
      <c r="G4" s="263">
        <v>1000</v>
      </c>
      <c r="H4" s="263"/>
      <c r="I4" s="264"/>
      <c r="J4" s="265">
        <v>1016500</v>
      </c>
      <c r="K4" s="258"/>
      <c r="M4" s="250" t="s">
        <v>2155</v>
      </c>
      <c r="N4" s="251">
        <v>1.34</v>
      </c>
      <c r="O4" s="271"/>
      <c r="P4" s="272"/>
    </row>
    <row r="5" spans="1:16" s="106" customFormat="1" x14ac:dyDescent="0.2">
      <c r="M5" s="250" t="s">
        <v>2157</v>
      </c>
      <c r="N5" s="251">
        <v>0.90524543736923602</v>
      </c>
      <c r="O5" s="271"/>
      <c r="P5" s="272"/>
    </row>
    <row r="6" spans="1:16" s="106" customFormat="1" ht="15" thickBot="1" x14ac:dyDescent="0.25">
      <c r="M6" s="250" t="s">
        <v>2158</v>
      </c>
      <c r="N6" s="251">
        <v>0.91052373189302604</v>
      </c>
      <c r="O6" s="271"/>
      <c r="P6" s="272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50" t="s">
        <v>2159</v>
      </c>
      <c r="N7" s="251">
        <v>4.6756204401709599E-2</v>
      </c>
      <c r="O7" s="271"/>
      <c r="P7" s="272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50" t="s">
        <v>2160</v>
      </c>
      <c r="N8" s="252">
        <v>6.1995489679687E-3</v>
      </c>
      <c r="O8" s="273"/>
      <c r="P8" s="274"/>
    </row>
    <row r="9" spans="1:16" s="106" customFormat="1" x14ac:dyDescent="0.2">
      <c r="A9" s="204" t="s">
        <v>1718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6" t="s">
        <v>2149</v>
      </c>
      <c r="B10" s="97"/>
      <c r="C10" s="10"/>
      <c r="D10" s="10"/>
      <c r="E10" s="197"/>
      <c r="F10" s="198"/>
      <c r="G10" s="198"/>
      <c r="H10" s="214"/>
      <c r="I10" s="200"/>
      <c r="J10" s="200"/>
      <c r="K10" s="199"/>
    </row>
    <row r="11" spans="1:16" x14ac:dyDescent="0.2">
      <c r="A11" s="207" t="s">
        <v>1706</v>
      </c>
      <c r="B11" s="197"/>
      <c r="C11" s="352"/>
      <c r="D11" s="353"/>
      <c r="E11" s="197"/>
      <c r="F11" s="197"/>
      <c r="G11" s="198"/>
      <c r="H11" s="204"/>
      <c r="I11" s="197"/>
      <c r="J11" s="201"/>
      <c r="K11" s="202"/>
      <c r="L11" s="95"/>
      <c r="M11" s="95"/>
      <c r="N11" s="95"/>
      <c r="O11" s="95"/>
      <c r="P11" s="96"/>
    </row>
    <row r="12" spans="1:16" x14ac:dyDescent="0.2">
      <c r="A12" s="275">
        <v>1433</v>
      </c>
      <c r="B12" s="197"/>
      <c r="C12" s="352"/>
      <c r="D12" s="353"/>
      <c r="E12" s="197"/>
      <c r="F12" s="197"/>
      <c r="G12" s="197"/>
      <c r="H12" s="204"/>
      <c r="I12" s="197"/>
      <c r="J12" s="203"/>
      <c r="K12" s="10"/>
      <c r="L12" s="10"/>
      <c r="M12" s="10"/>
      <c r="N12" s="10"/>
      <c r="O12" s="10"/>
      <c r="P12" s="98"/>
    </row>
    <row r="13" spans="1:16" x14ac:dyDescent="0.2">
      <c r="A13" s="207" t="s">
        <v>1707</v>
      </c>
      <c r="B13" s="197"/>
      <c r="C13" s="352"/>
      <c r="D13" s="353"/>
      <c r="E13" s="197"/>
      <c r="F13" s="197"/>
      <c r="G13" s="197"/>
      <c r="H13" s="204"/>
      <c r="I13" s="197"/>
      <c r="J13" s="203"/>
      <c r="K13" s="10"/>
      <c r="L13" s="10"/>
      <c r="M13" s="10"/>
      <c r="N13" s="10"/>
      <c r="O13" s="10"/>
      <c r="P13" s="98"/>
    </row>
    <row r="14" spans="1:16" x14ac:dyDescent="0.2">
      <c r="A14" s="275">
        <v>1112.956307416536</v>
      </c>
      <c r="B14" s="197"/>
      <c r="C14" s="352"/>
      <c r="D14" s="353"/>
      <c r="E14" s="197"/>
      <c r="F14" s="197"/>
      <c r="G14" s="197"/>
      <c r="H14" s="204"/>
      <c r="I14" s="197"/>
      <c r="J14" s="203"/>
      <c r="K14" s="10"/>
      <c r="L14" s="10"/>
      <c r="M14" s="10"/>
      <c r="N14" s="10"/>
      <c r="O14" s="10"/>
      <c r="P14" s="98"/>
    </row>
    <row r="15" spans="1:16" x14ac:dyDescent="0.2">
      <c r="A15" s="207" t="s">
        <v>1717</v>
      </c>
      <c r="B15" s="197"/>
      <c r="C15" s="352"/>
      <c r="D15" s="353"/>
      <c r="E15" s="197"/>
      <c r="F15" s="197"/>
      <c r="G15" s="197"/>
      <c r="H15" s="204"/>
      <c r="I15" s="197"/>
      <c r="J15" s="203"/>
      <c r="K15" s="10"/>
      <c r="L15" s="10"/>
      <c r="M15" s="10"/>
      <c r="N15" s="10"/>
      <c r="O15" s="10"/>
      <c r="P15" s="98"/>
    </row>
    <row r="16" spans="1:16" x14ac:dyDescent="0.2">
      <c r="A16" s="275">
        <v>1.2917320188214205</v>
      </c>
      <c r="B16" s="197"/>
      <c r="C16" s="352"/>
      <c r="D16" s="353"/>
      <c r="E16" s="197"/>
      <c r="F16" s="197"/>
      <c r="G16" s="197"/>
      <c r="H16" s="204"/>
      <c r="I16" s="197"/>
      <c r="J16" s="203"/>
      <c r="K16" s="10"/>
      <c r="L16" s="10"/>
      <c r="M16" s="10"/>
      <c r="N16" s="10"/>
      <c r="O16" s="10"/>
      <c r="P16" s="98"/>
    </row>
    <row r="17" spans="1:16" x14ac:dyDescent="0.2">
      <c r="A17" s="277"/>
      <c r="B17" s="197"/>
      <c r="C17" s="352"/>
      <c r="D17" s="353"/>
      <c r="E17" s="197"/>
      <c r="F17" s="197"/>
      <c r="G17" s="197"/>
      <c r="H17" s="204"/>
      <c r="I17" s="197"/>
      <c r="J17" s="203"/>
      <c r="K17" s="196"/>
      <c r="L17" s="10"/>
      <c r="M17" s="10"/>
      <c r="N17" s="10"/>
      <c r="O17" s="10"/>
      <c r="P17" s="98"/>
    </row>
    <row r="18" spans="1:16" x14ac:dyDescent="0.2">
      <c r="A18" s="278"/>
      <c r="B18" s="197"/>
      <c r="C18" s="352"/>
      <c r="D18" s="353"/>
      <c r="E18" s="197"/>
      <c r="F18" s="197"/>
      <c r="G18" s="197"/>
      <c r="H18" s="204"/>
      <c r="I18" s="197"/>
      <c r="J18" s="203"/>
      <c r="K18" s="196"/>
      <c r="L18" s="10"/>
      <c r="M18" s="10"/>
      <c r="N18" s="10"/>
      <c r="O18" s="10"/>
      <c r="P18" s="98"/>
    </row>
    <row r="19" spans="1:16" x14ac:dyDescent="0.2">
      <c r="A19" s="197"/>
      <c r="B19" s="203"/>
      <c r="C19" s="352"/>
      <c r="D19" s="353"/>
      <c r="E19" s="197"/>
      <c r="F19" s="197"/>
      <c r="G19" s="197"/>
      <c r="H19" s="204"/>
      <c r="I19" s="197"/>
      <c r="J19" s="203"/>
      <c r="K19" s="196"/>
      <c r="L19" s="10"/>
      <c r="M19" s="10"/>
      <c r="N19" s="10"/>
      <c r="O19" s="10"/>
      <c r="P19" s="98"/>
    </row>
    <row r="20" spans="1:16" x14ac:dyDescent="0.2">
      <c r="A20" s="197"/>
      <c r="B20" s="203"/>
      <c r="C20" s="197"/>
      <c r="D20" s="197"/>
      <c r="E20" s="197"/>
      <c r="F20" s="197"/>
      <c r="G20" s="197"/>
      <c r="H20" s="204"/>
      <c r="I20" s="197"/>
      <c r="J20" s="203"/>
      <c r="K20" s="196"/>
      <c r="L20" s="10"/>
      <c r="M20" s="10"/>
      <c r="N20" s="10"/>
      <c r="O20" s="10"/>
      <c r="P20" s="98"/>
    </row>
    <row r="21" spans="1:16" x14ac:dyDescent="0.2">
      <c r="A21" s="197"/>
      <c r="B21" s="203"/>
      <c r="C21" s="197"/>
      <c r="E21" s="197"/>
      <c r="F21" s="197"/>
      <c r="G21" s="197"/>
      <c r="H21" s="204"/>
      <c r="I21" s="197"/>
      <c r="J21" s="203"/>
      <c r="K21" s="10"/>
      <c r="L21" s="10"/>
      <c r="M21" s="10"/>
      <c r="N21" s="10"/>
      <c r="O21" s="10"/>
      <c r="P21" s="98"/>
    </row>
    <row r="22" spans="1:16" x14ac:dyDescent="0.2">
      <c r="A22" s="197"/>
      <c r="B22" s="203"/>
      <c r="C22" s="197"/>
      <c r="D22" s="197"/>
      <c r="E22" s="197"/>
      <c r="F22" s="197"/>
      <c r="G22" s="197"/>
      <c r="H22" s="204"/>
      <c r="I22" s="197"/>
      <c r="J22" s="203"/>
      <c r="K22" s="10"/>
      <c r="L22" s="10"/>
      <c r="M22" s="10"/>
      <c r="N22" s="10"/>
      <c r="O22" s="10"/>
      <c r="P22" s="98"/>
    </row>
    <row r="23" spans="1:16" x14ac:dyDescent="0.2">
      <c r="A23" s="197"/>
      <c r="B23" s="203"/>
      <c r="C23" s="197"/>
      <c r="D23" s="197"/>
      <c r="E23" s="197"/>
      <c r="F23" s="197"/>
      <c r="G23" s="197"/>
      <c r="H23" s="204"/>
      <c r="I23" s="197"/>
      <c r="J23" s="203"/>
      <c r="K23" s="10"/>
      <c r="L23" s="10"/>
      <c r="M23" s="10"/>
      <c r="N23" s="10"/>
      <c r="O23" s="10"/>
      <c r="P23" s="98"/>
    </row>
    <row r="24" spans="1:16" x14ac:dyDescent="0.2">
      <c r="A24" s="197"/>
      <c r="B24" s="203"/>
      <c r="C24" s="197"/>
      <c r="D24" s="197"/>
      <c r="E24" s="197"/>
      <c r="F24" s="197"/>
      <c r="G24" s="197"/>
      <c r="H24" s="204"/>
      <c r="I24" s="197"/>
      <c r="J24" s="203"/>
      <c r="K24" s="10"/>
      <c r="L24" s="10"/>
      <c r="M24" s="10"/>
      <c r="N24" s="10"/>
      <c r="O24" s="10"/>
      <c r="P24" s="98"/>
    </row>
    <row r="25" spans="1:16" x14ac:dyDescent="0.2">
      <c r="A25" s="197"/>
      <c r="B25" s="203"/>
      <c r="C25" s="198"/>
      <c r="D25" s="198"/>
      <c r="E25" s="198"/>
      <c r="F25" s="197"/>
      <c r="G25" s="197"/>
      <c r="H25" s="204"/>
      <c r="I25" s="197"/>
      <c r="J25" s="203"/>
      <c r="K25" s="10"/>
      <c r="L25" s="10"/>
      <c r="M25" s="10"/>
      <c r="N25" s="10"/>
      <c r="O25" s="10"/>
      <c r="P25" s="98"/>
    </row>
    <row r="26" spans="1:16" x14ac:dyDescent="0.2">
      <c r="A26" s="197"/>
      <c r="B26" s="203"/>
      <c r="C26" s="197"/>
      <c r="D26" s="197"/>
      <c r="E26" s="197"/>
      <c r="F26" s="197"/>
      <c r="G26" s="197"/>
      <c r="H26" s="204"/>
      <c r="I26" s="197"/>
      <c r="J26" s="203"/>
      <c r="K26" s="10"/>
      <c r="L26" s="10"/>
      <c r="M26" s="10"/>
      <c r="N26" s="10"/>
      <c r="O26" s="10"/>
      <c r="P26" s="98"/>
    </row>
    <row r="27" spans="1:16" x14ac:dyDescent="0.2">
      <c r="A27" s="197"/>
      <c r="B27" s="203"/>
      <c r="C27" s="197"/>
      <c r="D27" s="197"/>
      <c r="E27" s="197"/>
      <c r="F27" s="197"/>
      <c r="G27" s="197"/>
      <c r="H27" s="204"/>
      <c r="I27" s="197"/>
      <c r="J27" s="203"/>
      <c r="K27" s="10"/>
      <c r="L27" s="10"/>
      <c r="M27" s="10"/>
      <c r="N27" s="10"/>
      <c r="O27" s="10"/>
      <c r="P27" s="98"/>
    </row>
    <row r="28" spans="1:16" x14ac:dyDescent="0.2">
      <c r="A28" s="197"/>
      <c r="B28" s="203"/>
      <c r="C28" s="197"/>
      <c r="D28" s="197"/>
      <c r="E28" s="197"/>
      <c r="F28" s="197"/>
      <c r="G28" s="197"/>
      <c r="H28" s="204"/>
      <c r="I28" s="197"/>
      <c r="J28" s="203"/>
      <c r="K28" s="10"/>
      <c r="L28" s="10"/>
      <c r="M28" s="10"/>
      <c r="N28" s="10"/>
      <c r="O28" s="10"/>
      <c r="P28" s="98"/>
    </row>
    <row r="29" spans="1:16" x14ac:dyDescent="0.2">
      <c r="A29" s="197"/>
      <c r="B29" s="203"/>
      <c r="C29" s="197"/>
      <c r="D29" s="197"/>
      <c r="E29" s="197"/>
      <c r="F29" s="197"/>
      <c r="G29" s="197"/>
      <c r="H29" s="204"/>
      <c r="I29" s="197"/>
      <c r="J29" s="203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858</v>
      </c>
      <c r="B41" s="106" t="s">
        <v>2209</v>
      </c>
      <c r="C41" s="106" t="s">
        <v>2210</v>
      </c>
      <c r="D41" s="106" t="s">
        <v>2211</v>
      </c>
      <c r="E41" s="106" t="s">
        <v>2212</v>
      </c>
      <c r="F41" s="106" t="s">
        <v>859</v>
      </c>
      <c r="G41" s="106" t="s">
        <v>860</v>
      </c>
      <c r="H41" s="106" t="s">
        <v>861</v>
      </c>
      <c r="I41" s="106" t="s">
        <v>862</v>
      </c>
      <c r="J41" s="106" t="s">
        <v>863</v>
      </c>
      <c r="K41" s="106" t="s">
        <v>2230</v>
      </c>
      <c r="L41" s="106" t="s">
        <v>2231</v>
      </c>
    </row>
    <row r="42" spans="1:13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K42">
        <v>1433</v>
      </c>
      <c r="L42">
        <v>1313.0455971319739</v>
      </c>
    </row>
    <row r="43" spans="1:13" x14ac:dyDescent="0.2">
      <c r="A43" s="208">
        <v>43818</v>
      </c>
      <c r="B43" s="10">
        <v>1025</v>
      </c>
      <c r="C43" s="10">
        <v>1026.5</v>
      </c>
      <c r="D43" s="10">
        <v>1414</v>
      </c>
      <c r="E43" s="10">
        <v>1429</v>
      </c>
      <c r="F43" s="10">
        <v>0.71833449965010499</v>
      </c>
      <c r="G43" s="10">
        <v>0.76796321039195004</v>
      </c>
      <c r="H43" s="10">
        <v>1.9517929187571701E-2</v>
      </c>
      <c r="I43" s="10">
        <v>-2.5427241929664799</v>
      </c>
      <c r="J43" s="10">
        <v>-6.91</v>
      </c>
      <c r="K43" s="10">
        <v>1429</v>
      </c>
      <c r="L43" s="10">
        <v>1325.9629173201881</v>
      </c>
      <c r="M43" s="10"/>
    </row>
    <row r="44" spans="1:13" x14ac:dyDescent="0.2">
      <c r="A44" s="14">
        <v>43817</v>
      </c>
      <c r="B44" s="106">
        <v>1040.5</v>
      </c>
      <c r="C44" s="106">
        <v>1025.5</v>
      </c>
      <c r="D44" s="106">
        <v>1415</v>
      </c>
      <c r="E44" s="106">
        <v>1424</v>
      </c>
      <c r="F44" s="106">
        <v>0.72015449438202195</v>
      </c>
      <c r="G44" s="106">
        <v>0.76902326906066198</v>
      </c>
      <c r="H44" s="106">
        <v>1.8944299245301902E-2</v>
      </c>
      <c r="I44" s="106">
        <v>-2.5796031854152299</v>
      </c>
      <c r="J44" s="106">
        <v>-6.79</v>
      </c>
      <c r="K44">
        <v>1424</v>
      </c>
      <c r="L44" s="106">
        <v>1324.6711853013667</v>
      </c>
    </row>
    <row r="45" spans="1:13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K45">
        <v>1412</v>
      </c>
      <c r="L45">
        <v>1351.7975576966166</v>
      </c>
    </row>
    <row r="46" spans="1:13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K46">
        <v>1374</v>
      </c>
      <c r="L46">
        <v>1338.8802375084024</v>
      </c>
    </row>
    <row r="47" spans="1:13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K47">
        <v>1373</v>
      </c>
      <c r="L47">
        <v>1366.652475913063</v>
      </c>
    </row>
    <row r="48" spans="1:13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K48">
        <v>1335</v>
      </c>
      <c r="L48">
        <v>1338.8802375084024</v>
      </c>
    </row>
    <row r="49" spans="1:12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K49">
        <v>1348</v>
      </c>
      <c r="L49">
        <v>1369.8818059601165</v>
      </c>
    </row>
    <row r="50" spans="1:12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K50">
        <v>1362</v>
      </c>
      <c r="L50">
        <v>1366.0066099036521</v>
      </c>
    </row>
    <row r="51" spans="1:12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K51">
        <v>1374</v>
      </c>
      <c r="L51">
        <v>1366.0066099036521</v>
      </c>
    </row>
    <row r="52" spans="1:12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K52">
        <v>1361</v>
      </c>
      <c r="L52">
        <v>1336.2967734707595</v>
      </c>
    </row>
    <row r="53" spans="1:12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K53">
        <v>1343</v>
      </c>
      <c r="L53">
        <v>1349.2140936589738</v>
      </c>
    </row>
    <row r="54" spans="1:12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K54">
        <v>1310</v>
      </c>
      <c r="L54">
        <v>1336.2967734707595</v>
      </c>
    </row>
    <row r="55" spans="1:12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K55">
        <v>1302</v>
      </c>
      <c r="L55">
        <v>1329.8381133766525</v>
      </c>
    </row>
    <row r="56" spans="1:12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K56">
        <v>1295</v>
      </c>
      <c r="L56">
        <v>1333.067443423706</v>
      </c>
    </row>
    <row r="57" spans="1:12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K57">
        <v>1288</v>
      </c>
      <c r="L57">
        <v>1333.067443423706</v>
      </c>
    </row>
    <row r="58" spans="1:12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K58">
        <v>1279</v>
      </c>
      <c r="L58">
        <v>1303.3576069908133</v>
      </c>
    </row>
    <row r="59" spans="1:12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K59">
        <v>1274</v>
      </c>
      <c r="L59">
        <v>1267.57663006946</v>
      </c>
    </row>
    <row r="60" spans="1:12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K60">
        <v>1251</v>
      </c>
      <c r="L60">
        <v>1267.1891104638134</v>
      </c>
    </row>
    <row r="61" spans="1:12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K61">
        <v>1269</v>
      </c>
      <c r="L61">
        <v>1250.0090746134888</v>
      </c>
    </row>
    <row r="62" spans="1:12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K62">
        <v>1250</v>
      </c>
      <c r="L62">
        <v>1279.3313914407349</v>
      </c>
    </row>
    <row r="63" spans="1:12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K63">
        <v>1243</v>
      </c>
      <c r="L63">
        <v>1298.1906789155275</v>
      </c>
    </row>
    <row r="64" spans="1:12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K64">
        <v>1266</v>
      </c>
      <c r="L64">
        <v>1294.3154828590634</v>
      </c>
    </row>
    <row r="65" spans="1:12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K65">
        <v>1319</v>
      </c>
      <c r="L65">
        <v>1293.6696168496526</v>
      </c>
    </row>
    <row r="66" spans="1:12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K66">
        <v>1320</v>
      </c>
      <c r="L66">
        <v>1279.3313914407349</v>
      </c>
    </row>
    <row r="67" spans="1:12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K67">
        <v>1342</v>
      </c>
      <c r="L67">
        <v>1289.5360743894241</v>
      </c>
    </row>
    <row r="68" spans="1:12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K68">
        <v>1318</v>
      </c>
      <c r="L68">
        <v>1288.3735155724848</v>
      </c>
    </row>
    <row r="69" spans="1:12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K69">
        <v>1333</v>
      </c>
      <c r="L69">
        <v>1313.0455971319739</v>
      </c>
    </row>
    <row r="70" spans="1:12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K70">
        <v>1358</v>
      </c>
      <c r="L70">
        <v>1318.8583912166703</v>
      </c>
    </row>
    <row r="71" spans="1:12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K71">
        <v>1343</v>
      </c>
      <c r="L71">
        <v>1317.5666591978488</v>
      </c>
    </row>
    <row r="72" spans="1:12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K72">
        <v>1329</v>
      </c>
      <c r="L72">
        <v>1320.1501232354917</v>
      </c>
    </row>
    <row r="73" spans="1:12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K73">
        <v>1297</v>
      </c>
      <c r="L73">
        <v>1318.8583912166703</v>
      </c>
    </row>
    <row r="74" spans="1:12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K74">
        <v>1300</v>
      </c>
      <c r="L74">
        <v>1311.1079991037418</v>
      </c>
    </row>
    <row r="75" spans="1:12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K75">
        <v>1248</v>
      </c>
      <c r="L75">
        <v>1304.0034730002239</v>
      </c>
    </row>
    <row r="76" spans="1:12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K76">
        <v>1202</v>
      </c>
      <c r="L76">
        <v>1266.9307640600491</v>
      </c>
    </row>
    <row r="77" spans="1:12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K77">
        <v>1220</v>
      </c>
      <c r="L77">
        <v>1184.3890880573604</v>
      </c>
    </row>
    <row r="78" spans="1:12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K78">
        <v>1222</v>
      </c>
      <c r="L78">
        <v>1178.1887743670177</v>
      </c>
    </row>
    <row r="79" spans="1:12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K79">
        <v>1259</v>
      </c>
      <c r="L79">
        <v>1185.809993278064</v>
      </c>
    </row>
    <row r="80" spans="1:12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K80">
        <v>1222</v>
      </c>
      <c r="L80">
        <v>1178.0596011651355</v>
      </c>
    </row>
    <row r="81" spans="1:12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K81">
        <v>1212</v>
      </c>
      <c r="L81">
        <v>1171.7301142729107</v>
      </c>
    </row>
    <row r="82" spans="1:12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K82">
        <v>1223</v>
      </c>
      <c r="L82">
        <v>1174.3135783105533</v>
      </c>
    </row>
    <row r="83" spans="1:12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K83">
        <v>1223</v>
      </c>
      <c r="L83">
        <v>1166.4340129957427</v>
      </c>
    </row>
    <row r="84" spans="1:12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K84">
        <v>1186</v>
      </c>
      <c r="L84">
        <v>1155.5834640376429</v>
      </c>
    </row>
    <row r="85" spans="1:12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K85">
        <v>1190</v>
      </c>
      <c r="L85">
        <v>1147.3163791171858</v>
      </c>
    </row>
    <row r="86" spans="1:12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K86">
        <v>1188</v>
      </c>
      <c r="L86">
        <v>1171.6009410710285</v>
      </c>
    </row>
    <row r="87" spans="1:12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K87">
        <v>1205</v>
      </c>
      <c r="L87">
        <v>1168.7591306296213</v>
      </c>
    </row>
    <row r="88" spans="1:12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K88">
        <v>1196</v>
      </c>
      <c r="L88">
        <v>1158.5544476809321</v>
      </c>
    </row>
    <row r="89" spans="1:12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K89">
        <v>1165</v>
      </c>
      <c r="L89">
        <v>1134.011539323325</v>
      </c>
    </row>
    <row r="90" spans="1:12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K90">
        <v>1130</v>
      </c>
      <c r="L90">
        <v>1112.956307416536</v>
      </c>
    </row>
    <row r="91" spans="1:12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K91">
        <v>1143</v>
      </c>
      <c r="L91">
        <v>1122.9026439614609</v>
      </c>
    </row>
    <row r="92" spans="1:12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K92">
        <v>1162</v>
      </c>
      <c r="L92">
        <v>1129.49047725745</v>
      </c>
    </row>
    <row r="93" spans="1:12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K93">
        <v>1145</v>
      </c>
      <c r="L93">
        <v>1131.169728881918</v>
      </c>
    </row>
    <row r="94" spans="1:12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K94">
        <v>1135</v>
      </c>
      <c r="L94">
        <v>1141.3744118306072</v>
      </c>
    </row>
    <row r="95" spans="1:12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K95">
        <v>1152</v>
      </c>
      <c r="L95">
        <v>1137.2408693703785</v>
      </c>
    </row>
    <row r="96" spans="1:12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K96">
        <v>1180</v>
      </c>
      <c r="L96">
        <v>1164.754761371275</v>
      </c>
    </row>
    <row r="97" spans="1:12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K97">
        <v>1183</v>
      </c>
      <c r="L97">
        <v>1163.7213757562176</v>
      </c>
    </row>
    <row r="98" spans="1:12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K98">
        <v>1145</v>
      </c>
      <c r="L98">
        <v>1131.0405556800358</v>
      </c>
    </row>
    <row r="99" spans="1:12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K99">
        <v>1165</v>
      </c>
      <c r="L99">
        <v>1150.8040555680036</v>
      </c>
    </row>
    <row r="100" spans="1:12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K100">
        <v>1169</v>
      </c>
      <c r="L100">
        <v>1165.0131077750391</v>
      </c>
    </row>
    <row r="101" spans="1:12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K101">
        <v>1167</v>
      </c>
      <c r="L101">
        <v>1156.8751960564643</v>
      </c>
    </row>
    <row r="102" spans="1:12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K102">
        <v>1170</v>
      </c>
      <c r="L102">
        <v>1144.4745686757785</v>
      </c>
    </row>
    <row r="103" spans="1:12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K103">
        <v>1147</v>
      </c>
      <c r="L103">
        <v>1155.7126372395251</v>
      </c>
    </row>
    <row r="104" spans="1:12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K104">
        <v>1153</v>
      </c>
      <c r="L104">
        <v>1153</v>
      </c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9" t="s">
        <v>2208</v>
      </c>
    </row>
    <row r="2" spans="2:23" s="106" customFormat="1" ht="24.75" thickBot="1" x14ac:dyDescent="0.25">
      <c r="C2" s="58" t="s">
        <v>78</v>
      </c>
      <c r="D2" s="68" t="s">
        <v>102</v>
      </c>
      <c r="E2" s="60"/>
      <c r="F2" s="59" t="s">
        <v>42</v>
      </c>
      <c r="G2" s="61" t="s">
        <v>43</v>
      </c>
      <c r="H2" s="62" t="s">
        <v>79</v>
      </c>
      <c r="I2" s="62" t="s">
        <v>80</v>
      </c>
      <c r="J2" s="60" t="s">
        <v>22</v>
      </c>
      <c r="K2" s="60" t="s">
        <v>81</v>
      </c>
      <c r="L2" s="62" t="s">
        <v>82</v>
      </c>
      <c r="M2" s="63" t="s">
        <v>103</v>
      </c>
      <c r="N2" s="60" t="s">
        <v>83</v>
      </c>
      <c r="O2" s="63" t="s">
        <v>97</v>
      </c>
      <c r="P2" s="60" t="s">
        <v>190</v>
      </c>
      <c r="Q2" s="60" t="s">
        <v>84</v>
      </c>
      <c r="R2" s="63" t="s">
        <v>99</v>
      </c>
      <c r="S2" s="66" t="s">
        <v>100</v>
      </c>
      <c r="T2" s="65"/>
      <c r="U2" s="67" t="s">
        <v>196</v>
      </c>
      <c r="V2" s="67" t="s">
        <v>101</v>
      </c>
      <c r="W2" s="64" t="s">
        <v>98</v>
      </c>
    </row>
    <row r="3" spans="2:23" s="106" customFormat="1" x14ac:dyDescent="0.2">
      <c r="B3" s="124" t="s">
        <v>205</v>
      </c>
      <c r="C3" s="289">
        <f>ROW()/2-1</f>
        <v>0.5</v>
      </c>
      <c r="D3" s="291">
        <v>43807</v>
      </c>
      <c r="E3" s="33" t="s">
        <v>193</v>
      </c>
      <c r="F3" s="33">
        <v>3105</v>
      </c>
      <c r="G3" s="55" t="s">
        <v>902</v>
      </c>
      <c r="H3" s="49"/>
      <c r="I3" s="49">
        <v>1000</v>
      </c>
      <c r="J3" s="50">
        <f>H3*I3</f>
        <v>0</v>
      </c>
      <c r="K3" s="52" t="s">
        <v>904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93">
        <f>P3+P4</f>
        <v>0</v>
      </c>
      <c r="S3" s="294" t="e">
        <f>R3/(J3+J4)</f>
        <v>#DIV/0!</v>
      </c>
      <c r="U3" s="296">
        <f>$P$1</f>
        <v>0</v>
      </c>
      <c r="V3" s="287">
        <f>IF(U3&gt;D3,DATEDIF(D3,U3,"d"),0)</f>
        <v>0</v>
      </c>
      <c r="W3" s="288"/>
    </row>
    <row r="4" spans="2:23" s="106" customFormat="1" x14ac:dyDescent="0.2">
      <c r="B4" s="124" t="s">
        <v>755</v>
      </c>
      <c r="C4" s="290"/>
      <c r="D4" s="292">
        <v>43748</v>
      </c>
      <c r="E4" s="29" t="s">
        <v>195</v>
      </c>
      <c r="F4" s="29">
        <v>7762</v>
      </c>
      <c r="G4" s="54" t="s">
        <v>903</v>
      </c>
      <c r="H4" s="46"/>
      <c r="I4" s="46">
        <v>1700</v>
      </c>
      <c r="J4" s="47">
        <f>H4*I4</f>
        <v>0</v>
      </c>
      <c r="K4" s="145" t="s">
        <v>904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93"/>
      <c r="S4" s="295"/>
      <c r="U4" s="287"/>
      <c r="V4" s="287"/>
      <c r="W4" s="287"/>
    </row>
    <row r="6" spans="2:23" x14ac:dyDescent="0.2">
      <c r="C6" s="14">
        <v>43806</v>
      </c>
      <c r="D6" s="106" t="s">
        <v>905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2:34" x14ac:dyDescent="0.2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</row>
    <row r="2" spans="2:34" x14ac:dyDescent="0.2"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5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</row>
    <row r="3" spans="2:34" x14ac:dyDescent="0.2">
      <c r="C3" s="106"/>
      <c r="D3" s="106"/>
      <c r="H3" s="106"/>
      <c r="J3" s="106"/>
      <c r="K3" s="106"/>
      <c r="O3" s="106"/>
      <c r="R3" s="15"/>
      <c r="S3" s="106"/>
    </row>
    <row r="4" spans="2:34" x14ac:dyDescent="0.2">
      <c r="C4" s="106"/>
      <c r="D4" s="106"/>
      <c r="H4" s="106"/>
      <c r="J4" s="106"/>
      <c r="K4" s="106"/>
      <c r="O4" s="106"/>
    </row>
    <row r="5" spans="2:34" x14ac:dyDescent="0.2">
      <c r="C5" s="106"/>
      <c r="D5" s="106"/>
      <c r="H5" s="106"/>
      <c r="J5" s="106"/>
      <c r="K5" s="106"/>
      <c r="O5" s="106"/>
    </row>
    <row r="6" spans="2:34" x14ac:dyDescent="0.2">
      <c r="C6" s="106"/>
      <c r="D6" s="106"/>
      <c r="H6" s="106"/>
      <c r="J6" s="106"/>
      <c r="K6" s="106"/>
      <c r="O6" s="106"/>
      <c r="S6" s="15"/>
    </row>
    <row r="7" spans="2:34" x14ac:dyDescent="0.2">
      <c r="C7" s="106"/>
      <c r="D7" s="106"/>
      <c r="H7" s="106"/>
      <c r="J7" s="106"/>
      <c r="K7" s="106"/>
      <c r="O7" s="106"/>
    </row>
    <row r="8" spans="2:34" x14ac:dyDescent="0.2">
      <c r="C8" s="106"/>
      <c r="D8" s="106"/>
      <c r="H8" s="106"/>
      <c r="J8" s="106"/>
      <c r="K8" s="106"/>
      <c r="O8" s="106"/>
      <c r="S8" s="15"/>
    </row>
    <row r="9" spans="2:34" x14ac:dyDescent="0.2">
      <c r="C9" s="106"/>
      <c r="D9" s="106"/>
      <c r="H9" s="106"/>
      <c r="J9" s="106"/>
      <c r="K9" s="106"/>
      <c r="O9" s="106"/>
      <c r="S9" s="15"/>
    </row>
    <row r="10" spans="2:34" x14ac:dyDescent="0.2">
      <c r="C10" s="106"/>
      <c r="D10" s="106"/>
      <c r="H10" s="106"/>
      <c r="J10" s="106"/>
      <c r="K10" s="106"/>
      <c r="O10" s="106"/>
    </row>
    <row r="11" spans="2:34" x14ac:dyDescent="0.2">
      <c r="C11" s="106"/>
      <c r="D11" s="106"/>
      <c r="H11" s="106"/>
      <c r="J11" s="106"/>
      <c r="K11" s="106"/>
      <c r="O11" s="106"/>
    </row>
    <row r="12" spans="2:34" x14ac:dyDescent="0.2">
      <c r="C12" s="106"/>
      <c r="D12" s="106"/>
      <c r="H12" s="106"/>
      <c r="J12" s="106"/>
      <c r="K12" s="106"/>
      <c r="O12" s="106"/>
      <c r="S12" s="15"/>
    </row>
    <row r="13" spans="2:34" x14ac:dyDescent="0.2">
      <c r="C13" s="106"/>
      <c r="D13" s="106"/>
      <c r="H13" s="106"/>
      <c r="J13" s="106"/>
      <c r="K13" s="106"/>
      <c r="O13" s="106"/>
      <c r="S13" s="15"/>
    </row>
    <row r="14" spans="2:34" x14ac:dyDescent="0.2">
      <c r="C14" s="106"/>
      <c r="D14" s="106"/>
      <c r="H14" s="106"/>
      <c r="J14" s="106"/>
      <c r="K14" s="106"/>
      <c r="O14" s="106"/>
      <c r="S14" s="15"/>
    </row>
    <row r="15" spans="2:34" x14ac:dyDescent="0.2">
      <c r="C15" s="106"/>
      <c r="D15" s="106"/>
      <c r="H15" s="106"/>
      <c r="J15" s="106"/>
      <c r="K15" s="106"/>
      <c r="O15" s="106"/>
      <c r="R15" s="106"/>
      <c r="S15" s="15"/>
    </row>
    <row r="16" spans="2:34" x14ac:dyDescent="0.2">
      <c r="C16" s="106"/>
      <c r="D16" s="106"/>
      <c r="H16" s="106"/>
      <c r="J16" s="106"/>
      <c r="K16" s="106"/>
      <c r="O16" s="106"/>
      <c r="S16" s="15"/>
    </row>
    <row r="17" spans="3:19" x14ac:dyDescent="0.2">
      <c r="C17" s="106"/>
      <c r="D17" s="106"/>
      <c r="H17" s="106"/>
      <c r="J17" s="106"/>
      <c r="K17" s="106"/>
      <c r="O17" s="106"/>
      <c r="S17" s="15"/>
    </row>
    <row r="18" spans="3:19" x14ac:dyDescent="0.2">
      <c r="C18" s="106"/>
      <c r="D18" s="106"/>
      <c r="H18" s="106"/>
      <c r="J18" s="106"/>
      <c r="K18" s="106"/>
      <c r="O18" s="106"/>
      <c r="R18" s="106"/>
      <c r="S18" s="15"/>
    </row>
    <row r="19" spans="3:19" x14ac:dyDescent="0.2">
      <c r="C19" s="106"/>
      <c r="D19" s="106"/>
      <c r="H19" s="106"/>
      <c r="J19" s="106"/>
      <c r="K19" s="106"/>
      <c r="O19" s="106"/>
      <c r="R19" s="15"/>
    </row>
    <row r="20" spans="3:19" x14ac:dyDescent="0.2">
      <c r="C20" s="106"/>
      <c r="D20" s="106"/>
      <c r="H20" s="106"/>
      <c r="J20" s="106"/>
      <c r="K20" s="106"/>
      <c r="O20" s="106"/>
    </row>
    <row r="21" spans="3:19" x14ac:dyDescent="0.2">
      <c r="C21" s="106"/>
      <c r="D21" s="106"/>
      <c r="H21" s="106"/>
      <c r="J21" s="106"/>
      <c r="K21" s="106"/>
      <c r="O21" s="106"/>
      <c r="S21" s="106"/>
    </row>
    <row r="22" spans="3:19" x14ac:dyDescent="0.2">
      <c r="C22" s="106"/>
      <c r="D22" s="106"/>
      <c r="H22" s="106"/>
      <c r="J22" s="106"/>
      <c r="K22" s="106"/>
      <c r="O22" s="106"/>
      <c r="R22" s="15"/>
      <c r="S22" s="15"/>
    </row>
    <row r="23" spans="3:19" x14ac:dyDescent="0.2">
      <c r="C23" s="106"/>
      <c r="D23" s="106"/>
      <c r="H23" s="106"/>
      <c r="J23" s="106"/>
      <c r="K23" s="106"/>
      <c r="O23" s="106"/>
      <c r="R23" s="106"/>
      <c r="S23" s="15"/>
    </row>
    <row r="24" spans="3:19" x14ac:dyDescent="0.2">
      <c r="C24" s="106"/>
      <c r="D24" s="106"/>
      <c r="H24" s="106"/>
      <c r="J24" s="106"/>
      <c r="K24" s="106"/>
      <c r="O24" s="106"/>
      <c r="R24" s="106"/>
    </row>
    <row r="25" spans="3:19" x14ac:dyDescent="0.2">
      <c r="C25" s="106"/>
      <c r="D25" s="106"/>
      <c r="H25" s="106"/>
      <c r="J25" s="106"/>
      <c r="K25" s="106"/>
      <c r="O25" s="106"/>
      <c r="S25" s="106"/>
    </row>
    <row r="26" spans="3:19" x14ac:dyDescent="0.2">
      <c r="C26" s="106"/>
      <c r="D26" s="106"/>
      <c r="H26" s="106"/>
      <c r="J26" s="106"/>
      <c r="K26" s="106"/>
      <c r="O26" s="106"/>
      <c r="R26" s="15"/>
      <c r="S26" s="15"/>
    </row>
    <row r="27" spans="3:19" x14ac:dyDescent="0.2">
      <c r="C27" s="106"/>
      <c r="D27" s="106"/>
      <c r="H27" s="106"/>
      <c r="J27" s="106"/>
      <c r="K27" s="106"/>
      <c r="O27" s="106"/>
      <c r="R27" s="106"/>
      <c r="S27" s="15"/>
    </row>
    <row r="28" spans="3:19" x14ac:dyDescent="0.2">
      <c r="C28" s="106"/>
      <c r="D28" s="106"/>
      <c r="H28" s="106"/>
      <c r="J28" s="106"/>
      <c r="K28" s="106"/>
      <c r="O28" s="106"/>
    </row>
    <row r="29" spans="3:19" x14ac:dyDescent="0.2">
      <c r="C29" s="106"/>
      <c r="D29" s="106"/>
      <c r="H29" s="106"/>
      <c r="J29" s="106"/>
      <c r="K29" s="106"/>
      <c r="O29" s="106"/>
      <c r="R29" s="15"/>
      <c r="S29" s="15"/>
    </row>
    <row r="30" spans="3:19" x14ac:dyDescent="0.2">
      <c r="C30" s="106"/>
      <c r="D30" s="106"/>
      <c r="H30" s="106"/>
      <c r="J30" s="106"/>
      <c r="K30" s="106"/>
      <c r="O30" s="106"/>
      <c r="S30" s="15"/>
    </row>
    <row r="31" spans="3:19" x14ac:dyDescent="0.2">
      <c r="C31" s="106"/>
      <c r="D31" s="106"/>
      <c r="H31" s="106"/>
      <c r="J31" s="106"/>
      <c r="K31" s="106"/>
      <c r="O31" s="106"/>
    </row>
    <row r="32" spans="3:19" x14ac:dyDescent="0.2">
      <c r="C32" s="106"/>
      <c r="D32" s="106"/>
      <c r="H32" s="106"/>
      <c r="J32" s="106"/>
      <c r="K32" s="106"/>
      <c r="O32" s="106"/>
      <c r="S32" s="106"/>
    </row>
    <row r="33" spans="3:19" x14ac:dyDescent="0.2">
      <c r="C33" s="106"/>
      <c r="D33" s="106"/>
      <c r="H33" s="106"/>
      <c r="J33" s="106"/>
      <c r="K33" s="106"/>
      <c r="O33" s="106"/>
      <c r="S33" s="106"/>
    </row>
    <row r="34" spans="3:19" x14ac:dyDescent="0.2">
      <c r="C34" s="106"/>
      <c r="D34" s="106"/>
      <c r="H34" s="106"/>
      <c r="J34" s="106"/>
      <c r="K34" s="106"/>
      <c r="O34" s="106"/>
      <c r="R34" s="15"/>
    </row>
    <row r="35" spans="3:19" x14ac:dyDescent="0.2">
      <c r="C35" s="106"/>
      <c r="D35" s="106"/>
      <c r="H35" s="106"/>
      <c r="J35" s="106"/>
      <c r="K35" s="106"/>
      <c r="O35" s="106"/>
      <c r="R35" s="106"/>
      <c r="S35" s="15"/>
    </row>
    <row r="36" spans="3:19" x14ac:dyDescent="0.2">
      <c r="C36" s="106"/>
      <c r="D36" s="106"/>
      <c r="H36" s="106"/>
      <c r="J36" s="106"/>
      <c r="K36" s="106"/>
      <c r="O36" s="106"/>
    </row>
    <row r="37" spans="3:19" x14ac:dyDescent="0.2">
      <c r="C37" s="106"/>
      <c r="D37" s="106"/>
      <c r="H37" s="106"/>
      <c r="J37" s="106"/>
      <c r="K37" s="106"/>
      <c r="O37" s="106"/>
      <c r="S37" s="15"/>
    </row>
    <row r="38" spans="3:19" x14ac:dyDescent="0.2">
      <c r="C38" s="106"/>
      <c r="D38" s="106"/>
      <c r="H38" s="106"/>
      <c r="J38" s="106"/>
      <c r="K38" s="106"/>
      <c r="O38" s="106"/>
      <c r="S38" s="15"/>
    </row>
    <row r="39" spans="3:19" x14ac:dyDescent="0.2">
      <c r="C39" s="106"/>
      <c r="D39" s="106"/>
      <c r="H39" s="106"/>
      <c r="J39" s="106"/>
      <c r="K39" s="106"/>
      <c r="O39" s="106"/>
      <c r="S39" s="15"/>
    </row>
    <row r="40" spans="3:19" x14ac:dyDescent="0.2">
      <c r="C40" s="106"/>
      <c r="D40" s="106"/>
      <c r="H40" s="106"/>
      <c r="J40" s="106"/>
      <c r="K40" s="106"/>
      <c r="O40" s="106"/>
      <c r="S40" s="106"/>
    </row>
    <row r="41" spans="3:19" x14ac:dyDescent="0.2">
      <c r="C41" s="106"/>
      <c r="D41" s="106"/>
      <c r="H41" s="106"/>
      <c r="J41" s="106"/>
      <c r="K41" s="106"/>
      <c r="O41" s="106"/>
    </row>
    <row r="42" spans="3:19" x14ac:dyDescent="0.2">
      <c r="C42" s="106"/>
      <c r="D42" s="106"/>
      <c r="H42" s="106"/>
      <c r="J42" s="106"/>
      <c r="K42" s="106"/>
      <c r="O42" s="106"/>
      <c r="S42" s="15"/>
    </row>
    <row r="43" spans="3:19" x14ac:dyDescent="0.2">
      <c r="C43" s="106"/>
      <c r="D43" s="106"/>
      <c r="H43" s="106"/>
      <c r="J43" s="106"/>
      <c r="K43" s="106"/>
      <c r="O43" s="106"/>
    </row>
    <row r="44" spans="3:19" x14ac:dyDescent="0.2">
      <c r="C44" s="106"/>
      <c r="D44" s="106"/>
      <c r="H44" s="106"/>
      <c r="J44" s="106"/>
      <c r="K44" s="106"/>
      <c r="O44" s="106"/>
      <c r="R44" s="15"/>
      <c r="S44" s="15"/>
    </row>
    <row r="45" spans="3:19" x14ac:dyDescent="0.2">
      <c r="C45" s="106"/>
      <c r="D45" s="106"/>
      <c r="H45" s="106"/>
      <c r="J45" s="106"/>
      <c r="K45" s="106"/>
      <c r="O45" s="106"/>
      <c r="R45" s="106"/>
      <c r="S45" s="15"/>
    </row>
    <row r="46" spans="3:19" x14ac:dyDescent="0.2">
      <c r="C46" s="106"/>
      <c r="D46" s="106"/>
      <c r="H46" s="106"/>
      <c r="J46" s="106"/>
      <c r="K46" s="106"/>
      <c r="O46" s="106"/>
      <c r="S46" s="15"/>
    </row>
    <row r="47" spans="3:19" x14ac:dyDescent="0.2">
      <c r="C47" s="106"/>
      <c r="D47" s="106"/>
      <c r="H47" s="106"/>
      <c r="J47" s="106"/>
      <c r="K47" s="106"/>
      <c r="O47" s="106"/>
      <c r="R47" s="15"/>
      <c r="S47" s="15"/>
    </row>
    <row r="48" spans="3:19" x14ac:dyDescent="0.2">
      <c r="C48" s="106"/>
      <c r="D48" s="106"/>
      <c r="H48" s="106"/>
      <c r="J48" s="106"/>
      <c r="K48" s="106"/>
      <c r="O48" s="106"/>
      <c r="S48" s="15"/>
    </row>
    <row r="49" spans="3:19" x14ac:dyDescent="0.2">
      <c r="C49" s="106"/>
      <c r="D49" s="106"/>
      <c r="H49" s="106"/>
      <c r="J49" s="106"/>
      <c r="K49" s="106"/>
      <c r="O49" s="106"/>
      <c r="S49" s="15"/>
    </row>
    <row r="50" spans="3:19" x14ac:dyDescent="0.2">
      <c r="C50" s="106"/>
      <c r="D50" s="106"/>
      <c r="H50" s="106"/>
      <c r="J50" s="106"/>
      <c r="K50" s="106"/>
      <c r="O50" s="106"/>
    </row>
    <row r="51" spans="3:19" x14ac:dyDescent="0.2">
      <c r="C51" s="106"/>
      <c r="D51" s="106"/>
      <c r="H51" s="106"/>
      <c r="J51" s="106"/>
      <c r="K51" s="106"/>
      <c r="O51" s="106"/>
      <c r="S51" s="15"/>
    </row>
    <row r="52" spans="3:19" x14ac:dyDescent="0.2">
      <c r="C52" s="106"/>
      <c r="D52" s="106"/>
      <c r="H52" s="106"/>
      <c r="J52" s="106"/>
      <c r="K52" s="106"/>
      <c r="O52" s="106"/>
      <c r="S52" s="15"/>
    </row>
    <row r="53" spans="3:19" x14ac:dyDescent="0.2">
      <c r="C53" s="106"/>
      <c r="D53" s="106"/>
      <c r="H53" s="106"/>
      <c r="J53" s="106"/>
      <c r="K53" s="106"/>
      <c r="O53" s="106"/>
      <c r="R53" s="106"/>
      <c r="S53" s="15"/>
    </row>
    <row r="54" spans="3:19" x14ac:dyDescent="0.2">
      <c r="C54" s="106"/>
      <c r="D54" s="106"/>
      <c r="H54" s="106"/>
      <c r="J54" s="106"/>
      <c r="K54" s="106"/>
      <c r="O54" s="106"/>
      <c r="R54" s="106"/>
      <c r="S54" s="15"/>
    </row>
    <row r="55" spans="3:19" x14ac:dyDescent="0.2">
      <c r="C55" s="106"/>
      <c r="D55" s="106"/>
      <c r="H55" s="106"/>
      <c r="J55" s="106"/>
      <c r="K55" s="106"/>
      <c r="O55" s="106"/>
      <c r="R55" s="106"/>
    </row>
    <row r="56" spans="3:19" x14ac:dyDescent="0.2">
      <c r="C56" s="106"/>
      <c r="D56" s="106"/>
      <c r="H56" s="106"/>
      <c r="J56" s="106"/>
      <c r="K56" s="106"/>
      <c r="O56" s="106"/>
      <c r="R56" s="15"/>
    </row>
    <row r="57" spans="3:19" x14ac:dyDescent="0.2">
      <c r="C57" s="106"/>
      <c r="D57" s="106"/>
      <c r="H57" s="106"/>
      <c r="J57" s="106"/>
      <c r="K57" s="106"/>
      <c r="O57" s="106"/>
      <c r="S57" s="15"/>
    </row>
    <row r="58" spans="3:19" x14ac:dyDescent="0.2">
      <c r="C58" s="106"/>
      <c r="D58" s="106"/>
      <c r="H58" s="106"/>
      <c r="J58" s="106"/>
      <c r="K58" s="106"/>
      <c r="O58" s="106"/>
      <c r="S58" s="15"/>
    </row>
    <row r="59" spans="3:19" x14ac:dyDescent="0.2">
      <c r="C59" s="106"/>
      <c r="D59" s="106"/>
      <c r="H59" s="106"/>
      <c r="J59" s="106"/>
      <c r="K59" s="106"/>
      <c r="O59" s="106"/>
      <c r="S59" s="15"/>
    </row>
    <row r="60" spans="3:19" x14ac:dyDescent="0.2">
      <c r="C60" s="106"/>
      <c r="D60" s="106"/>
      <c r="H60" s="106"/>
      <c r="J60" s="106"/>
      <c r="K60" s="106"/>
      <c r="O60" s="106"/>
      <c r="R60" s="15"/>
      <c r="S60" s="15"/>
    </row>
    <row r="61" spans="3:19" x14ac:dyDescent="0.2">
      <c r="C61" s="106"/>
      <c r="D61" s="106"/>
      <c r="H61" s="106"/>
      <c r="J61" s="106"/>
      <c r="K61" s="106"/>
      <c r="O61" s="106"/>
      <c r="S61" s="15"/>
    </row>
    <row r="62" spans="3:19" x14ac:dyDescent="0.2">
      <c r="C62" s="106"/>
      <c r="D62" s="106"/>
      <c r="H62" s="106"/>
      <c r="J62" s="106"/>
      <c r="K62" s="106"/>
      <c r="O62" s="106"/>
      <c r="R62" s="15"/>
    </row>
    <row r="63" spans="3:19" x14ac:dyDescent="0.2">
      <c r="C63" s="106"/>
      <c r="D63" s="106"/>
      <c r="H63" s="106"/>
      <c r="J63" s="106"/>
      <c r="K63" s="106"/>
      <c r="O63" s="106"/>
      <c r="R63" s="15"/>
    </row>
    <row r="64" spans="3:19" x14ac:dyDescent="0.2">
      <c r="C64" s="106"/>
      <c r="D64" s="106"/>
      <c r="H64" s="106"/>
      <c r="J64" s="106"/>
      <c r="K64" s="106"/>
      <c r="O64" s="106"/>
      <c r="R64" s="15"/>
      <c r="S64" s="106"/>
    </row>
    <row r="65" spans="3:19" x14ac:dyDescent="0.2">
      <c r="C65" s="106"/>
      <c r="D65" s="106"/>
      <c r="H65" s="106"/>
      <c r="J65" s="106"/>
      <c r="K65" s="106"/>
      <c r="O65" s="106"/>
    </row>
    <row r="66" spans="3:19" x14ac:dyDescent="0.2">
      <c r="C66" s="106"/>
      <c r="D66" s="106"/>
      <c r="H66" s="106"/>
      <c r="J66" s="106"/>
      <c r="K66" s="106"/>
      <c r="O66" s="106"/>
    </row>
    <row r="67" spans="3:19" x14ac:dyDescent="0.2">
      <c r="C67" s="106"/>
      <c r="D67" s="106"/>
      <c r="H67" s="106"/>
      <c r="J67" s="106"/>
      <c r="K67" s="106"/>
      <c r="O67" s="106"/>
    </row>
    <row r="68" spans="3:19" x14ac:dyDescent="0.2">
      <c r="C68" s="106"/>
      <c r="D68" s="106"/>
      <c r="H68" s="106"/>
      <c r="J68" s="106"/>
      <c r="K68" s="106"/>
      <c r="O68" s="106"/>
    </row>
    <row r="69" spans="3:19" x14ac:dyDescent="0.2">
      <c r="C69" s="106"/>
      <c r="D69" s="106"/>
      <c r="H69" s="106"/>
      <c r="J69" s="106"/>
      <c r="K69" s="106"/>
      <c r="O69" s="106"/>
      <c r="R69" s="106"/>
      <c r="S69" s="106"/>
    </row>
    <row r="70" spans="3:19" x14ac:dyDescent="0.2">
      <c r="C70" s="106"/>
      <c r="D70" s="106"/>
      <c r="H70" s="106"/>
      <c r="J70" s="106"/>
      <c r="K70" s="106"/>
      <c r="O70" s="106"/>
      <c r="R70" s="106"/>
      <c r="S70" s="15"/>
    </row>
    <row r="71" spans="3:19" x14ac:dyDescent="0.2">
      <c r="C71" s="106"/>
      <c r="D71" s="106"/>
      <c r="H71" s="106"/>
      <c r="J71" s="106"/>
      <c r="K71" s="106"/>
      <c r="O71" s="106"/>
      <c r="S71" s="15"/>
    </row>
    <row r="72" spans="3:19" x14ac:dyDescent="0.2">
      <c r="C72" s="106"/>
      <c r="D72" s="106"/>
      <c r="H72" s="106"/>
      <c r="J72" s="106"/>
      <c r="K72" s="106"/>
      <c r="O72" s="106"/>
      <c r="S72" s="15"/>
    </row>
    <row r="73" spans="3:19" x14ac:dyDescent="0.2">
      <c r="C73" s="106"/>
      <c r="D73" s="106"/>
      <c r="H73" s="106"/>
      <c r="J73" s="106"/>
      <c r="K73" s="106"/>
      <c r="O73" s="106"/>
      <c r="R73" s="15"/>
    </row>
    <row r="74" spans="3:19" x14ac:dyDescent="0.2">
      <c r="C74" s="106"/>
      <c r="D74" s="106"/>
      <c r="H74" s="106"/>
      <c r="J74" s="106"/>
      <c r="K74" s="106"/>
      <c r="O74" s="106"/>
      <c r="R74" s="15"/>
      <c r="S74" s="15"/>
    </row>
    <row r="75" spans="3:19" x14ac:dyDescent="0.2">
      <c r="C75" s="106"/>
      <c r="D75" s="106"/>
      <c r="H75" s="106"/>
      <c r="J75" s="106"/>
      <c r="K75" s="106"/>
      <c r="O75" s="106"/>
      <c r="S75" s="106"/>
    </row>
    <row r="76" spans="3:19" x14ac:dyDescent="0.2">
      <c r="C76" s="106"/>
      <c r="D76" s="106"/>
      <c r="H76" s="106"/>
      <c r="J76" s="106"/>
      <c r="K76" s="106"/>
      <c r="O76" s="106"/>
    </row>
    <row r="77" spans="3:19" x14ac:dyDescent="0.2">
      <c r="C77" s="106"/>
      <c r="D77" s="106"/>
      <c r="H77" s="106"/>
      <c r="J77" s="106"/>
      <c r="K77" s="106"/>
      <c r="O77" s="106"/>
      <c r="S77" s="15"/>
    </row>
    <row r="78" spans="3:19" x14ac:dyDescent="0.2">
      <c r="C78" s="106"/>
      <c r="D78" s="106"/>
      <c r="H78" s="106"/>
      <c r="J78" s="106"/>
      <c r="K78" s="106"/>
      <c r="O78" s="106"/>
      <c r="S78" s="15"/>
    </row>
    <row r="79" spans="3:19" x14ac:dyDescent="0.2">
      <c r="C79" s="106"/>
      <c r="D79" s="106"/>
      <c r="H79" s="106"/>
      <c r="J79" s="106"/>
      <c r="K79" s="106"/>
      <c r="O79" s="106"/>
      <c r="R79" s="106"/>
    </row>
    <row r="80" spans="3:19" x14ac:dyDescent="0.2">
      <c r="C80" s="106"/>
      <c r="D80" s="106"/>
      <c r="H80" s="106"/>
      <c r="J80" s="106"/>
      <c r="K80" s="106"/>
      <c r="O80" s="106"/>
      <c r="S80" s="15"/>
    </row>
    <row r="81" spans="3:21" x14ac:dyDescent="0.2">
      <c r="C81" s="106"/>
      <c r="D81" s="106"/>
      <c r="H81" s="106"/>
      <c r="J81" s="106"/>
      <c r="K81" s="106"/>
      <c r="O81" s="106"/>
      <c r="R81" s="106"/>
      <c r="S81" s="15"/>
    </row>
    <row r="82" spans="3:21" x14ac:dyDescent="0.2">
      <c r="C82" s="106"/>
      <c r="D82" s="106"/>
      <c r="H82" s="106"/>
      <c r="J82" s="106"/>
      <c r="K82" s="106"/>
      <c r="O82" s="106"/>
      <c r="S82" s="15"/>
      <c r="T82" s="15"/>
      <c r="U82" s="15"/>
    </row>
    <row r="83" spans="3:21" x14ac:dyDescent="0.2">
      <c r="C83" s="106"/>
      <c r="D83" s="106"/>
      <c r="H83" s="106"/>
      <c r="J83" s="106"/>
      <c r="K83" s="106"/>
      <c r="O83" s="106"/>
      <c r="R83" s="15"/>
    </row>
    <row r="84" spans="3:21" x14ac:dyDescent="0.2">
      <c r="C84" s="106"/>
      <c r="D84" s="106"/>
      <c r="H84" s="106"/>
      <c r="J84" s="106"/>
      <c r="K84" s="106"/>
      <c r="O84" s="106"/>
      <c r="S84" s="106"/>
    </row>
    <row r="85" spans="3:21" x14ac:dyDescent="0.2">
      <c r="C85" s="106"/>
      <c r="D85" s="106"/>
      <c r="H85" s="106"/>
      <c r="J85" s="106"/>
      <c r="K85" s="106"/>
      <c r="O85" s="106"/>
      <c r="S85" s="15"/>
    </row>
    <row r="86" spans="3:21" x14ac:dyDescent="0.2">
      <c r="C86" s="106"/>
      <c r="D86" s="106"/>
      <c r="H86" s="106"/>
      <c r="J86" s="106"/>
      <c r="K86" s="106"/>
      <c r="O86" s="106"/>
      <c r="S86" s="15"/>
    </row>
    <row r="87" spans="3:21" x14ac:dyDescent="0.2">
      <c r="C87" s="106"/>
      <c r="D87" s="106"/>
      <c r="H87" s="106"/>
      <c r="J87" s="106"/>
      <c r="K87" s="106"/>
      <c r="O87" s="106"/>
    </row>
    <row r="88" spans="3:21" x14ac:dyDescent="0.2">
      <c r="C88" s="106"/>
      <c r="D88" s="106"/>
      <c r="H88" s="106"/>
      <c r="J88" s="106"/>
      <c r="K88" s="106"/>
      <c r="O88" s="106"/>
      <c r="S88" s="106"/>
    </row>
    <row r="89" spans="3:21" x14ac:dyDescent="0.2">
      <c r="C89" s="106"/>
      <c r="D89" s="106"/>
      <c r="H89" s="106"/>
      <c r="J89" s="106"/>
      <c r="K89" s="106"/>
      <c r="O89" s="106"/>
      <c r="R89" s="15"/>
    </row>
    <row r="90" spans="3:21" x14ac:dyDescent="0.2">
      <c r="C90" s="106"/>
      <c r="D90" s="106"/>
      <c r="H90" s="106"/>
      <c r="J90" s="106"/>
      <c r="K90" s="106"/>
      <c r="O90" s="106"/>
      <c r="S90" s="15"/>
    </row>
    <row r="91" spans="3:21" x14ac:dyDescent="0.2">
      <c r="C91" s="106"/>
      <c r="D91" s="106"/>
      <c r="H91" s="106"/>
      <c r="J91" s="106"/>
      <c r="K91" s="106"/>
      <c r="O91" s="106"/>
      <c r="R91" s="15"/>
      <c r="S91" s="15"/>
    </row>
    <row r="92" spans="3:21" x14ac:dyDescent="0.2">
      <c r="C92" s="106"/>
      <c r="D92" s="106"/>
      <c r="H92" s="106"/>
      <c r="J92" s="106"/>
      <c r="K92" s="106"/>
      <c r="O92" s="106"/>
    </row>
    <row r="93" spans="3:21" x14ac:dyDescent="0.2">
      <c r="C93" s="106"/>
      <c r="D93" s="106"/>
      <c r="H93" s="106"/>
      <c r="J93" s="106"/>
      <c r="K93" s="106"/>
      <c r="O93" s="106"/>
      <c r="R93" s="106"/>
    </row>
    <row r="94" spans="3:21" x14ac:dyDescent="0.2">
      <c r="C94" s="106"/>
      <c r="D94" s="106"/>
      <c r="H94" s="106"/>
      <c r="J94" s="106"/>
      <c r="K94" s="106"/>
      <c r="O94" s="106"/>
      <c r="R94" s="15"/>
      <c r="S94" s="15"/>
    </row>
    <row r="95" spans="3:21" x14ac:dyDescent="0.2">
      <c r="C95" s="106"/>
      <c r="D95" s="106"/>
      <c r="H95" s="106"/>
      <c r="J95" s="106"/>
      <c r="K95" s="106"/>
      <c r="O95" s="106"/>
      <c r="S95" s="15"/>
    </row>
    <row r="96" spans="3:21" x14ac:dyDescent="0.2">
      <c r="C96" s="106"/>
      <c r="D96" s="106"/>
      <c r="H96" s="106"/>
      <c r="J96" s="106"/>
      <c r="K96" s="106"/>
      <c r="O96" s="106"/>
      <c r="S96" s="15"/>
    </row>
    <row r="97" spans="3:19" x14ac:dyDescent="0.2">
      <c r="C97" s="106"/>
      <c r="D97" s="106"/>
      <c r="H97" s="106"/>
      <c r="J97" s="106"/>
      <c r="K97" s="106"/>
      <c r="O97" s="106"/>
      <c r="S97" s="15"/>
    </row>
    <row r="98" spans="3:19" x14ac:dyDescent="0.2">
      <c r="C98" s="106"/>
      <c r="D98" s="106"/>
      <c r="H98" s="106"/>
      <c r="J98" s="106"/>
      <c r="K98" s="106"/>
      <c r="O98" s="106"/>
      <c r="R98" s="15"/>
    </row>
    <row r="99" spans="3:19" x14ac:dyDescent="0.2">
      <c r="C99" s="106"/>
      <c r="D99" s="106"/>
      <c r="H99" s="106"/>
      <c r="J99" s="106"/>
      <c r="K99" s="106"/>
      <c r="O99" s="106"/>
      <c r="S99" s="15"/>
    </row>
    <row r="100" spans="3:19" x14ac:dyDescent="0.2">
      <c r="C100" s="106"/>
      <c r="D100" s="106"/>
      <c r="H100" s="106"/>
      <c r="J100" s="106"/>
      <c r="K100" s="106"/>
      <c r="O100" s="106"/>
    </row>
    <row r="101" spans="3:19" x14ac:dyDescent="0.2">
      <c r="C101" s="106"/>
      <c r="D101" s="106"/>
      <c r="H101" s="106"/>
      <c r="J101" s="106"/>
      <c r="K101" s="106"/>
      <c r="O101" s="106"/>
    </row>
    <row r="102" spans="3:19" x14ac:dyDescent="0.2">
      <c r="C102" s="106"/>
      <c r="D102" s="106"/>
      <c r="H102" s="106"/>
      <c r="J102" s="106"/>
      <c r="K102" s="106"/>
      <c r="O102" s="106"/>
      <c r="S102" s="15"/>
    </row>
    <row r="103" spans="3:19" x14ac:dyDescent="0.2">
      <c r="C103" s="106"/>
      <c r="D103" s="106"/>
      <c r="H103" s="106"/>
      <c r="J103" s="106"/>
      <c r="K103" s="106"/>
      <c r="O103" s="106"/>
      <c r="R103" s="106"/>
      <c r="S103" s="106"/>
    </row>
    <row r="104" spans="3:19" x14ac:dyDescent="0.2">
      <c r="C104" s="106"/>
      <c r="D104" s="106"/>
      <c r="H104" s="106"/>
      <c r="J104" s="106"/>
      <c r="K104" s="106"/>
      <c r="O104" s="106"/>
      <c r="S104" s="15"/>
    </row>
    <row r="105" spans="3:19" x14ac:dyDescent="0.2">
      <c r="C105" s="106"/>
      <c r="D105" s="106"/>
      <c r="H105" s="106"/>
      <c r="J105" s="106"/>
      <c r="K105" s="106"/>
      <c r="O105" s="106"/>
      <c r="R105" s="106"/>
      <c r="S105" s="106"/>
    </row>
    <row r="106" spans="3:19" x14ac:dyDescent="0.2">
      <c r="C106" s="106"/>
      <c r="D106" s="106"/>
      <c r="H106" s="106"/>
      <c r="J106" s="106"/>
      <c r="K106" s="106"/>
      <c r="O106" s="106"/>
      <c r="S106" s="15"/>
    </row>
    <row r="107" spans="3:19" x14ac:dyDescent="0.2">
      <c r="C107" s="106"/>
      <c r="D107" s="106"/>
      <c r="H107" s="106"/>
      <c r="J107" s="106"/>
      <c r="K107" s="106"/>
      <c r="O107" s="106"/>
      <c r="R107" s="15"/>
      <c r="S107" s="106"/>
    </row>
    <row r="108" spans="3:19" x14ac:dyDescent="0.2">
      <c r="C108" s="106"/>
      <c r="D108" s="106"/>
      <c r="H108" s="106"/>
      <c r="J108" s="106"/>
      <c r="K108" s="106"/>
      <c r="O108" s="106"/>
      <c r="S108" s="106"/>
    </row>
    <row r="109" spans="3:19" x14ac:dyDescent="0.2">
      <c r="C109" s="106"/>
      <c r="D109" s="106"/>
      <c r="H109" s="106"/>
      <c r="J109" s="106"/>
      <c r="K109" s="106"/>
      <c r="O109" s="106"/>
      <c r="S109" s="15"/>
    </row>
    <row r="110" spans="3:19" x14ac:dyDescent="0.2">
      <c r="C110" s="106"/>
      <c r="D110" s="106"/>
      <c r="H110" s="106"/>
      <c r="J110" s="106"/>
      <c r="K110" s="106"/>
      <c r="O110" s="106"/>
      <c r="R110" s="15"/>
    </row>
    <row r="111" spans="3:19" x14ac:dyDescent="0.2">
      <c r="C111" s="106"/>
      <c r="D111" s="106"/>
      <c r="H111" s="106"/>
      <c r="J111" s="106"/>
      <c r="K111" s="106"/>
      <c r="O111" s="106"/>
      <c r="R111" s="106"/>
    </row>
    <row r="112" spans="3:19" x14ac:dyDescent="0.2">
      <c r="C112" s="106"/>
      <c r="D112" s="106"/>
      <c r="H112" s="106"/>
      <c r="J112" s="106"/>
      <c r="K112" s="106"/>
      <c r="O112" s="106"/>
    </row>
    <row r="113" spans="3:19" x14ac:dyDescent="0.2">
      <c r="C113" s="106"/>
      <c r="D113" s="106"/>
      <c r="H113" s="106"/>
      <c r="J113" s="106"/>
      <c r="K113" s="106"/>
      <c r="O113" s="106"/>
      <c r="S113" s="15"/>
    </row>
    <row r="114" spans="3:19" x14ac:dyDescent="0.2">
      <c r="C114" s="106"/>
      <c r="D114" s="106"/>
      <c r="H114" s="106"/>
      <c r="J114" s="106"/>
      <c r="K114" s="106"/>
      <c r="O114" s="106"/>
      <c r="S114" s="15"/>
    </row>
    <row r="115" spans="3:19" x14ac:dyDescent="0.2">
      <c r="C115" s="106"/>
      <c r="D115" s="106"/>
      <c r="H115" s="106"/>
      <c r="J115" s="106"/>
      <c r="K115" s="106"/>
      <c r="O115" s="106"/>
    </row>
    <row r="116" spans="3:19" x14ac:dyDescent="0.2">
      <c r="C116" s="106"/>
      <c r="D116" s="106"/>
      <c r="H116" s="106"/>
      <c r="J116" s="106"/>
      <c r="K116" s="106"/>
      <c r="O116" s="106"/>
    </row>
    <row r="117" spans="3:19" x14ac:dyDescent="0.2">
      <c r="C117" s="106"/>
      <c r="D117" s="106"/>
      <c r="H117" s="106"/>
      <c r="J117" s="106"/>
      <c r="K117" s="106"/>
      <c r="O117" s="106"/>
      <c r="R117" s="15"/>
      <c r="S117" s="15"/>
    </row>
    <row r="118" spans="3:19" x14ac:dyDescent="0.2">
      <c r="C118" s="106"/>
      <c r="D118" s="106"/>
      <c r="H118" s="106"/>
      <c r="J118" s="106"/>
      <c r="K118" s="106"/>
      <c r="O118" s="106"/>
    </row>
    <row r="119" spans="3:19" x14ac:dyDescent="0.2">
      <c r="C119" s="106"/>
      <c r="D119" s="106"/>
      <c r="H119" s="106"/>
      <c r="J119" s="106"/>
      <c r="K119" s="106"/>
      <c r="O119" s="106"/>
      <c r="R119" s="15"/>
    </row>
    <row r="120" spans="3:19" x14ac:dyDescent="0.2">
      <c r="C120" s="106"/>
      <c r="D120" s="106"/>
      <c r="H120" s="106"/>
      <c r="J120" s="106"/>
      <c r="K120" s="106"/>
      <c r="O120" s="106"/>
      <c r="S120" s="106"/>
    </row>
    <row r="121" spans="3:19" x14ac:dyDescent="0.2">
      <c r="C121" s="106"/>
      <c r="D121" s="106"/>
      <c r="H121" s="106"/>
      <c r="J121" s="106"/>
      <c r="K121" s="106"/>
      <c r="O121" s="106"/>
      <c r="R121" s="15"/>
      <c r="S121" s="15"/>
    </row>
    <row r="122" spans="3:19" x14ac:dyDescent="0.2">
      <c r="C122" s="106"/>
      <c r="D122" s="106"/>
      <c r="H122" s="106"/>
      <c r="J122" s="106"/>
      <c r="K122" s="106"/>
      <c r="O122" s="106"/>
      <c r="R122" s="106"/>
    </row>
    <row r="123" spans="3:19" x14ac:dyDescent="0.2">
      <c r="C123" s="106"/>
      <c r="D123" s="106"/>
      <c r="H123" s="106"/>
      <c r="J123" s="106"/>
      <c r="K123" s="106"/>
      <c r="O123" s="106"/>
      <c r="R123" s="106"/>
    </row>
    <row r="124" spans="3:19" x14ac:dyDescent="0.2">
      <c r="C124" s="106"/>
      <c r="D124" s="106"/>
      <c r="H124" s="106"/>
      <c r="J124" s="106"/>
      <c r="K124" s="106"/>
      <c r="O124" s="106"/>
      <c r="R124" s="15"/>
    </row>
    <row r="125" spans="3:19" x14ac:dyDescent="0.2">
      <c r="C125" s="106"/>
      <c r="D125" s="106"/>
      <c r="H125" s="106"/>
      <c r="J125" s="106"/>
      <c r="K125" s="106"/>
      <c r="O125" s="106"/>
      <c r="R125" s="15"/>
      <c r="S125" s="15"/>
    </row>
    <row r="126" spans="3:19" x14ac:dyDescent="0.2">
      <c r="C126" s="106"/>
      <c r="D126" s="106"/>
      <c r="H126" s="106"/>
      <c r="J126" s="106"/>
      <c r="K126" s="106"/>
      <c r="O126" s="106"/>
      <c r="S126" s="15"/>
    </row>
    <row r="127" spans="3:19" x14ac:dyDescent="0.2">
      <c r="C127" s="106"/>
      <c r="D127" s="106"/>
      <c r="H127" s="106"/>
      <c r="J127" s="106"/>
      <c r="K127" s="106"/>
      <c r="O127" s="106"/>
      <c r="S127" s="106"/>
    </row>
    <row r="128" spans="3:19" x14ac:dyDescent="0.2">
      <c r="C128" s="106"/>
      <c r="D128" s="106"/>
      <c r="H128" s="106"/>
      <c r="J128" s="106"/>
      <c r="K128" s="106"/>
      <c r="O128" s="106"/>
      <c r="R128" s="15"/>
    </row>
    <row r="129" spans="3:21" x14ac:dyDescent="0.2">
      <c r="C129" s="106"/>
      <c r="D129" s="106"/>
      <c r="H129" s="106"/>
      <c r="J129" s="106"/>
      <c r="K129" s="106"/>
      <c r="O129" s="106"/>
      <c r="S129" s="106"/>
    </row>
    <row r="130" spans="3:21" x14ac:dyDescent="0.2">
      <c r="C130" s="106"/>
      <c r="D130" s="106"/>
      <c r="H130" s="106"/>
      <c r="J130" s="106"/>
      <c r="K130" s="106"/>
      <c r="O130" s="106"/>
      <c r="R130" s="15"/>
    </row>
    <row r="131" spans="3:21" x14ac:dyDescent="0.2">
      <c r="C131" s="106"/>
      <c r="D131" s="106"/>
      <c r="H131" s="106"/>
      <c r="J131" s="106"/>
      <c r="K131" s="106"/>
      <c r="O131" s="106"/>
      <c r="R131" s="15"/>
      <c r="S131" s="106"/>
    </row>
    <row r="132" spans="3:21" x14ac:dyDescent="0.2">
      <c r="C132" s="106"/>
      <c r="D132" s="106"/>
      <c r="H132" s="106"/>
      <c r="J132" s="106"/>
      <c r="K132" s="106"/>
      <c r="O132" s="106"/>
      <c r="R132" s="15"/>
      <c r="S132" s="15"/>
    </row>
    <row r="133" spans="3:21" x14ac:dyDescent="0.2">
      <c r="C133" s="106"/>
      <c r="D133" s="106"/>
      <c r="H133" s="106"/>
      <c r="J133" s="106"/>
      <c r="K133" s="106"/>
      <c r="O133" s="106"/>
      <c r="S133" s="106"/>
    </row>
    <row r="134" spans="3:21" x14ac:dyDescent="0.2">
      <c r="C134" s="106"/>
      <c r="D134" s="106"/>
      <c r="H134" s="106"/>
      <c r="J134" s="106"/>
      <c r="K134" s="106"/>
      <c r="O134" s="106"/>
    </row>
    <row r="135" spans="3:21" x14ac:dyDescent="0.2">
      <c r="C135" s="106"/>
      <c r="D135" s="106"/>
      <c r="H135" s="106"/>
      <c r="J135" s="106"/>
      <c r="K135" s="106"/>
      <c r="O135" s="106"/>
      <c r="R135" s="15"/>
    </row>
    <row r="136" spans="3:21" x14ac:dyDescent="0.2">
      <c r="C136" s="106"/>
      <c r="D136" s="106"/>
      <c r="H136" s="106"/>
      <c r="J136" s="106"/>
      <c r="K136" s="106"/>
      <c r="O136" s="106"/>
      <c r="S136" s="106"/>
      <c r="T136" s="106"/>
      <c r="U136" s="106"/>
    </row>
    <row r="137" spans="3:21" x14ac:dyDescent="0.2">
      <c r="C137" s="106"/>
      <c r="D137" s="106"/>
      <c r="H137" s="106"/>
      <c r="J137" s="106"/>
      <c r="K137" s="106"/>
      <c r="O137" s="106"/>
      <c r="S137" s="106"/>
    </row>
    <row r="138" spans="3:21" x14ac:dyDescent="0.2">
      <c r="C138" s="106"/>
      <c r="D138" s="106"/>
      <c r="H138" s="106"/>
      <c r="J138" s="106"/>
      <c r="K138" s="106"/>
      <c r="O138" s="106"/>
    </row>
    <row r="139" spans="3:21" x14ac:dyDescent="0.2">
      <c r="C139" s="106"/>
      <c r="D139" s="106"/>
      <c r="H139" s="106"/>
      <c r="J139" s="106"/>
      <c r="K139" s="106"/>
      <c r="O139" s="106"/>
      <c r="R139" s="15"/>
      <c r="S139" s="15"/>
    </row>
    <row r="140" spans="3:21" x14ac:dyDescent="0.2">
      <c r="C140" s="106"/>
      <c r="D140" s="106"/>
      <c r="H140" s="106"/>
      <c r="J140" s="106"/>
      <c r="K140" s="106"/>
      <c r="O140" s="106"/>
      <c r="R140" s="15"/>
    </row>
    <row r="141" spans="3:21" x14ac:dyDescent="0.2">
      <c r="C141" s="106"/>
      <c r="D141" s="106"/>
      <c r="H141" s="106"/>
      <c r="J141" s="106"/>
      <c r="K141" s="106"/>
      <c r="O141" s="106"/>
      <c r="R141" s="15"/>
    </row>
    <row r="142" spans="3:21" x14ac:dyDescent="0.2">
      <c r="C142" s="106"/>
      <c r="D142" s="106"/>
      <c r="H142" s="106"/>
      <c r="J142" s="106"/>
      <c r="K142" s="106"/>
      <c r="O142" s="106"/>
      <c r="S142" s="15"/>
    </row>
    <row r="143" spans="3:21" x14ac:dyDescent="0.2">
      <c r="C143" s="106"/>
      <c r="D143" s="106"/>
      <c r="H143" s="106"/>
      <c r="J143" s="106"/>
      <c r="K143" s="106"/>
      <c r="O143" s="106"/>
    </row>
    <row r="144" spans="3:21" x14ac:dyDescent="0.2">
      <c r="C144" s="106"/>
      <c r="D144" s="106"/>
      <c r="H144" s="106"/>
      <c r="J144" s="106"/>
      <c r="K144" s="106"/>
      <c r="O144" s="106"/>
    </row>
    <row r="145" spans="3:19" x14ac:dyDescent="0.2">
      <c r="C145" s="106"/>
      <c r="D145" s="106"/>
      <c r="H145" s="106"/>
      <c r="J145" s="106"/>
      <c r="K145" s="106"/>
      <c r="O145" s="106"/>
      <c r="R145" s="106"/>
    </row>
    <row r="146" spans="3:19" x14ac:dyDescent="0.2">
      <c r="C146" s="106"/>
      <c r="D146" s="106"/>
      <c r="H146" s="106"/>
      <c r="J146" s="106"/>
      <c r="K146" s="106"/>
      <c r="O146" s="106"/>
      <c r="R146" s="15"/>
    </row>
    <row r="147" spans="3:19" x14ac:dyDescent="0.2">
      <c r="C147" s="106"/>
      <c r="D147" s="106"/>
      <c r="H147" s="106"/>
      <c r="J147" s="106"/>
      <c r="K147" s="106"/>
      <c r="O147" s="106"/>
      <c r="S147" s="15"/>
    </row>
    <row r="148" spans="3:19" x14ac:dyDescent="0.2">
      <c r="C148" s="106"/>
      <c r="D148" s="106"/>
      <c r="H148" s="106"/>
      <c r="J148" s="106"/>
      <c r="K148" s="106"/>
      <c r="O148" s="106"/>
      <c r="S148" s="15"/>
    </row>
    <row r="149" spans="3:19" x14ac:dyDescent="0.2">
      <c r="C149" s="106"/>
      <c r="D149" s="106"/>
      <c r="H149" s="106"/>
      <c r="J149" s="106"/>
      <c r="K149" s="106"/>
      <c r="O149" s="106"/>
    </row>
    <row r="150" spans="3:19" x14ac:dyDescent="0.2">
      <c r="C150" s="106"/>
      <c r="D150" s="106"/>
      <c r="H150" s="106"/>
      <c r="J150" s="106"/>
      <c r="K150" s="106"/>
      <c r="O150" s="106"/>
    </row>
    <row r="151" spans="3:19" x14ac:dyDescent="0.2">
      <c r="C151" s="106"/>
      <c r="D151" s="106"/>
      <c r="H151" s="106"/>
      <c r="J151" s="106"/>
      <c r="K151" s="106"/>
      <c r="O151" s="106"/>
    </row>
    <row r="152" spans="3:19" x14ac:dyDescent="0.2">
      <c r="C152" s="106"/>
      <c r="D152" s="106"/>
      <c r="H152" s="106"/>
      <c r="J152" s="106"/>
      <c r="K152" s="106"/>
      <c r="O152" s="106"/>
      <c r="R152" s="15"/>
      <c r="S152" s="15"/>
    </row>
    <row r="153" spans="3:19" x14ac:dyDescent="0.2">
      <c r="C153" s="106"/>
      <c r="D153" s="106"/>
      <c r="H153" s="106"/>
      <c r="J153" s="106"/>
      <c r="K153" s="106"/>
      <c r="O153" s="106"/>
      <c r="R153" s="106"/>
      <c r="S153" s="15"/>
    </row>
    <row r="154" spans="3:19" x14ac:dyDescent="0.2">
      <c r="C154" s="106"/>
      <c r="D154" s="106"/>
      <c r="H154" s="106"/>
      <c r="J154" s="106"/>
      <c r="K154" s="106"/>
      <c r="O154" s="106"/>
      <c r="S154" s="15"/>
    </row>
    <row r="155" spans="3:19" x14ac:dyDescent="0.2">
      <c r="C155" s="106"/>
      <c r="D155" s="106"/>
      <c r="H155" s="106"/>
      <c r="J155" s="106"/>
      <c r="K155" s="106"/>
      <c r="O155" s="106"/>
    </row>
    <row r="156" spans="3:19" x14ac:dyDescent="0.2">
      <c r="C156" s="106"/>
      <c r="D156" s="106"/>
      <c r="H156" s="106"/>
      <c r="J156" s="106"/>
      <c r="K156" s="106"/>
      <c r="O156" s="106"/>
      <c r="S156" s="15"/>
    </row>
    <row r="157" spans="3:19" x14ac:dyDescent="0.2">
      <c r="C157" s="106"/>
      <c r="D157" s="106"/>
      <c r="H157" s="106"/>
      <c r="J157" s="106"/>
      <c r="K157" s="106"/>
      <c r="O157" s="106"/>
      <c r="R157" s="106"/>
    </row>
    <row r="158" spans="3:19" x14ac:dyDescent="0.2">
      <c r="C158" s="106"/>
      <c r="D158" s="106"/>
      <c r="H158" s="106"/>
      <c r="J158" s="106"/>
      <c r="K158" s="106"/>
      <c r="O158" s="106"/>
      <c r="R158" s="15"/>
      <c r="S158" s="15"/>
    </row>
    <row r="159" spans="3:19" x14ac:dyDescent="0.2">
      <c r="C159" s="106"/>
      <c r="D159" s="106"/>
      <c r="H159" s="106"/>
      <c r="J159" s="106"/>
      <c r="K159" s="106"/>
      <c r="O159" s="106"/>
    </row>
    <row r="160" spans="3:19" x14ac:dyDescent="0.2">
      <c r="C160" s="106"/>
      <c r="D160" s="106"/>
      <c r="H160" s="106"/>
      <c r="J160" s="106"/>
      <c r="K160" s="106"/>
      <c r="O160" s="106"/>
      <c r="S160" s="15"/>
    </row>
    <row r="161" spans="3:19" x14ac:dyDescent="0.2">
      <c r="C161" s="106"/>
      <c r="D161" s="106"/>
      <c r="H161" s="106"/>
      <c r="J161" s="106"/>
      <c r="K161" s="106"/>
      <c r="O161" s="106"/>
    </row>
    <row r="162" spans="3:19" x14ac:dyDescent="0.2">
      <c r="C162" s="106"/>
      <c r="D162" s="106"/>
      <c r="H162" s="106"/>
      <c r="J162" s="106"/>
      <c r="K162" s="106"/>
      <c r="O162" s="106"/>
      <c r="R162" s="15"/>
    </row>
    <row r="163" spans="3:19" x14ac:dyDescent="0.2">
      <c r="C163" s="106"/>
      <c r="D163" s="106"/>
      <c r="H163" s="106"/>
      <c r="J163" s="106"/>
      <c r="K163" s="106"/>
      <c r="O163" s="106"/>
      <c r="S163" s="15"/>
    </row>
    <row r="164" spans="3:19" x14ac:dyDescent="0.2">
      <c r="C164" s="106"/>
      <c r="D164" s="106"/>
      <c r="H164" s="106"/>
      <c r="J164" s="106"/>
      <c r="K164" s="106"/>
      <c r="O164" s="106"/>
    </row>
    <row r="165" spans="3:19" x14ac:dyDescent="0.2">
      <c r="C165" s="106"/>
      <c r="D165" s="106"/>
      <c r="H165" s="106"/>
      <c r="J165" s="106"/>
      <c r="K165" s="106"/>
      <c r="O165" s="106"/>
      <c r="R165" s="15"/>
    </row>
    <row r="166" spans="3:19" x14ac:dyDescent="0.2">
      <c r="C166" s="106"/>
      <c r="D166" s="106"/>
      <c r="H166" s="106"/>
      <c r="J166" s="106"/>
      <c r="K166" s="106"/>
      <c r="O166" s="106"/>
      <c r="R166" s="15"/>
    </row>
    <row r="167" spans="3:19" x14ac:dyDescent="0.2">
      <c r="C167" s="106"/>
      <c r="D167" s="106"/>
      <c r="H167" s="106"/>
      <c r="J167" s="106"/>
      <c r="K167" s="106"/>
      <c r="O167" s="106"/>
    </row>
    <row r="168" spans="3:19" x14ac:dyDescent="0.2">
      <c r="C168" s="106"/>
      <c r="D168" s="106"/>
      <c r="H168" s="106"/>
      <c r="J168" s="106"/>
      <c r="K168" s="106"/>
      <c r="O168" s="106"/>
    </row>
    <row r="169" spans="3:19" x14ac:dyDescent="0.2">
      <c r="C169" s="106"/>
      <c r="D169" s="106"/>
      <c r="H169" s="106"/>
      <c r="J169" s="106"/>
      <c r="K169" s="106"/>
      <c r="O169" s="106"/>
    </row>
    <row r="170" spans="3:19" x14ac:dyDescent="0.2">
      <c r="C170" s="106"/>
      <c r="D170" s="106"/>
      <c r="H170" s="106"/>
      <c r="J170" s="106"/>
      <c r="K170" s="106"/>
      <c r="O170" s="106"/>
      <c r="R170" s="15"/>
    </row>
    <row r="171" spans="3:19" x14ac:dyDescent="0.2">
      <c r="C171" s="106"/>
      <c r="D171" s="106"/>
      <c r="H171" s="106"/>
      <c r="J171" s="106"/>
      <c r="K171" s="106"/>
      <c r="O171" s="106"/>
    </row>
    <row r="172" spans="3:19" x14ac:dyDescent="0.2">
      <c r="C172" s="106"/>
      <c r="D172" s="106"/>
      <c r="H172" s="106"/>
      <c r="J172" s="106"/>
      <c r="K172" s="106"/>
      <c r="O172" s="106"/>
    </row>
    <row r="173" spans="3:19" x14ac:dyDescent="0.2">
      <c r="C173" s="106"/>
      <c r="D173" s="106"/>
      <c r="H173" s="106"/>
      <c r="J173" s="106"/>
      <c r="K173" s="106"/>
      <c r="O173" s="106"/>
    </row>
    <row r="174" spans="3:19" x14ac:dyDescent="0.2">
      <c r="C174" s="106"/>
      <c r="D174" s="106"/>
      <c r="H174" s="106"/>
      <c r="J174" s="106"/>
      <c r="K174" s="106"/>
      <c r="O174" s="106"/>
      <c r="S174" s="15"/>
    </row>
    <row r="175" spans="3:19" x14ac:dyDescent="0.2">
      <c r="C175" s="106"/>
      <c r="D175" s="106"/>
      <c r="H175" s="106"/>
      <c r="J175" s="106"/>
      <c r="K175" s="106"/>
      <c r="O175" s="106"/>
      <c r="S175" s="15"/>
    </row>
    <row r="176" spans="3:19" x14ac:dyDescent="0.2">
      <c r="C176" s="106"/>
      <c r="D176" s="106"/>
      <c r="H176" s="106"/>
      <c r="J176" s="106"/>
      <c r="K176" s="106"/>
      <c r="O176" s="106"/>
    </row>
    <row r="177" spans="3:19" x14ac:dyDescent="0.2">
      <c r="C177" s="106"/>
      <c r="D177" s="106"/>
      <c r="H177" s="106"/>
      <c r="J177" s="106"/>
      <c r="K177" s="106"/>
      <c r="O177" s="106"/>
    </row>
    <row r="178" spans="3:19" x14ac:dyDescent="0.2">
      <c r="C178" s="106"/>
      <c r="D178" s="106"/>
      <c r="H178" s="106"/>
      <c r="J178" s="106"/>
      <c r="K178" s="106"/>
      <c r="O178" s="106"/>
    </row>
    <row r="179" spans="3:19" x14ac:dyDescent="0.2">
      <c r="C179" s="106"/>
      <c r="D179" s="106"/>
      <c r="H179" s="106"/>
      <c r="J179" s="106"/>
      <c r="K179" s="106"/>
      <c r="O179" s="106"/>
    </row>
    <row r="180" spans="3:19" x14ac:dyDescent="0.2">
      <c r="C180" s="106"/>
      <c r="D180" s="106"/>
      <c r="H180" s="106"/>
      <c r="J180" s="106"/>
      <c r="K180" s="106"/>
      <c r="O180" s="106"/>
    </row>
    <row r="181" spans="3:19" x14ac:dyDescent="0.2">
      <c r="C181" s="106"/>
      <c r="D181" s="106"/>
      <c r="H181" s="106"/>
      <c r="J181" s="106"/>
      <c r="K181" s="106"/>
      <c r="O181" s="106"/>
      <c r="S181" s="15"/>
    </row>
    <row r="182" spans="3:19" x14ac:dyDescent="0.2">
      <c r="C182" s="106"/>
      <c r="D182" s="106"/>
      <c r="H182" s="106"/>
      <c r="J182" s="106"/>
      <c r="K182" s="106"/>
      <c r="O182" s="106"/>
      <c r="R182" s="15"/>
    </row>
    <row r="183" spans="3:19" x14ac:dyDescent="0.2">
      <c r="C183" s="106"/>
      <c r="D183" s="106"/>
      <c r="H183" s="106"/>
      <c r="J183" s="106"/>
      <c r="K183" s="106"/>
      <c r="O183" s="106"/>
    </row>
    <row r="184" spans="3:19" x14ac:dyDescent="0.2">
      <c r="C184" s="106"/>
      <c r="D184" s="106"/>
      <c r="H184" s="106"/>
      <c r="J184" s="106"/>
      <c r="K184" s="106"/>
      <c r="O184" s="106"/>
      <c r="R184" s="15"/>
    </row>
    <row r="185" spans="3:19" x14ac:dyDescent="0.2">
      <c r="C185" s="106"/>
      <c r="D185" s="106"/>
      <c r="H185" s="106"/>
      <c r="J185" s="106"/>
      <c r="K185" s="106"/>
      <c r="O185" s="106"/>
    </row>
    <row r="186" spans="3:19" x14ac:dyDescent="0.2">
      <c r="C186" s="106"/>
      <c r="D186" s="106"/>
      <c r="H186" s="106"/>
      <c r="J186" s="106"/>
      <c r="K186" s="106"/>
      <c r="O186" s="106"/>
    </row>
    <row r="187" spans="3:19" x14ac:dyDescent="0.2">
      <c r="C187" s="106"/>
      <c r="D187" s="106"/>
      <c r="H187" s="106"/>
      <c r="J187" s="106"/>
      <c r="K187" s="106"/>
      <c r="O187" s="106"/>
    </row>
    <row r="188" spans="3:19" x14ac:dyDescent="0.2">
      <c r="C188" s="106"/>
      <c r="D188" s="106"/>
      <c r="H188" s="106"/>
      <c r="J188" s="106"/>
      <c r="K188" s="106"/>
      <c r="O188" s="106"/>
    </row>
    <row r="189" spans="3:19" x14ac:dyDescent="0.2">
      <c r="C189" s="106"/>
      <c r="D189" s="106"/>
      <c r="H189" s="106"/>
      <c r="J189" s="106"/>
      <c r="K189" s="106"/>
      <c r="O189" s="106"/>
    </row>
    <row r="190" spans="3:19" x14ac:dyDescent="0.2">
      <c r="C190" s="106"/>
      <c r="D190" s="106"/>
      <c r="H190" s="106"/>
      <c r="J190" s="106"/>
      <c r="K190" s="106"/>
      <c r="O190" s="106"/>
      <c r="S190" s="15"/>
    </row>
    <row r="191" spans="3:19" x14ac:dyDescent="0.2">
      <c r="C191" s="106"/>
      <c r="D191" s="106"/>
      <c r="H191" s="106"/>
      <c r="J191" s="106"/>
      <c r="K191" s="106"/>
      <c r="O191" s="106"/>
      <c r="R191" s="15"/>
      <c r="S191" s="15"/>
    </row>
    <row r="192" spans="3:19" x14ac:dyDescent="0.2">
      <c r="C192" s="106"/>
      <c r="D192" s="106"/>
      <c r="H192" s="106"/>
      <c r="J192" s="106"/>
      <c r="K192" s="106"/>
      <c r="O192" s="106"/>
    </row>
    <row r="193" spans="3:19" x14ac:dyDescent="0.2">
      <c r="C193" s="106"/>
      <c r="D193" s="106"/>
      <c r="H193" s="106"/>
      <c r="J193" s="106"/>
      <c r="K193" s="106"/>
      <c r="O193" s="106"/>
    </row>
    <row r="194" spans="3:19" x14ac:dyDescent="0.2">
      <c r="C194" s="106"/>
      <c r="D194" s="106"/>
      <c r="H194" s="106"/>
      <c r="J194" s="106"/>
      <c r="K194" s="106"/>
      <c r="O194" s="106"/>
    </row>
    <row r="195" spans="3:19" x14ac:dyDescent="0.2">
      <c r="C195" s="106"/>
      <c r="D195" s="106"/>
      <c r="H195" s="106"/>
      <c r="J195" s="106"/>
      <c r="K195" s="106"/>
      <c r="O195" s="106"/>
    </row>
    <row r="196" spans="3:19" x14ac:dyDescent="0.2">
      <c r="C196" s="106"/>
      <c r="D196" s="106"/>
      <c r="H196" s="106"/>
      <c r="J196" s="106"/>
      <c r="K196" s="106"/>
      <c r="O196" s="106"/>
    </row>
    <row r="197" spans="3:19" x14ac:dyDescent="0.2">
      <c r="C197" s="106"/>
      <c r="D197" s="106"/>
      <c r="H197" s="106"/>
      <c r="J197" s="106"/>
      <c r="K197" s="106"/>
      <c r="O197" s="106"/>
      <c r="R197" s="15"/>
      <c r="S197" s="15"/>
    </row>
    <row r="198" spans="3:19" x14ac:dyDescent="0.2">
      <c r="C198" s="106"/>
      <c r="D198" s="106"/>
      <c r="H198" s="106"/>
      <c r="J198" s="106"/>
      <c r="K198" s="106"/>
      <c r="O198" s="106"/>
    </row>
    <row r="199" spans="3:19" x14ac:dyDescent="0.2">
      <c r="C199" s="106"/>
      <c r="D199" s="106"/>
      <c r="H199" s="106"/>
      <c r="J199" s="106"/>
      <c r="K199" s="106"/>
      <c r="O199" s="106"/>
    </row>
    <row r="200" spans="3:19" x14ac:dyDescent="0.2">
      <c r="C200" s="106"/>
      <c r="D200" s="106"/>
      <c r="H200" s="106"/>
      <c r="J200" s="106"/>
      <c r="K200" s="106"/>
      <c r="O200" s="106"/>
    </row>
    <row r="201" spans="3:19" x14ac:dyDescent="0.2">
      <c r="C201" s="106"/>
      <c r="D201" s="106"/>
      <c r="H201" s="106"/>
      <c r="J201" s="106"/>
      <c r="K201" s="106"/>
      <c r="O201" s="106"/>
      <c r="R201" s="15"/>
    </row>
    <row r="202" spans="3:19" x14ac:dyDescent="0.2">
      <c r="C202" s="106"/>
      <c r="D202" s="106"/>
      <c r="H202" s="106"/>
      <c r="J202" s="106"/>
      <c r="K202" s="106"/>
      <c r="O202" s="106"/>
    </row>
    <row r="203" spans="3:19" x14ac:dyDescent="0.2">
      <c r="C203" s="106"/>
      <c r="D203" s="106"/>
      <c r="H203" s="106"/>
      <c r="J203" s="106"/>
      <c r="K203" s="106"/>
      <c r="O203" s="106"/>
    </row>
    <row r="204" spans="3:19" x14ac:dyDescent="0.2">
      <c r="C204" s="106"/>
      <c r="D204" s="106"/>
      <c r="H204" s="106"/>
      <c r="J204" s="106"/>
      <c r="K204" s="106"/>
      <c r="O204" s="106"/>
    </row>
    <row r="205" spans="3:19" x14ac:dyDescent="0.2">
      <c r="C205" s="106"/>
      <c r="D205" s="106"/>
      <c r="H205" s="106"/>
      <c r="J205" s="106"/>
      <c r="K205" s="106"/>
      <c r="O205" s="106"/>
    </row>
    <row r="206" spans="3:19" x14ac:dyDescent="0.2">
      <c r="C206" s="106"/>
      <c r="D206" s="106"/>
      <c r="H206" s="106"/>
      <c r="J206" s="106"/>
      <c r="K206" s="106"/>
      <c r="O206" s="106"/>
      <c r="R206" s="15"/>
    </row>
    <row r="207" spans="3:19" x14ac:dyDescent="0.2">
      <c r="C207" s="106"/>
      <c r="D207" s="106"/>
      <c r="H207" s="106"/>
      <c r="J207" s="106"/>
      <c r="K207" s="106"/>
      <c r="O207" s="106"/>
    </row>
    <row r="208" spans="3:19" x14ac:dyDescent="0.2">
      <c r="C208" s="106"/>
      <c r="D208" s="106"/>
      <c r="H208" s="106"/>
      <c r="J208" s="106"/>
      <c r="K208" s="106"/>
      <c r="O208" s="106"/>
    </row>
    <row r="209" spans="3:19" x14ac:dyDescent="0.2">
      <c r="C209" s="106"/>
      <c r="D209" s="106"/>
      <c r="H209" s="106"/>
      <c r="J209" s="106"/>
      <c r="K209" s="106"/>
      <c r="O209" s="106"/>
      <c r="S209" s="15"/>
    </row>
    <row r="210" spans="3:19" x14ac:dyDescent="0.2">
      <c r="C210" s="106"/>
      <c r="D210" s="106"/>
      <c r="H210" s="106"/>
      <c r="J210" s="106"/>
      <c r="K210" s="106"/>
      <c r="O210" s="106"/>
      <c r="S210" s="15"/>
    </row>
    <row r="211" spans="3:19" x14ac:dyDescent="0.2">
      <c r="C211" s="106"/>
      <c r="D211" s="106"/>
      <c r="H211" s="106"/>
      <c r="J211" s="106"/>
      <c r="K211" s="106"/>
      <c r="O211" s="106"/>
    </row>
    <row r="212" spans="3:19" x14ac:dyDescent="0.2">
      <c r="C212" s="106"/>
      <c r="D212" s="106"/>
      <c r="H212" s="106"/>
      <c r="J212" s="106"/>
      <c r="K212" s="106"/>
      <c r="O212" s="106"/>
    </row>
    <row r="213" spans="3:19" x14ac:dyDescent="0.2">
      <c r="C213" s="106"/>
      <c r="D213" s="106"/>
      <c r="H213" s="106"/>
      <c r="J213" s="106"/>
      <c r="K213" s="106"/>
      <c r="O213" s="106"/>
      <c r="S213" s="15"/>
    </row>
    <row r="214" spans="3:19" x14ac:dyDescent="0.2">
      <c r="C214" s="106"/>
      <c r="D214" s="106"/>
      <c r="H214" s="106"/>
      <c r="J214" s="106"/>
      <c r="K214" s="106"/>
      <c r="O214" s="106"/>
    </row>
    <row r="215" spans="3:19" x14ac:dyDescent="0.2">
      <c r="C215" s="106"/>
      <c r="D215" s="106"/>
      <c r="H215" s="106"/>
      <c r="J215" s="106"/>
      <c r="K215" s="106"/>
      <c r="O215" s="106"/>
      <c r="R215" s="15"/>
    </row>
    <row r="216" spans="3:19" x14ac:dyDescent="0.2">
      <c r="C216" s="106"/>
      <c r="D216" s="106"/>
      <c r="H216" s="106"/>
      <c r="J216" s="106"/>
      <c r="K216" s="106"/>
      <c r="O216" s="106"/>
    </row>
    <row r="217" spans="3:19" x14ac:dyDescent="0.2">
      <c r="C217" s="106"/>
      <c r="D217" s="106"/>
      <c r="H217" s="106"/>
      <c r="J217" s="106"/>
      <c r="K217" s="106"/>
      <c r="O217" s="106"/>
    </row>
    <row r="218" spans="3:19" x14ac:dyDescent="0.2">
      <c r="C218" s="106"/>
      <c r="D218" s="106"/>
      <c r="H218" s="106"/>
      <c r="J218" s="106"/>
      <c r="K218" s="106"/>
      <c r="O218" s="106"/>
    </row>
    <row r="219" spans="3:19" x14ac:dyDescent="0.2">
      <c r="C219" s="106"/>
      <c r="D219" s="106"/>
      <c r="H219" s="106"/>
      <c r="J219" s="106"/>
      <c r="K219" s="106"/>
      <c r="O219" s="106"/>
    </row>
    <row r="220" spans="3:19" x14ac:dyDescent="0.2">
      <c r="C220" s="106"/>
      <c r="D220" s="106"/>
      <c r="H220" s="106"/>
      <c r="J220" s="106"/>
      <c r="K220" s="106"/>
      <c r="O220" s="106"/>
    </row>
    <row r="221" spans="3:19" x14ac:dyDescent="0.2">
      <c r="C221" s="106"/>
      <c r="D221" s="106"/>
      <c r="H221" s="106"/>
      <c r="J221" s="106"/>
      <c r="K221" s="106"/>
      <c r="O221" s="106"/>
      <c r="R221" s="15"/>
    </row>
    <row r="222" spans="3:19" x14ac:dyDescent="0.2">
      <c r="C222" s="106"/>
      <c r="D222" s="106"/>
      <c r="H222" s="106"/>
      <c r="J222" s="106"/>
      <c r="K222" s="106"/>
      <c r="O222" s="106"/>
      <c r="R222" s="15"/>
    </row>
    <row r="223" spans="3:19" x14ac:dyDescent="0.2">
      <c r="C223" s="106"/>
      <c r="D223" s="106"/>
      <c r="H223" s="106"/>
      <c r="J223" s="106"/>
      <c r="K223" s="106"/>
      <c r="O223" s="106"/>
    </row>
    <row r="224" spans="3:19" x14ac:dyDescent="0.2">
      <c r="C224" s="106"/>
      <c r="D224" s="106"/>
      <c r="H224" s="106"/>
      <c r="J224" s="106"/>
      <c r="K224" s="106"/>
      <c r="O224" s="106"/>
    </row>
    <row r="225" spans="3:19" x14ac:dyDescent="0.2">
      <c r="C225" s="106"/>
      <c r="D225" s="106"/>
      <c r="H225" s="106"/>
      <c r="J225" s="106"/>
      <c r="K225" s="106"/>
      <c r="O225" s="106"/>
      <c r="R225" s="15"/>
    </row>
    <row r="226" spans="3:19" x14ac:dyDescent="0.2">
      <c r="C226" s="106"/>
      <c r="D226" s="106"/>
      <c r="H226" s="106"/>
      <c r="J226" s="106"/>
      <c r="K226" s="106"/>
      <c r="O226" s="106"/>
    </row>
    <row r="227" spans="3:19" x14ac:dyDescent="0.2">
      <c r="C227" s="106"/>
      <c r="D227" s="106"/>
      <c r="H227" s="106"/>
      <c r="J227" s="106"/>
      <c r="K227" s="106"/>
      <c r="O227" s="106"/>
    </row>
    <row r="228" spans="3:19" x14ac:dyDescent="0.2">
      <c r="C228" s="106"/>
      <c r="D228" s="106"/>
      <c r="H228" s="106"/>
      <c r="J228" s="106"/>
      <c r="K228" s="106"/>
      <c r="O228" s="106"/>
    </row>
    <row r="229" spans="3:19" x14ac:dyDescent="0.2">
      <c r="C229" s="106"/>
      <c r="D229" s="106"/>
      <c r="H229" s="106"/>
      <c r="J229" s="106"/>
      <c r="K229" s="106"/>
      <c r="O229" s="106"/>
    </row>
    <row r="230" spans="3:19" x14ac:dyDescent="0.2">
      <c r="C230" s="106"/>
      <c r="D230" s="106"/>
      <c r="H230" s="106"/>
      <c r="J230" s="106"/>
      <c r="K230" s="106"/>
      <c r="O230" s="106"/>
    </row>
    <row r="231" spans="3:19" x14ac:dyDescent="0.2">
      <c r="C231" s="106"/>
      <c r="D231" s="106"/>
      <c r="H231" s="106"/>
      <c r="J231" s="106"/>
      <c r="K231" s="106"/>
      <c r="O231" s="106"/>
    </row>
    <row r="232" spans="3:19" x14ac:dyDescent="0.2">
      <c r="C232" s="106"/>
      <c r="D232" s="106"/>
      <c r="H232" s="106"/>
      <c r="J232" s="106"/>
      <c r="K232" s="106"/>
      <c r="O232" s="106"/>
    </row>
    <row r="233" spans="3:19" x14ac:dyDescent="0.2">
      <c r="C233" s="106"/>
      <c r="D233" s="106"/>
      <c r="H233" s="106"/>
      <c r="J233" s="106"/>
      <c r="K233" s="106"/>
      <c r="O233" s="106"/>
      <c r="R233" s="15"/>
    </row>
    <row r="234" spans="3:19" x14ac:dyDescent="0.2">
      <c r="C234" s="106"/>
      <c r="D234" s="106"/>
      <c r="H234" s="106"/>
      <c r="J234" s="106"/>
      <c r="K234" s="106"/>
      <c r="O234" s="106"/>
    </row>
    <row r="235" spans="3:19" x14ac:dyDescent="0.2">
      <c r="C235" s="106"/>
      <c r="D235" s="106"/>
      <c r="H235" s="106"/>
      <c r="J235" s="106"/>
      <c r="K235" s="106"/>
      <c r="O235" s="106"/>
    </row>
    <row r="236" spans="3:19" x14ac:dyDescent="0.2">
      <c r="C236" s="106"/>
      <c r="D236" s="106"/>
      <c r="H236" s="106"/>
      <c r="J236" s="106"/>
      <c r="K236" s="106"/>
      <c r="O236" s="106"/>
    </row>
    <row r="237" spans="3:19" x14ac:dyDescent="0.2">
      <c r="C237" s="106"/>
      <c r="D237" s="106"/>
      <c r="H237" s="106"/>
      <c r="J237" s="106"/>
      <c r="K237" s="106"/>
      <c r="O237" s="106"/>
      <c r="R237" s="15"/>
      <c r="S237" s="15"/>
    </row>
    <row r="238" spans="3:19" x14ac:dyDescent="0.2">
      <c r="C238" s="106"/>
      <c r="D238" s="106"/>
      <c r="H238" s="106"/>
      <c r="J238" s="106"/>
      <c r="K238" s="106"/>
      <c r="O238" s="106"/>
    </row>
    <row r="239" spans="3:19" x14ac:dyDescent="0.2">
      <c r="C239" s="106"/>
      <c r="D239" s="106"/>
      <c r="H239" s="106"/>
      <c r="J239" s="106"/>
      <c r="K239" s="106"/>
      <c r="O239" s="106"/>
    </row>
    <row r="240" spans="3:19" x14ac:dyDescent="0.2">
      <c r="C240" s="106"/>
      <c r="D240" s="106"/>
      <c r="H240" s="106"/>
      <c r="J240" s="106"/>
      <c r="K240" s="106"/>
      <c r="O240" s="106"/>
      <c r="R240" s="15"/>
    </row>
    <row r="241" spans="3:19" x14ac:dyDescent="0.2">
      <c r="C241" s="106"/>
      <c r="D241" s="106"/>
      <c r="H241" s="106"/>
      <c r="J241" s="106"/>
      <c r="K241" s="106"/>
      <c r="O241" s="106"/>
    </row>
    <row r="242" spans="3:19" x14ac:dyDescent="0.2">
      <c r="C242" s="106"/>
      <c r="D242" s="106"/>
      <c r="H242" s="106"/>
      <c r="J242" s="106"/>
      <c r="K242" s="106"/>
      <c r="O242" s="106"/>
    </row>
    <row r="243" spans="3:19" x14ac:dyDescent="0.2">
      <c r="C243" s="106"/>
      <c r="D243" s="106"/>
      <c r="H243" s="106"/>
      <c r="J243" s="106"/>
      <c r="K243" s="106"/>
      <c r="O243" s="106"/>
      <c r="R243" s="15"/>
    </row>
    <row r="244" spans="3:19" x14ac:dyDescent="0.2">
      <c r="C244" s="106"/>
      <c r="D244" s="106"/>
      <c r="H244" s="106"/>
      <c r="J244" s="106"/>
      <c r="K244" s="106"/>
      <c r="O244" s="106"/>
      <c r="R244" s="15"/>
      <c r="S244" s="15"/>
    </row>
    <row r="245" spans="3:19" x14ac:dyDescent="0.2">
      <c r="C245" s="106"/>
      <c r="D245" s="106"/>
      <c r="H245" s="106"/>
      <c r="J245" s="106"/>
      <c r="K245" s="106"/>
      <c r="O245" s="106"/>
    </row>
    <row r="246" spans="3:19" x14ac:dyDescent="0.2">
      <c r="C246" s="106"/>
      <c r="D246" s="106"/>
      <c r="H246" s="106"/>
      <c r="J246" s="106"/>
      <c r="K246" s="106"/>
      <c r="O246" s="106"/>
    </row>
    <row r="247" spans="3:19" x14ac:dyDescent="0.2">
      <c r="C247" s="106"/>
      <c r="D247" s="106"/>
      <c r="H247" s="106"/>
      <c r="J247" s="106"/>
      <c r="K247" s="106"/>
      <c r="O247" s="106"/>
    </row>
    <row r="248" spans="3:19" x14ac:dyDescent="0.2">
      <c r="C248" s="106"/>
      <c r="D248" s="106"/>
      <c r="H248" s="106"/>
      <c r="J248" s="106"/>
      <c r="K248" s="106"/>
      <c r="O248" s="106"/>
    </row>
    <row r="249" spans="3:19" x14ac:dyDescent="0.2">
      <c r="C249" s="106"/>
      <c r="D249" s="106"/>
      <c r="H249" s="106"/>
      <c r="J249" s="106"/>
      <c r="K249" s="106"/>
      <c r="O249" s="106"/>
    </row>
    <row r="250" spans="3:19" x14ac:dyDescent="0.2">
      <c r="C250" s="106"/>
      <c r="D250" s="106"/>
      <c r="H250" s="106"/>
      <c r="J250" s="106"/>
      <c r="K250" s="106"/>
      <c r="O250" s="106"/>
    </row>
    <row r="251" spans="3:19" x14ac:dyDescent="0.2">
      <c r="C251" s="106"/>
      <c r="D251" s="106"/>
      <c r="H251" s="106"/>
      <c r="J251" s="106"/>
      <c r="K251" s="106"/>
      <c r="O251" s="106"/>
    </row>
    <row r="252" spans="3:19" x14ac:dyDescent="0.2">
      <c r="C252" s="106"/>
      <c r="D252" s="106"/>
      <c r="H252" s="106"/>
      <c r="J252" s="106"/>
      <c r="K252" s="106"/>
      <c r="O252" s="106"/>
    </row>
    <row r="253" spans="3:19" x14ac:dyDescent="0.2">
      <c r="C253" s="106"/>
      <c r="D253" s="106"/>
      <c r="H253" s="106"/>
      <c r="J253" s="106"/>
      <c r="K253" s="106"/>
      <c r="O253" s="106"/>
    </row>
    <row r="254" spans="3:19" x14ac:dyDescent="0.2">
      <c r="C254" s="106"/>
      <c r="D254" s="106"/>
      <c r="H254" s="106"/>
      <c r="J254" s="106"/>
      <c r="K254" s="106"/>
      <c r="O254" s="106"/>
    </row>
    <row r="255" spans="3:19" x14ac:dyDescent="0.2">
      <c r="C255" s="106"/>
      <c r="D255" s="106"/>
      <c r="H255" s="106"/>
      <c r="J255" s="106"/>
      <c r="K255" s="106"/>
      <c r="O255" s="106"/>
    </row>
    <row r="256" spans="3:19" x14ac:dyDescent="0.2">
      <c r="C256" s="106"/>
      <c r="D256" s="106"/>
      <c r="H256" s="106"/>
      <c r="J256" s="106"/>
      <c r="K256" s="106"/>
      <c r="O256" s="106"/>
    </row>
    <row r="257" spans="3:18" x14ac:dyDescent="0.2">
      <c r="C257" s="106"/>
      <c r="D257" s="106"/>
      <c r="H257" s="106"/>
      <c r="J257" s="106"/>
      <c r="K257" s="106"/>
      <c r="O257" s="106"/>
      <c r="R257" s="15"/>
    </row>
    <row r="258" spans="3:18" x14ac:dyDescent="0.2">
      <c r="C258" s="106"/>
      <c r="D258" s="106"/>
      <c r="H258" s="106"/>
      <c r="J258" s="106"/>
      <c r="K258" s="106"/>
      <c r="O258" s="106"/>
    </row>
    <row r="259" spans="3:18" x14ac:dyDescent="0.2">
      <c r="C259" s="106"/>
      <c r="D259" s="106"/>
      <c r="H259" s="106"/>
      <c r="J259" s="106"/>
      <c r="K259" s="106"/>
      <c r="O259" s="106"/>
      <c r="R259" s="15"/>
    </row>
    <row r="260" spans="3:18" x14ac:dyDescent="0.2">
      <c r="C260" s="106"/>
      <c r="D260" s="106"/>
      <c r="H260" s="106"/>
      <c r="J260" s="106"/>
      <c r="K260" s="106"/>
      <c r="O260" s="106"/>
    </row>
    <row r="261" spans="3:18" x14ac:dyDescent="0.2">
      <c r="C261" s="106"/>
      <c r="D261" s="106"/>
      <c r="H261" s="106"/>
      <c r="J261" s="106"/>
      <c r="K261" s="106"/>
      <c r="O261" s="106"/>
    </row>
    <row r="262" spans="3:18" x14ac:dyDescent="0.2">
      <c r="C262" s="106"/>
      <c r="D262" s="106"/>
      <c r="H262" s="106"/>
      <c r="J262" s="106"/>
      <c r="K262" s="106"/>
      <c r="O262" s="106"/>
      <c r="R262" s="15"/>
    </row>
    <row r="263" spans="3:18" x14ac:dyDescent="0.2">
      <c r="C263" s="106"/>
      <c r="D263" s="106"/>
      <c r="H263" s="106"/>
      <c r="J263" s="106"/>
      <c r="K263" s="106"/>
      <c r="O263" s="106"/>
    </row>
    <row r="264" spans="3:18" x14ac:dyDescent="0.2">
      <c r="C264" s="106"/>
      <c r="D264" s="106"/>
      <c r="H264" s="106"/>
      <c r="J264" s="106"/>
      <c r="K264" s="106"/>
      <c r="O264" s="106"/>
    </row>
    <row r="265" spans="3:18" x14ac:dyDescent="0.2">
      <c r="C265" s="106"/>
      <c r="D265" s="106"/>
      <c r="H265" s="106"/>
      <c r="J265" s="106"/>
      <c r="K265" s="106"/>
      <c r="O265" s="106"/>
    </row>
    <row r="266" spans="3:18" x14ac:dyDescent="0.2">
      <c r="C266" s="106"/>
      <c r="D266" s="106"/>
      <c r="H266" s="106"/>
      <c r="J266" s="106"/>
      <c r="K266" s="106"/>
      <c r="O266" s="106"/>
    </row>
    <row r="267" spans="3:18" x14ac:dyDescent="0.2">
      <c r="C267" s="106"/>
      <c r="D267" s="106"/>
      <c r="H267" s="106"/>
      <c r="J267" s="106"/>
      <c r="K267" s="106"/>
      <c r="O267" s="106"/>
    </row>
    <row r="268" spans="3:18" x14ac:dyDescent="0.2">
      <c r="C268" s="106"/>
      <c r="D268" s="106"/>
      <c r="H268" s="106"/>
      <c r="J268" s="106"/>
      <c r="K268" s="106"/>
      <c r="O268" s="106"/>
    </row>
    <row r="269" spans="3:18" x14ac:dyDescent="0.2">
      <c r="C269" s="106"/>
      <c r="D269" s="106"/>
      <c r="H269" s="106"/>
      <c r="J269" s="106"/>
      <c r="K269" s="106"/>
      <c r="O269" s="106"/>
    </row>
    <row r="270" spans="3:18" x14ac:dyDescent="0.2">
      <c r="C270" s="106"/>
      <c r="D270" s="106"/>
      <c r="H270" s="106"/>
      <c r="J270" s="106"/>
      <c r="K270" s="106"/>
      <c r="O270" s="106"/>
    </row>
    <row r="271" spans="3:18" x14ac:dyDescent="0.2">
      <c r="C271" s="106"/>
      <c r="D271" s="106"/>
      <c r="H271" s="106"/>
      <c r="J271" s="106"/>
      <c r="K271" s="106"/>
      <c r="O271" s="106"/>
    </row>
    <row r="272" spans="3:18" x14ac:dyDescent="0.2">
      <c r="C272" s="106"/>
      <c r="D272" s="106"/>
      <c r="H272" s="106"/>
      <c r="J272" s="106"/>
      <c r="K272" s="106"/>
      <c r="O272" s="106"/>
    </row>
    <row r="273" spans="3:18" x14ac:dyDescent="0.2">
      <c r="C273" s="106"/>
      <c r="D273" s="106"/>
      <c r="H273" s="106"/>
      <c r="J273" s="106"/>
      <c r="K273" s="106"/>
      <c r="O273" s="106"/>
    </row>
    <row r="274" spans="3:18" x14ac:dyDescent="0.2">
      <c r="C274" s="106"/>
      <c r="D274" s="106"/>
      <c r="H274" s="106"/>
      <c r="J274" s="106"/>
      <c r="K274" s="106"/>
      <c r="O274" s="106"/>
    </row>
    <row r="275" spans="3:18" x14ac:dyDescent="0.2">
      <c r="C275" s="106"/>
      <c r="D275" s="106"/>
      <c r="H275" s="106"/>
      <c r="J275" s="106"/>
      <c r="K275" s="106"/>
      <c r="O275" s="106"/>
    </row>
    <row r="276" spans="3:18" x14ac:dyDescent="0.2">
      <c r="C276" s="106"/>
      <c r="D276" s="106"/>
      <c r="H276" s="106"/>
      <c r="J276" s="106"/>
      <c r="K276" s="106"/>
      <c r="O276" s="106"/>
    </row>
    <row r="277" spans="3:18" x14ac:dyDescent="0.2">
      <c r="C277" s="106"/>
      <c r="D277" s="106"/>
      <c r="H277" s="106"/>
      <c r="J277" s="106"/>
      <c r="K277" s="106"/>
      <c r="O277" s="106"/>
    </row>
    <row r="278" spans="3:18" x14ac:dyDescent="0.2">
      <c r="C278" s="106"/>
      <c r="D278" s="106"/>
      <c r="H278" s="106"/>
      <c r="J278" s="106"/>
      <c r="K278" s="106"/>
      <c r="O278" s="106"/>
    </row>
    <row r="279" spans="3:18" x14ac:dyDescent="0.2">
      <c r="C279" s="106"/>
      <c r="D279" s="106"/>
      <c r="H279" s="106"/>
      <c r="J279" s="106"/>
      <c r="K279" s="106"/>
      <c r="O279" s="106"/>
    </row>
    <row r="280" spans="3:18" x14ac:dyDescent="0.2">
      <c r="C280" s="106"/>
      <c r="D280" s="106"/>
      <c r="H280" s="106"/>
      <c r="J280" s="106"/>
      <c r="K280" s="106"/>
      <c r="O280" s="106"/>
    </row>
    <row r="281" spans="3:18" x14ac:dyDescent="0.2">
      <c r="C281" s="106"/>
      <c r="D281" s="106"/>
      <c r="H281" s="106"/>
      <c r="J281" s="106"/>
      <c r="K281" s="106"/>
      <c r="O281" s="106"/>
      <c r="R281" s="15"/>
    </row>
    <row r="282" spans="3:18" x14ac:dyDescent="0.2">
      <c r="C282" s="106"/>
      <c r="D282" s="106"/>
      <c r="H282" s="106"/>
      <c r="J282" s="106"/>
      <c r="K282" s="106"/>
      <c r="O282" s="106"/>
    </row>
    <row r="283" spans="3:18" x14ac:dyDescent="0.2">
      <c r="C283" s="106"/>
      <c r="D283" s="106"/>
      <c r="H283" s="106"/>
      <c r="J283" s="106"/>
      <c r="K283" s="106"/>
      <c r="O283" s="106"/>
    </row>
    <row r="284" spans="3:18" x14ac:dyDescent="0.2">
      <c r="C284" s="106"/>
      <c r="D284" s="106"/>
      <c r="H284" s="106"/>
      <c r="J284" s="106"/>
      <c r="K284" s="106"/>
      <c r="O284" s="106"/>
    </row>
    <row r="285" spans="3:18" x14ac:dyDescent="0.2">
      <c r="C285" s="106"/>
      <c r="D285" s="106"/>
      <c r="H285" s="106"/>
      <c r="J285" s="106"/>
      <c r="K285" s="106"/>
      <c r="O285" s="106"/>
    </row>
    <row r="286" spans="3:18" x14ac:dyDescent="0.2">
      <c r="C286" s="106"/>
      <c r="D286" s="106"/>
      <c r="H286" s="106"/>
      <c r="J286" s="106"/>
      <c r="K286" s="106"/>
      <c r="O286" s="106"/>
    </row>
    <row r="287" spans="3:18" x14ac:dyDescent="0.2">
      <c r="C287" s="106"/>
      <c r="D287" s="106"/>
      <c r="H287" s="106"/>
      <c r="J287" s="106"/>
      <c r="K287" s="106"/>
      <c r="O287" s="106"/>
    </row>
    <row r="288" spans="3:18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84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261</v>
      </c>
      <c r="B1" s="106" t="s">
        <v>262</v>
      </c>
      <c r="C1" s="106" t="s">
        <v>263</v>
      </c>
      <c r="D1" s="106" t="s">
        <v>264</v>
      </c>
      <c r="E1" s="106" t="s">
        <v>265</v>
      </c>
      <c r="F1" s="106" t="s">
        <v>266</v>
      </c>
      <c r="G1" s="106" t="s">
        <v>267</v>
      </c>
      <c r="H1" s="106" t="s">
        <v>268</v>
      </c>
      <c r="I1" s="106" t="s">
        <v>269</v>
      </c>
    </row>
    <row r="2" spans="1:10" x14ac:dyDescent="0.2">
      <c r="A2" s="106" t="s">
        <v>333</v>
      </c>
      <c r="B2" s="106" t="s">
        <v>297</v>
      </c>
      <c r="C2" s="106" t="s">
        <v>280</v>
      </c>
      <c r="D2" s="106" t="s">
        <v>272</v>
      </c>
      <c r="E2" s="106">
        <v>7965</v>
      </c>
      <c r="F2" s="106" t="s">
        <v>710</v>
      </c>
      <c r="G2" s="106" t="s">
        <v>273</v>
      </c>
      <c r="H2" s="106" t="s">
        <v>298</v>
      </c>
      <c r="I2" s="106" t="s">
        <v>304</v>
      </c>
      <c r="J2" t="s">
        <v>2330</v>
      </c>
    </row>
    <row r="3" spans="1:10" x14ac:dyDescent="0.2">
      <c r="A3" s="106" t="s">
        <v>333</v>
      </c>
      <c r="B3" s="106" t="s">
        <v>270</v>
      </c>
      <c r="C3" s="106" t="s">
        <v>275</v>
      </c>
      <c r="D3" s="106" t="s">
        <v>272</v>
      </c>
      <c r="E3">
        <v>3035</v>
      </c>
      <c r="F3" s="106" t="s">
        <v>334</v>
      </c>
      <c r="G3" s="106" t="s">
        <v>277</v>
      </c>
      <c r="H3" s="106" t="s">
        <v>279</v>
      </c>
      <c r="I3">
        <v>24</v>
      </c>
    </row>
    <row r="4" spans="1:10" x14ac:dyDescent="0.2">
      <c r="A4" s="106" t="s">
        <v>333</v>
      </c>
      <c r="B4" s="106" t="s">
        <v>270</v>
      </c>
      <c r="C4" s="106" t="s">
        <v>271</v>
      </c>
      <c r="D4" s="106" t="s">
        <v>272</v>
      </c>
      <c r="E4">
        <v>7624</v>
      </c>
      <c r="F4" s="106" t="s">
        <v>335</v>
      </c>
      <c r="G4" s="106" t="s">
        <v>277</v>
      </c>
      <c r="H4" s="106" t="s">
        <v>279</v>
      </c>
      <c r="I4">
        <v>126</v>
      </c>
    </row>
    <row r="5" spans="1:10" x14ac:dyDescent="0.2">
      <c r="A5" s="106" t="s">
        <v>333</v>
      </c>
      <c r="B5" s="106" t="s">
        <v>270</v>
      </c>
      <c r="C5" s="106" t="s">
        <v>271</v>
      </c>
      <c r="D5" s="106" t="s">
        <v>272</v>
      </c>
      <c r="E5">
        <v>7630</v>
      </c>
      <c r="F5" s="106" t="s">
        <v>693</v>
      </c>
      <c r="G5" s="106" t="s">
        <v>273</v>
      </c>
      <c r="H5" s="106" t="s">
        <v>283</v>
      </c>
      <c r="I5" t="s">
        <v>304</v>
      </c>
      <c r="J5" t="s">
        <v>2331</v>
      </c>
    </row>
    <row r="6" spans="1:10" x14ac:dyDescent="0.2">
      <c r="A6" s="106" t="s">
        <v>333</v>
      </c>
      <c r="B6" s="106" t="s">
        <v>270</v>
      </c>
      <c r="C6" s="106" t="s">
        <v>271</v>
      </c>
      <c r="D6" s="106" t="s">
        <v>272</v>
      </c>
      <c r="E6">
        <v>8251</v>
      </c>
      <c r="F6" s="106" t="s">
        <v>1732</v>
      </c>
      <c r="G6" s="106" t="s">
        <v>273</v>
      </c>
      <c r="H6" s="106" t="s">
        <v>283</v>
      </c>
      <c r="I6" t="s">
        <v>304</v>
      </c>
      <c r="J6" t="s">
        <v>2332</v>
      </c>
    </row>
    <row r="7" spans="1:10" x14ac:dyDescent="0.2">
      <c r="A7" s="106" t="s">
        <v>336</v>
      </c>
      <c r="B7" s="106" t="s">
        <v>337</v>
      </c>
      <c r="C7" s="106" t="s">
        <v>282</v>
      </c>
      <c r="D7" s="106" t="s">
        <v>272</v>
      </c>
      <c r="E7">
        <v>3321</v>
      </c>
      <c r="F7" s="106" t="s">
        <v>1733</v>
      </c>
      <c r="G7" s="106" t="s">
        <v>273</v>
      </c>
      <c r="H7" s="106" t="s">
        <v>279</v>
      </c>
      <c r="I7" s="106">
        <v>60</v>
      </c>
      <c r="J7" s="106"/>
    </row>
    <row r="8" spans="1:10" x14ac:dyDescent="0.2">
      <c r="A8" s="106" t="s">
        <v>336</v>
      </c>
      <c r="B8" s="106" t="s">
        <v>337</v>
      </c>
      <c r="C8" s="106" t="s">
        <v>280</v>
      </c>
      <c r="D8" s="106" t="s">
        <v>272</v>
      </c>
      <c r="E8">
        <v>6664</v>
      </c>
      <c r="F8" s="106" t="s">
        <v>338</v>
      </c>
      <c r="G8" s="106" t="s">
        <v>277</v>
      </c>
      <c r="H8" s="106" t="s">
        <v>298</v>
      </c>
      <c r="I8" s="106">
        <v>42</v>
      </c>
      <c r="J8" s="106"/>
    </row>
    <row r="9" spans="1:10" x14ac:dyDescent="0.2">
      <c r="A9" s="106" t="s">
        <v>336</v>
      </c>
      <c r="B9" s="106" t="s">
        <v>337</v>
      </c>
      <c r="C9" s="106" t="s">
        <v>271</v>
      </c>
      <c r="D9" s="106" t="s">
        <v>276</v>
      </c>
      <c r="E9">
        <v>7611</v>
      </c>
      <c r="F9" s="106" t="s">
        <v>339</v>
      </c>
      <c r="G9" s="106" t="s">
        <v>273</v>
      </c>
      <c r="H9" s="106" t="s">
        <v>283</v>
      </c>
      <c r="I9" s="106">
        <v>812</v>
      </c>
      <c r="J9" s="106"/>
    </row>
    <row r="10" spans="1:10" x14ac:dyDescent="0.2">
      <c r="A10" s="106" t="s">
        <v>336</v>
      </c>
      <c r="B10" s="106" t="s">
        <v>270</v>
      </c>
      <c r="C10" s="106" t="s">
        <v>271</v>
      </c>
      <c r="D10" s="106" t="s">
        <v>272</v>
      </c>
      <c r="E10">
        <v>2354</v>
      </c>
      <c r="F10" s="106" t="s">
        <v>691</v>
      </c>
      <c r="G10" s="106" t="s">
        <v>281</v>
      </c>
      <c r="H10" s="106" t="s">
        <v>284</v>
      </c>
      <c r="I10" s="106">
        <v>111</v>
      </c>
      <c r="J10" s="106"/>
    </row>
    <row r="11" spans="1:10" x14ac:dyDescent="0.2">
      <c r="A11" s="106" t="s">
        <v>336</v>
      </c>
      <c r="B11" s="106" t="s">
        <v>270</v>
      </c>
      <c r="C11" s="106" t="s">
        <v>275</v>
      </c>
      <c r="D11" s="106" t="s">
        <v>272</v>
      </c>
      <c r="E11">
        <v>2484</v>
      </c>
      <c r="F11" s="106" t="s">
        <v>1734</v>
      </c>
      <c r="G11" s="106" t="s">
        <v>277</v>
      </c>
      <c r="H11" s="106" t="s">
        <v>284</v>
      </c>
      <c r="I11">
        <v>483</v>
      </c>
    </row>
    <row r="12" spans="1:10" x14ac:dyDescent="0.2">
      <c r="A12" s="106" t="s">
        <v>336</v>
      </c>
      <c r="B12" s="106" t="s">
        <v>270</v>
      </c>
      <c r="C12" s="106" t="s">
        <v>271</v>
      </c>
      <c r="D12" s="106" t="s">
        <v>272</v>
      </c>
      <c r="E12">
        <v>2778</v>
      </c>
      <c r="F12" s="106" t="s">
        <v>1735</v>
      </c>
      <c r="G12" s="106" t="s">
        <v>281</v>
      </c>
      <c r="H12" s="106" t="s">
        <v>283</v>
      </c>
      <c r="I12">
        <v>38</v>
      </c>
    </row>
    <row r="13" spans="1:10" x14ac:dyDescent="0.2">
      <c r="A13" s="106" t="s">
        <v>336</v>
      </c>
      <c r="B13" s="106" t="s">
        <v>270</v>
      </c>
      <c r="C13" s="106" t="s">
        <v>271</v>
      </c>
      <c r="D13" s="106" t="s">
        <v>272</v>
      </c>
      <c r="E13">
        <v>3086</v>
      </c>
      <c r="F13" s="106" t="s">
        <v>1736</v>
      </c>
      <c r="G13" s="106" t="s">
        <v>273</v>
      </c>
      <c r="H13" s="106" t="s">
        <v>283</v>
      </c>
      <c r="I13" s="106" t="s">
        <v>357</v>
      </c>
      <c r="J13" s="106" t="s">
        <v>2333</v>
      </c>
    </row>
    <row r="14" spans="1:10" x14ac:dyDescent="0.2">
      <c r="A14" s="106" t="s">
        <v>336</v>
      </c>
      <c r="B14" s="106" t="s">
        <v>270</v>
      </c>
      <c r="C14" s="106" t="s">
        <v>282</v>
      </c>
      <c r="D14" s="106" t="s">
        <v>272</v>
      </c>
      <c r="E14">
        <v>4465</v>
      </c>
      <c r="F14" s="106" t="s">
        <v>1737</v>
      </c>
      <c r="G14" s="106" t="s">
        <v>273</v>
      </c>
      <c r="H14" s="106" t="s">
        <v>286</v>
      </c>
      <c r="I14" s="106">
        <v>108</v>
      </c>
      <c r="J14" s="106"/>
    </row>
    <row r="15" spans="1:10" x14ac:dyDescent="0.2">
      <c r="A15" s="106" t="s">
        <v>336</v>
      </c>
      <c r="B15" s="106" t="s">
        <v>270</v>
      </c>
      <c r="C15" s="106" t="s">
        <v>282</v>
      </c>
      <c r="D15" s="106" t="s">
        <v>272</v>
      </c>
      <c r="E15">
        <v>4825</v>
      </c>
      <c r="F15" s="106" t="s">
        <v>1738</v>
      </c>
      <c r="G15" s="106" t="s">
        <v>273</v>
      </c>
      <c r="H15" s="106" t="s">
        <v>284</v>
      </c>
      <c r="I15">
        <v>404</v>
      </c>
    </row>
    <row r="16" spans="1:10" x14ac:dyDescent="0.2">
      <c r="A16" s="106" t="s">
        <v>336</v>
      </c>
      <c r="B16" s="106" t="s">
        <v>270</v>
      </c>
      <c r="C16" s="106" t="s">
        <v>271</v>
      </c>
      <c r="D16" s="106" t="s">
        <v>272</v>
      </c>
      <c r="E16">
        <v>6279</v>
      </c>
      <c r="F16" s="106" t="s">
        <v>340</v>
      </c>
      <c r="G16" s="106" t="s">
        <v>281</v>
      </c>
      <c r="H16" s="106" t="s">
        <v>294</v>
      </c>
      <c r="I16" s="106">
        <v>272</v>
      </c>
      <c r="J16" s="106"/>
    </row>
    <row r="17" spans="1:10" x14ac:dyDescent="0.2">
      <c r="A17" s="106" t="s">
        <v>336</v>
      </c>
      <c r="B17" s="106" t="s">
        <v>270</v>
      </c>
      <c r="C17" s="106" t="s">
        <v>275</v>
      </c>
      <c r="D17" s="106" t="s">
        <v>272</v>
      </c>
      <c r="E17">
        <v>7447</v>
      </c>
      <c r="F17" s="106" t="s">
        <v>1739</v>
      </c>
      <c r="G17" s="106" t="s">
        <v>273</v>
      </c>
      <c r="H17" s="106" t="s">
        <v>279</v>
      </c>
      <c r="I17" s="106">
        <v>984</v>
      </c>
      <c r="J17" s="106"/>
    </row>
    <row r="18" spans="1:10" x14ac:dyDescent="0.2">
      <c r="A18" s="106" t="s">
        <v>336</v>
      </c>
      <c r="B18" s="106" t="s">
        <v>270</v>
      </c>
      <c r="C18" s="106" t="s">
        <v>282</v>
      </c>
      <c r="D18" s="106" t="s">
        <v>272</v>
      </c>
      <c r="E18">
        <v>7921</v>
      </c>
      <c r="F18" s="106" t="s">
        <v>759</v>
      </c>
      <c r="G18" s="106" t="s">
        <v>273</v>
      </c>
      <c r="H18" s="106" t="s">
        <v>295</v>
      </c>
      <c r="I18">
        <v>228</v>
      </c>
    </row>
    <row r="19" spans="1:10" x14ac:dyDescent="0.2">
      <c r="A19" s="106" t="s">
        <v>336</v>
      </c>
      <c r="B19" s="106" t="s">
        <v>270</v>
      </c>
      <c r="C19" s="106" t="s">
        <v>282</v>
      </c>
      <c r="D19" s="106" t="s">
        <v>276</v>
      </c>
      <c r="E19">
        <v>8155</v>
      </c>
      <c r="F19" s="106" t="s">
        <v>694</v>
      </c>
      <c r="G19" s="106" t="s">
        <v>273</v>
      </c>
      <c r="H19" s="106" t="s">
        <v>288</v>
      </c>
      <c r="I19">
        <v>772</v>
      </c>
    </row>
    <row r="20" spans="1:10" x14ac:dyDescent="0.2">
      <c r="A20" s="106" t="s">
        <v>336</v>
      </c>
      <c r="B20" s="106" t="s">
        <v>270</v>
      </c>
      <c r="C20" s="106" t="s">
        <v>271</v>
      </c>
      <c r="D20" s="106" t="s">
        <v>272</v>
      </c>
      <c r="E20">
        <v>8217</v>
      </c>
      <c r="F20" s="106" t="s">
        <v>695</v>
      </c>
      <c r="G20" s="106" t="s">
        <v>273</v>
      </c>
      <c r="H20" s="106" t="s">
        <v>283</v>
      </c>
      <c r="I20">
        <v>650</v>
      </c>
    </row>
    <row r="21" spans="1:10" x14ac:dyDescent="0.2">
      <c r="A21" s="106" t="s">
        <v>336</v>
      </c>
      <c r="B21" s="106" t="s">
        <v>270</v>
      </c>
      <c r="C21" s="106" t="s">
        <v>271</v>
      </c>
      <c r="D21" s="106" t="s">
        <v>272</v>
      </c>
      <c r="E21">
        <v>8233</v>
      </c>
      <c r="F21" s="106" t="s">
        <v>1740</v>
      </c>
      <c r="G21" s="106" t="s">
        <v>273</v>
      </c>
      <c r="H21" s="106" t="s">
        <v>283</v>
      </c>
      <c r="I21" s="106" t="s">
        <v>296</v>
      </c>
      <c r="J21" s="106" t="s">
        <v>2334</v>
      </c>
    </row>
    <row r="22" spans="1:10" x14ac:dyDescent="0.2">
      <c r="A22" s="106" t="s">
        <v>336</v>
      </c>
      <c r="B22" s="106" t="s">
        <v>270</v>
      </c>
      <c r="C22" s="106" t="s">
        <v>271</v>
      </c>
      <c r="D22" s="106" t="s">
        <v>272</v>
      </c>
      <c r="E22">
        <v>8276</v>
      </c>
      <c r="F22" s="106" t="s">
        <v>1741</v>
      </c>
      <c r="G22" s="106" t="s">
        <v>273</v>
      </c>
      <c r="H22" s="106" t="s">
        <v>283</v>
      </c>
      <c r="I22" s="106" t="s">
        <v>304</v>
      </c>
      <c r="J22" s="106" t="s">
        <v>2335</v>
      </c>
    </row>
    <row r="23" spans="1:10" x14ac:dyDescent="0.2">
      <c r="A23" s="106" t="s">
        <v>336</v>
      </c>
      <c r="B23" s="106" t="s">
        <v>270</v>
      </c>
      <c r="C23" s="106" t="s">
        <v>271</v>
      </c>
      <c r="D23" s="106" t="s">
        <v>276</v>
      </c>
      <c r="E23">
        <v>9976</v>
      </c>
      <c r="F23" s="106" t="s">
        <v>1742</v>
      </c>
      <c r="G23" s="106" t="s">
        <v>277</v>
      </c>
      <c r="H23" s="106" t="s">
        <v>283</v>
      </c>
      <c r="I23">
        <v>73</v>
      </c>
    </row>
    <row r="24" spans="1:10" x14ac:dyDescent="0.2">
      <c r="A24" s="106" t="s">
        <v>336</v>
      </c>
      <c r="B24" s="106" t="s">
        <v>270</v>
      </c>
      <c r="C24" s="106" t="s">
        <v>271</v>
      </c>
      <c r="D24" s="106" t="s">
        <v>272</v>
      </c>
      <c r="E24">
        <v>9982</v>
      </c>
      <c r="F24" s="106" t="s">
        <v>342</v>
      </c>
      <c r="G24" s="106" t="s">
        <v>273</v>
      </c>
      <c r="H24" s="106" t="s">
        <v>279</v>
      </c>
      <c r="I24" s="106">
        <v>189</v>
      </c>
      <c r="J24" s="106"/>
    </row>
    <row r="25" spans="1:10" x14ac:dyDescent="0.2">
      <c r="A25" s="106" t="s">
        <v>343</v>
      </c>
      <c r="B25" s="106" t="s">
        <v>270</v>
      </c>
      <c r="C25" s="106" t="s">
        <v>271</v>
      </c>
      <c r="D25" s="106" t="s">
        <v>272</v>
      </c>
      <c r="E25">
        <v>2186</v>
      </c>
      <c r="F25" s="106" t="s">
        <v>344</v>
      </c>
      <c r="G25" s="106" t="s">
        <v>277</v>
      </c>
      <c r="H25" s="106" t="s">
        <v>278</v>
      </c>
      <c r="I25" s="106">
        <v>105</v>
      </c>
      <c r="J25" s="106"/>
    </row>
    <row r="26" spans="1:10" x14ac:dyDescent="0.2">
      <c r="A26" s="106" t="s">
        <v>343</v>
      </c>
      <c r="B26" s="106" t="s">
        <v>270</v>
      </c>
      <c r="C26" s="106" t="s">
        <v>271</v>
      </c>
      <c r="D26" s="106" t="s">
        <v>272</v>
      </c>
      <c r="E26">
        <v>2685</v>
      </c>
      <c r="F26" s="106" t="s">
        <v>345</v>
      </c>
      <c r="G26" s="106" t="s">
        <v>273</v>
      </c>
      <c r="H26" s="106" t="s">
        <v>283</v>
      </c>
      <c r="I26" s="106" t="s">
        <v>304</v>
      </c>
      <c r="J26" s="106" t="s">
        <v>2336</v>
      </c>
    </row>
    <row r="27" spans="1:10" x14ac:dyDescent="0.2">
      <c r="A27" s="106" t="s">
        <v>343</v>
      </c>
      <c r="B27" s="106" t="s">
        <v>270</v>
      </c>
      <c r="C27" s="106" t="s">
        <v>271</v>
      </c>
      <c r="D27" s="106" t="s">
        <v>276</v>
      </c>
      <c r="E27">
        <v>2742</v>
      </c>
      <c r="F27" s="106" t="s">
        <v>1743</v>
      </c>
      <c r="G27" s="106" t="s">
        <v>273</v>
      </c>
      <c r="H27" s="106" t="s">
        <v>283</v>
      </c>
      <c r="I27">
        <v>549</v>
      </c>
    </row>
    <row r="28" spans="1:10" x14ac:dyDescent="0.2">
      <c r="A28" s="106" t="s">
        <v>343</v>
      </c>
      <c r="B28" s="106" t="s">
        <v>270</v>
      </c>
      <c r="C28" s="106" t="s">
        <v>282</v>
      </c>
      <c r="D28" s="106" t="s">
        <v>272</v>
      </c>
      <c r="E28">
        <v>2761</v>
      </c>
      <c r="F28" s="106" t="s">
        <v>1744</v>
      </c>
      <c r="G28" s="106" t="s">
        <v>277</v>
      </c>
      <c r="H28" s="106" t="s">
        <v>279</v>
      </c>
      <c r="I28">
        <v>797</v>
      </c>
    </row>
    <row r="29" spans="1:10" x14ac:dyDescent="0.2">
      <c r="A29" s="106" t="s">
        <v>343</v>
      </c>
      <c r="B29" s="106" t="s">
        <v>270</v>
      </c>
      <c r="C29" s="106" t="s">
        <v>271</v>
      </c>
      <c r="D29" s="106" t="s">
        <v>272</v>
      </c>
      <c r="E29">
        <v>3050</v>
      </c>
      <c r="F29" s="106" t="s">
        <v>1745</v>
      </c>
      <c r="G29" s="106" t="s">
        <v>273</v>
      </c>
      <c r="H29" s="106" t="s">
        <v>283</v>
      </c>
      <c r="I29" s="106" t="s">
        <v>304</v>
      </c>
      <c r="J29" s="106" t="s">
        <v>2337</v>
      </c>
    </row>
    <row r="30" spans="1:10" x14ac:dyDescent="0.2">
      <c r="A30" s="106" t="s">
        <v>343</v>
      </c>
      <c r="B30" s="106" t="s">
        <v>270</v>
      </c>
      <c r="C30" s="106" t="s">
        <v>280</v>
      </c>
      <c r="D30" s="106" t="s">
        <v>272</v>
      </c>
      <c r="E30">
        <v>3089</v>
      </c>
      <c r="F30" s="106" t="s">
        <v>1746</v>
      </c>
      <c r="G30" s="106" t="s">
        <v>277</v>
      </c>
      <c r="H30" s="106" t="s">
        <v>279</v>
      </c>
      <c r="I30" s="106">
        <v>26</v>
      </c>
      <c r="J30" s="106"/>
    </row>
    <row r="31" spans="1:10" x14ac:dyDescent="0.2">
      <c r="A31" s="106" t="s">
        <v>343</v>
      </c>
      <c r="B31" s="106" t="s">
        <v>270</v>
      </c>
      <c r="C31" s="106" t="s">
        <v>271</v>
      </c>
      <c r="D31" s="106" t="s">
        <v>272</v>
      </c>
      <c r="E31">
        <v>3919</v>
      </c>
      <c r="F31" s="106" t="s">
        <v>346</v>
      </c>
      <c r="G31" s="106" t="s">
        <v>273</v>
      </c>
      <c r="H31" s="106" t="s">
        <v>284</v>
      </c>
      <c r="I31">
        <v>161</v>
      </c>
    </row>
    <row r="32" spans="1:10" x14ac:dyDescent="0.2">
      <c r="A32" s="106" t="s">
        <v>343</v>
      </c>
      <c r="B32" s="106" t="s">
        <v>270</v>
      </c>
      <c r="C32" s="106" t="s">
        <v>282</v>
      </c>
      <c r="D32" s="106" t="s">
        <v>272</v>
      </c>
      <c r="E32">
        <v>6083</v>
      </c>
      <c r="F32" s="106" t="s">
        <v>1747</v>
      </c>
      <c r="G32" s="106" t="s">
        <v>273</v>
      </c>
      <c r="H32" s="106" t="s">
        <v>278</v>
      </c>
      <c r="I32">
        <v>62</v>
      </c>
    </row>
    <row r="33" spans="1:10" x14ac:dyDescent="0.2">
      <c r="A33" s="106" t="s">
        <v>343</v>
      </c>
      <c r="B33" s="106" t="s">
        <v>270</v>
      </c>
      <c r="C33" s="106" t="s">
        <v>275</v>
      </c>
      <c r="D33" s="106" t="s">
        <v>272</v>
      </c>
      <c r="E33">
        <v>7514</v>
      </c>
      <c r="F33" s="106" t="s">
        <v>711</v>
      </c>
      <c r="G33" s="106" t="s">
        <v>273</v>
      </c>
      <c r="H33" s="106" t="s">
        <v>283</v>
      </c>
      <c r="I33" s="106">
        <v>104</v>
      </c>
      <c r="J33" s="106"/>
    </row>
    <row r="34" spans="1:10" x14ac:dyDescent="0.2">
      <c r="A34" s="106" t="s">
        <v>343</v>
      </c>
      <c r="B34" s="106" t="s">
        <v>270</v>
      </c>
      <c r="C34" s="106" t="s">
        <v>271</v>
      </c>
      <c r="D34" s="106" t="s">
        <v>276</v>
      </c>
      <c r="E34">
        <v>8166</v>
      </c>
      <c r="F34" s="106" t="s">
        <v>1748</v>
      </c>
      <c r="G34" s="106" t="s">
        <v>273</v>
      </c>
      <c r="H34" s="106" t="s">
        <v>283</v>
      </c>
      <c r="I34" s="106">
        <v>46</v>
      </c>
      <c r="J34" s="106"/>
    </row>
    <row r="35" spans="1:10" x14ac:dyDescent="0.2">
      <c r="A35" s="106" t="s">
        <v>343</v>
      </c>
      <c r="B35" s="106" t="s">
        <v>270</v>
      </c>
      <c r="C35" s="106" t="s">
        <v>271</v>
      </c>
      <c r="D35" s="106" t="s">
        <v>276</v>
      </c>
      <c r="E35">
        <v>8168</v>
      </c>
      <c r="F35" s="106" t="s">
        <v>1749</v>
      </c>
      <c r="G35" s="106" t="s">
        <v>273</v>
      </c>
      <c r="H35" s="106" t="s">
        <v>283</v>
      </c>
      <c r="I35">
        <v>358</v>
      </c>
    </row>
    <row r="36" spans="1:10" x14ac:dyDescent="0.2">
      <c r="A36" s="106" t="s">
        <v>343</v>
      </c>
      <c r="B36" s="106" t="s">
        <v>270</v>
      </c>
      <c r="C36" s="106" t="s">
        <v>282</v>
      </c>
      <c r="D36" s="106" t="s">
        <v>272</v>
      </c>
      <c r="E36">
        <v>9651</v>
      </c>
      <c r="F36" s="106" t="s">
        <v>347</v>
      </c>
      <c r="G36" s="106" t="s">
        <v>277</v>
      </c>
      <c r="H36" s="106" t="s">
        <v>284</v>
      </c>
      <c r="I36">
        <v>104</v>
      </c>
    </row>
    <row r="37" spans="1:10" x14ac:dyDescent="0.2">
      <c r="A37" s="106" t="s">
        <v>343</v>
      </c>
      <c r="B37" s="106" t="s">
        <v>270</v>
      </c>
      <c r="C37" s="106" t="s">
        <v>271</v>
      </c>
      <c r="D37" s="106" t="s">
        <v>272</v>
      </c>
      <c r="E37">
        <v>9843</v>
      </c>
      <c r="F37" s="106" t="s">
        <v>1750</v>
      </c>
      <c r="G37" s="106" t="s">
        <v>273</v>
      </c>
      <c r="H37" s="106" t="s">
        <v>283</v>
      </c>
      <c r="I37" s="106" t="s">
        <v>2166</v>
      </c>
      <c r="J37" s="106" t="s">
        <v>2338</v>
      </c>
    </row>
    <row r="38" spans="1:10" x14ac:dyDescent="0.2">
      <c r="A38" s="106" t="s">
        <v>343</v>
      </c>
      <c r="B38" s="106" t="s">
        <v>270</v>
      </c>
      <c r="C38" s="106" t="s">
        <v>280</v>
      </c>
      <c r="D38" s="106" t="s">
        <v>272</v>
      </c>
      <c r="E38">
        <v>9872</v>
      </c>
      <c r="F38" s="106" t="s">
        <v>1751</v>
      </c>
      <c r="G38" s="106" t="s">
        <v>273</v>
      </c>
      <c r="H38" s="106" t="s">
        <v>279</v>
      </c>
      <c r="I38">
        <v>97</v>
      </c>
    </row>
    <row r="39" spans="1:10" x14ac:dyDescent="0.2">
      <c r="A39" s="106" t="s">
        <v>348</v>
      </c>
      <c r="B39" s="106" t="s">
        <v>270</v>
      </c>
      <c r="C39" s="106" t="s">
        <v>282</v>
      </c>
      <c r="D39" s="106" t="s">
        <v>272</v>
      </c>
      <c r="E39">
        <v>1376</v>
      </c>
      <c r="F39" s="106" t="s">
        <v>1752</v>
      </c>
      <c r="G39" s="106" t="s">
        <v>273</v>
      </c>
      <c r="H39" s="106" t="s">
        <v>321</v>
      </c>
      <c r="I39">
        <v>175</v>
      </c>
    </row>
    <row r="40" spans="1:10" x14ac:dyDescent="0.2">
      <c r="A40" s="106" t="s">
        <v>348</v>
      </c>
      <c r="B40" s="106" t="s">
        <v>270</v>
      </c>
      <c r="C40" s="106" t="s">
        <v>271</v>
      </c>
      <c r="D40" s="106" t="s">
        <v>272</v>
      </c>
      <c r="E40">
        <v>1712</v>
      </c>
      <c r="F40" s="106" t="s">
        <v>349</v>
      </c>
      <c r="G40" s="106" t="s">
        <v>273</v>
      </c>
      <c r="H40" s="106" t="s">
        <v>300</v>
      </c>
      <c r="I40">
        <v>171</v>
      </c>
    </row>
    <row r="41" spans="1:10" x14ac:dyDescent="0.2">
      <c r="A41" s="106" t="s">
        <v>348</v>
      </c>
      <c r="B41" s="106" t="s">
        <v>270</v>
      </c>
      <c r="C41" s="106" t="s">
        <v>271</v>
      </c>
      <c r="D41" s="106" t="s">
        <v>272</v>
      </c>
      <c r="E41">
        <v>2305</v>
      </c>
      <c r="F41" s="106" t="s">
        <v>1753</v>
      </c>
      <c r="G41" s="106" t="s">
        <v>273</v>
      </c>
      <c r="H41" s="106" t="s">
        <v>278</v>
      </c>
      <c r="I41">
        <v>326</v>
      </c>
    </row>
    <row r="42" spans="1:10" x14ac:dyDescent="0.2">
      <c r="A42" s="106" t="s">
        <v>348</v>
      </c>
      <c r="B42" s="106" t="s">
        <v>270</v>
      </c>
      <c r="C42" s="106" t="s">
        <v>275</v>
      </c>
      <c r="D42" s="106" t="s">
        <v>276</v>
      </c>
      <c r="E42">
        <v>6264</v>
      </c>
      <c r="F42" s="106" t="s">
        <v>556</v>
      </c>
      <c r="G42" s="106" t="s">
        <v>273</v>
      </c>
      <c r="H42" s="106" t="s">
        <v>294</v>
      </c>
      <c r="I42">
        <v>125</v>
      </c>
    </row>
    <row r="43" spans="1:10" x14ac:dyDescent="0.2">
      <c r="A43" s="106" t="s">
        <v>348</v>
      </c>
      <c r="B43" s="106" t="s">
        <v>270</v>
      </c>
      <c r="C43" s="106" t="s">
        <v>271</v>
      </c>
      <c r="D43" s="106" t="s">
        <v>272</v>
      </c>
      <c r="E43">
        <v>9793</v>
      </c>
      <c r="F43" s="106" t="s">
        <v>350</v>
      </c>
      <c r="G43" s="106" t="s">
        <v>273</v>
      </c>
      <c r="H43" s="106" t="s">
        <v>278</v>
      </c>
      <c r="I43" t="s">
        <v>304</v>
      </c>
      <c r="J43" t="s">
        <v>2239</v>
      </c>
    </row>
    <row r="44" spans="1:10" x14ac:dyDescent="0.2">
      <c r="A44" s="106" t="s">
        <v>348</v>
      </c>
      <c r="B44" s="106" t="s">
        <v>270</v>
      </c>
      <c r="C44" s="106" t="s">
        <v>271</v>
      </c>
      <c r="D44" s="106" t="s">
        <v>276</v>
      </c>
      <c r="E44">
        <v>9977</v>
      </c>
      <c r="F44" s="106" t="s">
        <v>1754</v>
      </c>
      <c r="G44" s="106" t="s">
        <v>277</v>
      </c>
      <c r="H44" s="106" t="s">
        <v>283</v>
      </c>
      <c r="I44">
        <v>167</v>
      </c>
    </row>
    <row r="45" spans="1:10" x14ac:dyDescent="0.2">
      <c r="A45" s="106" t="s">
        <v>351</v>
      </c>
      <c r="B45" s="106" t="s">
        <v>337</v>
      </c>
      <c r="C45" s="106" t="s">
        <v>280</v>
      </c>
      <c r="D45" s="106" t="s">
        <v>272</v>
      </c>
      <c r="E45">
        <v>3186</v>
      </c>
      <c r="F45" s="106" t="s">
        <v>549</v>
      </c>
      <c r="G45" s="106" t="s">
        <v>273</v>
      </c>
      <c r="H45" s="106" t="s">
        <v>283</v>
      </c>
      <c r="I45" s="106">
        <v>962</v>
      </c>
      <c r="J45" s="106"/>
    </row>
    <row r="46" spans="1:10" x14ac:dyDescent="0.2">
      <c r="A46" s="106" t="s">
        <v>351</v>
      </c>
      <c r="B46" s="106" t="s">
        <v>270</v>
      </c>
      <c r="C46" s="106" t="s">
        <v>275</v>
      </c>
      <c r="D46" s="106" t="s">
        <v>276</v>
      </c>
      <c r="E46">
        <v>1997</v>
      </c>
      <c r="F46" s="106" t="s">
        <v>1755</v>
      </c>
      <c r="G46" s="106" t="s">
        <v>277</v>
      </c>
      <c r="H46" s="106" t="s">
        <v>300</v>
      </c>
      <c r="I46">
        <v>37</v>
      </c>
    </row>
    <row r="47" spans="1:10" x14ac:dyDescent="0.2">
      <c r="A47" s="106" t="s">
        <v>351</v>
      </c>
      <c r="B47" s="106" t="s">
        <v>270</v>
      </c>
      <c r="C47" s="106" t="s">
        <v>271</v>
      </c>
      <c r="D47" s="106" t="s">
        <v>272</v>
      </c>
      <c r="E47">
        <v>2659</v>
      </c>
      <c r="F47" s="106" t="s">
        <v>1756</v>
      </c>
      <c r="G47" s="106" t="s">
        <v>273</v>
      </c>
      <c r="H47" s="106" t="s">
        <v>283</v>
      </c>
      <c r="I47" t="s">
        <v>304</v>
      </c>
      <c r="J47" t="s">
        <v>2339</v>
      </c>
    </row>
    <row r="48" spans="1:10" x14ac:dyDescent="0.2">
      <c r="A48" s="106" t="s">
        <v>351</v>
      </c>
      <c r="B48" s="106" t="s">
        <v>270</v>
      </c>
      <c r="C48" s="106" t="s">
        <v>282</v>
      </c>
      <c r="D48" s="106" t="s">
        <v>272</v>
      </c>
      <c r="E48">
        <v>2792</v>
      </c>
      <c r="F48" s="106" t="s">
        <v>352</v>
      </c>
      <c r="G48" s="106" t="s">
        <v>273</v>
      </c>
      <c r="H48" s="106" t="s">
        <v>283</v>
      </c>
      <c r="I48">
        <v>476</v>
      </c>
    </row>
    <row r="49" spans="1:10" x14ac:dyDescent="0.2">
      <c r="A49" s="106" t="s">
        <v>351</v>
      </c>
      <c r="B49" s="106" t="s">
        <v>270</v>
      </c>
      <c r="C49" s="106" t="s">
        <v>271</v>
      </c>
      <c r="D49" s="106" t="s">
        <v>272</v>
      </c>
      <c r="E49">
        <v>3222</v>
      </c>
      <c r="F49" s="106" t="s">
        <v>2340</v>
      </c>
      <c r="G49" s="106" t="s">
        <v>273</v>
      </c>
      <c r="H49" s="106" t="s">
        <v>283</v>
      </c>
      <c r="I49" t="s">
        <v>304</v>
      </c>
      <c r="J49" t="s">
        <v>2341</v>
      </c>
    </row>
    <row r="50" spans="1:10" x14ac:dyDescent="0.2">
      <c r="A50" s="106" t="s">
        <v>351</v>
      </c>
      <c r="B50" s="106" t="s">
        <v>270</v>
      </c>
      <c r="C50" s="106" t="s">
        <v>280</v>
      </c>
      <c r="D50" s="106" t="s">
        <v>272</v>
      </c>
      <c r="E50">
        <v>3244</v>
      </c>
      <c r="F50" s="106" t="s">
        <v>1757</v>
      </c>
      <c r="G50" s="106" t="s">
        <v>273</v>
      </c>
      <c r="H50" s="106" t="s">
        <v>299</v>
      </c>
      <c r="I50" s="106">
        <v>936</v>
      </c>
      <c r="J50" s="106"/>
    </row>
    <row r="51" spans="1:10" x14ac:dyDescent="0.2">
      <c r="A51" s="106" t="s">
        <v>351</v>
      </c>
      <c r="B51" s="106" t="s">
        <v>270</v>
      </c>
      <c r="C51" s="106" t="s">
        <v>282</v>
      </c>
      <c r="D51" s="106" t="s">
        <v>272</v>
      </c>
      <c r="E51">
        <v>4735</v>
      </c>
      <c r="F51" s="106" t="s">
        <v>1758</v>
      </c>
      <c r="G51" s="106" t="s">
        <v>281</v>
      </c>
      <c r="H51" s="106" t="s">
        <v>278</v>
      </c>
      <c r="I51" s="106">
        <v>77</v>
      </c>
      <c r="J51" s="106"/>
    </row>
    <row r="52" spans="1:10" x14ac:dyDescent="0.2">
      <c r="A52" s="106" t="s">
        <v>351</v>
      </c>
      <c r="B52" s="106" t="s">
        <v>270</v>
      </c>
      <c r="C52" s="106" t="s">
        <v>282</v>
      </c>
      <c r="D52" s="106" t="s">
        <v>276</v>
      </c>
      <c r="E52">
        <v>7673</v>
      </c>
      <c r="F52" s="106" t="s">
        <v>583</v>
      </c>
      <c r="G52" s="106" t="s">
        <v>281</v>
      </c>
      <c r="H52" s="106" t="s">
        <v>279</v>
      </c>
      <c r="I52">
        <v>93</v>
      </c>
    </row>
    <row r="53" spans="1:10" x14ac:dyDescent="0.2">
      <c r="A53" s="106" t="s">
        <v>351</v>
      </c>
      <c r="B53" s="106" t="s">
        <v>270</v>
      </c>
      <c r="C53" s="106" t="s">
        <v>271</v>
      </c>
      <c r="D53" s="106" t="s">
        <v>272</v>
      </c>
      <c r="E53">
        <v>7679</v>
      </c>
      <c r="F53" s="106" t="s">
        <v>1759</v>
      </c>
      <c r="G53" s="106" t="s">
        <v>273</v>
      </c>
      <c r="H53" s="106" t="s">
        <v>283</v>
      </c>
      <c r="I53">
        <v>480</v>
      </c>
    </row>
    <row r="54" spans="1:10" x14ac:dyDescent="0.2">
      <c r="A54" s="106" t="s">
        <v>351</v>
      </c>
      <c r="B54" s="106" t="s">
        <v>270</v>
      </c>
      <c r="C54" s="106" t="s">
        <v>271</v>
      </c>
      <c r="D54" s="106" t="s">
        <v>272</v>
      </c>
      <c r="E54">
        <v>8008</v>
      </c>
      <c r="F54" s="106" t="s">
        <v>558</v>
      </c>
      <c r="G54" s="106" t="s">
        <v>273</v>
      </c>
      <c r="H54" s="106" t="s">
        <v>283</v>
      </c>
      <c r="I54">
        <v>625</v>
      </c>
    </row>
    <row r="55" spans="1:10" x14ac:dyDescent="0.2">
      <c r="A55" s="106" t="s">
        <v>351</v>
      </c>
      <c r="B55" s="106" t="s">
        <v>270</v>
      </c>
      <c r="C55" s="106" t="s">
        <v>271</v>
      </c>
      <c r="D55" s="106" t="s">
        <v>272</v>
      </c>
      <c r="E55">
        <v>8125</v>
      </c>
      <c r="F55" s="106" t="s">
        <v>559</v>
      </c>
      <c r="G55" s="106" t="s">
        <v>273</v>
      </c>
      <c r="H55" s="106" t="s">
        <v>279</v>
      </c>
      <c r="I55" s="106">
        <v>585</v>
      </c>
      <c r="J55" s="106"/>
    </row>
    <row r="56" spans="1:10" x14ac:dyDescent="0.2">
      <c r="A56" s="106" t="s">
        <v>351</v>
      </c>
      <c r="B56" s="106" t="s">
        <v>270</v>
      </c>
      <c r="C56" s="106" t="s">
        <v>271</v>
      </c>
      <c r="D56" s="106" t="s">
        <v>276</v>
      </c>
      <c r="E56">
        <v>8931</v>
      </c>
      <c r="F56" s="106" t="s">
        <v>1760</v>
      </c>
      <c r="G56" s="106" t="s">
        <v>277</v>
      </c>
      <c r="H56" s="106" t="s">
        <v>299</v>
      </c>
      <c r="I56">
        <v>92</v>
      </c>
    </row>
    <row r="57" spans="1:10" x14ac:dyDescent="0.2">
      <c r="A57" s="106" t="s">
        <v>351</v>
      </c>
      <c r="B57" s="106" t="s">
        <v>270</v>
      </c>
      <c r="C57" s="106" t="s">
        <v>271</v>
      </c>
      <c r="D57" s="106" t="s">
        <v>272</v>
      </c>
      <c r="E57">
        <v>9974</v>
      </c>
      <c r="F57" s="106" t="s">
        <v>1761</v>
      </c>
      <c r="G57" s="106" t="s">
        <v>273</v>
      </c>
      <c r="H57" s="106" t="s">
        <v>283</v>
      </c>
      <c r="I57" t="s">
        <v>304</v>
      </c>
      <c r="J57" t="s">
        <v>2255</v>
      </c>
    </row>
    <row r="58" spans="1:10" x14ac:dyDescent="0.2">
      <c r="A58" s="106" t="s">
        <v>353</v>
      </c>
      <c r="B58" s="106" t="s">
        <v>270</v>
      </c>
      <c r="C58" s="106" t="s">
        <v>271</v>
      </c>
      <c r="D58" s="106" t="s">
        <v>272</v>
      </c>
      <c r="E58">
        <v>2178</v>
      </c>
      <c r="F58" s="106" t="s">
        <v>1762</v>
      </c>
      <c r="G58" s="106" t="s">
        <v>285</v>
      </c>
      <c r="H58" s="106" t="s">
        <v>278</v>
      </c>
      <c r="I58">
        <v>92</v>
      </c>
    </row>
    <row r="59" spans="1:10" x14ac:dyDescent="0.2">
      <c r="A59" s="106" t="s">
        <v>353</v>
      </c>
      <c r="B59" s="106" t="s">
        <v>270</v>
      </c>
      <c r="C59" s="106" t="s">
        <v>271</v>
      </c>
      <c r="D59" s="106" t="s">
        <v>272</v>
      </c>
      <c r="E59">
        <v>2670</v>
      </c>
      <c r="F59" s="106" t="s">
        <v>1763</v>
      </c>
      <c r="G59" s="106" t="s">
        <v>273</v>
      </c>
      <c r="H59" s="106" t="s">
        <v>283</v>
      </c>
      <c r="I59" t="s">
        <v>332</v>
      </c>
      <c r="J59" t="s">
        <v>2250</v>
      </c>
    </row>
    <row r="60" spans="1:10" x14ac:dyDescent="0.2">
      <c r="A60" s="106" t="s">
        <v>353</v>
      </c>
      <c r="B60" s="106" t="s">
        <v>270</v>
      </c>
      <c r="C60" s="106" t="s">
        <v>271</v>
      </c>
      <c r="D60" s="106" t="s">
        <v>272</v>
      </c>
      <c r="E60">
        <v>3141</v>
      </c>
      <c r="F60" s="106" t="s">
        <v>1764</v>
      </c>
      <c r="G60" s="106" t="s">
        <v>273</v>
      </c>
      <c r="H60" s="106" t="s">
        <v>283</v>
      </c>
      <c r="I60" t="s">
        <v>588</v>
      </c>
      <c r="J60" t="s">
        <v>2342</v>
      </c>
    </row>
    <row r="61" spans="1:10" x14ac:dyDescent="0.2">
      <c r="A61" s="106" t="s">
        <v>353</v>
      </c>
      <c r="B61" s="106" t="s">
        <v>270</v>
      </c>
      <c r="C61" s="106" t="s">
        <v>271</v>
      </c>
      <c r="D61" s="106" t="s">
        <v>272</v>
      </c>
      <c r="E61">
        <v>3550</v>
      </c>
      <c r="F61" s="106" t="s">
        <v>1765</v>
      </c>
      <c r="G61" s="106" t="s">
        <v>285</v>
      </c>
      <c r="H61" s="106" t="s">
        <v>283</v>
      </c>
      <c r="I61">
        <v>94</v>
      </c>
    </row>
    <row r="62" spans="1:10" x14ac:dyDescent="0.2">
      <c r="A62" s="106" t="s">
        <v>353</v>
      </c>
      <c r="B62" s="106" t="s">
        <v>270</v>
      </c>
      <c r="C62" s="106" t="s">
        <v>271</v>
      </c>
      <c r="D62" s="106" t="s">
        <v>272</v>
      </c>
      <c r="E62">
        <v>4714</v>
      </c>
      <c r="F62" s="106" t="s">
        <v>354</v>
      </c>
      <c r="G62" s="106" t="s">
        <v>273</v>
      </c>
      <c r="H62" s="106" t="s">
        <v>278</v>
      </c>
      <c r="I62">
        <v>595</v>
      </c>
    </row>
    <row r="63" spans="1:10" x14ac:dyDescent="0.2">
      <c r="A63" s="106" t="s">
        <v>353</v>
      </c>
      <c r="B63" s="106" t="s">
        <v>270</v>
      </c>
      <c r="C63" s="106" t="s">
        <v>271</v>
      </c>
      <c r="D63" s="106" t="s">
        <v>272</v>
      </c>
      <c r="E63">
        <v>6183</v>
      </c>
      <c r="F63" s="106" t="s">
        <v>1766</v>
      </c>
      <c r="G63" s="106" t="s">
        <v>273</v>
      </c>
      <c r="H63" s="106" t="s">
        <v>278</v>
      </c>
      <c r="I63" t="s">
        <v>304</v>
      </c>
      <c r="J63" t="s">
        <v>2343</v>
      </c>
    </row>
    <row r="64" spans="1:10" x14ac:dyDescent="0.2">
      <c r="A64" s="106" t="s">
        <v>353</v>
      </c>
      <c r="B64" s="106" t="s">
        <v>270</v>
      </c>
      <c r="C64" s="106" t="s">
        <v>271</v>
      </c>
      <c r="D64" s="106" t="s">
        <v>276</v>
      </c>
      <c r="E64">
        <v>6469</v>
      </c>
      <c r="F64" s="106" t="s">
        <v>1767</v>
      </c>
      <c r="G64" s="106" t="s">
        <v>277</v>
      </c>
      <c r="H64" s="106" t="s">
        <v>294</v>
      </c>
      <c r="I64" s="106">
        <v>69</v>
      </c>
      <c r="J64" s="106"/>
    </row>
    <row r="65" spans="1:10" x14ac:dyDescent="0.2">
      <c r="A65" s="106" t="s">
        <v>353</v>
      </c>
      <c r="B65" s="106" t="s">
        <v>270</v>
      </c>
      <c r="C65" s="106" t="s">
        <v>282</v>
      </c>
      <c r="D65" s="106" t="s">
        <v>276</v>
      </c>
      <c r="E65">
        <v>6552</v>
      </c>
      <c r="F65" s="106" t="s">
        <v>1768</v>
      </c>
      <c r="G65" s="106" t="s">
        <v>273</v>
      </c>
      <c r="H65" s="106" t="s">
        <v>278</v>
      </c>
      <c r="I65">
        <v>137</v>
      </c>
    </row>
    <row r="66" spans="1:10" x14ac:dyDescent="0.2">
      <c r="A66" s="106" t="s">
        <v>353</v>
      </c>
      <c r="B66" s="106" t="s">
        <v>270</v>
      </c>
      <c r="C66" s="106" t="s">
        <v>275</v>
      </c>
      <c r="D66" s="106" t="s">
        <v>272</v>
      </c>
      <c r="E66">
        <v>7581</v>
      </c>
      <c r="F66" s="106" t="s">
        <v>1769</v>
      </c>
      <c r="G66" s="106" t="s">
        <v>273</v>
      </c>
      <c r="H66" s="106" t="s">
        <v>283</v>
      </c>
      <c r="I66" s="106" t="s">
        <v>304</v>
      </c>
      <c r="J66" s="106" t="s">
        <v>2344</v>
      </c>
    </row>
    <row r="67" spans="1:10" x14ac:dyDescent="0.2">
      <c r="A67" s="106" t="s">
        <v>353</v>
      </c>
      <c r="B67" s="106" t="s">
        <v>270</v>
      </c>
      <c r="C67" s="106" t="s">
        <v>271</v>
      </c>
      <c r="D67" s="106" t="s">
        <v>272</v>
      </c>
      <c r="E67">
        <v>8278</v>
      </c>
      <c r="F67" s="106" t="s">
        <v>1770</v>
      </c>
      <c r="G67" s="106" t="s">
        <v>273</v>
      </c>
      <c r="H67" s="106" t="s">
        <v>283</v>
      </c>
      <c r="I67" s="106">
        <v>751</v>
      </c>
      <c r="J67" s="106"/>
    </row>
    <row r="68" spans="1:10" x14ac:dyDescent="0.2">
      <c r="A68" s="106" t="s">
        <v>353</v>
      </c>
      <c r="B68" s="106" t="s">
        <v>270</v>
      </c>
      <c r="C68" s="106" t="s">
        <v>282</v>
      </c>
      <c r="D68" s="106" t="s">
        <v>272</v>
      </c>
      <c r="E68">
        <v>9265</v>
      </c>
      <c r="F68" s="106" t="s">
        <v>1771</v>
      </c>
      <c r="G68" s="106" t="s">
        <v>273</v>
      </c>
      <c r="H68" s="106" t="s">
        <v>279</v>
      </c>
      <c r="I68">
        <v>39</v>
      </c>
    </row>
    <row r="69" spans="1:10" x14ac:dyDescent="0.2">
      <c r="A69" s="106" t="s">
        <v>353</v>
      </c>
      <c r="B69" s="106" t="s">
        <v>270</v>
      </c>
      <c r="C69" s="106" t="s">
        <v>275</v>
      </c>
      <c r="D69" s="106" t="s">
        <v>272</v>
      </c>
      <c r="E69">
        <v>9414</v>
      </c>
      <c r="F69" s="106" t="s">
        <v>1772</v>
      </c>
      <c r="G69" s="106" t="s">
        <v>273</v>
      </c>
      <c r="H69" s="106" t="s">
        <v>284</v>
      </c>
      <c r="I69" s="106">
        <v>205</v>
      </c>
      <c r="J69" s="106"/>
    </row>
    <row r="70" spans="1:10" x14ac:dyDescent="0.2">
      <c r="A70" s="106" t="s">
        <v>353</v>
      </c>
      <c r="B70" s="106" t="s">
        <v>270</v>
      </c>
      <c r="C70" s="106" t="s">
        <v>271</v>
      </c>
      <c r="D70" s="106" t="s">
        <v>272</v>
      </c>
      <c r="E70">
        <v>9846</v>
      </c>
      <c r="F70" s="106" t="s">
        <v>1773</v>
      </c>
      <c r="G70" s="106" t="s">
        <v>281</v>
      </c>
      <c r="H70" s="106" t="s">
        <v>283</v>
      </c>
      <c r="I70" s="106">
        <v>140</v>
      </c>
      <c r="J70" s="106"/>
    </row>
    <row r="71" spans="1:10" x14ac:dyDescent="0.2">
      <c r="A71" s="106" t="s">
        <v>353</v>
      </c>
      <c r="B71" s="106" t="s">
        <v>270</v>
      </c>
      <c r="C71" s="106" t="s">
        <v>271</v>
      </c>
      <c r="D71" s="106" t="s">
        <v>272</v>
      </c>
      <c r="E71">
        <v>9993</v>
      </c>
      <c r="F71" s="106" t="s">
        <v>1774</v>
      </c>
      <c r="G71" s="106" t="s">
        <v>273</v>
      </c>
      <c r="H71" s="106" t="s">
        <v>283</v>
      </c>
      <c r="I71">
        <v>186</v>
      </c>
    </row>
    <row r="72" spans="1:10" x14ac:dyDescent="0.2">
      <c r="A72" s="106" t="s">
        <v>355</v>
      </c>
      <c r="B72" s="106" t="s">
        <v>337</v>
      </c>
      <c r="C72" s="106" t="s">
        <v>282</v>
      </c>
      <c r="D72" s="106" t="s">
        <v>276</v>
      </c>
      <c r="E72">
        <v>4430</v>
      </c>
      <c r="F72" s="106" t="s">
        <v>554</v>
      </c>
      <c r="G72" s="106" t="s">
        <v>281</v>
      </c>
      <c r="H72" s="106" t="s">
        <v>284</v>
      </c>
      <c r="I72">
        <v>52</v>
      </c>
    </row>
    <row r="73" spans="1:10" x14ac:dyDescent="0.2">
      <c r="A73" s="106" t="s">
        <v>355</v>
      </c>
      <c r="B73" s="106" t="s">
        <v>270</v>
      </c>
      <c r="C73" s="106" t="s">
        <v>282</v>
      </c>
      <c r="D73" s="106" t="s">
        <v>272</v>
      </c>
      <c r="E73">
        <v>1377</v>
      </c>
      <c r="F73" s="106" t="s">
        <v>561</v>
      </c>
      <c r="G73" s="106" t="s">
        <v>273</v>
      </c>
      <c r="H73" s="106" t="s">
        <v>321</v>
      </c>
      <c r="I73" s="106" t="s">
        <v>304</v>
      </c>
      <c r="J73" s="106" t="s">
        <v>2331</v>
      </c>
    </row>
    <row r="74" spans="1:10" x14ac:dyDescent="0.2">
      <c r="A74" s="106" t="s">
        <v>355</v>
      </c>
      <c r="B74" s="106" t="s">
        <v>270</v>
      </c>
      <c r="C74" s="106" t="s">
        <v>282</v>
      </c>
      <c r="D74" s="106" t="s">
        <v>276</v>
      </c>
      <c r="E74">
        <v>2303</v>
      </c>
      <c r="F74" s="106" t="s">
        <v>564</v>
      </c>
      <c r="G74" s="106" t="s">
        <v>277</v>
      </c>
      <c r="H74" s="106" t="s">
        <v>284</v>
      </c>
      <c r="I74" s="106">
        <v>53</v>
      </c>
      <c r="J74" s="106"/>
    </row>
    <row r="75" spans="1:10" x14ac:dyDescent="0.2">
      <c r="A75" s="106" t="s">
        <v>355</v>
      </c>
      <c r="B75" s="106" t="s">
        <v>270</v>
      </c>
      <c r="C75" s="106" t="s">
        <v>271</v>
      </c>
      <c r="D75" s="106" t="s">
        <v>272</v>
      </c>
      <c r="E75">
        <v>2341</v>
      </c>
      <c r="F75" s="106" t="s">
        <v>1775</v>
      </c>
      <c r="G75" s="106" t="s">
        <v>277</v>
      </c>
      <c r="H75" s="106" t="s">
        <v>278</v>
      </c>
      <c r="I75" s="106">
        <v>63</v>
      </c>
      <c r="J75" s="106"/>
    </row>
    <row r="76" spans="1:10" x14ac:dyDescent="0.2">
      <c r="A76" s="106" t="s">
        <v>355</v>
      </c>
      <c r="B76" s="106" t="s">
        <v>270</v>
      </c>
      <c r="C76" s="106" t="s">
        <v>282</v>
      </c>
      <c r="D76" s="106" t="s">
        <v>272</v>
      </c>
      <c r="E76">
        <v>2462</v>
      </c>
      <c r="F76" s="106" t="s">
        <v>565</v>
      </c>
      <c r="G76" s="106" t="s">
        <v>273</v>
      </c>
      <c r="H76" s="106" t="s">
        <v>278</v>
      </c>
      <c r="I76">
        <v>319</v>
      </c>
    </row>
    <row r="77" spans="1:10" x14ac:dyDescent="0.2">
      <c r="A77" s="106" t="s">
        <v>355</v>
      </c>
      <c r="B77" s="106" t="s">
        <v>270</v>
      </c>
      <c r="C77" s="106" t="s">
        <v>282</v>
      </c>
      <c r="D77" s="106" t="s">
        <v>272</v>
      </c>
      <c r="E77">
        <v>2791</v>
      </c>
      <c r="F77" s="106" t="s">
        <v>1776</v>
      </c>
      <c r="G77" s="106" t="s">
        <v>273</v>
      </c>
      <c r="H77" s="106" t="s">
        <v>283</v>
      </c>
      <c r="I77">
        <v>462</v>
      </c>
    </row>
    <row r="78" spans="1:10" x14ac:dyDescent="0.2">
      <c r="A78" s="106" t="s">
        <v>355</v>
      </c>
      <c r="B78" s="106" t="s">
        <v>270</v>
      </c>
      <c r="C78" s="106" t="s">
        <v>280</v>
      </c>
      <c r="D78" s="106" t="s">
        <v>272</v>
      </c>
      <c r="E78">
        <v>2809</v>
      </c>
      <c r="F78" s="106" t="s">
        <v>356</v>
      </c>
      <c r="G78" s="106" t="s">
        <v>273</v>
      </c>
      <c r="H78" s="106" t="s">
        <v>274</v>
      </c>
      <c r="I78" t="s">
        <v>357</v>
      </c>
      <c r="J78" t="s">
        <v>2345</v>
      </c>
    </row>
    <row r="79" spans="1:10" x14ac:dyDescent="0.2">
      <c r="A79" s="106" t="s">
        <v>355</v>
      </c>
      <c r="B79" s="106" t="s">
        <v>270</v>
      </c>
      <c r="C79" s="106" t="s">
        <v>280</v>
      </c>
      <c r="D79" s="106" t="s">
        <v>272</v>
      </c>
      <c r="E79">
        <v>2830</v>
      </c>
      <c r="F79" s="106" t="s">
        <v>1777</v>
      </c>
      <c r="G79" s="106" t="s">
        <v>281</v>
      </c>
      <c r="H79" s="106" t="s">
        <v>274</v>
      </c>
      <c r="I79">
        <v>190</v>
      </c>
    </row>
    <row r="80" spans="1:10" x14ac:dyDescent="0.2">
      <c r="A80" s="106" t="s">
        <v>355</v>
      </c>
      <c r="B80" s="106" t="s">
        <v>270</v>
      </c>
      <c r="C80" s="106" t="s">
        <v>271</v>
      </c>
      <c r="D80" s="106" t="s">
        <v>272</v>
      </c>
      <c r="E80">
        <v>2918</v>
      </c>
      <c r="F80" s="106" t="s">
        <v>1778</v>
      </c>
      <c r="G80" s="106" t="s">
        <v>273</v>
      </c>
      <c r="H80" s="106" t="s">
        <v>274</v>
      </c>
      <c r="I80" s="106">
        <v>306</v>
      </c>
      <c r="J80" s="106"/>
    </row>
    <row r="81" spans="1:10" x14ac:dyDescent="0.2">
      <c r="A81" s="106" t="s">
        <v>355</v>
      </c>
      <c r="B81" s="106" t="s">
        <v>270</v>
      </c>
      <c r="C81" s="106" t="s">
        <v>275</v>
      </c>
      <c r="D81" s="106" t="s">
        <v>272</v>
      </c>
      <c r="E81">
        <v>2927</v>
      </c>
      <c r="F81" s="106" t="s">
        <v>358</v>
      </c>
      <c r="G81" s="106" t="s">
        <v>277</v>
      </c>
      <c r="H81" s="106" t="s">
        <v>274</v>
      </c>
      <c r="I81">
        <v>94</v>
      </c>
    </row>
    <row r="82" spans="1:10" x14ac:dyDescent="0.2">
      <c r="A82" s="106" t="s">
        <v>355</v>
      </c>
      <c r="B82" s="106" t="s">
        <v>270</v>
      </c>
      <c r="C82" s="106" t="s">
        <v>271</v>
      </c>
      <c r="D82" s="106" t="s">
        <v>276</v>
      </c>
      <c r="E82">
        <v>3083</v>
      </c>
      <c r="F82" s="106" t="s">
        <v>1779</v>
      </c>
      <c r="G82" s="106" t="s">
        <v>277</v>
      </c>
      <c r="H82" s="106" t="s">
        <v>283</v>
      </c>
      <c r="I82">
        <v>14</v>
      </c>
    </row>
    <row r="83" spans="1:10" x14ac:dyDescent="0.2">
      <c r="A83" s="106" t="s">
        <v>355</v>
      </c>
      <c r="B83" s="106" t="s">
        <v>270</v>
      </c>
      <c r="C83" s="106" t="s">
        <v>275</v>
      </c>
      <c r="D83" s="106" t="s">
        <v>272</v>
      </c>
      <c r="E83">
        <v>3376</v>
      </c>
      <c r="F83" s="106" t="s">
        <v>1780</v>
      </c>
      <c r="G83" s="106" t="s">
        <v>273</v>
      </c>
      <c r="H83" s="106" t="s">
        <v>283</v>
      </c>
      <c r="I83">
        <v>48</v>
      </c>
    </row>
    <row r="84" spans="1:10" x14ac:dyDescent="0.2">
      <c r="A84" s="106" t="s">
        <v>355</v>
      </c>
      <c r="B84" s="106" t="s">
        <v>270</v>
      </c>
      <c r="C84" s="106" t="s">
        <v>271</v>
      </c>
      <c r="D84" s="106" t="s">
        <v>272</v>
      </c>
      <c r="E84">
        <v>3382</v>
      </c>
      <c r="F84" s="106" t="s">
        <v>551</v>
      </c>
      <c r="G84" s="106" t="s">
        <v>273</v>
      </c>
      <c r="H84" s="106" t="s">
        <v>283</v>
      </c>
      <c r="I84" t="s">
        <v>2167</v>
      </c>
      <c r="J84" t="s">
        <v>2346</v>
      </c>
    </row>
    <row r="85" spans="1:10" x14ac:dyDescent="0.2">
      <c r="A85" s="106" t="s">
        <v>355</v>
      </c>
      <c r="B85" s="106" t="s">
        <v>270</v>
      </c>
      <c r="C85" s="106" t="s">
        <v>271</v>
      </c>
      <c r="D85" s="106" t="s">
        <v>272</v>
      </c>
      <c r="E85">
        <v>3396</v>
      </c>
      <c r="F85" s="106" t="s">
        <v>359</v>
      </c>
      <c r="G85" s="106" t="s">
        <v>273</v>
      </c>
      <c r="H85" s="106" t="s">
        <v>283</v>
      </c>
      <c r="I85" s="106">
        <v>105</v>
      </c>
      <c r="J85" s="106"/>
    </row>
    <row r="86" spans="1:10" x14ac:dyDescent="0.2">
      <c r="A86" s="106" t="s">
        <v>355</v>
      </c>
      <c r="B86" s="106" t="s">
        <v>270</v>
      </c>
      <c r="C86" s="106" t="s">
        <v>275</v>
      </c>
      <c r="D86" s="106" t="s">
        <v>272</v>
      </c>
      <c r="E86">
        <v>3697</v>
      </c>
      <c r="F86" s="106" t="s">
        <v>1781</v>
      </c>
      <c r="G86" s="106" t="s">
        <v>273</v>
      </c>
      <c r="H86" s="106" t="s">
        <v>284</v>
      </c>
      <c r="I86" t="s">
        <v>304</v>
      </c>
      <c r="J86" t="s">
        <v>2347</v>
      </c>
    </row>
    <row r="87" spans="1:10" x14ac:dyDescent="0.2">
      <c r="A87" s="106" t="s">
        <v>355</v>
      </c>
      <c r="B87" s="106" t="s">
        <v>270</v>
      </c>
      <c r="C87" s="106" t="s">
        <v>280</v>
      </c>
      <c r="D87" s="106" t="s">
        <v>272</v>
      </c>
      <c r="E87">
        <v>4187</v>
      </c>
      <c r="F87" s="106" t="s">
        <v>1782</v>
      </c>
      <c r="G87" s="106" t="s">
        <v>273</v>
      </c>
      <c r="H87" s="106" t="s">
        <v>286</v>
      </c>
      <c r="I87">
        <v>337</v>
      </c>
    </row>
    <row r="88" spans="1:10" x14ac:dyDescent="0.2">
      <c r="A88" s="106" t="s">
        <v>355</v>
      </c>
      <c r="B88" s="106" t="s">
        <v>270</v>
      </c>
      <c r="C88" s="106" t="s">
        <v>271</v>
      </c>
      <c r="D88" s="106" t="s">
        <v>276</v>
      </c>
      <c r="E88">
        <v>4745</v>
      </c>
      <c r="F88" s="106" t="s">
        <v>1783</v>
      </c>
      <c r="G88" s="106" t="s">
        <v>273</v>
      </c>
      <c r="H88" s="106" t="s">
        <v>278</v>
      </c>
      <c r="I88">
        <v>392</v>
      </c>
    </row>
    <row r="89" spans="1:10" x14ac:dyDescent="0.2">
      <c r="A89" s="106" t="s">
        <v>355</v>
      </c>
      <c r="B89" s="106" t="s">
        <v>270</v>
      </c>
      <c r="C89" s="106" t="s">
        <v>271</v>
      </c>
      <c r="D89" s="106" t="s">
        <v>272</v>
      </c>
      <c r="E89">
        <v>4763</v>
      </c>
      <c r="F89" s="106" t="s">
        <v>1784</v>
      </c>
      <c r="G89" s="106" t="s">
        <v>273</v>
      </c>
      <c r="H89" s="106" t="s">
        <v>278</v>
      </c>
      <c r="I89">
        <v>251</v>
      </c>
    </row>
    <row r="90" spans="1:10" x14ac:dyDescent="0.2">
      <c r="A90" s="106" t="s">
        <v>355</v>
      </c>
      <c r="B90" s="106" t="s">
        <v>270</v>
      </c>
      <c r="C90" s="106" t="s">
        <v>282</v>
      </c>
      <c r="D90" s="106" t="s">
        <v>272</v>
      </c>
      <c r="E90">
        <v>5932</v>
      </c>
      <c r="F90" s="106" t="s">
        <v>1785</v>
      </c>
      <c r="G90" s="106" t="s">
        <v>273</v>
      </c>
      <c r="H90" s="106" t="s">
        <v>288</v>
      </c>
      <c r="I90">
        <v>399</v>
      </c>
    </row>
    <row r="91" spans="1:10" x14ac:dyDescent="0.2">
      <c r="A91" s="106" t="s">
        <v>355</v>
      </c>
      <c r="B91" s="106" t="s">
        <v>270</v>
      </c>
      <c r="C91" s="106" t="s">
        <v>280</v>
      </c>
      <c r="D91" s="106" t="s">
        <v>272</v>
      </c>
      <c r="E91">
        <v>5942</v>
      </c>
      <c r="F91" s="106" t="s">
        <v>1786</v>
      </c>
      <c r="G91" s="106" t="s">
        <v>273</v>
      </c>
      <c r="H91" s="106" t="s">
        <v>288</v>
      </c>
      <c r="I91" s="106">
        <v>114</v>
      </c>
      <c r="J91" s="106"/>
    </row>
    <row r="92" spans="1:10" x14ac:dyDescent="0.2">
      <c r="A92" s="106" t="s">
        <v>355</v>
      </c>
      <c r="B92" s="106" t="s">
        <v>270</v>
      </c>
      <c r="C92" s="106" t="s">
        <v>271</v>
      </c>
      <c r="D92" s="106" t="s">
        <v>272</v>
      </c>
      <c r="E92">
        <v>6093</v>
      </c>
      <c r="F92" s="106" t="s">
        <v>1787</v>
      </c>
      <c r="G92" s="106" t="s">
        <v>273</v>
      </c>
      <c r="H92" s="106" t="s">
        <v>278</v>
      </c>
      <c r="I92" s="106">
        <v>94</v>
      </c>
      <c r="J92" s="106"/>
    </row>
    <row r="93" spans="1:10" x14ac:dyDescent="0.2">
      <c r="A93" s="106" t="s">
        <v>355</v>
      </c>
      <c r="B93" s="106" t="s">
        <v>270</v>
      </c>
      <c r="C93" s="106" t="s">
        <v>271</v>
      </c>
      <c r="D93" s="106" t="s">
        <v>272</v>
      </c>
      <c r="E93">
        <v>6312</v>
      </c>
      <c r="F93" s="106" t="s">
        <v>1788</v>
      </c>
      <c r="G93" s="106" t="s">
        <v>277</v>
      </c>
      <c r="H93" s="106" t="s">
        <v>294</v>
      </c>
      <c r="I93" s="106">
        <v>143</v>
      </c>
      <c r="J93" s="106"/>
    </row>
    <row r="94" spans="1:10" x14ac:dyDescent="0.2">
      <c r="A94" s="106" t="s">
        <v>355</v>
      </c>
      <c r="B94" s="106" t="s">
        <v>270</v>
      </c>
      <c r="C94" s="106" t="s">
        <v>282</v>
      </c>
      <c r="D94" s="106" t="s">
        <v>272</v>
      </c>
      <c r="E94">
        <v>6489</v>
      </c>
      <c r="F94" s="106" t="s">
        <v>578</v>
      </c>
      <c r="G94" s="106" t="s">
        <v>273</v>
      </c>
      <c r="H94" s="106" t="s">
        <v>294</v>
      </c>
      <c r="I94">
        <v>81</v>
      </c>
    </row>
    <row r="95" spans="1:10" x14ac:dyDescent="0.2">
      <c r="A95" s="106" t="s">
        <v>355</v>
      </c>
      <c r="B95" s="106" t="s">
        <v>270</v>
      </c>
      <c r="C95" s="106" t="s">
        <v>282</v>
      </c>
      <c r="D95" s="106" t="s">
        <v>276</v>
      </c>
      <c r="E95">
        <v>6496</v>
      </c>
      <c r="F95" s="106" t="s">
        <v>557</v>
      </c>
      <c r="G95" s="106" t="s">
        <v>281</v>
      </c>
      <c r="H95" s="106" t="s">
        <v>294</v>
      </c>
      <c r="I95" s="106">
        <v>102</v>
      </c>
      <c r="J95" s="106"/>
    </row>
    <row r="96" spans="1:10" x14ac:dyDescent="0.2">
      <c r="A96" s="106" t="s">
        <v>355</v>
      </c>
      <c r="B96" s="106" t="s">
        <v>270</v>
      </c>
      <c r="C96" s="106" t="s">
        <v>271</v>
      </c>
      <c r="D96" s="106" t="s">
        <v>272</v>
      </c>
      <c r="E96">
        <v>6506</v>
      </c>
      <c r="F96" s="106" t="s">
        <v>1789</v>
      </c>
      <c r="G96" s="106" t="s">
        <v>273</v>
      </c>
      <c r="H96" s="106" t="s">
        <v>298</v>
      </c>
      <c r="I96" t="s">
        <v>540</v>
      </c>
      <c r="J96" t="s">
        <v>2348</v>
      </c>
    </row>
    <row r="97" spans="1:10" x14ac:dyDescent="0.2">
      <c r="A97" s="106" t="s">
        <v>355</v>
      </c>
      <c r="B97" s="106" t="s">
        <v>270</v>
      </c>
      <c r="C97" s="106" t="s">
        <v>271</v>
      </c>
      <c r="D97" s="106" t="s">
        <v>272</v>
      </c>
      <c r="E97">
        <v>6734</v>
      </c>
      <c r="F97" s="106" t="s">
        <v>1790</v>
      </c>
      <c r="G97" s="106" t="s">
        <v>277</v>
      </c>
      <c r="H97" s="106" t="s">
        <v>298</v>
      </c>
      <c r="I97">
        <v>24</v>
      </c>
    </row>
    <row r="98" spans="1:10" x14ac:dyDescent="0.2">
      <c r="A98" s="106" t="s">
        <v>355</v>
      </c>
      <c r="B98" s="106" t="s">
        <v>270</v>
      </c>
      <c r="C98" s="106" t="s">
        <v>275</v>
      </c>
      <c r="D98" s="106" t="s">
        <v>276</v>
      </c>
      <c r="E98">
        <v>7513</v>
      </c>
      <c r="F98" s="106" t="s">
        <v>2349</v>
      </c>
      <c r="G98" s="106" t="s">
        <v>273</v>
      </c>
      <c r="H98" s="106" t="s">
        <v>283</v>
      </c>
      <c r="I98">
        <v>405</v>
      </c>
    </row>
    <row r="99" spans="1:10" x14ac:dyDescent="0.2">
      <c r="A99" s="106" t="s">
        <v>355</v>
      </c>
      <c r="B99" s="106" t="s">
        <v>270</v>
      </c>
      <c r="C99" s="106" t="s">
        <v>271</v>
      </c>
      <c r="D99" s="106" t="s">
        <v>272</v>
      </c>
      <c r="E99">
        <v>7544</v>
      </c>
      <c r="F99" s="106" t="s">
        <v>1791</v>
      </c>
      <c r="G99" s="106" t="s">
        <v>281</v>
      </c>
      <c r="H99" s="106" t="s">
        <v>283</v>
      </c>
      <c r="I99">
        <v>32</v>
      </c>
    </row>
    <row r="100" spans="1:10" x14ac:dyDescent="0.2">
      <c r="A100" s="106" t="s">
        <v>355</v>
      </c>
      <c r="B100" s="106" t="s">
        <v>270</v>
      </c>
      <c r="C100" s="106" t="s">
        <v>271</v>
      </c>
      <c r="D100" s="106" t="s">
        <v>272</v>
      </c>
      <c r="E100">
        <v>7601</v>
      </c>
      <c r="F100" s="106" t="s">
        <v>1792</v>
      </c>
      <c r="G100" s="106" t="s">
        <v>273</v>
      </c>
      <c r="H100" s="106" t="s">
        <v>283</v>
      </c>
      <c r="I100" s="106">
        <v>63</v>
      </c>
      <c r="J100" s="106"/>
    </row>
    <row r="101" spans="1:10" x14ac:dyDescent="0.2">
      <c r="A101" s="106" t="s">
        <v>355</v>
      </c>
      <c r="B101" s="106" t="s">
        <v>270</v>
      </c>
      <c r="C101" s="106" t="s">
        <v>271</v>
      </c>
      <c r="D101" s="106" t="s">
        <v>276</v>
      </c>
      <c r="E101">
        <v>7847</v>
      </c>
      <c r="F101" s="106" t="s">
        <v>1793</v>
      </c>
      <c r="G101" s="106" t="s">
        <v>277</v>
      </c>
      <c r="H101" s="106" t="s">
        <v>295</v>
      </c>
      <c r="I101" s="106">
        <v>35</v>
      </c>
      <c r="J101" s="106"/>
    </row>
    <row r="102" spans="1:10" x14ac:dyDescent="0.2">
      <c r="A102" s="106" t="s">
        <v>355</v>
      </c>
      <c r="B102" s="106" t="s">
        <v>270</v>
      </c>
      <c r="C102" s="106" t="s">
        <v>282</v>
      </c>
      <c r="D102" s="106" t="s">
        <v>272</v>
      </c>
      <c r="E102">
        <v>7888</v>
      </c>
      <c r="F102" s="106" t="s">
        <v>1794</v>
      </c>
      <c r="G102" s="106" t="s">
        <v>273</v>
      </c>
      <c r="H102" s="106" t="s">
        <v>286</v>
      </c>
      <c r="I102">
        <v>129</v>
      </c>
    </row>
    <row r="103" spans="1:10" x14ac:dyDescent="0.2">
      <c r="A103" s="106" t="s">
        <v>355</v>
      </c>
      <c r="B103" s="106" t="s">
        <v>270</v>
      </c>
      <c r="C103" s="106" t="s">
        <v>271</v>
      </c>
      <c r="D103" s="106" t="s">
        <v>272</v>
      </c>
      <c r="E103">
        <v>7975</v>
      </c>
      <c r="F103" s="106" t="s">
        <v>1795</v>
      </c>
      <c r="G103" s="106" t="s">
        <v>281</v>
      </c>
      <c r="H103" s="106" t="s">
        <v>295</v>
      </c>
      <c r="I103" s="106">
        <v>34</v>
      </c>
      <c r="J103" s="106"/>
    </row>
    <row r="104" spans="1:10" x14ac:dyDescent="0.2">
      <c r="A104" s="106" t="s">
        <v>355</v>
      </c>
      <c r="B104" s="106" t="s">
        <v>270</v>
      </c>
      <c r="C104" s="106" t="s">
        <v>275</v>
      </c>
      <c r="D104" s="106" t="s">
        <v>276</v>
      </c>
      <c r="E104">
        <v>8184</v>
      </c>
      <c r="F104" s="106" t="s">
        <v>1796</v>
      </c>
      <c r="G104" s="106" t="s">
        <v>273</v>
      </c>
      <c r="H104" s="106" t="s">
        <v>283</v>
      </c>
      <c r="I104" s="106" t="s">
        <v>304</v>
      </c>
      <c r="J104" s="106" t="s">
        <v>2350</v>
      </c>
    </row>
    <row r="105" spans="1:10" x14ac:dyDescent="0.2">
      <c r="A105" s="106" t="s">
        <v>355</v>
      </c>
      <c r="B105" s="106" t="s">
        <v>270</v>
      </c>
      <c r="C105" s="106" t="s">
        <v>271</v>
      </c>
      <c r="D105" s="106" t="s">
        <v>272</v>
      </c>
      <c r="E105">
        <v>8237</v>
      </c>
      <c r="F105" s="106" t="s">
        <v>1797</v>
      </c>
      <c r="G105" s="106" t="s">
        <v>273</v>
      </c>
      <c r="H105" s="106" t="s">
        <v>283</v>
      </c>
      <c r="I105" s="106">
        <v>465</v>
      </c>
      <c r="J105" s="106"/>
    </row>
    <row r="106" spans="1:10" x14ac:dyDescent="0.2">
      <c r="A106" s="106" t="s">
        <v>355</v>
      </c>
      <c r="B106" s="106" t="s">
        <v>270</v>
      </c>
      <c r="C106" s="106" t="s">
        <v>271</v>
      </c>
      <c r="D106" s="106" t="s">
        <v>272</v>
      </c>
      <c r="E106">
        <v>8260</v>
      </c>
      <c r="F106" s="106" t="s">
        <v>1798</v>
      </c>
      <c r="G106" s="106" t="s">
        <v>273</v>
      </c>
      <c r="H106" s="106" t="s">
        <v>283</v>
      </c>
      <c r="I106" s="106">
        <v>29</v>
      </c>
      <c r="J106" s="106"/>
    </row>
    <row r="107" spans="1:10" x14ac:dyDescent="0.2">
      <c r="A107" s="106" t="s">
        <v>355</v>
      </c>
      <c r="B107" s="106" t="s">
        <v>270</v>
      </c>
      <c r="C107" s="106" t="s">
        <v>271</v>
      </c>
      <c r="D107" s="106" t="s">
        <v>272</v>
      </c>
      <c r="E107">
        <v>8273</v>
      </c>
      <c r="F107" s="106" t="s">
        <v>1799</v>
      </c>
      <c r="G107" s="106" t="s">
        <v>273</v>
      </c>
      <c r="H107" s="106" t="s">
        <v>283</v>
      </c>
      <c r="I107" t="s">
        <v>296</v>
      </c>
      <c r="J107" t="s">
        <v>2351</v>
      </c>
    </row>
    <row r="108" spans="1:10" x14ac:dyDescent="0.2">
      <c r="A108" s="106" t="s">
        <v>355</v>
      </c>
      <c r="B108" s="106" t="s">
        <v>270</v>
      </c>
      <c r="C108" s="106" t="s">
        <v>282</v>
      </c>
      <c r="D108" s="106" t="s">
        <v>276</v>
      </c>
      <c r="E108">
        <v>8887</v>
      </c>
      <c r="F108" s="106" t="s">
        <v>1800</v>
      </c>
      <c r="G108" s="106" t="s">
        <v>277</v>
      </c>
      <c r="H108" s="106" t="s">
        <v>299</v>
      </c>
      <c r="I108" s="106">
        <v>104</v>
      </c>
      <c r="J108" s="106"/>
    </row>
    <row r="109" spans="1:10" x14ac:dyDescent="0.2">
      <c r="A109" s="106" t="s">
        <v>355</v>
      </c>
      <c r="B109" s="106" t="s">
        <v>270</v>
      </c>
      <c r="C109" s="106" t="s">
        <v>271</v>
      </c>
      <c r="D109" s="106" t="s">
        <v>272</v>
      </c>
      <c r="E109">
        <v>8905</v>
      </c>
      <c r="F109" s="106" t="s">
        <v>1801</v>
      </c>
      <c r="G109" s="106" t="s">
        <v>273</v>
      </c>
      <c r="H109" s="106" t="s">
        <v>299</v>
      </c>
      <c r="I109" s="106" t="s">
        <v>323</v>
      </c>
      <c r="J109" s="106" t="s">
        <v>2352</v>
      </c>
    </row>
    <row r="110" spans="1:10" x14ac:dyDescent="0.2">
      <c r="A110" s="106" t="s">
        <v>355</v>
      </c>
      <c r="B110" s="106" t="s">
        <v>270</v>
      </c>
      <c r="C110" s="106" t="s">
        <v>282</v>
      </c>
      <c r="D110" s="106" t="s">
        <v>272</v>
      </c>
      <c r="E110">
        <v>8908</v>
      </c>
      <c r="F110" s="106" t="s">
        <v>360</v>
      </c>
      <c r="G110" s="106" t="s">
        <v>273</v>
      </c>
      <c r="H110" s="106" t="s">
        <v>299</v>
      </c>
      <c r="I110" s="106">
        <v>158</v>
      </c>
      <c r="J110" s="106"/>
    </row>
    <row r="111" spans="1:10" x14ac:dyDescent="0.2">
      <c r="A111" s="106" t="s">
        <v>355</v>
      </c>
      <c r="B111" s="106" t="s">
        <v>270</v>
      </c>
      <c r="C111" s="106" t="s">
        <v>280</v>
      </c>
      <c r="D111" s="106" t="s">
        <v>272</v>
      </c>
      <c r="E111">
        <v>8923</v>
      </c>
      <c r="F111" s="106" t="s">
        <v>373</v>
      </c>
      <c r="G111" s="106" t="s">
        <v>273</v>
      </c>
      <c r="H111" s="106" t="s">
        <v>299</v>
      </c>
      <c r="I111">
        <v>721</v>
      </c>
    </row>
    <row r="112" spans="1:10" x14ac:dyDescent="0.2">
      <c r="A112" s="106" t="s">
        <v>355</v>
      </c>
      <c r="B112" s="106" t="s">
        <v>270</v>
      </c>
      <c r="C112" s="106" t="s">
        <v>280</v>
      </c>
      <c r="D112" s="106" t="s">
        <v>272</v>
      </c>
      <c r="E112">
        <v>9369</v>
      </c>
      <c r="F112" s="106" t="s">
        <v>1802</v>
      </c>
      <c r="G112" s="106" t="s">
        <v>273</v>
      </c>
      <c r="H112" s="106" t="s">
        <v>626</v>
      </c>
      <c r="I112">
        <v>241</v>
      </c>
    </row>
    <row r="113" spans="1:10" x14ac:dyDescent="0.2">
      <c r="A113" s="106" t="s">
        <v>355</v>
      </c>
      <c r="B113" s="106" t="s">
        <v>270</v>
      </c>
      <c r="C113" s="106" t="s">
        <v>271</v>
      </c>
      <c r="D113" s="106" t="s">
        <v>272</v>
      </c>
      <c r="E113">
        <v>9716</v>
      </c>
      <c r="F113" s="106" t="s">
        <v>1803</v>
      </c>
      <c r="G113" s="106" t="s">
        <v>273</v>
      </c>
      <c r="H113" s="106" t="s">
        <v>278</v>
      </c>
      <c r="I113" s="106" t="s">
        <v>304</v>
      </c>
      <c r="J113" s="106" t="s">
        <v>2353</v>
      </c>
    </row>
    <row r="114" spans="1:10" x14ac:dyDescent="0.2">
      <c r="A114" s="106" t="s">
        <v>355</v>
      </c>
      <c r="B114" s="106" t="s">
        <v>270</v>
      </c>
      <c r="C114" s="106" t="s">
        <v>282</v>
      </c>
      <c r="D114" s="106" t="s">
        <v>272</v>
      </c>
      <c r="E114">
        <v>9765</v>
      </c>
      <c r="F114" s="106" t="s">
        <v>1804</v>
      </c>
      <c r="G114" s="106" t="s">
        <v>273</v>
      </c>
      <c r="H114" s="106" t="s">
        <v>278</v>
      </c>
      <c r="I114">
        <v>162</v>
      </c>
    </row>
    <row r="115" spans="1:10" x14ac:dyDescent="0.2">
      <c r="A115" s="106" t="s">
        <v>355</v>
      </c>
      <c r="B115" s="106" t="s">
        <v>270</v>
      </c>
      <c r="C115" s="106" t="s">
        <v>271</v>
      </c>
      <c r="D115" s="106" t="s">
        <v>276</v>
      </c>
      <c r="E115">
        <v>9778</v>
      </c>
      <c r="F115" s="106" t="s">
        <v>1805</v>
      </c>
      <c r="G115" s="106" t="s">
        <v>277</v>
      </c>
      <c r="H115" s="106" t="s">
        <v>278</v>
      </c>
      <c r="I115" s="106">
        <v>32</v>
      </c>
      <c r="J115" s="106"/>
    </row>
    <row r="116" spans="1:10" x14ac:dyDescent="0.2">
      <c r="A116" s="106" t="s">
        <v>355</v>
      </c>
      <c r="B116" s="106" t="s">
        <v>270</v>
      </c>
      <c r="C116" s="106" t="s">
        <v>271</v>
      </c>
      <c r="D116" s="106" t="s">
        <v>272</v>
      </c>
      <c r="E116">
        <v>9903</v>
      </c>
      <c r="F116" s="106" t="s">
        <v>1806</v>
      </c>
      <c r="G116" s="106" t="s">
        <v>277</v>
      </c>
      <c r="H116" s="106" t="s">
        <v>283</v>
      </c>
      <c r="I116">
        <v>138</v>
      </c>
    </row>
    <row r="117" spans="1:10" x14ac:dyDescent="0.2">
      <c r="A117" s="106" t="s">
        <v>355</v>
      </c>
      <c r="B117" s="106" t="s">
        <v>270</v>
      </c>
      <c r="C117" s="106" t="s">
        <v>275</v>
      </c>
      <c r="D117" s="106" t="s">
        <v>272</v>
      </c>
      <c r="E117">
        <v>9983</v>
      </c>
      <c r="F117" s="106" t="s">
        <v>361</v>
      </c>
      <c r="G117" s="106" t="s">
        <v>273</v>
      </c>
      <c r="H117" s="106" t="s">
        <v>283</v>
      </c>
      <c r="I117" t="s">
        <v>2013</v>
      </c>
      <c r="J117" t="s">
        <v>2354</v>
      </c>
    </row>
    <row r="118" spans="1:10" x14ac:dyDescent="0.2">
      <c r="A118" s="106" t="s">
        <v>362</v>
      </c>
      <c r="B118" s="106" t="s">
        <v>337</v>
      </c>
      <c r="C118" s="106" t="s">
        <v>271</v>
      </c>
      <c r="D118" s="106" t="s">
        <v>272</v>
      </c>
      <c r="E118">
        <v>3093</v>
      </c>
      <c r="F118" s="106" t="s">
        <v>760</v>
      </c>
      <c r="G118" s="106" t="s">
        <v>273</v>
      </c>
      <c r="H118" s="106" t="s">
        <v>283</v>
      </c>
      <c r="I118" s="106">
        <v>124</v>
      </c>
      <c r="J118" s="106"/>
    </row>
    <row r="119" spans="1:10" x14ac:dyDescent="0.2">
      <c r="A119" s="106" t="s">
        <v>362</v>
      </c>
      <c r="B119" s="106" t="s">
        <v>337</v>
      </c>
      <c r="C119" s="106" t="s">
        <v>280</v>
      </c>
      <c r="D119" s="106" t="s">
        <v>272</v>
      </c>
      <c r="E119">
        <v>6136</v>
      </c>
      <c r="F119" s="106" t="s">
        <v>1807</v>
      </c>
      <c r="G119" s="106" t="s">
        <v>273</v>
      </c>
      <c r="H119" s="106" t="s">
        <v>294</v>
      </c>
      <c r="I119" s="106" t="s">
        <v>296</v>
      </c>
      <c r="J119" s="106" t="s">
        <v>2254</v>
      </c>
    </row>
    <row r="120" spans="1:10" x14ac:dyDescent="0.2">
      <c r="A120" s="106" t="s">
        <v>362</v>
      </c>
      <c r="B120" s="106" t="s">
        <v>337</v>
      </c>
      <c r="C120" s="106" t="s">
        <v>271</v>
      </c>
      <c r="D120" s="106" t="s">
        <v>272</v>
      </c>
      <c r="E120">
        <v>6432</v>
      </c>
      <c r="F120" s="106" t="s">
        <v>1808</v>
      </c>
      <c r="G120" s="106" t="s">
        <v>273</v>
      </c>
      <c r="H120" s="106" t="s">
        <v>294</v>
      </c>
      <c r="I120" s="106">
        <v>810</v>
      </c>
      <c r="J120" s="106"/>
    </row>
    <row r="121" spans="1:10" x14ac:dyDescent="0.2">
      <c r="A121" s="106" t="s">
        <v>362</v>
      </c>
      <c r="B121" s="106" t="s">
        <v>337</v>
      </c>
      <c r="C121" s="106" t="s">
        <v>282</v>
      </c>
      <c r="D121" s="106" t="s">
        <v>272</v>
      </c>
      <c r="E121">
        <v>6567</v>
      </c>
      <c r="F121" s="106" t="s">
        <v>363</v>
      </c>
      <c r="G121" s="106" t="s">
        <v>285</v>
      </c>
      <c r="H121" s="106" t="s">
        <v>278</v>
      </c>
      <c r="I121" s="106">
        <v>32</v>
      </c>
      <c r="J121" s="106"/>
    </row>
    <row r="122" spans="1:10" x14ac:dyDescent="0.2">
      <c r="A122" s="106" t="s">
        <v>362</v>
      </c>
      <c r="B122" s="106" t="s">
        <v>1809</v>
      </c>
      <c r="C122" s="106" t="s">
        <v>282</v>
      </c>
      <c r="D122" s="106" t="s">
        <v>272</v>
      </c>
      <c r="E122">
        <v>8886</v>
      </c>
      <c r="F122" s="106" t="s">
        <v>1810</v>
      </c>
      <c r="G122" s="106" t="s">
        <v>277</v>
      </c>
      <c r="H122" s="106" t="s">
        <v>299</v>
      </c>
      <c r="I122">
        <v>37</v>
      </c>
    </row>
    <row r="123" spans="1:10" x14ac:dyDescent="0.2">
      <c r="A123" s="106" t="s">
        <v>362</v>
      </c>
      <c r="B123" s="106" t="s">
        <v>297</v>
      </c>
      <c r="C123" s="106" t="s">
        <v>282</v>
      </c>
      <c r="D123" s="106" t="s">
        <v>272</v>
      </c>
      <c r="E123">
        <v>2168</v>
      </c>
      <c r="F123" s="106" t="s">
        <v>2355</v>
      </c>
      <c r="G123" s="106" t="s">
        <v>273</v>
      </c>
      <c r="H123" s="106" t="s">
        <v>278</v>
      </c>
      <c r="I123" s="106">
        <v>682</v>
      </c>
      <c r="J123" s="106"/>
    </row>
    <row r="124" spans="1:10" x14ac:dyDescent="0.2">
      <c r="A124" s="106" t="s">
        <v>362</v>
      </c>
      <c r="B124" s="106" t="s">
        <v>270</v>
      </c>
      <c r="C124" s="106" t="s">
        <v>282</v>
      </c>
      <c r="D124" s="106" t="s">
        <v>276</v>
      </c>
      <c r="E124">
        <v>1401</v>
      </c>
      <c r="F124" s="106" t="s">
        <v>1811</v>
      </c>
      <c r="G124" s="106" t="s">
        <v>285</v>
      </c>
      <c r="H124" s="106" t="s">
        <v>300</v>
      </c>
      <c r="I124" s="106">
        <v>77</v>
      </c>
      <c r="J124" s="106"/>
    </row>
    <row r="125" spans="1:10" x14ac:dyDescent="0.2">
      <c r="A125" s="106" t="s">
        <v>362</v>
      </c>
      <c r="B125" s="106" t="s">
        <v>270</v>
      </c>
      <c r="C125" s="106" t="s">
        <v>282</v>
      </c>
      <c r="D125" s="106" t="s">
        <v>276</v>
      </c>
      <c r="E125">
        <v>1430</v>
      </c>
      <c r="F125" s="106" t="s">
        <v>546</v>
      </c>
      <c r="G125" s="106" t="s">
        <v>273</v>
      </c>
      <c r="H125" s="106" t="s">
        <v>300</v>
      </c>
      <c r="I125" s="106">
        <v>81</v>
      </c>
      <c r="J125" s="106"/>
    </row>
    <row r="126" spans="1:10" x14ac:dyDescent="0.2">
      <c r="A126" s="106" t="s">
        <v>362</v>
      </c>
      <c r="B126" s="106" t="s">
        <v>270</v>
      </c>
      <c r="C126" s="106" t="s">
        <v>282</v>
      </c>
      <c r="D126" s="106" t="s">
        <v>272</v>
      </c>
      <c r="E126">
        <v>2153</v>
      </c>
      <c r="F126" s="106" t="s">
        <v>1812</v>
      </c>
      <c r="G126" s="106" t="s">
        <v>273</v>
      </c>
      <c r="H126" s="106" t="s">
        <v>278</v>
      </c>
      <c r="I126">
        <v>122</v>
      </c>
    </row>
    <row r="127" spans="1:10" x14ac:dyDescent="0.2">
      <c r="A127" s="106" t="s">
        <v>362</v>
      </c>
      <c r="B127" s="106" t="s">
        <v>270</v>
      </c>
      <c r="C127" s="106" t="s">
        <v>275</v>
      </c>
      <c r="D127" s="106" t="s">
        <v>272</v>
      </c>
      <c r="E127">
        <v>2157</v>
      </c>
      <c r="F127" s="106" t="s">
        <v>1813</v>
      </c>
      <c r="G127" s="106" t="s">
        <v>273</v>
      </c>
      <c r="H127" s="106" t="s">
        <v>278</v>
      </c>
      <c r="I127" t="s">
        <v>304</v>
      </c>
      <c r="J127" t="s">
        <v>2356</v>
      </c>
    </row>
    <row r="128" spans="1:10" x14ac:dyDescent="0.2">
      <c r="A128" s="106" t="s">
        <v>362</v>
      </c>
      <c r="B128" s="106" t="s">
        <v>270</v>
      </c>
      <c r="C128" s="106" t="s">
        <v>275</v>
      </c>
      <c r="D128" s="106" t="s">
        <v>272</v>
      </c>
      <c r="E128">
        <v>2164</v>
      </c>
      <c r="F128" s="106" t="s">
        <v>1814</v>
      </c>
      <c r="G128" s="106" t="s">
        <v>277</v>
      </c>
      <c r="H128" s="106" t="s">
        <v>278</v>
      </c>
      <c r="I128">
        <v>14</v>
      </c>
    </row>
    <row r="129" spans="1:10" x14ac:dyDescent="0.2">
      <c r="A129" s="106" t="s">
        <v>362</v>
      </c>
      <c r="B129" s="106" t="s">
        <v>270</v>
      </c>
      <c r="C129" s="106" t="s">
        <v>271</v>
      </c>
      <c r="D129" s="106" t="s">
        <v>272</v>
      </c>
      <c r="E129">
        <v>2292</v>
      </c>
      <c r="F129" s="106" t="s">
        <v>1815</v>
      </c>
      <c r="G129" s="106" t="s">
        <v>273</v>
      </c>
      <c r="H129" s="106" t="s">
        <v>274</v>
      </c>
      <c r="I129">
        <v>922</v>
      </c>
    </row>
    <row r="130" spans="1:10" x14ac:dyDescent="0.2">
      <c r="A130" s="106" t="s">
        <v>362</v>
      </c>
      <c r="B130" s="106" t="s">
        <v>270</v>
      </c>
      <c r="C130" s="106" t="s">
        <v>271</v>
      </c>
      <c r="D130" s="106" t="s">
        <v>276</v>
      </c>
      <c r="E130">
        <v>2294</v>
      </c>
      <c r="F130" s="106" t="s">
        <v>563</v>
      </c>
      <c r="G130" s="106" t="s">
        <v>273</v>
      </c>
      <c r="H130" s="106" t="s">
        <v>274</v>
      </c>
      <c r="I130">
        <v>391</v>
      </c>
    </row>
    <row r="131" spans="1:10" x14ac:dyDescent="0.2">
      <c r="A131" s="106" t="s">
        <v>362</v>
      </c>
      <c r="B131" s="106" t="s">
        <v>270</v>
      </c>
      <c r="C131" s="106" t="s">
        <v>271</v>
      </c>
      <c r="D131" s="106" t="s">
        <v>272</v>
      </c>
      <c r="E131">
        <v>2337</v>
      </c>
      <c r="F131" s="106" t="s">
        <v>761</v>
      </c>
      <c r="G131" s="106" t="s">
        <v>273</v>
      </c>
      <c r="H131" s="106" t="s">
        <v>299</v>
      </c>
      <c r="I131" s="106" t="s">
        <v>296</v>
      </c>
      <c r="J131" s="106" t="s">
        <v>2357</v>
      </c>
    </row>
    <row r="132" spans="1:10" x14ac:dyDescent="0.2">
      <c r="A132" s="106" t="s">
        <v>362</v>
      </c>
      <c r="B132" s="106" t="s">
        <v>270</v>
      </c>
      <c r="C132" s="106" t="s">
        <v>271</v>
      </c>
      <c r="D132" s="106" t="s">
        <v>272</v>
      </c>
      <c r="E132">
        <v>2338</v>
      </c>
      <c r="F132" s="106" t="s">
        <v>364</v>
      </c>
      <c r="G132" s="106" t="s">
        <v>281</v>
      </c>
      <c r="H132" s="106" t="s">
        <v>284</v>
      </c>
      <c r="I132" s="106">
        <v>28</v>
      </c>
      <c r="J132" s="106"/>
    </row>
    <row r="133" spans="1:10" x14ac:dyDescent="0.2">
      <c r="A133" s="106" t="s">
        <v>362</v>
      </c>
      <c r="B133" s="106" t="s">
        <v>270</v>
      </c>
      <c r="C133" s="106" t="s">
        <v>271</v>
      </c>
      <c r="D133" s="106" t="s">
        <v>276</v>
      </c>
      <c r="E133">
        <v>2379</v>
      </c>
      <c r="F133" s="106" t="s">
        <v>1816</v>
      </c>
      <c r="G133" s="106" t="s">
        <v>273</v>
      </c>
      <c r="H133" s="106" t="s">
        <v>278</v>
      </c>
      <c r="I133" t="s">
        <v>304</v>
      </c>
      <c r="J133" t="s">
        <v>2358</v>
      </c>
    </row>
    <row r="134" spans="1:10" x14ac:dyDescent="0.2">
      <c r="A134" s="106" t="s">
        <v>362</v>
      </c>
      <c r="B134" s="106" t="s">
        <v>270</v>
      </c>
      <c r="C134" s="106" t="s">
        <v>271</v>
      </c>
      <c r="D134" s="106" t="s">
        <v>276</v>
      </c>
      <c r="E134">
        <v>2417</v>
      </c>
      <c r="F134" s="106" t="s">
        <v>2359</v>
      </c>
      <c r="G134" s="106" t="s">
        <v>281</v>
      </c>
      <c r="H134" s="106" t="s">
        <v>278</v>
      </c>
      <c r="I134" s="106">
        <v>28</v>
      </c>
      <c r="J134" s="106"/>
    </row>
    <row r="135" spans="1:10" x14ac:dyDescent="0.2">
      <c r="A135" s="106" t="s">
        <v>362</v>
      </c>
      <c r="B135" s="106" t="s">
        <v>270</v>
      </c>
      <c r="C135" s="106" t="s">
        <v>282</v>
      </c>
      <c r="D135" s="106" t="s">
        <v>272</v>
      </c>
      <c r="E135">
        <v>2459</v>
      </c>
      <c r="F135" s="106" t="s">
        <v>1817</v>
      </c>
      <c r="G135" s="106" t="s">
        <v>281</v>
      </c>
      <c r="H135" s="106" t="s">
        <v>278</v>
      </c>
      <c r="I135" s="106">
        <v>17</v>
      </c>
      <c r="J135" s="106"/>
    </row>
    <row r="136" spans="1:10" x14ac:dyDescent="0.2">
      <c r="A136" s="106" t="s">
        <v>362</v>
      </c>
      <c r="B136" s="106" t="s">
        <v>270</v>
      </c>
      <c r="C136" s="106" t="s">
        <v>271</v>
      </c>
      <c r="D136" s="106" t="s">
        <v>272</v>
      </c>
      <c r="E136">
        <v>2651</v>
      </c>
      <c r="F136" s="106" t="s">
        <v>365</v>
      </c>
      <c r="G136" s="106" t="s">
        <v>273</v>
      </c>
      <c r="H136" s="106" t="s">
        <v>283</v>
      </c>
      <c r="I136" s="106" t="s">
        <v>332</v>
      </c>
      <c r="J136" s="106" t="s">
        <v>2243</v>
      </c>
    </row>
    <row r="137" spans="1:10" x14ac:dyDescent="0.2">
      <c r="A137" s="106" t="s">
        <v>362</v>
      </c>
      <c r="B137" s="106" t="s">
        <v>270</v>
      </c>
      <c r="C137" s="106" t="s">
        <v>271</v>
      </c>
      <c r="D137" s="106" t="s">
        <v>276</v>
      </c>
      <c r="E137">
        <v>2653</v>
      </c>
      <c r="F137" s="106" t="s">
        <v>2360</v>
      </c>
      <c r="G137" s="106" t="s">
        <v>277</v>
      </c>
      <c r="H137" s="106" t="s">
        <v>283</v>
      </c>
      <c r="I137">
        <v>381</v>
      </c>
    </row>
    <row r="138" spans="1:10" x14ac:dyDescent="0.2">
      <c r="A138" s="106" t="s">
        <v>362</v>
      </c>
      <c r="B138" s="106" t="s">
        <v>270</v>
      </c>
      <c r="C138" s="106" t="s">
        <v>271</v>
      </c>
      <c r="D138" s="106" t="s">
        <v>272</v>
      </c>
      <c r="E138">
        <v>2668</v>
      </c>
      <c r="F138" s="106" t="s">
        <v>1818</v>
      </c>
      <c r="G138" s="106" t="s">
        <v>281</v>
      </c>
      <c r="H138" s="106" t="s">
        <v>279</v>
      </c>
      <c r="I138" s="106">
        <v>77</v>
      </c>
      <c r="J138" s="106"/>
    </row>
    <row r="139" spans="1:10" x14ac:dyDescent="0.2">
      <c r="A139" s="106" t="s">
        <v>362</v>
      </c>
      <c r="B139" s="106" t="s">
        <v>270</v>
      </c>
      <c r="C139" s="106" t="s">
        <v>271</v>
      </c>
      <c r="D139" s="106" t="s">
        <v>276</v>
      </c>
      <c r="E139">
        <v>2669</v>
      </c>
      <c r="F139" s="106" t="s">
        <v>1819</v>
      </c>
      <c r="G139" s="106" t="s">
        <v>277</v>
      </c>
      <c r="H139" s="106" t="s">
        <v>283</v>
      </c>
      <c r="I139">
        <v>302</v>
      </c>
    </row>
    <row r="140" spans="1:10" x14ac:dyDescent="0.2">
      <c r="A140" s="106" t="s">
        <v>362</v>
      </c>
      <c r="B140" s="106" t="s">
        <v>270</v>
      </c>
      <c r="C140" s="106" t="s">
        <v>271</v>
      </c>
      <c r="D140" s="106" t="s">
        <v>272</v>
      </c>
      <c r="E140">
        <v>2686</v>
      </c>
      <c r="F140" s="106" t="s">
        <v>1820</v>
      </c>
      <c r="G140" s="106" t="s">
        <v>273</v>
      </c>
      <c r="H140" s="106" t="s">
        <v>283</v>
      </c>
      <c r="I140" s="106">
        <v>264</v>
      </c>
      <c r="J140" s="106"/>
    </row>
    <row r="141" spans="1:10" x14ac:dyDescent="0.2">
      <c r="A141" s="106" t="s">
        <v>362</v>
      </c>
      <c r="B141" s="106" t="s">
        <v>270</v>
      </c>
      <c r="C141" s="106" t="s">
        <v>271</v>
      </c>
      <c r="D141" s="106" t="s">
        <v>272</v>
      </c>
      <c r="E141">
        <v>2687</v>
      </c>
      <c r="F141" s="106" t="s">
        <v>1821</v>
      </c>
      <c r="G141" s="106" t="s">
        <v>273</v>
      </c>
      <c r="H141" s="106" t="s">
        <v>283</v>
      </c>
      <c r="I141">
        <v>35</v>
      </c>
    </row>
    <row r="142" spans="1:10" x14ac:dyDescent="0.2">
      <c r="A142" s="106" t="s">
        <v>362</v>
      </c>
      <c r="B142" s="106" t="s">
        <v>270</v>
      </c>
      <c r="C142" s="106" t="s">
        <v>271</v>
      </c>
      <c r="D142" s="106" t="s">
        <v>276</v>
      </c>
      <c r="E142">
        <v>2706</v>
      </c>
      <c r="F142" s="106" t="s">
        <v>366</v>
      </c>
      <c r="G142" s="106" t="s">
        <v>277</v>
      </c>
      <c r="H142" s="106" t="s">
        <v>295</v>
      </c>
      <c r="I142">
        <v>128</v>
      </c>
    </row>
    <row r="143" spans="1:10" x14ac:dyDescent="0.2">
      <c r="A143" s="106" t="s">
        <v>362</v>
      </c>
      <c r="B143" s="106" t="s">
        <v>270</v>
      </c>
      <c r="C143" s="106" t="s">
        <v>275</v>
      </c>
      <c r="D143" s="106" t="s">
        <v>272</v>
      </c>
      <c r="E143">
        <v>2735</v>
      </c>
      <c r="F143" s="106" t="s">
        <v>1822</v>
      </c>
      <c r="G143" s="106" t="s">
        <v>273</v>
      </c>
      <c r="H143" s="106" t="s">
        <v>283</v>
      </c>
      <c r="I143">
        <v>84</v>
      </c>
    </row>
    <row r="144" spans="1:10" x14ac:dyDescent="0.2">
      <c r="A144" s="106" t="s">
        <v>362</v>
      </c>
      <c r="B144" s="106" t="s">
        <v>270</v>
      </c>
      <c r="C144" s="106" t="s">
        <v>275</v>
      </c>
      <c r="D144" s="106" t="s">
        <v>272</v>
      </c>
      <c r="E144">
        <v>2736</v>
      </c>
      <c r="F144" s="106" t="s">
        <v>1823</v>
      </c>
      <c r="G144" s="106" t="s">
        <v>277</v>
      </c>
      <c r="H144" s="106" t="s">
        <v>283</v>
      </c>
      <c r="I144">
        <v>21</v>
      </c>
    </row>
    <row r="145" spans="1:10" x14ac:dyDescent="0.2">
      <c r="A145" s="106" t="s">
        <v>362</v>
      </c>
      <c r="B145" s="106" t="s">
        <v>270</v>
      </c>
      <c r="C145" s="106" t="s">
        <v>271</v>
      </c>
      <c r="D145" s="106" t="s">
        <v>276</v>
      </c>
      <c r="E145">
        <v>2747</v>
      </c>
      <c r="F145" s="106" t="s">
        <v>1824</v>
      </c>
      <c r="G145" s="106" t="s">
        <v>277</v>
      </c>
      <c r="H145" s="106" t="s">
        <v>283</v>
      </c>
      <c r="I145">
        <v>40</v>
      </c>
    </row>
    <row r="146" spans="1:10" x14ac:dyDescent="0.2">
      <c r="A146" s="106" t="s">
        <v>362</v>
      </c>
      <c r="B146" s="106" t="s">
        <v>270</v>
      </c>
      <c r="C146" s="106" t="s">
        <v>271</v>
      </c>
      <c r="D146" s="106" t="s">
        <v>276</v>
      </c>
      <c r="E146">
        <v>2872</v>
      </c>
      <c r="F146" s="106" t="s">
        <v>1825</v>
      </c>
      <c r="G146" s="106" t="s">
        <v>281</v>
      </c>
      <c r="H146" s="106" t="s">
        <v>274</v>
      </c>
      <c r="I146" s="106">
        <v>15</v>
      </c>
      <c r="J146" s="106"/>
    </row>
    <row r="147" spans="1:10" x14ac:dyDescent="0.2">
      <c r="A147" s="106" t="s">
        <v>362</v>
      </c>
      <c r="B147" s="106" t="s">
        <v>270</v>
      </c>
      <c r="C147" s="106" t="s">
        <v>280</v>
      </c>
      <c r="D147" s="106" t="s">
        <v>272</v>
      </c>
      <c r="E147">
        <v>2975</v>
      </c>
      <c r="F147" s="106" t="s">
        <v>1826</v>
      </c>
      <c r="G147" s="106" t="s">
        <v>273</v>
      </c>
      <c r="H147" s="106" t="s">
        <v>299</v>
      </c>
      <c r="I147" s="106">
        <v>314</v>
      </c>
      <c r="J147" s="106"/>
    </row>
    <row r="148" spans="1:10" x14ac:dyDescent="0.2">
      <c r="A148" s="106" t="s">
        <v>362</v>
      </c>
      <c r="B148" s="106" t="s">
        <v>270</v>
      </c>
      <c r="C148" s="106" t="s">
        <v>275</v>
      </c>
      <c r="D148" s="106" t="s">
        <v>272</v>
      </c>
      <c r="E148">
        <v>3046</v>
      </c>
      <c r="F148" s="106" t="s">
        <v>1828</v>
      </c>
      <c r="G148" s="106" t="s">
        <v>273</v>
      </c>
      <c r="H148" s="106" t="s">
        <v>283</v>
      </c>
      <c r="I148" t="s">
        <v>304</v>
      </c>
      <c r="J148" t="s">
        <v>2361</v>
      </c>
    </row>
    <row r="149" spans="1:10" x14ac:dyDescent="0.2">
      <c r="A149" s="106" t="s">
        <v>362</v>
      </c>
      <c r="B149" s="106" t="s">
        <v>270</v>
      </c>
      <c r="C149" s="106" t="s">
        <v>275</v>
      </c>
      <c r="D149" s="106" t="s">
        <v>272</v>
      </c>
      <c r="E149">
        <v>3048</v>
      </c>
      <c r="F149" s="106" t="s">
        <v>1829</v>
      </c>
      <c r="G149" s="106" t="s">
        <v>273</v>
      </c>
      <c r="H149" s="106" t="s">
        <v>283</v>
      </c>
      <c r="I149" s="106" t="s">
        <v>296</v>
      </c>
      <c r="J149" s="106" t="s">
        <v>2362</v>
      </c>
    </row>
    <row r="150" spans="1:10" x14ac:dyDescent="0.2">
      <c r="A150" s="106" t="s">
        <v>362</v>
      </c>
      <c r="B150" s="106" t="s">
        <v>270</v>
      </c>
      <c r="C150" s="106" t="s">
        <v>271</v>
      </c>
      <c r="D150" s="106" t="s">
        <v>272</v>
      </c>
      <c r="E150">
        <v>3063</v>
      </c>
      <c r="F150" s="106" t="s">
        <v>1830</v>
      </c>
      <c r="G150" s="106" t="s">
        <v>285</v>
      </c>
      <c r="H150" s="106" t="s">
        <v>283</v>
      </c>
      <c r="I150" s="106">
        <v>68</v>
      </c>
      <c r="J150" s="106"/>
    </row>
    <row r="151" spans="1:10" x14ac:dyDescent="0.2">
      <c r="A151" s="106" t="s">
        <v>362</v>
      </c>
      <c r="B151" s="106" t="s">
        <v>270</v>
      </c>
      <c r="C151" s="106" t="s">
        <v>271</v>
      </c>
      <c r="D151" s="106" t="s">
        <v>276</v>
      </c>
      <c r="E151">
        <v>3065</v>
      </c>
      <c r="F151" s="106" t="s">
        <v>1831</v>
      </c>
      <c r="G151" s="106" t="s">
        <v>277</v>
      </c>
      <c r="H151" s="106" t="s">
        <v>283</v>
      </c>
      <c r="I151">
        <v>66</v>
      </c>
    </row>
    <row r="152" spans="1:10" x14ac:dyDescent="0.2">
      <c r="A152" s="106" t="s">
        <v>362</v>
      </c>
      <c r="B152" s="106" t="s">
        <v>270</v>
      </c>
      <c r="C152" s="106" t="s">
        <v>271</v>
      </c>
      <c r="D152" s="106" t="s">
        <v>276</v>
      </c>
      <c r="E152">
        <v>3094</v>
      </c>
      <c r="F152" s="106" t="s">
        <v>1832</v>
      </c>
      <c r="G152" s="106" t="s">
        <v>277</v>
      </c>
      <c r="H152" s="106" t="s">
        <v>283</v>
      </c>
      <c r="I152" s="106">
        <v>34</v>
      </c>
      <c r="J152" s="106"/>
    </row>
    <row r="153" spans="1:10" x14ac:dyDescent="0.2">
      <c r="A153" s="106" t="s">
        <v>362</v>
      </c>
      <c r="B153" s="106" t="s">
        <v>270</v>
      </c>
      <c r="C153" s="106" t="s">
        <v>275</v>
      </c>
      <c r="D153" s="106" t="s">
        <v>272</v>
      </c>
      <c r="E153">
        <v>3189</v>
      </c>
      <c r="F153" s="106" t="s">
        <v>1833</v>
      </c>
      <c r="G153" s="106" t="s">
        <v>277</v>
      </c>
      <c r="H153" s="106" t="s">
        <v>283</v>
      </c>
      <c r="I153" s="106">
        <v>27</v>
      </c>
      <c r="J153" s="106"/>
    </row>
    <row r="154" spans="1:10" x14ac:dyDescent="0.2">
      <c r="A154" s="106" t="s">
        <v>362</v>
      </c>
      <c r="B154" s="106" t="s">
        <v>270</v>
      </c>
      <c r="C154" s="106" t="s">
        <v>271</v>
      </c>
      <c r="D154" s="106" t="s">
        <v>272</v>
      </c>
      <c r="E154">
        <v>3194</v>
      </c>
      <c r="F154" s="106" t="s">
        <v>1834</v>
      </c>
      <c r="G154" s="106" t="s">
        <v>273</v>
      </c>
      <c r="H154" s="106" t="s">
        <v>283</v>
      </c>
      <c r="I154" s="106">
        <v>236</v>
      </c>
      <c r="J154" s="106"/>
    </row>
    <row r="155" spans="1:10" x14ac:dyDescent="0.2">
      <c r="A155" s="106" t="s">
        <v>362</v>
      </c>
      <c r="B155" s="106" t="s">
        <v>270</v>
      </c>
      <c r="C155" s="106" t="s">
        <v>280</v>
      </c>
      <c r="D155" s="106" t="s">
        <v>272</v>
      </c>
      <c r="E155">
        <v>3267</v>
      </c>
      <c r="F155" s="106" t="s">
        <v>1835</v>
      </c>
      <c r="G155" s="106" t="s">
        <v>285</v>
      </c>
      <c r="H155" s="106" t="s">
        <v>300</v>
      </c>
      <c r="I155" s="106">
        <v>256</v>
      </c>
      <c r="J155" s="106"/>
    </row>
    <row r="156" spans="1:10" x14ac:dyDescent="0.2">
      <c r="A156" s="106" t="s">
        <v>362</v>
      </c>
      <c r="B156" s="106" t="s">
        <v>270</v>
      </c>
      <c r="C156" s="106" t="s">
        <v>271</v>
      </c>
      <c r="D156" s="106" t="s">
        <v>272</v>
      </c>
      <c r="E156">
        <v>3280</v>
      </c>
      <c r="F156" s="106" t="s">
        <v>1836</v>
      </c>
      <c r="G156" s="106" t="s">
        <v>273</v>
      </c>
      <c r="H156" s="106" t="s">
        <v>299</v>
      </c>
      <c r="I156" s="106">
        <v>49</v>
      </c>
      <c r="J156" s="106"/>
    </row>
    <row r="157" spans="1:10" x14ac:dyDescent="0.2">
      <c r="A157" s="106" t="s">
        <v>362</v>
      </c>
      <c r="B157" s="106" t="s">
        <v>270</v>
      </c>
      <c r="C157" s="106" t="s">
        <v>282</v>
      </c>
      <c r="D157" s="106" t="s">
        <v>276</v>
      </c>
      <c r="E157">
        <v>3297</v>
      </c>
      <c r="F157" s="106" t="s">
        <v>567</v>
      </c>
      <c r="G157" s="106" t="s">
        <v>277</v>
      </c>
      <c r="H157" s="106" t="s">
        <v>299</v>
      </c>
      <c r="I157">
        <v>29</v>
      </c>
    </row>
    <row r="158" spans="1:10" x14ac:dyDescent="0.2">
      <c r="A158" s="106" t="s">
        <v>362</v>
      </c>
      <c r="B158" s="106" t="s">
        <v>270</v>
      </c>
      <c r="C158" s="106" t="s">
        <v>282</v>
      </c>
      <c r="D158" s="106" t="s">
        <v>272</v>
      </c>
      <c r="E158">
        <v>3349</v>
      </c>
      <c r="F158" s="106" t="s">
        <v>762</v>
      </c>
      <c r="G158" s="106" t="s">
        <v>273</v>
      </c>
      <c r="H158" s="106" t="s">
        <v>283</v>
      </c>
      <c r="I158" s="106" t="s">
        <v>323</v>
      </c>
      <c r="J158" s="106" t="s">
        <v>2363</v>
      </c>
    </row>
    <row r="159" spans="1:10" x14ac:dyDescent="0.2">
      <c r="A159" s="106" t="s">
        <v>362</v>
      </c>
      <c r="B159" s="106" t="s">
        <v>270</v>
      </c>
      <c r="C159" s="106" t="s">
        <v>280</v>
      </c>
      <c r="D159" s="106" t="s">
        <v>276</v>
      </c>
      <c r="E159">
        <v>3377</v>
      </c>
      <c r="F159" s="106" t="s">
        <v>568</v>
      </c>
      <c r="G159" s="106" t="s">
        <v>281</v>
      </c>
      <c r="H159" s="106" t="s">
        <v>279</v>
      </c>
      <c r="I159" s="106">
        <v>30</v>
      </c>
      <c r="J159" s="106"/>
    </row>
    <row r="160" spans="1:10" x14ac:dyDescent="0.2">
      <c r="A160" s="106" t="s">
        <v>362</v>
      </c>
      <c r="B160" s="106" t="s">
        <v>270</v>
      </c>
      <c r="C160" s="106" t="s">
        <v>280</v>
      </c>
      <c r="D160" s="106" t="s">
        <v>272</v>
      </c>
      <c r="E160">
        <v>3454</v>
      </c>
      <c r="F160" s="106" t="s">
        <v>552</v>
      </c>
      <c r="G160" s="106" t="s">
        <v>273</v>
      </c>
      <c r="H160" s="106" t="s">
        <v>299</v>
      </c>
      <c r="I160" s="106">
        <v>194</v>
      </c>
      <c r="J160" s="106"/>
    </row>
    <row r="161" spans="1:10" x14ac:dyDescent="0.2">
      <c r="A161" s="106" t="s">
        <v>362</v>
      </c>
      <c r="B161" s="106" t="s">
        <v>270</v>
      </c>
      <c r="C161" s="106" t="s">
        <v>271</v>
      </c>
      <c r="D161" s="106" t="s">
        <v>276</v>
      </c>
      <c r="E161">
        <v>3490</v>
      </c>
      <c r="F161" s="106" t="s">
        <v>1837</v>
      </c>
      <c r="G161" s="106" t="s">
        <v>277</v>
      </c>
      <c r="H161" s="106" t="s">
        <v>299</v>
      </c>
      <c r="I161" s="106">
        <v>14</v>
      </c>
      <c r="J161" s="106"/>
    </row>
    <row r="162" spans="1:10" x14ac:dyDescent="0.2">
      <c r="A162" s="106" t="s">
        <v>362</v>
      </c>
      <c r="B162" s="106" t="s">
        <v>270</v>
      </c>
      <c r="C162" s="106" t="s">
        <v>271</v>
      </c>
      <c r="D162" s="106" t="s">
        <v>272</v>
      </c>
      <c r="E162">
        <v>3543</v>
      </c>
      <c r="F162" s="106" t="s">
        <v>1838</v>
      </c>
      <c r="G162" s="106" t="s">
        <v>273</v>
      </c>
      <c r="H162" s="106" t="s">
        <v>279</v>
      </c>
      <c r="I162" s="106">
        <v>969</v>
      </c>
      <c r="J162" s="106"/>
    </row>
    <row r="163" spans="1:10" x14ac:dyDescent="0.2">
      <c r="A163" s="106" t="s">
        <v>362</v>
      </c>
      <c r="B163" s="106" t="s">
        <v>270</v>
      </c>
      <c r="C163" s="106" t="s">
        <v>271</v>
      </c>
      <c r="D163" s="106" t="s">
        <v>272</v>
      </c>
      <c r="E163">
        <v>3546</v>
      </c>
      <c r="F163" s="106" t="s">
        <v>367</v>
      </c>
      <c r="G163" s="106" t="s">
        <v>273</v>
      </c>
      <c r="H163" s="106" t="s">
        <v>283</v>
      </c>
      <c r="I163" s="106">
        <v>278</v>
      </c>
      <c r="J163" s="106"/>
    </row>
    <row r="164" spans="1:10" x14ac:dyDescent="0.2">
      <c r="A164" s="106" t="s">
        <v>362</v>
      </c>
      <c r="B164" s="106" t="s">
        <v>270</v>
      </c>
      <c r="C164" s="106" t="s">
        <v>275</v>
      </c>
      <c r="D164" s="106" t="s">
        <v>276</v>
      </c>
      <c r="E164">
        <v>3560</v>
      </c>
      <c r="F164" s="106" t="s">
        <v>1839</v>
      </c>
      <c r="G164" s="106" t="s">
        <v>277</v>
      </c>
      <c r="H164" s="106" t="s">
        <v>283</v>
      </c>
      <c r="I164">
        <v>126</v>
      </c>
    </row>
    <row r="165" spans="1:10" x14ac:dyDescent="0.2">
      <c r="A165" s="106" t="s">
        <v>362</v>
      </c>
      <c r="B165" s="106" t="s">
        <v>270</v>
      </c>
      <c r="C165" s="106" t="s">
        <v>275</v>
      </c>
      <c r="D165" s="106" t="s">
        <v>272</v>
      </c>
      <c r="E165">
        <v>3607</v>
      </c>
      <c r="F165" s="106" t="s">
        <v>1840</v>
      </c>
      <c r="G165" s="106" t="s">
        <v>273</v>
      </c>
      <c r="H165" s="106" t="s">
        <v>306</v>
      </c>
      <c r="I165" s="106">
        <v>47</v>
      </c>
      <c r="J165" s="106"/>
    </row>
    <row r="166" spans="1:10" x14ac:dyDescent="0.2">
      <c r="A166" s="106" t="s">
        <v>362</v>
      </c>
      <c r="B166" s="106" t="s">
        <v>270</v>
      </c>
      <c r="C166" s="106" t="s">
        <v>271</v>
      </c>
      <c r="D166" s="106" t="s">
        <v>272</v>
      </c>
      <c r="E166">
        <v>3608</v>
      </c>
      <c r="F166" s="106" t="s">
        <v>1841</v>
      </c>
      <c r="G166" s="106" t="s">
        <v>273</v>
      </c>
      <c r="H166" s="106" t="s">
        <v>306</v>
      </c>
      <c r="I166" s="106">
        <v>592</v>
      </c>
      <c r="J166" s="106"/>
    </row>
    <row r="167" spans="1:10" x14ac:dyDescent="0.2">
      <c r="A167" s="106" t="s">
        <v>362</v>
      </c>
      <c r="B167" s="106" t="s">
        <v>270</v>
      </c>
      <c r="C167" s="106" t="s">
        <v>271</v>
      </c>
      <c r="D167" s="106" t="s">
        <v>272</v>
      </c>
      <c r="E167">
        <v>3627</v>
      </c>
      <c r="F167" s="106" t="s">
        <v>1842</v>
      </c>
      <c r="G167" s="106" t="s">
        <v>273</v>
      </c>
      <c r="H167" s="106" t="s">
        <v>284</v>
      </c>
      <c r="I167" s="106">
        <v>95</v>
      </c>
      <c r="J167" s="106"/>
    </row>
    <row r="168" spans="1:10" x14ac:dyDescent="0.2">
      <c r="A168" s="106" t="s">
        <v>362</v>
      </c>
      <c r="B168" s="106" t="s">
        <v>270</v>
      </c>
      <c r="C168" s="106" t="s">
        <v>282</v>
      </c>
      <c r="D168" s="106" t="s">
        <v>272</v>
      </c>
      <c r="E168">
        <v>3645</v>
      </c>
      <c r="F168" s="106" t="s">
        <v>1843</v>
      </c>
      <c r="G168" s="106" t="s">
        <v>285</v>
      </c>
      <c r="H168" s="106" t="s">
        <v>284</v>
      </c>
      <c r="I168">
        <v>27</v>
      </c>
    </row>
    <row r="169" spans="1:10" x14ac:dyDescent="0.2">
      <c r="A169" s="106" t="s">
        <v>362</v>
      </c>
      <c r="B169" s="106" t="s">
        <v>270</v>
      </c>
      <c r="C169" s="106" t="s">
        <v>271</v>
      </c>
      <c r="D169" s="106" t="s">
        <v>272</v>
      </c>
      <c r="E169">
        <v>3670</v>
      </c>
      <c r="F169" s="106" t="s">
        <v>1844</v>
      </c>
      <c r="G169" s="106" t="s">
        <v>277</v>
      </c>
      <c r="H169" s="106" t="s">
        <v>284</v>
      </c>
      <c r="I169">
        <v>23</v>
      </c>
    </row>
    <row r="170" spans="1:10" x14ac:dyDescent="0.2">
      <c r="A170" s="106" t="s">
        <v>362</v>
      </c>
      <c r="B170" s="106" t="s">
        <v>270</v>
      </c>
      <c r="C170" s="106" t="s">
        <v>275</v>
      </c>
      <c r="D170" s="106" t="s">
        <v>272</v>
      </c>
      <c r="E170">
        <v>3711</v>
      </c>
      <c r="F170" s="106" t="s">
        <v>1845</v>
      </c>
      <c r="G170" s="106" t="s">
        <v>277</v>
      </c>
      <c r="H170" s="106" t="s">
        <v>284</v>
      </c>
      <c r="I170">
        <v>463</v>
      </c>
    </row>
    <row r="171" spans="1:10" x14ac:dyDescent="0.2">
      <c r="A171" s="106" t="s">
        <v>362</v>
      </c>
      <c r="B171" s="106" t="s">
        <v>270</v>
      </c>
      <c r="C171" s="106" t="s">
        <v>275</v>
      </c>
      <c r="D171" s="106" t="s">
        <v>272</v>
      </c>
      <c r="E171">
        <v>3815</v>
      </c>
      <c r="F171" s="106" t="s">
        <v>1846</v>
      </c>
      <c r="G171" s="106" t="s">
        <v>285</v>
      </c>
      <c r="H171" s="106" t="s">
        <v>284</v>
      </c>
      <c r="I171">
        <v>51</v>
      </c>
    </row>
    <row r="172" spans="1:10" x14ac:dyDescent="0.2">
      <c r="A172" s="106" t="s">
        <v>362</v>
      </c>
      <c r="B172" s="106" t="s">
        <v>270</v>
      </c>
      <c r="C172" s="106" t="s">
        <v>271</v>
      </c>
      <c r="D172" s="106" t="s">
        <v>276</v>
      </c>
      <c r="E172">
        <v>3826</v>
      </c>
      <c r="F172" s="106" t="s">
        <v>1847</v>
      </c>
      <c r="G172" s="106" t="s">
        <v>273</v>
      </c>
      <c r="H172" s="106" t="s">
        <v>284</v>
      </c>
      <c r="I172">
        <v>94</v>
      </c>
    </row>
    <row r="173" spans="1:10" x14ac:dyDescent="0.2">
      <c r="A173" s="106" t="s">
        <v>362</v>
      </c>
      <c r="B173" s="106" t="s">
        <v>270</v>
      </c>
      <c r="C173" s="106" t="s">
        <v>282</v>
      </c>
      <c r="D173" s="106" t="s">
        <v>276</v>
      </c>
      <c r="E173">
        <v>3892</v>
      </c>
      <c r="F173" s="106" t="s">
        <v>1848</v>
      </c>
      <c r="G173" s="106" t="s">
        <v>277</v>
      </c>
      <c r="H173" s="106" t="s">
        <v>307</v>
      </c>
      <c r="I173">
        <v>44</v>
      </c>
    </row>
    <row r="174" spans="1:10" x14ac:dyDescent="0.2">
      <c r="A174" s="106" t="s">
        <v>362</v>
      </c>
      <c r="B174" s="106" t="s">
        <v>270</v>
      </c>
      <c r="C174" s="106" t="s">
        <v>271</v>
      </c>
      <c r="D174" s="106" t="s">
        <v>272</v>
      </c>
      <c r="E174">
        <v>3915</v>
      </c>
      <c r="F174" s="106" t="s">
        <v>1849</v>
      </c>
      <c r="G174" s="106" t="s">
        <v>273</v>
      </c>
      <c r="H174" s="106" t="s">
        <v>284</v>
      </c>
      <c r="I174">
        <v>299</v>
      </c>
    </row>
    <row r="175" spans="1:10" x14ac:dyDescent="0.2">
      <c r="A175" s="106" t="s">
        <v>362</v>
      </c>
      <c r="B175" s="106" t="s">
        <v>270</v>
      </c>
      <c r="C175" s="106" t="s">
        <v>271</v>
      </c>
      <c r="D175" s="106" t="s">
        <v>272</v>
      </c>
      <c r="E175">
        <v>3922</v>
      </c>
      <c r="F175" s="106" t="s">
        <v>368</v>
      </c>
      <c r="G175" s="106" t="s">
        <v>273</v>
      </c>
      <c r="H175" s="106" t="s">
        <v>284</v>
      </c>
      <c r="I175" s="106">
        <v>162</v>
      </c>
      <c r="J175" s="106"/>
    </row>
    <row r="176" spans="1:10" x14ac:dyDescent="0.2">
      <c r="A176" s="106" t="s">
        <v>362</v>
      </c>
      <c r="B176" s="106" t="s">
        <v>270</v>
      </c>
      <c r="C176" s="106" t="s">
        <v>271</v>
      </c>
      <c r="D176" s="106" t="s">
        <v>272</v>
      </c>
      <c r="E176">
        <v>3967</v>
      </c>
      <c r="F176" s="106" t="s">
        <v>1850</v>
      </c>
      <c r="G176" s="106" t="s">
        <v>285</v>
      </c>
      <c r="H176" s="106" t="s">
        <v>284</v>
      </c>
      <c r="I176" s="106">
        <v>94</v>
      </c>
      <c r="J176" s="106"/>
    </row>
    <row r="177" spans="1:10" x14ac:dyDescent="0.2">
      <c r="A177" s="106" t="s">
        <v>362</v>
      </c>
      <c r="B177" s="106" t="s">
        <v>270</v>
      </c>
      <c r="C177" s="106" t="s">
        <v>271</v>
      </c>
      <c r="D177" s="106" t="s">
        <v>272</v>
      </c>
      <c r="E177">
        <v>4343</v>
      </c>
      <c r="F177" s="106" t="s">
        <v>2364</v>
      </c>
      <c r="G177" s="106" t="s">
        <v>273</v>
      </c>
      <c r="H177" s="106" t="s">
        <v>278</v>
      </c>
      <c r="I177" s="106">
        <v>573</v>
      </c>
      <c r="J177" s="106"/>
    </row>
    <row r="178" spans="1:10" x14ac:dyDescent="0.2">
      <c r="A178" s="106" t="s">
        <v>362</v>
      </c>
      <c r="B178" s="106" t="s">
        <v>270</v>
      </c>
      <c r="C178" s="106" t="s">
        <v>280</v>
      </c>
      <c r="D178" s="106" t="s">
        <v>276</v>
      </c>
      <c r="E178">
        <v>4394</v>
      </c>
      <c r="F178" s="106" t="s">
        <v>1851</v>
      </c>
      <c r="G178" s="106" t="s">
        <v>285</v>
      </c>
      <c r="H178" s="106" t="s">
        <v>284</v>
      </c>
      <c r="I178">
        <v>70</v>
      </c>
    </row>
    <row r="179" spans="1:10" x14ac:dyDescent="0.2">
      <c r="A179" s="106" t="s">
        <v>362</v>
      </c>
      <c r="B179" s="106" t="s">
        <v>270</v>
      </c>
      <c r="C179" s="106" t="s">
        <v>275</v>
      </c>
      <c r="D179" s="106" t="s">
        <v>272</v>
      </c>
      <c r="E179">
        <v>4439</v>
      </c>
      <c r="F179" s="106" t="s">
        <v>1852</v>
      </c>
      <c r="G179" s="106" t="s">
        <v>285</v>
      </c>
      <c r="H179" s="106" t="s">
        <v>284</v>
      </c>
      <c r="I179">
        <v>110</v>
      </c>
    </row>
    <row r="180" spans="1:10" x14ac:dyDescent="0.2">
      <c r="A180" s="106" t="s">
        <v>362</v>
      </c>
      <c r="B180" s="106" t="s">
        <v>270</v>
      </c>
      <c r="C180" s="106" t="s">
        <v>275</v>
      </c>
      <c r="D180" s="106" t="s">
        <v>272</v>
      </c>
      <c r="E180">
        <v>4440</v>
      </c>
      <c r="F180" s="106" t="s">
        <v>575</v>
      </c>
      <c r="G180" s="106" t="s">
        <v>285</v>
      </c>
      <c r="H180" s="106" t="s">
        <v>284</v>
      </c>
      <c r="I180" s="106">
        <v>99</v>
      </c>
      <c r="J180" s="106"/>
    </row>
    <row r="181" spans="1:10" x14ac:dyDescent="0.2">
      <c r="A181" s="106" t="s">
        <v>362</v>
      </c>
      <c r="B181" s="106" t="s">
        <v>270</v>
      </c>
      <c r="C181" s="106" t="s">
        <v>271</v>
      </c>
      <c r="D181" s="106" t="s">
        <v>272</v>
      </c>
      <c r="E181">
        <v>4530</v>
      </c>
      <c r="F181" s="106" t="s">
        <v>763</v>
      </c>
      <c r="G181" s="106" t="s">
        <v>273</v>
      </c>
      <c r="H181" s="106" t="s">
        <v>318</v>
      </c>
      <c r="I181" s="106" t="s">
        <v>323</v>
      </c>
      <c r="J181" s="106" t="s">
        <v>2365</v>
      </c>
    </row>
    <row r="182" spans="1:10" x14ac:dyDescent="0.2">
      <c r="A182" s="106" t="s">
        <v>362</v>
      </c>
      <c r="B182" s="106" t="s">
        <v>270</v>
      </c>
      <c r="C182" s="106" t="s">
        <v>275</v>
      </c>
      <c r="D182" s="106" t="s">
        <v>272</v>
      </c>
      <c r="E182">
        <v>4760</v>
      </c>
      <c r="F182" s="106" t="s">
        <v>1853</v>
      </c>
      <c r="G182" s="106" t="s">
        <v>277</v>
      </c>
      <c r="H182" s="106" t="s">
        <v>278</v>
      </c>
      <c r="I182" s="106">
        <v>15</v>
      </c>
      <c r="J182" s="106"/>
    </row>
    <row r="183" spans="1:10" x14ac:dyDescent="0.2">
      <c r="A183" s="106" t="s">
        <v>362</v>
      </c>
      <c r="B183" s="106" t="s">
        <v>270</v>
      </c>
      <c r="C183" s="106" t="s">
        <v>282</v>
      </c>
      <c r="D183" s="106" t="s">
        <v>272</v>
      </c>
      <c r="E183">
        <v>4829</v>
      </c>
      <c r="F183" s="106" t="s">
        <v>369</v>
      </c>
      <c r="G183" s="106" t="s">
        <v>273</v>
      </c>
      <c r="H183" s="106" t="s">
        <v>284</v>
      </c>
      <c r="I183">
        <v>94</v>
      </c>
    </row>
    <row r="184" spans="1:10" x14ac:dyDescent="0.2">
      <c r="A184" s="106" t="s">
        <v>362</v>
      </c>
      <c r="B184" s="106" t="s">
        <v>270</v>
      </c>
      <c r="C184" s="106" t="s">
        <v>271</v>
      </c>
      <c r="D184" s="106" t="s">
        <v>272</v>
      </c>
      <c r="E184">
        <v>4920</v>
      </c>
      <c r="F184" s="106" t="s">
        <v>1854</v>
      </c>
      <c r="G184" s="106" t="s">
        <v>277</v>
      </c>
      <c r="H184" s="106" t="s">
        <v>286</v>
      </c>
      <c r="I184" s="106">
        <v>50</v>
      </c>
      <c r="J184" s="106"/>
    </row>
    <row r="185" spans="1:10" x14ac:dyDescent="0.2">
      <c r="A185" s="106" t="s">
        <v>362</v>
      </c>
      <c r="B185" s="106" t="s">
        <v>270</v>
      </c>
      <c r="C185" s="106" t="s">
        <v>271</v>
      </c>
      <c r="D185" s="106" t="s">
        <v>272</v>
      </c>
      <c r="E185">
        <v>5271</v>
      </c>
      <c r="F185" s="106" t="s">
        <v>1855</v>
      </c>
      <c r="G185" s="106" t="s">
        <v>281</v>
      </c>
      <c r="H185" s="106" t="s">
        <v>315</v>
      </c>
      <c r="I185" s="106">
        <v>27</v>
      </c>
      <c r="J185" s="106"/>
    </row>
    <row r="186" spans="1:10" x14ac:dyDescent="0.2">
      <c r="A186" s="106" t="s">
        <v>362</v>
      </c>
      <c r="B186" s="106" t="s">
        <v>270</v>
      </c>
      <c r="C186" s="106" t="s">
        <v>271</v>
      </c>
      <c r="D186" s="106" t="s">
        <v>276</v>
      </c>
      <c r="E186">
        <v>5900</v>
      </c>
      <c r="F186" s="106" t="s">
        <v>1856</v>
      </c>
      <c r="G186" s="106" t="s">
        <v>277</v>
      </c>
      <c r="H186" s="106" t="s">
        <v>288</v>
      </c>
      <c r="I186" s="106">
        <v>43</v>
      </c>
      <c r="J186" s="106"/>
    </row>
    <row r="187" spans="1:10" x14ac:dyDescent="0.2">
      <c r="A187" s="106" t="s">
        <v>362</v>
      </c>
      <c r="B187" s="106" t="s">
        <v>270</v>
      </c>
      <c r="C187" s="106" t="s">
        <v>271</v>
      </c>
      <c r="D187" s="106" t="s">
        <v>272</v>
      </c>
      <c r="E187">
        <v>5982</v>
      </c>
      <c r="F187" s="106" t="s">
        <v>1857</v>
      </c>
      <c r="G187" s="106" t="s">
        <v>281</v>
      </c>
      <c r="H187" s="106" t="s">
        <v>288</v>
      </c>
      <c r="I187" s="106">
        <v>422</v>
      </c>
      <c r="J187" s="106"/>
    </row>
    <row r="188" spans="1:10" x14ac:dyDescent="0.2">
      <c r="A188" s="106" t="s">
        <v>362</v>
      </c>
      <c r="B188" s="106" t="s">
        <v>270</v>
      </c>
      <c r="C188" s="106" t="s">
        <v>271</v>
      </c>
      <c r="D188" s="106" t="s">
        <v>272</v>
      </c>
      <c r="E188">
        <v>6058</v>
      </c>
      <c r="F188" s="106" t="s">
        <v>370</v>
      </c>
      <c r="G188" s="106" t="s">
        <v>273</v>
      </c>
      <c r="H188" s="106" t="s">
        <v>278</v>
      </c>
      <c r="I188" s="106">
        <v>504</v>
      </c>
      <c r="J188" s="106"/>
    </row>
    <row r="189" spans="1:10" x14ac:dyDescent="0.2">
      <c r="A189" s="106" t="s">
        <v>362</v>
      </c>
      <c r="B189" s="106" t="s">
        <v>270</v>
      </c>
      <c r="C189" s="106" t="s">
        <v>282</v>
      </c>
      <c r="D189" s="106" t="s">
        <v>272</v>
      </c>
      <c r="E189">
        <v>6150</v>
      </c>
      <c r="F189" s="106" t="s">
        <v>1858</v>
      </c>
      <c r="G189" s="106" t="s">
        <v>277</v>
      </c>
      <c r="H189" s="106" t="s">
        <v>294</v>
      </c>
      <c r="I189" s="106">
        <v>30</v>
      </c>
      <c r="J189" s="106"/>
    </row>
    <row r="190" spans="1:10" x14ac:dyDescent="0.2">
      <c r="A190" s="106" t="s">
        <v>362</v>
      </c>
      <c r="B190" s="106" t="s">
        <v>270</v>
      </c>
      <c r="C190" s="106" t="s">
        <v>275</v>
      </c>
      <c r="D190" s="106" t="s">
        <v>272</v>
      </c>
      <c r="E190">
        <v>6255</v>
      </c>
      <c r="F190" s="106" t="s">
        <v>1859</v>
      </c>
      <c r="G190" s="106" t="s">
        <v>285</v>
      </c>
      <c r="H190" s="106" t="s">
        <v>294</v>
      </c>
      <c r="I190">
        <v>97</v>
      </c>
    </row>
    <row r="191" spans="1:10" x14ac:dyDescent="0.2">
      <c r="A191" s="106" t="s">
        <v>362</v>
      </c>
      <c r="B191" s="106" t="s">
        <v>270</v>
      </c>
      <c r="C191" s="106" t="s">
        <v>275</v>
      </c>
      <c r="D191" s="106" t="s">
        <v>272</v>
      </c>
      <c r="E191">
        <v>6289</v>
      </c>
      <c r="F191" s="106" t="s">
        <v>833</v>
      </c>
      <c r="G191" s="106" t="s">
        <v>273</v>
      </c>
      <c r="H191" s="106" t="s">
        <v>294</v>
      </c>
      <c r="I191" s="106" t="s">
        <v>304</v>
      </c>
      <c r="J191" s="106" t="s">
        <v>2251</v>
      </c>
    </row>
    <row r="192" spans="1:10" x14ac:dyDescent="0.2">
      <c r="A192" s="106" t="s">
        <v>362</v>
      </c>
      <c r="B192" s="106" t="s">
        <v>270</v>
      </c>
      <c r="C192" s="106" t="s">
        <v>271</v>
      </c>
      <c r="D192" s="106" t="s">
        <v>272</v>
      </c>
      <c r="E192">
        <v>6323</v>
      </c>
      <c r="F192" s="106" t="s">
        <v>1860</v>
      </c>
      <c r="G192" s="106" t="s">
        <v>273</v>
      </c>
      <c r="H192" s="106" t="s">
        <v>294</v>
      </c>
      <c r="I192" s="106">
        <v>746</v>
      </c>
      <c r="J192" s="106"/>
    </row>
    <row r="193" spans="1:10" x14ac:dyDescent="0.2">
      <c r="A193" s="106" t="s">
        <v>362</v>
      </c>
      <c r="B193" s="106" t="s">
        <v>270</v>
      </c>
      <c r="C193" s="106" t="s">
        <v>280</v>
      </c>
      <c r="D193" s="106" t="s">
        <v>272</v>
      </c>
      <c r="E193">
        <v>6492</v>
      </c>
      <c r="F193" s="106" t="s">
        <v>371</v>
      </c>
      <c r="G193" s="106" t="s">
        <v>281</v>
      </c>
      <c r="H193" s="106" t="s">
        <v>294</v>
      </c>
      <c r="I193" s="106">
        <v>38</v>
      </c>
      <c r="J193" s="106"/>
    </row>
    <row r="194" spans="1:10" x14ac:dyDescent="0.2">
      <c r="A194" s="106" t="s">
        <v>362</v>
      </c>
      <c r="B194" s="106" t="s">
        <v>270</v>
      </c>
      <c r="C194" s="106" t="s">
        <v>275</v>
      </c>
      <c r="D194" s="106" t="s">
        <v>272</v>
      </c>
      <c r="E194">
        <v>6668</v>
      </c>
      <c r="F194" s="106" t="s">
        <v>1861</v>
      </c>
      <c r="G194" s="106" t="s">
        <v>281</v>
      </c>
      <c r="H194" s="106" t="s">
        <v>298</v>
      </c>
      <c r="I194" s="106">
        <v>136</v>
      </c>
      <c r="J194" s="106"/>
    </row>
    <row r="195" spans="1:10" x14ac:dyDescent="0.2">
      <c r="A195" s="106" t="s">
        <v>362</v>
      </c>
      <c r="B195" s="106" t="s">
        <v>270</v>
      </c>
      <c r="C195" s="106" t="s">
        <v>271</v>
      </c>
      <c r="D195" s="106" t="s">
        <v>272</v>
      </c>
      <c r="E195">
        <v>6897</v>
      </c>
      <c r="F195" s="106" t="s">
        <v>1862</v>
      </c>
      <c r="G195" s="106" t="s">
        <v>281</v>
      </c>
      <c r="H195" s="106" t="s">
        <v>298</v>
      </c>
      <c r="I195" s="106">
        <v>44</v>
      </c>
      <c r="J195" s="106"/>
    </row>
    <row r="196" spans="1:10" x14ac:dyDescent="0.2">
      <c r="A196" s="106" t="s">
        <v>362</v>
      </c>
      <c r="B196" s="106" t="s">
        <v>270</v>
      </c>
      <c r="C196" s="106" t="s">
        <v>282</v>
      </c>
      <c r="D196" s="106" t="s">
        <v>276</v>
      </c>
      <c r="E196">
        <v>7068</v>
      </c>
      <c r="F196" s="106" t="s">
        <v>341</v>
      </c>
      <c r="G196" s="106" t="s">
        <v>285</v>
      </c>
      <c r="H196" s="106" t="s">
        <v>278</v>
      </c>
      <c r="I196" s="106">
        <v>106</v>
      </c>
      <c r="J196" s="106"/>
    </row>
    <row r="197" spans="1:10" x14ac:dyDescent="0.2">
      <c r="A197" s="106" t="s">
        <v>362</v>
      </c>
      <c r="B197" s="106" t="s">
        <v>270</v>
      </c>
      <c r="C197" s="106" t="s">
        <v>280</v>
      </c>
      <c r="D197" s="106" t="s">
        <v>276</v>
      </c>
      <c r="E197">
        <v>7074</v>
      </c>
      <c r="F197" s="106">
        <v>247</v>
      </c>
      <c r="G197" s="106" t="s">
        <v>285</v>
      </c>
      <c r="H197" s="106" t="s">
        <v>278</v>
      </c>
      <c r="I197">
        <v>151</v>
      </c>
    </row>
    <row r="198" spans="1:10" x14ac:dyDescent="0.2">
      <c r="A198" s="106" t="s">
        <v>362</v>
      </c>
      <c r="B198" s="106" t="s">
        <v>270</v>
      </c>
      <c r="C198" s="106" t="s">
        <v>275</v>
      </c>
      <c r="D198" s="106" t="s">
        <v>272</v>
      </c>
      <c r="E198">
        <v>7219</v>
      </c>
      <c r="F198" s="106" t="s">
        <v>1863</v>
      </c>
      <c r="G198" s="106" t="s">
        <v>277</v>
      </c>
      <c r="H198" s="106" t="s">
        <v>303</v>
      </c>
      <c r="I198" s="106">
        <v>30</v>
      </c>
      <c r="J198" s="106"/>
    </row>
    <row r="199" spans="1:10" x14ac:dyDescent="0.2">
      <c r="A199" s="106" t="s">
        <v>362</v>
      </c>
      <c r="B199" s="106" t="s">
        <v>270</v>
      </c>
      <c r="C199" s="106" t="s">
        <v>282</v>
      </c>
      <c r="D199" s="106" t="s">
        <v>272</v>
      </c>
      <c r="E199">
        <v>7420</v>
      </c>
      <c r="F199" s="106" t="s">
        <v>764</v>
      </c>
      <c r="G199" s="106" t="s">
        <v>273</v>
      </c>
      <c r="H199" s="106" t="s">
        <v>279</v>
      </c>
      <c r="I199" s="106">
        <v>168</v>
      </c>
      <c r="J199" s="106"/>
    </row>
    <row r="200" spans="1:10" x14ac:dyDescent="0.2">
      <c r="A200" s="106" t="s">
        <v>362</v>
      </c>
      <c r="B200" s="106" t="s">
        <v>270</v>
      </c>
      <c r="C200" s="106" t="s">
        <v>271</v>
      </c>
      <c r="D200" s="106" t="s">
        <v>272</v>
      </c>
      <c r="E200">
        <v>7427</v>
      </c>
      <c r="F200" s="106" t="s">
        <v>1864</v>
      </c>
      <c r="G200" s="106" t="s">
        <v>273</v>
      </c>
      <c r="H200" s="106" t="s">
        <v>279</v>
      </c>
      <c r="I200">
        <v>33</v>
      </c>
    </row>
    <row r="201" spans="1:10" x14ac:dyDescent="0.2">
      <c r="A201" s="106" t="s">
        <v>362</v>
      </c>
      <c r="B201" s="106" t="s">
        <v>270</v>
      </c>
      <c r="C201" s="106" t="s">
        <v>282</v>
      </c>
      <c r="D201" s="106" t="s">
        <v>276</v>
      </c>
      <c r="E201">
        <v>7434</v>
      </c>
      <c r="F201" s="106" t="s">
        <v>1865</v>
      </c>
      <c r="G201" s="106" t="s">
        <v>277</v>
      </c>
      <c r="H201" s="106" t="s">
        <v>279</v>
      </c>
      <c r="I201" s="106">
        <v>73</v>
      </c>
      <c r="J201" s="106"/>
    </row>
    <row r="202" spans="1:10" x14ac:dyDescent="0.2">
      <c r="A202" s="106" t="s">
        <v>362</v>
      </c>
      <c r="B202" s="106" t="s">
        <v>270</v>
      </c>
      <c r="C202" s="106" t="s">
        <v>271</v>
      </c>
      <c r="D202" s="106" t="s">
        <v>276</v>
      </c>
      <c r="E202">
        <v>7450</v>
      </c>
      <c r="F202" s="106" t="s">
        <v>1866</v>
      </c>
      <c r="G202" s="106" t="s">
        <v>277</v>
      </c>
      <c r="H202" s="106" t="s">
        <v>283</v>
      </c>
      <c r="I202">
        <v>167</v>
      </c>
    </row>
    <row r="203" spans="1:10" x14ac:dyDescent="0.2">
      <c r="A203" s="106" t="s">
        <v>362</v>
      </c>
      <c r="B203" s="106" t="s">
        <v>270</v>
      </c>
      <c r="C203" s="106" t="s">
        <v>271</v>
      </c>
      <c r="D203" s="106" t="s">
        <v>272</v>
      </c>
      <c r="E203">
        <v>7453</v>
      </c>
      <c r="F203" s="106" t="s">
        <v>765</v>
      </c>
      <c r="G203" s="106" t="s">
        <v>273</v>
      </c>
      <c r="H203" s="106" t="s">
        <v>283</v>
      </c>
      <c r="I203" t="s">
        <v>588</v>
      </c>
      <c r="J203" t="s">
        <v>2366</v>
      </c>
    </row>
    <row r="204" spans="1:10" x14ac:dyDescent="0.2">
      <c r="A204" s="106" t="s">
        <v>362</v>
      </c>
      <c r="B204" s="106" t="s">
        <v>270</v>
      </c>
      <c r="C204" s="106" t="s">
        <v>271</v>
      </c>
      <c r="D204" s="106" t="s">
        <v>276</v>
      </c>
      <c r="E204">
        <v>7465</v>
      </c>
      <c r="F204" s="106" t="s">
        <v>2367</v>
      </c>
      <c r="G204" s="106" t="s">
        <v>277</v>
      </c>
      <c r="H204" s="106" t="s">
        <v>283</v>
      </c>
      <c r="I204" s="106">
        <v>258</v>
      </c>
      <c r="J204" s="106"/>
    </row>
    <row r="205" spans="1:10" x14ac:dyDescent="0.2">
      <c r="A205" s="106" t="s">
        <v>362</v>
      </c>
      <c r="B205" s="106" t="s">
        <v>270</v>
      </c>
      <c r="C205" s="106" t="s">
        <v>271</v>
      </c>
      <c r="D205" s="106" t="s">
        <v>276</v>
      </c>
      <c r="E205">
        <v>7512</v>
      </c>
      <c r="F205" s="106" t="s">
        <v>2368</v>
      </c>
      <c r="G205" s="106" t="s">
        <v>273</v>
      </c>
      <c r="H205" s="106" t="s">
        <v>283</v>
      </c>
      <c r="I205" s="106">
        <v>843</v>
      </c>
      <c r="J205" s="106"/>
    </row>
    <row r="206" spans="1:10" x14ac:dyDescent="0.2">
      <c r="A206" s="106" t="s">
        <v>362</v>
      </c>
      <c r="B206" s="106" t="s">
        <v>270</v>
      </c>
      <c r="C206" s="106" t="s">
        <v>271</v>
      </c>
      <c r="D206" s="106" t="s">
        <v>272</v>
      </c>
      <c r="E206">
        <v>7516</v>
      </c>
      <c r="F206" s="106" t="s">
        <v>1868</v>
      </c>
      <c r="G206" s="106" t="s">
        <v>273</v>
      </c>
      <c r="H206" s="106" t="s">
        <v>283</v>
      </c>
      <c r="I206" s="106">
        <v>892</v>
      </c>
      <c r="J206" s="106"/>
    </row>
    <row r="207" spans="1:10" x14ac:dyDescent="0.2">
      <c r="A207" s="106" t="s">
        <v>362</v>
      </c>
      <c r="B207" s="106" t="s">
        <v>270</v>
      </c>
      <c r="C207" s="106" t="s">
        <v>271</v>
      </c>
      <c r="D207" s="106" t="s">
        <v>272</v>
      </c>
      <c r="E207">
        <v>7520</v>
      </c>
      <c r="F207" s="106" t="s">
        <v>1869</v>
      </c>
      <c r="G207" s="106" t="s">
        <v>273</v>
      </c>
      <c r="H207" s="106" t="s">
        <v>283</v>
      </c>
      <c r="I207">
        <v>198</v>
      </c>
    </row>
    <row r="208" spans="1:10" x14ac:dyDescent="0.2">
      <c r="A208" s="106" t="s">
        <v>362</v>
      </c>
      <c r="B208" s="106" t="s">
        <v>270</v>
      </c>
      <c r="C208" s="106" t="s">
        <v>271</v>
      </c>
      <c r="D208" s="106" t="s">
        <v>276</v>
      </c>
      <c r="E208">
        <v>7603</v>
      </c>
      <c r="F208" s="106" t="s">
        <v>1870</v>
      </c>
      <c r="G208" s="106" t="s">
        <v>277</v>
      </c>
      <c r="H208" s="106" t="s">
        <v>283</v>
      </c>
      <c r="I208" s="106">
        <v>93</v>
      </c>
      <c r="J208" s="106"/>
    </row>
    <row r="209" spans="1:10" x14ac:dyDescent="0.2">
      <c r="A209" s="106" t="s">
        <v>362</v>
      </c>
      <c r="B209" s="106" t="s">
        <v>270</v>
      </c>
      <c r="C209" s="106" t="s">
        <v>275</v>
      </c>
      <c r="D209" s="106" t="s">
        <v>272</v>
      </c>
      <c r="E209">
        <v>7607</v>
      </c>
      <c r="F209" s="106" t="s">
        <v>1871</v>
      </c>
      <c r="G209" s="106" t="s">
        <v>273</v>
      </c>
      <c r="H209" s="106" t="s">
        <v>279</v>
      </c>
      <c r="I209" s="106">
        <v>351</v>
      </c>
      <c r="J209" s="106"/>
    </row>
    <row r="210" spans="1:10" x14ac:dyDescent="0.2">
      <c r="A210" s="106" t="s">
        <v>362</v>
      </c>
      <c r="B210" s="106" t="s">
        <v>270</v>
      </c>
      <c r="C210" s="106" t="s">
        <v>282</v>
      </c>
      <c r="D210" s="106" t="s">
        <v>272</v>
      </c>
      <c r="E210">
        <v>7713</v>
      </c>
      <c r="F210" s="106" t="s">
        <v>766</v>
      </c>
      <c r="G210" s="106" t="s">
        <v>277</v>
      </c>
      <c r="H210" s="106" t="s">
        <v>384</v>
      </c>
      <c r="I210" s="106">
        <v>139</v>
      </c>
      <c r="J210" s="106"/>
    </row>
    <row r="211" spans="1:10" x14ac:dyDescent="0.2">
      <c r="A211" s="106" t="s">
        <v>362</v>
      </c>
      <c r="B211" s="106" t="s">
        <v>270</v>
      </c>
      <c r="C211" s="106" t="s">
        <v>282</v>
      </c>
      <c r="D211" s="106" t="s">
        <v>272</v>
      </c>
      <c r="E211">
        <v>7725</v>
      </c>
      <c r="F211" s="106" t="s">
        <v>1872</v>
      </c>
      <c r="G211" s="106" t="s">
        <v>273</v>
      </c>
      <c r="H211" s="106" t="s">
        <v>384</v>
      </c>
      <c r="I211" s="106">
        <v>340</v>
      </c>
      <c r="J211" s="106"/>
    </row>
    <row r="212" spans="1:10" x14ac:dyDescent="0.2">
      <c r="A212" s="106" t="s">
        <v>362</v>
      </c>
      <c r="B212" s="106" t="s">
        <v>270</v>
      </c>
      <c r="C212" s="106" t="s">
        <v>275</v>
      </c>
      <c r="D212" s="106" t="s">
        <v>272</v>
      </c>
      <c r="E212">
        <v>7730</v>
      </c>
      <c r="F212" s="106" t="s">
        <v>1873</v>
      </c>
      <c r="G212" s="106" t="s">
        <v>273</v>
      </c>
      <c r="H212" s="106" t="s">
        <v>384</v>
      </c>
      <c r="I212" s="106" t="s">
        <v>357</v>
      </c>
      <c r="J212" s="106" t="s">
        <v>2249</v>
      </c>
    </row>
    <row r="213" spans="1:10" x14ac:dyDescent="0.2">
      <c r="A213" s="106" t="s">
        <v>362</v>
      </c>
      <c r="B213" s="106" t="s">
        <v>270</v>
      </c>
      <c r="C213" s="106" t="s">
        <v>271</v>
      </c>
      <c r="D213" s="106" t="s">
        <v>272</v>
      </c>
      <c r="E213">
        <v>7807</v>
      </c>
      <c r="F213" s="106" t="s">
        <v>1874</v>
      </c>
      <c r="G213" s="106" t="s">
        <v>277</v>
      </c>
      <c r="H213" s="106" t="s">
        <v>295</v>
      </c>
      <c r="I213" s="106">
        <v>62</v>
      </c>
      <c r="J213" s="106"/>
    </row>
    <row r="214" spans="1:10" x14ac:dyDescent="0.2">
      <c r="A214" s="106" t="s">
        <v>362</v>
      </c>
      <c r="B214" s="106" t="s">
        <v>270</v>
      </c>
      <c r="C214" s="106" t="s">
        <v>275</v>
      </c>
      <c r="D214" s="106" t="s">
        <v>272</v>
      </c>
      <c r="E214">
        <v>7818</v>
      </c>
      <c r="F214" s="106" t="s">
        <v>1875</v>
      </c>
      <c r="G214" s="106" t="s">
        <v>273</v>
      </c>
      <c r="H214" s="106" t="s">
        <v>295</v>
      </c>
      <c r="I214" s="106">
        <v>291</v>
      </c>
      <c r="J214" s="106"/>
    </row>
    <row r="215" spans="1:10" x14ac:dyDescent="0.2">
      <c r="A215" s="106" t="s">
        <v>362</v>
      </c>
      <c r="B215" s="106" t="s">
        <v>270</v>
      </c>
      <c r="C215" s="106" t="s">
        <v>275</v>
      </c>
      <c r="D215" s="106" t="s">
        <v>272</v>
      </c>
      <c r="E215">
        <v>7928</v>
      </c>
      <c r="F215" s="106" t="s">
        <v>1876</v>
      </c>
      <c r="G215" s="106" t="s">
        <v>277</v>
      </c>
      <c r="H215" s="106" t="s">
        <v>286</v>
      </c>
      <c r="I215" s="106">
        <v>20</v>
      </c>
      <c r="J215" s="106"/>
    </row>
    <row r="216" spans="1:10" x14ac:dyDescent="0.2">
      <c r="A216" s="106" t="s">
        <v>362</v>
      </c>
      <c r="B216" s="106" t="s">
        <v>270</v>
      </c>
      <c r="C216" s="106" t="s">
        <v>271</v>
      </c>
      <c r="D216" s="106" t="s">
        <v>272</v>
      </c>
      <c r="E216">
        <v>8016</v>
      </c>
      <c r="F216" s="106" t="s">
        <v>1877</v>
      </c>
      <c r="G216" s="106" t="s">
        <v>273</v>
      </c>
      <c r="H216" s="106" t="s">
        <v>306</v>
      </c>
      <c r="I216" s="106" t="s">
        <v>304</v>
      </c>
      <c r="J216" s="106" t="s">
        <v>2369</v>
      </c>
    </row>
    <row r="217" spans="1:10" x14ac:dyDescent="0.2">
      <c r="A217" s="106" t="s">
        <v>362</v>
      </c>
      <c r="B217" s="106" t="s">
        <v>270</v>
      </c>
      <c r="C217" s="106" t="s">
        <v>271</v>
      </c>
      <c r="D217" s="106" t="s">
        <v>272</v>
      </c>
      <c r="E217">
        <v>8028</v>
      </c>
      <c r="F217" s="106" t="s">
        <v>1879</v>
      </c>
      <c r="G217" s="106" t="s">
        <v>273</v>
      </c>
      <c r="H217" s="106" t="s">
        <v>283</v>
      </c>
      <c r="I217" t="s">
        <v>495</v>
      </c>
      <c r="J217" t="s">
        <v>2370</v>
      </c>
    </row>
    <row r="218" spans="1:10" x14ac:dyDescent="0.2">
      <c r="A218" s="106" t="s">
        <v>362</v>
      </c>
      <c r="B218" s="106" t="s">
        <v>270</v>
      </c>
      <c r="C218" s="106" t="s">
        <v>280</v>
      </c>
      <c r="D218" s="106" t="s">
        <v>272</v>
      </c>
      <c r="E218">
        <v>8095</v>
      </c>
      <c r="F218" s="106" t="s">
        <v>1880</v>
      </c>
      <c r="G218" s="106" t="s">
        <v>273</v>
      </c>
      <c r="H218" s="106" t="s">
        <v>279</v>
      </c>
      <c r="I218" s="106">
        <v>160</v>
      </c>
      <c r="J218" s="106"/>
    </row>
    <row r="219" spans="1:10" x14ac:dyDescent="0.2">
      <c r="A219" s="106" t="s">
        <v>362</v>
      </c>
      <c r="B219" s="106" t="s">
        <v>270</v>
      </c>
      <c r="C219" s="106" t="s">
        <v>275</v>
      </c>
      <c r="D219" s="106" t="s">
        <v>272</v>
      </c>
      <c r="E219">
        <v>8127</v>
      </c>
      <c r="F219" s="106" t="s">
        <v>1881</v>
      </c>
      <c r="G219" s="106" t="s">
        <v>273</v>
      </c>
      <c r="H219" s="106" t="s">
        <v>306</v>
      </c>
      <c r="I219" s="106">
        <v>87</v>
      </c>
      <c r="J219" s="106"/>
    </row>
    <row r="220" spans="1:10" x14ac:dyDescent="0.2">
      <c r="A220" s="106" t="s">
        <v>362</v>
      </c>
      <c r="B220" s="106" t="s">
        <v>270</v>
      </c>
      <c r="C220" s="106" t="s">
        <v>271</v>
      </c>
      <c r="D220" s="106" t="s">
        <v>272</v>
      </c>
      <c r="E220">
        <v>8143</v>
      </c>
      <c r="F220" s="106" t="s">
        <v>1882</v>
      </c>
      <c r="G220" s="106" t="s">
        <v>281</v>
      </c>
      <c r="H220" s="106" t="s">
        <v>306</v>
      </c>
      <c r="I220">
        <v>18</v>
      </c>
    </row>
    <row r="221" spans="1:10" x14ac:dyDescent="0.2">
      <c r="A221" s="106" t="s">
        <v>362</v>
      </c>
      <c r="B221" s="106" t="s">
        <v>270</v>
      </c>
      <c r="C221" s="106" t="s">
        <v>271</v>
      </c>
      <c r="D221" s="106" t="s">
        <v>272</v>
      </c>
      <c r="E221">
        <v>8167</v>
      </c>
      <c r="F221" s="106" t="s">
        <v>1883</v>
      </c>
      <c r="G221" s="106" t="s">
        <v>281</v>
      </c>
      <c r="H221" s="106" t="s">
        <v>283</v>
      </c>
      <c r="I221">
        <v>412</v>
      </c>
    </row>
    <row r="222" spans="1:10" x14ac:dyDescent="0.2">
      <c r="A222" s="106" t="s">
        <v>362</v>
      </c>
      <c r="B222" s="106" t="s">
        <v>270</v>
      </c>
      <c r="C222" s="106" t="s">
        <v>271</v>
      </c>
      <c r="D222" s="106" t="s">
        <v>272</v>
      </c>
      <c r="E222">
        <v>8185</v>
      </c>
      <c r="F222" s="106" t="s">
        <v>1884</v>
      </c>
      <c r="G222" s="106" t="s">
        <v>273</v>
      </c>
      <c r="H222" s="106" t="s">
        <v>283</v>
      </c>
      <c r="I222">
        <v>661</v>
      </c>
    </row>
    <row r="223" spans="1:10" x14ac:dyDescent="0.2">
      <c r="A223" s="106" t="s">
        <v>362</v>
      </c>
      <c r="B223" s="106" t="s">
        <v>270</v>
      </c>
      <c r="C223" s="106" t="s">
        <v>271</v>
      </c>
      <c r="D223" s="106" t="s">
        <v>272</v>
      </c>
      <c r="E223">
        <v>8194</v>
      </c>
      <c r="F223" s="106" t="s">
        <v>1885</v>
      </c>
      <c r="G223" s="106" t="s">
        <v>273</v>
      </c>
      <c r="H223" s="106" t="s">
        <v>283</v>
      </c>
      <c r="I223" s="106" t="s">
        <v>304</v>
      </c>
      <c r="J223" s="106" t="s">
        <v>2371</v>
      </c>
    </row>
    <row r="224" spans="1:10" x14ac:dyDescent="0.2">
      <c r="A224" s="106" t="s">
        <v>362</v>
      </c>
      <c r="B224" s="106" t="s">
        <v>270</v>
      </c>
      <c r="C224" s="106" t="s">
        <v>271</v>
      </c>
      <c r="D224" s="106" t="s">
        <v>272</v>
      </c>
      <c r="E224">
        <v>8198</v>
      </c>
      <c r="F224" s="106" t="s">
        <v>2372</v>
      </c>
      <c r="G224" s="106" t="s">
        <v>281</v>
      </c>
      <c r="H224" s="106" t="s">
        <v>283</v>
      </c>
      <c r="I224" s="106">
        <v>836</v>
      </c>
      <c r="J224" s="106"/>
    </row>
    <row r="225" spans="1:10" x14ac:dyDescent="0.2">
      <c r="A225" s="106" t="s">
        <v>362</v>
      </c>
      <c r="B225" s="106" t="s">
        <v>270</v>
      </c>
      <c r="C225" s="106" t="s">
        <v>271</v>
      </c>
      <c r="D225" s="106" t="s">
        <v>272</v>
      </c>
      <c r="E225">
        <v>8203</v>
      </c>
      <c r="F225" s="106" t="s">
        <v>1886</v>
      </c>
      <c r="G225" s="106" t="s">
        <v>273</v>
      </c>
      <c r="H225" s="106" t="s">
        <v>283</v>
      </c>
      <c r="I225" s="106">
        <v>193</v>
      </c>
      <c r="J225" s="106"/>
    </row>
    <row r="226" spans="1:10" x14ac:dyDescent="0.2">
      <c r="A226" s="106" t="s">
        <v>362</v>
      </c>
      <c r="B226" s="106" t="s">
        <v>270</v>
      </c>
      <c r="C226" s="106" t="s">
        <v>271</v>
      </c>
      <c r="D226" s="106" t="s">
        <v>272</v>
      </c>
      <c r="E226">
        <v>8267</v>
      </c>
      <c r="F226" s="106" t="s">
        <v>2373</v>
      </c>
      <c r="G226" s="106" t="s">
        <v>273</v>
      </c>
      <c r="H226" s="106" t="s">
        <v>283</v>
      </c>
      <c r="I226" s="106" t="s">
        <v>831</v>
      </c>
      <c r="J226" s="106" t="s">
        <v>2374</v>
      </c>
    </row>
    <row r="227" spans="1:10" x14ac:dyDescent="0.2">
      <c r="A227" s="106" t="s">
        <v>362</v>
      </c>
      <c r="B227" s="106" t="s">
        <v>270</v>
      </c>
      <c r="C227" s="106" t="s">
        <v>271</v>
      </c>
      <c r="D227" s="106" t="s">
        <v>272</v>
      </c>
      <c r="E227">
        <v>8287</v>
      </c>
      <c r="F227" s="106" t="s">
        <v>1887</v>
      </c>
      <c r="G227" s="106" t="s">
        <v>281</v>
      </c>
      <c r="H227" s="106" t="s">
        <v>283</v>
      </c>
      <c r="I227" s="106">
        <v>916</v>
      </c>
      <c r="J227" s="106"/>
    </row>
    <row r="228" spans="1:10" x14ac:dyDescent="0.2">
      <c r="A228" s="106" t="s">
        <v>362</v>
      </c>
      <c r="B228" s="106" t="s">
        <v>270</v>
      </c>
      <c r="C228" s="106" t="s">
        <v>275</v>
      </c>
      <c r="D228" s="106" t="s">
        <v>272</v>
      </c>
      <c r="E228">
        <v>8904</v>
      </c>
      <c r="F228" s="106" t="s">
        <v>1888</v>
      </c>
      <c r="G228" s="106" t="s">
        <v>273</v>
      </c>
      <c r="H228" s="106" t="s">
        <v>299</v>
      </c>
      <c r="I228" s="106">
        <v>153</v>
      </c>
      <c r="J228" s="106"/>
    </row>
    <row r="229" spans="1:10" x14ac:dyDescent="0.2">
      <c r="A229" s="106" t="s">
        <v>362</v>
      </c>
      <c r="B229" s="106" t="s">
        <v>270</v>
      </c>
      <c r="C229" s="106" t="s">
        <v>280</v>
      </c>
      <c r="D229" s="106" t="s">
        <v>276</v>
      </c>
      <c r="E229">
        <v>9286</v>
      </c>
      <c r="F229" s="106" t="s">
        <v>1889</v>
      </c>
      <c r="G229" s="106" t="s">
        <v>310</v>
      </c>
      <c r="H229" s="106" t="s">
        <v>311</v>
      </c>
      <c r="I229" s="106">
        <v>87</v>
      </c>
      <c r="J229" s="106"/>
    </row>
    <row r="230" spans="1:10" x14ac:dyDescent="0.2">
      <c r="A230" s="106" t="s">
        <v>362</v>
      </c>
      <c r="B230" s="106" t="s">
        <v>270</v>
      </c>
      <c r="C230" s="106" t="s">
        <v>280</v>
      </c>
      <c r="D230" s="106" t="s">
        <v>272</v>
      </c>
      <c r="E230">
        <v>9313</v>
      </c>
      <c r="F230" s="106" t="s">
        <v>1890</v>
      </c>
      <c r="G230" s="106" t="s">
        <v>281</v>
      </c>
      <c r="H230" s="106" t="s">
        <v>626</v>
      </c>
      <c r="I230">
        <v>55</v>
      </c>
    </row>
    <row r="231" spans="1:10" x14ac:dyDescent="0.2">
      <c r="A231" s="106" t="s">
        <v>362</v>
      </c>
      <c r="B231" s="106" t="s">
        <v>270</v>
      </c>
      <c r="C231" s="106" t="s">
        <v>271</v>
      </c>
      <c r="D231" s="106" t="s">
        <v>272</v>
      </c>
      <c r="E231">
        <v>9381</v>
      </c>
      <c r="F231" s="106" t="s">
        <v>767</v>
      </c>
      <c r="G231" s="106" t="s">
        <v>273</v>
      </c>
      <c r="H231" s="106" t="s">
        <v>626</v>
      </c>
      <c r="I231" s="106">
        <v>230</v>
      </c>
      <c r="J231" s="106"/>
    </row>
    <row r="232" spans="1:10" x14ac:dyDescent="0.2">
      <c r="A232" s="106" t="s">
        <v>362</v>
      </c>
      <c r="B232" s="106" t="s">
        <v>270</v>
      </c>
      <c r="C232" s="106" t="s">
        <v>275</v>
      </c>
      <c r="D232" s="106" t="s">
        <v>272</v>
      </c>
      <c r="E232">
        <v>9418</v>
      </c>
      <c r="F232" s="106" t="s">
        <v>2375</v>
      </c>
      <c r="G232" s="106" t="s">
        <v>273</v>
      </c>
      <c r="H232" s="106" t="s">
        <v>284</v>
      </c>
      <c r="I232" s="106">
        <v>871</v>
      </c>
      <c r="J232" s="106"/>
    </row>
    <row r="233" spans="1:10" x14ac:dyDescent="0.2">
      <c r="A233" s="106" t="s">
        <v>362</v>
      </c>
      <c r="B233" s="106" t="s">
        <v>270</v>
      </c>
      <c r="C233" s="106" t="s">
        <v>271</v>
      </c>
      <c r="D233" s="106" t="s">
        <v>272</v>
      </c>
      <c r="E233">
        <v>9661</v>
      </c>
      <c r="F233" s="106" t="s">
        <v>1891</v>
      </c>
      <c r="G233" s="106" t="s">
        <v>281</v>
      </c>
      <c r="H233" s="106" t="s">
        <v>278</v>
      </c>
      <c r="I233" s="106">
        <v>707</v>
      </c>
      <c r="J233" s="106"/>
    </row>
    <row r="234" spans="1:10" x14ac:dyDescent="0.2">
      <c r="A234" s="106" t="s">
        <v>362</v>
      </c>
      <c r="B234" s="106" t="s">
        <v>270</v>
      </c>
      <c r="C234" s="106" t="s">
        <v>280</v>
      </c>
      <c r="D234" s="106" t="s">
        <v>276</v>
      </c>
      <c r="E234">
        <v>9717</v>
      </c>
      <c r="F234" s="106" t="s">
        <v>1892</v>
      </c>
      <c r="G234" s="106" t="s">
        <v>273</v>
      </c>
      <c r="H234" s="106" t="s">
        <v>284</v>
      </c>
      <c r="I234" s="106">
        <v>203</v>
      </c>
      <c r="J234" s="106"/>
    </row>
    <row r="235" spans="1:10" x14ac:dyDescent="0.2">
      <c r="A235" s="106" t="s">
        <v>362</v>
      </c>
      <c r="B235" s="106" t="s">
        <v>270</v>
      </c>
      <c r="C235" s="106" t="s">
        <v>271</v>
      </c>
      <c r="D235" s="106" t="s">
        <v>272</v>
      </c>
      <c r="E235">
        <v>9740</v>
      </c>
      <c r="F235" s="106" t="s">
        <v>1893</v>
      </c>
      <c r="G235" s="106" t="s">
        <v>273</v>
      </c>
      <c r="H235" s="106" t="s">
        <v>278</v>
      </c>
      <c r="I235" s="106">
        <v>917</v>
      </c>
      <c r="J235" s="106"/>
    </row>
    <row r="236" spans="1:10" x14ac:dyDescent="0.2">
      <c r="A236" s="106" t="s">
        <v>362</v>
      </c>
      <c r="B236" s="106" t="s">
        <v>270</v>
      </c>
      <c r="C236" s="106" t="s">
        <v>271</v>
      </c>
      <c r="D236" s="106" t="s">
        <v>272</v>
      </c>
      <c r="E236">
        <v>9787</v>
      </c>
      <c r="F236" s="106" t="s">
        <v>2376</v>
      </c>
      <c r="G236" s="106" t="s">
        <v>273</v>
      </c>
      <c r="H236" s="106" t="s">
        <v>278</v>
      </c>
      <c r="I236" s="106" t="s">
        <v>296</v>
      </c>
      <c r="J236" s="106" t="s">
        <v>2348</v>
      </c>
    </row>
    <row r="237" spans="1:10" x14ac:dyDescent="0.2">
      <c r="A237" s="106" t="s">
        <v>362</v>
      </c>
      <c r="B237" s="106" t="s">
        <v>270</v>
      </c>
      <c r="C237" s="106" t="s">
        <v>282</v>
      </c>
      <c r="D237" s="106" t="s">
        <v>272</v>
      </c>
      <c r="E237">
        <v>9812</v>
      </c>
      <c r="F237" s="106" t="s">
        <v>1894</v>
      </c>
      <c r="G237" s="106" t="s">
        <v>277</v>
      </c>
      <c r="H237" s="106" t="s">
        <v>279</v>
      </c>
      <c r="I237" s="106">
        <v>37</v>
      </c>
      <c r="J237" s="106"/>
    </row>
    <row r="238" spans="1:10" x14ac:dyDescent="0.2">
      <c r="A238" s="106" t="s">
        <v>362</v>
      </c>
      <c r="B238" s="106" t="s">
        <v>270</v>
      </c>
      <c r="C238" s="106" t="s">
        <v>271</v>
      </c>
      <c r="D238" s="106" t="s">
        <v>272</v>
      </c>
      <c r="E238">
        <v>9861</v>
      </c>
      <c r="F238" s="106" t="s">
        <v>1895</v>
      </c>
      <c r="G238" s="106" t="s">
        <v>273</v>
      </c>
      <c r="H238" s="106" t="s">
        <v>283</v>
      </c>
      <c r="I238" s="106" t="s">
        <v>304</v>
      </c>
      <c r="J238" s="106" t="s">
        <v>2377</v>
      </c>
    </row>
    <row r="239" spans="1:10" x14ac:dyDescent="0.2">
      <c r="A239" s="106" t="s">
        <v>362</v>
      </c>
      <c r="B239" s="106" t="s">
        <v>270</v>
      </c>
      <c r="C239" s="106" t="s">
        <v>271</v>
      </c>
      <c r="D239" s="106" t="s">
        <v>272</v>
      </c>
      <c r="E239">
        <v>9948</v>
      </c>
      <c r="F239" s="106" t="s">
        <v>1896</v>
      </c>
      <c r="G239" s="106" t="s">
        <v>273</v>
      </c>
      <c r="H239" s="106" t="s">
        <v>283</v>
      </c>
      <c r="I239" s="106" t="s">
        <v>304</v>
      </c>
      <c r="J239" s="106" t="s">
        <v>2378</v>
      </c>
    </row>
    <row r="240" spans="1:10" x14ac:dyDescent="0.2">
      <c r="A240" s="106" t="s">
        <v>362</v>
      </c>
      <c r="B240" s="106" t="s">
        <v>270</v>
      </c>
      <c r="C240" s="106" t="s">
        <v>275</v>
      </c>
      <c r="D240" s="106" t="s">
        <v>272</v>
      </c>
      <c r="E240">
        <v>9978</v>
      </c>
      <c r="F240" s="106" t="s">
        <v>1897</v>
      </c>
      <c r="G240" s="106" t="s">
        <v>277</v>
      </c>
      <c r="H240" s="106" t="s">
        <v>283</v>
      </c>
      <c r="I240" s="106">
        <v>24</v>
      </c>
      <c r="J240" s="106"/>
    </row>
    <row r="241" spans="1:10" x14ac:dyDescent="0.2">
      <c r="A241" s="106" t="s">
        <v>374</v>
      </c>
      <c r="B241" s="106" t="s">
        <v>768</v>
      </c>
      <c r="C241" s="106" t="s">
        <v>271</v>
      </c>
      <c r="D241" s="106" t="s">
        <v>276</v>
      </c>
      <c r="E241">
        <v>3415</v>
      </c>
      <c r="F241" s="106" t="s">
        <v>769</v>
      </c>
      <c r="G241" s="106" t="s">
        <v>273</v>
      </c>
      <c r="H241" s="106" t="s">
        <v>283</v>
      </c>
      <c r="I241" s="106">
        <v>297</v>
      </c>
      <c r="J241" s="106"/>
    </row>
    <row r="242" spans="1:10" x14ac:dyDescent="0.2">
      <c r="A242" s="106" t="s">
        <v>374</v>
      </c>
      <c r="B242" s="106" t="s">
        <v>337</v>
      </c>
      <c r="C242" s="106" t="s">
        <v>280</v>
      </c>
      <c r="D242" s="106" t="s">
        <v>272</v>
      </c>
      <c r="E242">
        <v>2734</v>
      </c>
      <c r="F242" s="106" t="s">
        <v>547</v>
      </c>
      <c r="G242" s="106" t="s">
        <v>273</v>
      </c>
      <c r="H242" s="106" t="s">
        <v>283</v>
      </c>
      <c r="I242" s="106">
        <v>423</v>
      </c>
      <c r="J242" s="106"/>
    </row>
    <row r="243" spans="1:10" x14ac:dyDescent="0.2">
      <c r="A243" s="106" t="s">
        <v>374</v>
      </c>
      <c r="B243" s="106" t="s">
        <v>1809</v>
      </c>
      <c r="C243" s="106" t="s">
        <v>282</v>
      </c>
      <c r="D243" s="106" t="s">
        <v>272</v>
      </c>
      <c r="E243">
        <v>2722</v>
      </c>
      <c r="F243" s="106" t="s">
        <v>1898</v>
      </c>
      <c r="G243" s="106" t="s">
        <v>281</v>
      </c>
      <c r="H243" s="106" t="s">
        <v>283</v>
      </c>
      <c r="I243" s="106">
        <v>88</v>
      </c>
      <c r="J243" s="106"/>
    </row>
    <row r="244" spans="1:10" x14ac:dyDescent="0.2">
      <c r="A244" s="106" t="s">
        <v>374</v>
      </c>
      <c r="B244" s="106" t="s">
        <v>270</v>
      </c>
      <c r="C244" s="106" t="s">
        <v>271</v>
      </c>
      <c r="D244" s="106" t="s">
        <v>272</v>
      </c>
      <c r="E244">
        <v>1418</v>
      </c>
      <c r="F244" s="106" t="s">
        <v>1899</v>
      </c>
      <c r="G244" s="106" t="s">
        <v>277</v>
      </c>
      <c r="H244" s="106" t="s">
        <v>300</v>
      </c>
      <c r="I244" s="106">
        <v>50</v>
      </c>
      <c r="J244" s="106"/>
    </row>
    <row r="245" spans="1:10" x14ac:dyDescent="0.2">
      <c r="A245" s="106" t="s">
        <v>374</v>
      </c>
      <c r="B245" s="106" t="s">
        <v>270</v>
      </c>
      <c r="C245" s="106" t="s">
        <v>282</v>
      </c>
      <c r="D245" s="106" t="s">
        <v>272</v>
      </c>
      <c r="E245">
        <v>1419</v>
      </c>
      <c r="F245" s="106" t="s">
        <v>1900</v>
      </c>
      <c r="G245" s="106" t="s">
        <v>273</v>
      </c>
      <c r="H245" s="106" t="s">
        <v>300</v>
      </c>
      <c r="I245" s="106">
        <v>500</v>
      </c>
      <c r="J245" s="106"/>
    </row>
    <row r="246" spans="1:10" x14ac:dyDescent="0.2">
      <c r="A246" s="106" t="s">
        <v>374</v>
      </c>
      <c r="B246" s="106" t="s">
        <v>270</v>
      </c>
      <c r="C246" s="106" t="s">
        <v>275</v>
      </c>
      <c r="D246" s="106" t="s">
        <v>272</v>
      </c>
      <c r="E246">
        <v>1434</v>
      </c>
      <c r="F246" s="106" t="s">
        <v>1901</v>
      </c>
      <c r="G246" s="106" t="s">
        <v>281</v>
      </c>
      <c r="H246" s="106" t="s">
        <v>300</v>
      </c>
      <c r="I246" s="106">
        <v>30</v>
      </c>
      <c r="J246" s="106"/>
    </row>
    <row r="247" spans="1:10" x14ac:dyDescent="0.2">
      <c r="A247" s="106" t="s">
        <v>374</v>
      </c>
      <c r="B247" s="106" t="s">
        <v>270</v>
      </c>
      <c r="C247" s="106" t="s">
        <v>282</v>
      </c>
      <c r="D247" s="106" t="s">
        <v>272</v>
      </c>
      <c r="E247">
        <v>1887</v>
      </c>
      <c r="F247" s="106" t="s">
        <v>562</v>
      </c>
      <c r="G247" s="106" t="s">
        <v>273</v>
      </c>
      <c r="H247" s="106" t="s">
        <v>300</v>
      </c>
      <c r="I247" s="106">
        <v>646</v>
      </c>
      <c r="J247" s="106"/>
    </row>
    <row r="248" spans="1:10" x14ac:dyDescent="0.2">
      <c r="A248" s="106" t="s">
        <v>374</v>
      </c>
      <c r="B248" s="106" t="s">
        <v>270</v>
      </c>
      <c r="C248" s="106" t="s">
        <v>275</v>
      </c>
      <c r="D248" s="106" t="s">
        <v>272</v>
      </c>
      <c r="E248">
        <v>2449</v>
      </c>
      <c r="F248" s="106" t="s">
        <v>1902</v>
      </c>
      <c r="G248" s="106" t="s">
        <v>277</v>
      </c>
      <c r="H248" s="106" t="s">
        <v>278</v>
      </c>
      <c r="I248" s="106">
        <v>70</v>
      </c>
      <c r="J248" s="106"/>
    </row>
    <row r="249" spans="1:10" x14ac:dyDescent="0.2">
      <c r="A249" s="106" t="s">
        <v>374</v>
      </c>
      <c r="B249" s="106" t="s">
        <v>270</v>
      </c>
      <c r="C249" s="106" t="s">
        <v>280</v>
      </c>
      <c r="D249" s="106" t="s">
        <v>272</v>
      </c>
      <c r="E249">
        <v>2471</v>
      </c>
      <c r="F249" s="106" t="s">
        <v>375</v>
      </c>
      <c r="G249" s="106" t="s">
        <v>273</v>
      </c>
      <c r="H249" s="106" t="s">
        <v>278</v>
      </c>
      <c r="I249" s="106">
        <v>623</v>
      </c>
      <c r="J249" s="106"/>
    </row>
    <row r="250" spans="1:10" x14ac:dyDescent="0.2">
      <c r="A250" s="106" t="s">
        <v>374</v>
      </c>
      <c r="B250" s="106" t="s">
        <v>270</v>
      </c>
      <c r="C250" s="106" t="s">
        <v>280</v>
      </c>
      <c r="D250" s="106" t="s">
        <v>272</v>
      </c>
      <c r="E250">
        <v>2698</v>
      </c>
      <c r="F250" s="106" t="s">
        <v>566</v>
      </c>
      <c r="G250" s="106" t="s">
        <v>273</v>
      </c>
      <c r="H250" s="106" t="s">
        <v>283</v>
      </c>
      <c r="I250" s="106">
        <v>278</v>
      </c>
      <c r="J250" s="106"/>
    </row>
    <row r="251" spans="1:10" x14ac:dyDescent="0.2">
      <c r="A251" s="106" t="s">
        <v>374</v>
      </c>
      <c r="B251" s="106" t="s">
        <v>270</v>
      </c>
      <c r="C251" s="106" t="s">
        <v>271</v>
      </c>
      <c r="D251" s="106" t="s">
        <v>272</v>
      </c>
      <c r="E251">
        <v>2726</v>
      </c>
      <c r="F251" s="106" t="s">
        <v>1903</v>
      </c>
      <c r="G251" s="106" t="s">
        <v>273</v>
      </c>
      <c r="H251" s="106" t="s">
        <v>283</v>
      </c>
      <c r="I251">
        <v>869</v>
      </c>
    </row>
    <row r="252" spans="1:10" x14ac:dyDescent="0.2">
      <c r="A252" s="106" t="s">
        <v>374</v>
      </c>
      <c r="B252" s="106" t="s">
        <v>270</v>
      </c>
      <c r="C252" s="106" t="s">
        <v>282</v>
      </c>
      <c r="D252" s="106" t="s">
        <v>272</v>
      </c>
      <c r="E252">
        <v>2769</v>
      </c>
      <c r="F252" s="106" t="s">
        <v>1904</v>
      </c>
      <c r="G252" s="106" t="s">
        <v>277</v>
      </c>
      <c r="H252" s="106" t="s">
        <v>283</v>
      </c>
      <c r="I252">
        <v>80</v>
      </c>
    </row>
    <row r="253" spans="1:10" x14ac:dyDescent="0.2">
      <c r="A253" s="106" t="s">
        <v>374</v>
      </c>
      <c r="B253" s="106" t="s">
        <v>270</v>
      </c>
      <c r="C253" s="106" t="s">
        <v>282</v>
      </c>
      <c r="D253" s="106" t="s">
        <v>272</v>
      </c>
      <c r="E253">
        <v>2796</v>
      </c>
      <c r="F253" s="106" t="s">
        <v>1905</v>
      </c>
      <c r="G253" s="106" t="s">
        <v>273</v>
      </c>
      <c r="H253" s="106" t="s">
        <v>283</v>
      </c>
      <c r="I253" s="106">
        <v>62</v>
      </c>
      <c r="J253" s="106"/>
    </row>
    <row r="254" spans="1:10" x14ac:dyDescent="0.2">
      <c r="A254" s="106" t="s">
        <v>374</v>
      </c>
      <c r="B254" s="106" t="s">
        <v>270</v>
      </c>
      <c r="C254" s="106" t="s">
        <v>271</v>
      </c>
      <c r="D254" s="106" t="s">
        <v>272</v>
      </c>
      <c r="E254">
        <v>2798</v>
      </c>
      <c r="F254" s="106" t="s">
        <v>1906</v>
      </c>
      <c r="G254" s="106" t="s">
        <v>281</v>
      </c>
      <c r="H254" s="106" t="s">
        <v>283</v>
      </c>
      <c r="I254" s="106">
        <v>67</v>
      </c>
      <c r="J254" s="106"/>
    </row>
    <row r="255" spans="1:10" x14ac:dyDescent="0.2">
      <c r="A255" s="106" t="s">
        <v>374</v>
      </c>
      <c r="B255" s="106" t="s">
        <v>270</v>
      </c>
      <c r="C255" s="106" t="s">
        <v>271</v>
      </c>
      <c r="D255" s="106" t="s">
        <v>272</v>
      </c>
      <c r="E255">
        <v>2884</v>
      </c>
      <c r="F255" s="106" t="s">
        <v>1907</v>
      </c>
      <c r="G255" s="106" t="s">
        <v>273</v>
      </c>
      <c r="H255" s="106" t="s">
        <v>274</v>
      </c>
      <c r="I255" s="106">
        <v>275</v>
      </c>
      <c r="J255" s="106"/>
    </row>
    <row r="256" spans="1:10" x14ac:dyDescent="0.2">
      <c r="A256" s="106" t="s">
        <v>374</v>
      </c>
      <c r="B256" s="106" t="s">
        <v>270</v>
      </c>
      <c r="C256" s="106" t="s">
        <v>271</v>
      </c>
      <c r="D256" s="106" t="s">
        <v>276</v>
      </c>
      <c r="E256">
        <v>2930</v>
      </c>
      <c r="F256" s="106" t="s">
        <v>376</v>
      </c>
      <c r="G256" s="106" t="s">
        <v>273</v>
      </c>
      <c r="H256" s="106" t="s">
        <v>274</v>
      </c>
      <c r="I256" s="106" t="s">
        <v>304</v>
      </c>
      <c r="J256" s="106" t="s">
        <v>2379</v>
      </c>
    </row>
    <row r="257" spans="1:10" x14ac:dyDescent="0.2">
      <c r="A257" s="106" t="s">
        <v>374</v>
      </c>
      <c r="B257" s="106" t="s">
        <v>270</v>
      </c>
      <c r="C257" s="106" t="s">
        <v>282</v>
      </c>
      <c r="D257" s="106" t="s">
        <v>272</v>
      </c>
      <c r="E257">
        <v>3021</v>
      </c>
      <c r="F257" s="106" t="s">
        <v>1908</v>
      </c>
      <c r="G257" s="106" t="s">
        <v>281</v>
      </c>
      <c r="H257" s="106" t="s">
        <v>283</v>
      </c>
      <c r="I257">
        <v>92</v>
      </c>
    </row>
    <row r="258" spans="1:10" x14ac:dyDescent="0.2">
      <c r="A258" s="106" t="s">
        <v>374</v>
      </c>
      <c r="B258" s="106" t="s">
        <v>270</v>
      </c>
      <c r="C258" s="106" t="s">
        <v>271</v>
      </c>
      <c r="D258" s="106" t="s">
        <v>276</v>
      </c>
      <c r="E258">
        <v>3030</v>
      </c>
      <c r="F258" s="106" t="s">
        <v>377</v>
      </c>
      <c r="G258" s="106" t="s">
        <v>273</v>
      </c>
      <c r="H258" s="106" t="s">
        <v>283</v>
      </c>
      <c r="I258" s="106">
        <v>114</v>
      </c>
      <c r="J258" s="106"/>
    </row>
    <row r="259" spans="1:10" x14ac:dyDescent="0.2">
      <c r="A259" s="106" t="s">
        <v>374</v>
      </c>
      <c r="B259" s="106" t="s">
        <v>270</v>
      </c>
      <c r="C259" s="106" t="s">
        <v>275</v>
      </c>
      <c r="D259" s="106" t="s">
        <v>272</v>
      </c>
      <c r="E259">
        <v>3045</v>
      </c>
      <c r="F259" s="106" t="s">
        <v>1827</v>
      </c>
      <c r="G259" s="106" t="s">
        <v>281</v>
      </c>
      <c r="H259" s="106" t="s">
        <v>279</v>
      </c>
      <c r="I259" s="106">
        <v>29</v>
      </c>
      <c r="J259" s="106"/>
    </row>
    <row r="260" spans="1:10" x14ac:dyDescent="0.2">
      <c r="A260" s="106" t="s">
        <v>374</v>
      </c>
      <c r="B260" s="106" t="s">
        <v>270</v>
      </c>
      <c r="C260" s="106" t="s">
        <v>271</v>
      </c>
      <c r="D260" s="106" t="s">
        <v>272</v>
      </c>
      <c r="E260">
        <v>3073</v>
      </c>
      <c r="F260" s="106" t="s">
        <v>1909</v>
      </c>
      <c r="G260" s="106" t="s">
        <v>273</v>
      </c>
      <c r="H260" s="106" t="s">
        <v>283</v>
      </c>
      <c r="I260" s="106">
        <v>245</v>
      </c>
      <c r="J260" s="106"/>
    </row>
    <row r="261" spans="1:10" x14ac:dyDescent="0.2">
      <c r="A261" s="106" t="s">
        <v>374</v>
      </c>
      <c r="B261" s="106" t="s">
        <v>270</v>
      </c>
      <c r="C261" s="106" t="s">
        <v>271</v>
      </c>
      <c r="D261" s="106" t="s">
        <v>272</v>
      </c>
      <c r="E261">
        <v>3080</v>
      </c>
      <c r="F261" s="106" t="s">
        <v>1910</v>
      </c>
      <c r="G261" s="106" t="s">
        <v>277</v>
      </c>
      <c r="H261" s="106" t="s">
        <v>283</v>
      </c>
      <c r="I261" s="106">
        <v>46</v>
      </c>
      <c r="J261" s="106"/>
    </row>
    <row r="262" spans="1:10" x14ac:dyDescent="0.2">
      <c r="A262" s="106" t="s">
        <v>374</v>
      </c>
      <c r="B262" s="106" t="s">
        <v>270</v>
      </c>
      <c r="C262" s="106" t="s">
        <v>271</v>
      </c>
      <c r="D262" s="106" t="s">
        <v>272</v>
      </c>
      <c r="E262">
        <v>3087</v>
      </c>
      <c r="F262" s="106" t="s">
        <v>1911</v>
      </c>
      <c r="G262" s="106" t="s">
        <v>273</v>
      </c>
      <c r="H262" s="106" t="s">
        <v>283</v>
      </c>
      <c r="I262" s="106" t="s">
        <v>304</v>
      </c>
      <c r="J262" s="106" t="s">
        <v>2380</v>
      </c>
    </row>
    <row r="263" spans="1:10" x14ac:dyDescent="0.2">
      <c r="A263" s="106" t="s">
        <v>374</v>
      </c>
      <c r="B263" s="106" t="s">
        <v>270</v>
      </c>
      <c r="C263" s="106" t="s">
        <v>280</v>
      </c>
      <c r="D263" s="106" t="s">
        <v>272</v>
      </c>
      <c r="E263">
        <v>3139</v>
      </c>
      <c r="F263" s="106" t="s">
        <v>1912</v>
      </c>
      <c r="G263" s="106" t="s">
        <v>273</v>
      </c>
      <c r="H263" s="106" t="s">
        <v>279</v>
      </c>
      <c r="I263" s="106">
        <v>354</v>
      </c>
      <c r="J263" s="106"/>
    </row>
    <row r="264" spans="1:10" x14ac:dyDescent="0.2">
      <c r="A264" s="106" t="s">
        <v>374</v>
      </c>
      <c r="B264" s="106" t="s">
        <v>270</v>
      </c>
      <c r="C264" s="106" t="s">
        <v>282</v>
      </c>
      <c r="D264" s="106" t="s">
        <v>272</v>
      </c>
      <c r="E264">
        <v>3148</v>
      </c>
      <c r="F264" s="106" t="s">
        <v>1913</v>
      </c>
      <c r="G264" s="106" t="s">
        <v>273</v>
      </c>
      <c r="H264" s="106" t="s">
        <v>283</v>
      </c>
      <c r="I264" s="106" t="s">
        <v>304</v>
      </c>
      <c r="J264" s="106" t="s">
        <v>2381</v>
      </c>
    </row>
    <row r="265" spans="1:10" x14ac:dyDescent="0.2">
      <c r="A265" s="106" t="s">
        <v>374</v>
      </c>
      <c r="B265" s="106" t="s">
        <v>270</v>
      </c>
      <c r="C265" s="106" t="s">
        <v>275</v>
      </c>
      <c r="D265" s="106" t="s">
        <v>272</v>
      </c>
      <c r="E265">
        <v>3168</v>
      </c>
      <c r="F265" s="106" t="s">
        <v>548</v>
      </c>
      <c r="G265" s="106" t="s">
        <v>273</v>
      </c>
      <c r="H265" s="106" t="s">
        <v>279</v>
      </c>
      <c r="I265" s="106">
        <v>73</v>
      </c>
      <c r="J265" s="106"/>
    </row>
    <row r="266" spans="1:10" x14ac:dyDescent="0.2">
      <c r="A266" s="106" t="s">
        <v>374</v>
      </c>
      <c r="B266" s="106" t="s">
        <v>270</v>
      </c>
      <c r="C266" s="106" t="s">
        <v>271</v>
      </c>
      <c r="D266" s="106" t="s">
        <v>276</v>
      </c>
      <c r="E266">
        <v>3181</v>
      </c>
      <c r="F266" s="106" t="s">
        <v>1914</v>
      </c>
      <c r="G266" s="106" t="s">
        <v>277</v>
      </c>
      <c r="H266" s="106" t="s">
        <v>283</v>
      </c>
      <c r="I266" s="106">
        <v>11</v>
      </c>
      <c r="J266" s="106"/>
    </row>
    <row r="267" spans="1:10" x14ac:dyDescent="0.2">
      <c r="A267" s="106" t="s">
        <v>374</v>
      </c>
      <c r="B267" s="106" t="s">
        <v>270</v>
      </c>
      <c r="C267" s="106" t="s">
        <v>271</v>
      </c>
      <c r="D267" s="106" t="s">
        <v>276</v>
      </c>
      <c r="E267">
        <v>3192</v>
      </c>
      <c r="F267" s="106" t="s">
        <v>1915</v>
      </c>
      <c r="G267" s="106" t="s">
        <v>277</v>
      </c>
      <c r="H267" s="106" t="s">
        <v>283</v>
      </c>
      <c r="I267" s="106">
        <v>21</v>
      </c>
      <c r="J267" s="106"/>
    </row>
    <row r="268" spans="1:10" x14ac:dyDescent="0.2">
      <c r="A268" s="106" t="s">
        <v>374</v>
      </c>
      <c r="B268" s="106" t="s">
        <v>270</v>
      </c>
      <c r="C268" s="106" t="s">
        <v>271</v>
      </c>
      <c r="D268" s="106" t="s">
        <v>272</v>
      </c>
      <c r="E268">
        <v>3198</v>
      </c>
      <c r="F268" s="106" t="s">
        <v>1916</v>
      </c>
      <c r="G268" s="106" t="s">
        <v>273</v>
      </c>
      <c r="H268" s="106" t="s">
        <v>283</v>
      </c>
      <c r="I268" s="106">
        <v>587</v>
      </c>
      <c r="J268" s="106"/>
    </row>
    <row r="269" spans="1:10" x14ac:dyDescent="0.2">
      <c r="A269" s="106" t="s">
        <v>374</v>
      </c>
      <c r="B269" s="106" t="s">
        <v>270</v>
      </c>
      <c r="C269" s="106" t="s">
        <v>271</v>
      </c>
      <c r="D269" s="106" t="s">
        <v>276</v>
      </c>
      <c r="E269">
        <v>3223</v>
      </c>
      <c r="F269" s="106" t="s">
        <v>1917</v>
      </c>
      <c r="G269" s="106" t="s">
        <v>277</v>
      </c>
      <c r="H269" s="106" t="s">
        <v>283</v>
      </c>
      <c r="I269" s="106">
        <v>27</v>
      </c>
      <c r="J269" s="106"/>
    </row>
    <row r="270" spans="1:10" x14ac:dyDescent="0.2">
      <c r="A270" s="106" t="s">
        <v>374</v>
      </c>
      <c r="B270" s="106" t="s">
        <v>270</v>
      </c>
      <c r="C270" s="106" t="s">
        <v>275</v>
      </c>
      <c r="D270" s="106" t="s">
        <v>272</v>
      </c>
      <c r="E270">
        <v>3228</v>
      </c>
      <c r="F270" s="106" t="s">
        <v>1918</v>
      </c>
      <c r="G270" s="106" t="s">
        <v>273</v>
      </c>
      <c r="H270" s="106" t="s">
        <v>299</v>
      </c>
      <c r="I270" s="106">
        <v>347</v>
      </c>
      <c r="J270" s="106"/>
    </row>
    <row r="271" spans="1:10" x14ac:dyDescent="0.2">
      <c r="A271" s="106" t="s">
        <v>374</v>
      </c>
      <c r="B271" s="106" t="s">
        <v>270</v>
      </c>
      <c r="C271" s="106" t="s">
        <v>282</v>
      </c>
      <c r="D271" s="106" t="s">
        <v>276</v>
      </c>
      <c r="E271">
        <v>3236</v>
      </c>
      <c r="F271" s="106" t="s">
        <v>1919</v>
      </c>
      <c r="G271" s="106" t="s">
        <v>277</v>
      </c>
      <c r="H271" s="106" t="s">
        <v>299</v>
      </c>
      <c r="I271" s="106">
        <v>58</v>
      </c>
      <c r="J271" s="106"/>
    </row>
    <row r="272" spans="1:10" x14ac:dyDescent="0.2">
      <c r="A272" s="106" t="s">
        <v>374</v>
      </c>
      <c r="B272" s="106" t="s">
        <v>270</v>
      </c>
      <c r="C272" s="106" t="s">
        <v>280</v>
      </c>
      <c r="D272" s="106" t="s">
        <v>272</v>
      </c>
      <c r="E272">
        <v>3266</v>
      </c>
      <c r="F272" s="106" t="s">
        <v>1920</v>
      </c>
      <c r="G272" s="106" t="s">
        <v>277</v>
      </c>
      <c r="H272" s="106" t="s">
        <v>299</v>
      </c>
      <c r="I272" s="106">
        <v>38</v>
      </c>
      <c r="J272" s="106"/>
    </row>
    <row r="273" spans="1:10" x14ac:dyDescent="0.2">
      <c r="A273" s="106" t="s">
        <v>374</v>
      </c>
      <c r="B273" s="106" t="s">
        <v>270</v>
      </c>
      <c r="C273" s="106" t="s">
        <v>271</v>
      </c>
      <c r="D273" s="106" t="s">
        <v>272</v>
      </c>
      <c r="E273">
        <v>3387</v>
      </c>
      <c r="F273" s="106" t="s">
        <v>569</v>
      </c>
      <c r="G273" s="106" t="s">
        <v>273</v>
      </c>
      <c r="H273" s="106" t="s">
        <v>283</v>
      </c>
      <c r="I273" s="106" t="s">
        <v>304</v>
      </c>
      <c r="J273" s="106" t="s">
        <v>2382</v>
      </c>
    </row>
    <row r="274" spans="1:10" x14ac:dyDescent="0.2">
      <c r="A274" s="106" t="s">
        <v>374</v>
      </c>
      <c r="B274" s="106" t="s">
        <v>270</v>
      </c>
      <c r="C274" s="106" t="s">
        <v>275</v>
      </c>
      <c r="D274" s="106" t="s">
        <v>272</v>
      </c>
      <c r="E274">
        <v>3440</v>
      </c>
      <c r="F274" s="106" t="s">
        <v>1921</v>
      </c>
      <c r="G274" s="106" t="s">
        <v>281</v>
      </c>
      <c r="H274" s="106" t="s">
        <v>288</v>
      </c>
      <c r="I274">
        <v>60</v>
      </c>
    </row>
    <row r="275" spans="1:10" x14ac:dyDescent="0.2">
      <c r="A275" s="106" t="s">
        <v>374</v>
      </c>
      <c r="B275" s="106" t="s">
        <v>270</v>
      </c>
      <c r="C275" s="106" t="s">
        <v>271</v>
      </c>
      <c r="D275" s="106" t="s">
        <v>272</v>
      </c>
      <c r="E275">
        <v>3479</v>
      </c>
      <c r="F275" s="106" t="s">
        <v>378</v>
      </c>
      <c r="G275" s="106" t="s">
        <v>285</v>
      </c>
      <c r="H275" s="106" t="s">
        <v>299</v>
      </c>
      <c r="I275" s="106" t="s">
        <v>304</v>
      </c>
      <c r="J275" s="106" t="s">
        <v>2383</v>
      </c>
    </row>
    <row r="276" spans="1:10" x14ac:dyDescent="0.2">
      <c r="A276" s="106" t="s">
        <v>374</v>
      </c>
      <c r="B276" s="106" t="s">
        <v>270</v>
      </c>
      <c r="C276" s="106" t="s">
        <v>275</v>
      </c>
      <c r="D276" s="106" t="s">
        <v>272</v>
      </c>
      <c r="E276">
        <v>3498</v>
      </c>
      <c r="F276" s="106" t="s">
        <v>1922</v>
      </c>
      <c r="G276" s="106" t="s">
        <v>285</v>
      </c>
      <c r="H276" s="106" t="s">
        <v>299</v>
      </c>
      <c r="I276" s="106">
        <v>159</v>
      </c>
      <c r="J276" s="106"/>
    </row>
    <row r="277" spans="1:10" x14ac:dyDescent="0.2">
      <c r="A277" s="106" t="s">
        <v>374</v>
      </c>
      <c r="B277" s="106" t="s">
        <v>270</v>
      </c>
      <c r="C277" s="106" t="s">
        <v>275</v>
      </c>
      <c r="D277" s="106" t="s">
        <v>272</v>
      </c>
      <c r="E277">
        <v>3536</v>
      </c>
      <c r="F277" s="106" t="s">
        <v>1923</v>
      </c>
      <c r="G277" s="106" t="s">
        <v>277</v>
      </c>
      <c r="H277" s="106" t="s">
        <v>283</v>
      </c>
      <c r="I277" s="106">
        <v>36</v>
      </c>
      <c r="J277" s="106"/>
    </row>
    <row r="278" spans="1:10" x14ac:dyDescent="0.2">
      <c r="A278" s="106" t="s">
        <v>374</v>
      </c>
      <c r="B278" s="106" t="s">
        <v>270</v>
      </c>
      <c r="C278" s="106" t="s">
        <v>275</v>
      </c>
      <c r="D278" s="106" t="s">
        <v>276</v>
      </c>
      <c r="E278">
        <v>3541</v>
      </c>
      <c r="F278" s="106" t="s">
        <v>1924</v>
      </c>
      <c r="G278" s="106" t="s">
        <v>285</v>
      </c>
      <c r="H278" s="106" t="s">
        <v>279</v>
      </c>
      <c r="I278">
        <v>106</v>
      </c>
    </row>
    <row r="279" spans="1:10" x14ac:dyDescent="0.2">
      <c r="A279" s="106" t="s">
        <v>374</v>
      </c>
      <c r="B279" s="106" t="s">
        <v>270</v>
      </c>
      <c r="C279" s="106" t="s">
        <v>280</v>
      </c>
      <c r="D279" s="106" t="s">
        <v>272</v>
      </c>
      <c r="E279">
        <v>3547</v>
      </c>
      <c r="F279" s="106" t="s">
        <v>1925</v>
      </c>
      <c r="G279" s="106" t="s">
        <v>273</v>
      </c>
      <c r="H279" s="106" t="s">
        <v>283</v>
      </c>
      <c r="I279">
        <v>207</v>
      </c>
    </row>
    <row r="280" spans="1:10" x14ac:dyDescent="0.2">
      <c r="A280" s="106" t="s">
        <v>374</v>
      </c>
      <c r="B280" s="106" t="s">
        <v>270</v>
      </c>
      <c r="C280" s="106" t="s">
        <v>271</v>
      </c>
      <c r="D280" s="106" t="s">
        <v>272</v>
      </c>
      <c r="E280">
        <v>3548</v>
      </c>
      <c r="F280" s="106" t="s">
        <v>570</v>
      </c>
      <c r="G280" s="106" t="s">
        <v>273</v>
      </c>
      <c r="H280" s="106" t="s">
        <v>283</v>
      </c>
      <c r="I280" s="106">
        <v>349</v>
      </c>
      <c r="J280" s="106"/>
    </row>
    <row r="281" spans="1:10" x14ac:dyDescent="0.2">
      <c r="A281" s="106" t="s">
        <v>374</v>
      </c>
      <c r="B281" s="106" t="s">
        <v>270</v>
      </c>
      <c r="C281" s="106" t="s">
        <v>271</v>
      </c>
      <c r="D281" s="106" t="s">
        <v>276</v>
      </c>
      <c r="E281">
        <v>3557</v>
      </c>
      <c r="F281" s="106" t="s">
        <v>571</v>
      </c>
      <c r="G281" s="106" t="s">
        <v>285</v>
      </c>
      <c r="H281" s="106" t="s">
        <v>283</v>
      </c>
      <c r="I281" s="106">
        <v>47</v>
      </c>
      <c r="J281" s="106"/>
    </row>
    <row r="282" spans="1:10" x14ac:dyDescent="0.2">
      <c r="A282" s="106" t="s">
        <v>374</v>
      </c>
      <c r="B282" s="106" t="s">
        <v>270</v>
      </c>
      <c r="C282" s="106" t="s">
        <v>271</v>
      </c>
      <c r="D282" s="106" t="s">
        <v>272</v>
      </c>
      <c r="E282">
        <v>3558</v>
      </c>
      <c r="F282" s="106" t="s">
        <v>1926</v>
      </c>
      <c r="G282" s="106" t="s">
        <v>285</v>
      </c>
      <c r="H282" s="106" t="s">
        <v>283</v>
      </c>
      <c r="I282">
        <v>100</v>
      </c>
    </row>
    <row r="283" spans="1:10" x14ac:dyDescent="0.2">
      <c r="A283" s="106" t="s">
        <v>374</v>
      </c>
      <c r="B283" s="106" t="s">
        <v>270</v>
      </c>
      <c r="C283" s="106" t="s">
        <v>271</v>
      </c>
      <c r="D283" s="106" t="s">
        <v>272</v>
      </c>
      <c r="E283">
        <v>3562</v>
      </c>
      <c r="F283" s="106" t="s">
        <v>379</v>
      </c>
      <c r="G283" s="106" t="s">
        <v>277</v>
      </c>
      <c r="H283" s="106" t="s">
        <v>279</v>
      </c>
      <c r="I283" s="106">
        <v>37</v>
      </c>
      <c r="J283" s="106"/>
    </row>
    <row r="284" spans="1:10" x14ac:dyDescent="0.2">
      <c r="A284" s="106" t="s">
        <v>374</v>
      </c>
      <c r="B284" s="106" t="s">
        <v>270</v>
      </c>
      <c r="C284" s="106" t="s">
        <v>275</v>
      </c>
      <c r="D284" s="106" t="s">
        <v>272</v>
      </c>
      <c r="E284">
        <v>3647</v>
      </c>
      <c r="F284" s="106" t="s">
        <v>2384</v>
      </c>
      <c r="G284" s="106" t="s">
        <v>281</v>
      </c>
      <c r="H284" s="106" t="s">
        <v>284</v>
      </c>
      <c r="I284" s="106">
        <v>34</v>
      </c>
      <c r="J284" s="106"/>
    </row>
    <row r="285" spans="1:10" x14ac:dyDescent="0.2">
      <c r="A285" s="106" t="s">
        <v>374</v>
      </c>
      <c r="B285" s="106" t="s">
        <v>270</v>
      </c>
      <c r="C285" s="106" t="s">
        <v>271</v>
      </c>
      <c r="D285" s="106" t="s">
        <v>272</v>
      </c>
      <c r="E285">
        <v>3678</v>
      </c>
      <c r="F285" s="106" t="s">
        <v>380</v>
      </c>
      <c r="G285" s="106" t="s">
        <v>273</v>
      </c>
      <c r="H285" s="106" t="s">
        <v>284</v>
      </c>
      <c r="I285" s="106">
        <v>605</v>
      </c>
      <c r="J285" s="106"/>
    </row>
    <row r="286" spans="1:10" x14ac:dyDescent="0.2">
      <c r="A286" s="106" t="s">
        <v>374</v>
      </c>
      <c r="B286" s="106" t="s">
        <v>270</v>
      </c>
      <c r="C286" s="106" t="s">
        <v>282</v>
      </c>
      <c r="D286" s="106" t="s">
        <v>276</v>
      </c>
      <c r="E286">
        <v>3760</v>
      </c>
      <c r="F286" s="106" t="s">
        <v>1927</v>
      </c>
      <c r="G286" s="106" t="s">
        <v>277</v>
      </c>
      <c r="H286" s="106" t="s">
        <v>284</v>
      </c>
      <c r="I286">
        <v>60</v>
      </c>
    </row>
    <row r="287" spans="1:10" x14ac:dyDescent="0.2">
      <c r="A287" s="106" t="s">
        <v>374</v>
      </c>
      <c r="B287" s="106" t="s">
        <v>270</v>
      </c>
      <c r="C287" s="106" t="s">
        <v>282</v>
      </c>
      <c r="D287" s="106" t="s">
        <v>272</v>
      </c>
      <c r="E287">
        <v>3791</v>
      </c>
      <c r="F287" s="106" t="s">
        <v>1928</v>
      </c>
      <c r="G287" s="106" t="s">
        <v>277</v>
      </c>
      <c r="H287" s="106" t="s">
        <v>284</v>
      </c>
      <c r="I287" s="106">
        <v>80</v>
      </c>
      <c r="J287" s="106"/>
    </row>
    <row r="288" spans="1:10" x14ac:dyDescent="0.2">
      <c r="A288" s="106" t="s">
        <v>374</v>
      </c>
      <c r="B288" s="106" t="s">
        <v>270</v>
      </c>
      <c r="C288" s="106" t="s">
        <v>282</v>
      </c>
      <c r="D288" s="106" t="s">
        <v>272</v>
      </c>
      <c r="E288">
        <v>3810</v>
      </c>
      <c r="F288" s="106" t="s">
        <v>1929</v>
      </c>
      <c r="G288" s="106" t="s">
        <v>281</v>
      </c>
      <c r="H288" s="106" t="s">
        <v>284</v>
      </c>
      <c r="I288" s="106">
        <v>113</v>
      </c>
      <c r="J288" s="106"/>
    </row>
    <row r="289" spans="1:10" x14ac:dyDescent="0.2">
      <c r="A289" s="106" t="s">
        <v>374</v>
      </c>
      <c r="B289" s="106" t="s">
        <v>270</v>
      </c>
      <c r="C289" s="106" t="s">
        <v>275</v>
      </c>
      <c r="D289" s="106" t="s">
        <v>272</v>
      </c>
      <c r="E289">
        <v>3823</v>
      </c>
      <c r="F289" s="106" t="s">
        <v>1930</v>
      </c>
      <c r="G289" s="106" t="s">
        <v>281</v>
      </c>
      <c r="H289" s="106" t="s">
        <v>284</v>
      </c>
      <c r="I289" s="106">
        <v>61</v>
      </c>
      <c r="J289" s="106"/>
    </row>
    <row r="290" spans="1:10" x14ac:dyDescent="0.2">
      <c r="A290" s="106" t="s">
        <v>374</v>
      </c>
      <c r="B290" s="106" t="s">
        <v>270</v>
      </c>
      <c r="C290" s="106" t="s">
        <v>271</v>
      </c>
      <c r="D290" s="106" t="s">
        <v>272</v>
      </c>
      <c r="E290">
        <v>3935</v>
      </c>
      <c r="F290" s="106" t="s">
        <v>1931</v>
      </c>
      <c r="G290" s="106" t="s">
        <v>285</v>
      </c>
      <c r="H290" s="106" t="s">
        <v>284</v>
      </c>
      <c r="I290" s="106">
        <v>48</v>
      </c>
      <c r="J290" s="106"/>
    </row>
    <row r="291" spans="1:10" x14ac:dyDescent="0.2">
      <c r="A291" s="106" t="s">
        <v>374</v>
      </c>
      <c r="B291" s="106" t="s">
        <v>270</v>
      </c>
      <c r="C291" s="106" t="s">
        <v>282</v>
      </c>
      <c r="D291" s="106" t="s">
        <v>272</v>
      </c>
      <c r="E291">
        <v>3990</v>
      </c>
      <c r="F291" s="106" t="s">
        <v>1932</v>
      </c>
      <c r="G291" s="106" t="s">
        <v>285</v>
      </c>
      <c r="H291" s="106" t="s">
        <v>284</v>
      </c>
      <c r="I291" s="106">
        <v>940</v>
      </c>
      <c r="J291" s="106"/>
    </row>
    <row r="292" spans="1:10" x14ac:dyDescent="0.2">
      <c r="A292" s="106" t="s">
        <v>374</v>
      </c>
      <c r="B292" s="106" t="s">
        <v>270</v>
      </c>
      <c r="C292" s="106" t="s">
        <v>275</v>
      </c>
      <c r="D292" s="106" t="s">
        <v>272</v>
      </c>
      <c r="E292">
        <v>3991</v>
      </c>
      <c r="F292" s="106" t="s">
        <v>1933</v>
      </c>
      <c r="G292" s="106" t="s">
        <v>285</v>
      </c>
      <c r="H292" s="106" t="s">
        <v>284</v>
      </c>
      <c r="I292" s="106">
        <v>185</v>
      </c>
      <c r="J292" s="106"/>
    </row>
    <row r="293" spans="1:10" x14ac:dyDescent="0.2">
      <c r="A293" s="106" t="s">
        <v>374</v>
      </c>
      <c r="B293" s="106" t="s">
        <v>270</v>
      </c>
      <c r="C293" s="106" t="s">
        <v>280</v>
      </c>
      <c r="D293" s="106" t="s">
        <v>272</v>
      </c>
      <c r="E293">
        <v>3994</v>
      </c>
      <c r="F293" s="106" t="s">
        <v>1934</v>
      </c>
      <c r="G293" s="106" t="s">
        <v>285</v>
      </c>
      <c r="H293" s="106" t="s">
        <v>284</v>
      </c>
      <c r="I293" s="106" t="s">
        <v>304</v>
      </c>
      <c r="J293" s="106" t="s">
        <v>2385</v>
      </c>
    </row>
    <row r="294" spans="1:10" x14ac:dyDescent="0.2">
      <c r="A294" s="106" t="s">
        <v>374</v>
      </c>
      <c r="B294" s="106" t="s">
        <v>270</v>
      </c>
      <c r="C294" s="106" t="s">
        <v>271</v>
      </c>
      <c r="D294" s="106" t="s">
        <v>276</v>
      </c>
      <c r="E294">
        <v>3996</v>
      </c>
      <c r="F294" s="106" t="s">
        <v>572</v>
      </c>
      <c r="G294" s="106" t="s">
        <v>273</v>
      </c>
      <c r="H294" s="106" t="s">
        <v>284</v>
      </c>
      <c r="I294" s="106">
        <v>223</v>
      </c>
      <c r="J294" s="106"/>
    </row>
    <row r="295" spans="1:10" x14ac:dyDescent="0.2">
      <c r="A295" s="106" t="s">
        <v>374</v>
      </c>
      <c r="B295" s="106" t="s">
        <v>270</v>
      </c>
      <c r="C295" s="106" t="s">
        <v>275</v>
      </c>
      <c r="D295" s="106" t="s">
        <v>272</v>
      </c>
      <c r="E295">
        <v>4397</v>
      </c>
      <c r="F295" s="106" t="s">
        <v>1935</v>
      </c>
      <c r="G295" s="106" t="s">
        <v>285</v>
      </c>
      <c r="H295" s="106" t="s">
        <v>284</v>
      </c>
      <c r="I295" s="106">
        <v>406</v>
      </c>
      <c r="J295" s="106"/>
    </row>
    <row r="296" spans="1:10" x14ac:dyDescent="0.2">
      <c r="A296" s="106" t="s">
        <v>374</v>
      </c>
      <c r="B296" s="106" t="s">
        <v>270</v>
      </c>
      <c r="C296" s="106" t="s">
        <v>271</v>
      </c>
      <c r="D296" s="106" t="s">
        <v>272</v>
      </c>
      <c r="E296">
        <v>4429</v>
      </c>
      <c r="F296" s="106" t="s">
        <v>553</v>
      </c>
      <c r="G296" s="106" t="s">
        <v>285</v>
      </c>
      <c r="H296" s="106" t="s">
        <v>284</v>
      </c>
      <c r="I296" s="106">
        <v>238</v>
      </c>
      <c r="J296" s="106"/>
    </row>
    <row r="297" spans="1:10" x14ac:dyDescent="0.2">
      <c r="A297" s="106" t="s">
        <v>374</v>
      </c>
      <c r="B297" s="106" t="s">
        <v>270</v>
      </c>
      <c r="C297" s="106" t="s">
        <v>271</v>
      </c>
      <c r="D297" s="106" t="s">
        <v>276</v>
      </c>
      <c r="E297">
        <v>4434</v>
      </c>
      <c r="F297" s="106" t="s">
        <v>574</v>
      </c>
      <c r="G297" s="106" t="s">
        <v>285</v>
      </c>
      <c r="H297" s="106" t="s">
        <v>284</v>
      </c>
      <c r="I297" s="106">
        <v>277</v>
      </c>
      <c r="J297" s="106"/>
    </row>
    <row r="298" spans="1:10" x14ac:dyDescent="0.2">
      <c r="A298" s="106" t="s">
        <v>374</v>
      </c>
      <c r="B298" s="106" t="s">
        <v>270</v>
      </c>
      <c r="C298" s="106" t="s">
        <v>282</v>
      </c>
      <c r="D298" s="106" t="s">
        <v>272</v>
      </c>
      <c r="E298">
        <v>4443</v>
      </c>
      <c r="F298" s="106" t="s">
        <v>555</v>
      </c>
      <c r="G298" s="106" t="s">
        <v>285</v>
      </c>
      <c r="H298" s="106" t="s">
        <v>284</v>
      </c>
      <c r="I298" s="106" t="s">
        <v>304</v>
      </c>
      <c r="J298" s="106" t="s">
        <v>2386</v>
      </c>
    </row>
    <row r="299" spans="1:10" x14ac:dyDescent="0.2">
      <c r="A299" s="106" t="s">
        <v>374</v>
      </c>
      <c r="B299" s="106" t="s">
        <v>270</v>
      </c>
      <c r="C299" s="106" t="s">
        <v>282</v>
      </c>
      <c r="D299" s="106" t="s">
        <v>272</v>
      </c>
      <c r="E299">
        <v>4577</v>
      </c>
      <c r="F299" s="106" t="s">
        <v>1936</v>
      </c>
      <c r="G299" s="106" t="s">
        <v>273</v>
      </c>
      <c r="H299" s="106" t="s">
        <v>318</v>
      </c>
      <c r="I299" s="106">
        <v>401</v>
      </c>
      <c r="J299" s="106"/>
    </row>
    <row r="300" spans="1:10" x14ac:dyDescent="0.2">
      <c r="A300" s="106" t="s">
        <v>374</v>
      </c>
      <c r="B300" s="106" t="s">
        <v>270</v>
      </c>
      <c r="C300" s="106" t="s">
        <v>280</v>
      </c>
      <c r="D300" s="106" t="s">
        <v>272</v>
      </c>
      <c r="E300">
        <v>4616</v>
      </c>
      <c r="F300" s="106" t="s">
        <v>1937</v>
      </c>
      <c r="G300" s="106" t="s">
        <v>281</v>
      </c>
      <c r="H300" s="106" t="s">
        <v>286</v>
      </c>
      <c r="I300">
        <v>14</v>
      </c>
    </row>
    <row r="301" spans="1:10" x14ac:dyDescent="0.2">
      <c r="A301" s="106" t="s">
        <v>374</v>
      </c>
      <c r="B301" s="106" t="s">
        <v>270</v>
      </c>
      <c r="C301" s="106" t="s">
        <v>271</v>
      </c>
      <c r="D301" s="106" t="s">
        <v>272</v>
      </c>
      <c r="E301">
        <v>4645</v>
      </c>
      <c r="F301" s="106" t="s">
        <v>1938</v>
      </c>
      <c r="G301" s="106" t="s">
        <v>277</v>
      </c>
      <c r="H301" s="106" t="s">
        <v>278</v>
      </c>
      <c r="I301" s="106">
        <v>51</v>
      </c>
      <c r="J301" s="106"/>
    </row>
    <row r="302" spans="1:10" x14ac:dyDescent="0.2">
      <c r="A302" s="106" t="s">
        <v>374</v>
      </c>
      <c r="B302" s="106" t="s">
        <v>270</v>
      </c>
      <c r="C302" s="106" t="s">
        <v>275</v>
      </c>
      <c r="D302" s="106" t="s">
        <v>272</v>
      </c>
      <c r="E302">
        <v>4668</v>
      </c>
      <c r="F302" s="106" t="s">
        <v>381</v>
      </c>
      <c r="G302" s="106" t="s">
        <v>273</v>
      </c>
      <c r="H302" s="106" t="s">
        <v>278</v>
      </c>
      <c r="I302" s="106">
        <v>286</v>
      </c>
      <c r="J302" s="106"/>
    </row>
    <row r="303" spans="1:10" x14ac:dyDescent="0.2">
      <c r="A303" s="106" t="s">
        <v>374</v>
      </c>
      <c r="B303" s="106" t="s">
        <v>270</v>
      </c>
      <c r="C303" s="106" t="s">
        <v>275</v>
      </c>
      <c r="D303" s="106" t="s">
        <v>272</v>
      </c>
      <c r="E303">
        <v>4728</v>
      </c>
      <c r="F303" s="106" t="s">
        <v>1939</v>
      </c>
      <c r="G303" s="106" t="s">
        <v>273</v>
      </c>
      <c r="H303" s="106" t="s">
        <v>284</v>
      </c>
      <c r="I303" s="106">
        <v>69</v>
      </c>
      <c r="J303" s="106"/>
    </row>
    <row r="304" spans="1:10" x14ac:dyDescent="0.2">
      <c r="A304" s="106" t="s">
        <v>374</v>
      </c>
      <c r="B304" s="106" t="s">
        <v>270</v>
      </c>
      <c r="C304" s="106" t="s">
        <v>280</v>
      </c>
      <c r="D304" s="106" t="s">
        <v>272</v>
      </c>
      <c r="E304">
        <v>4992</v>
      </c>
      <c r="F304" s="106" t="s">
        <v>1940</v>
      </c>
      <c r="G304" s="106" t="s">
        <v>273</v>
      </c>
      <c r="H304" s="106" t="s">
        <v>286</v>
      </c>
      <c r="I304" s="106">
        <v>174</v>
      </c>
      <c r="J304" s="106"/>
    </row>
    <row r="305" spans="1:10" x14ac:dyDescent="0.2">
      <c r="A305" s="106" t="s">
        <v>374</v>
      </c>
      <c r="B305" s="106" t="s">
        <v>270</v>
      </c>
      <c r="C305" s="106" t="s">
        <v>271</v>
      </c>
      <c r="D305" s="106" t="s">
        <v>272</v>
      </c>
      <c r="E305">
        <v>5018</v>
      </c>
      <c r="F305" s="106" t="s">
        <v>1941</v>
      </c>
      <c r="G305" s="106" t="s">
        <v>273</v>
      </c>
      <c r="H305" s="106" t="s">
        <v>1942</v>
      </c>
      <c r="I305">
        <v>135</v>
      </c>
    </row>
    <row r="306" spans="1:10" x14ac:dyDescent="0.2">
      <c r="A306" s="106" t="s">
        <v>374</v>
      </c>
      <c r="B306" s="106" t="s">
        <v>270</v>
      </c>
      <c r="C306" s="106" t="s">
        <v>271</v>
      </c>
      <c r="D306" s="106" t="s">
        <v>272</v>
      </c>
      <c r="E306">
        <v>5817</v>
      </c>
      <c r="F306" s="106" t="s">
        <v>1943</v>
      </c>
      <c r="G306" s="106" t="s">
        <v>281</v>
      </c>
      <c r="H306" s="106" t="s">
        <v>422</v>
      </c>
      <c r="I306" s="106">
        <v>18</v>
      </c>
      <c r="J306" s="106"/>
    </row>
    <row r="307" spans="1:10" x14ac:dyDescent="0.2">
      <c r="A307" s="106" t="s">
        <v>374</v>
      </c>
      <c r="B307" s="106" t="s">
        <v>270</v>
      </c>
      <c r="C307" s="106" t="s">
        <v>282</v>
      </c>
      <c r="D307" s="106" t="s">
        <v>272</v>
      </c>
      <c r="E307">
        <v>5967</v>
      </c>
      <c r="F307" s="106" t="s">
        <v>576</v>
      </c>
      <c r="G307" s="106" t="s">
        <v>281</v>
      </c>
      <c r="H307" s="106" t="s">
        <v>288</v>
      </c>
      <c r="I307" s="106">
        <v>61</v>
      </c>
      <c r="J307" s="106"/>
    </row>
    <row r="308" spans="1:10" x14ac:dyDescent="0.2">
      <c r="A308" s="106" t="s">
        <v>374</v>
      </c>
      <c r="B308" s="106" t="s">
        <v>270</v>
      </c>
      <c r="C308" s="106" t="s">
        <v>282</v>
      </c>
      <c r="D308" s="106" t="s">
        <v>272</v>
      </c>
      <c r="E308">
        <v>6044</v>
      </c>
      <c r="F308" s="106" t="s">
        <v>1944</v>
      </c>
      <c r="G308" s="106" t="s">
        <v>273</v>
      </c>
      <c r="H308" s="106" t="s">
        <v>278</v>
      </c>
      <c r="I308">
        <v>65</v>
      </c>
    </row>
    <row r="309" spans="1:10" x14ac:dyDescent="0.2">
      <c r="A309" s="106" t="s">
        <v>374</v>
      </c>
      <c r="B309" s="106" t="s">
        <v>270</v>
      </c>
      <c r="C309" s="106" t="s">
        <v>282</v>
      </c>
      <c r="D309" s="106" t="s">
        <v>272</v>
      </c>
      <c r="E309">
        <v>6047</v>
      </c>
      <c r="F309" s="106" t="s">
        <v>1945</v>
      </c>
      <c r="G309" s="106" t="s">
        <v>273</v>
      </c>
      <c r="H309" s="106" t="s">
        <v>278</v>
      </c>
      <c r="I309" s="106">
        <v>369</v>
      </c>
      <c r="J309" s="106"/>
    </row>
    <row r="310" spans="1:10" x14ac:dyDescent="0.2">
      <c r="A310" s="106" t="s">
        <v>374</v>
      </c>
      <c r="B310" s="106" t="s">
        <v>270</v>
      </c>
      <c r="C310" s="106" t="s">
        <v>275</v>
      </c>
      <c r="D310" s="106" t="s">
        <v>272</v>
      </c>
      <c r="E310">
        <v>6048</v>
      </c>
      <c r="F310" s="106" t="s">
        <v>1946</v>
      </c>
      <c r="G310" s="106" t="s">
        <v>273</v>
      </c>
      <c r="H310" s="106" t="s">
        <v>278</v>
      </c>
      <c r="I310" s="106">
        <v>51</v>
      </c>
      <c r="J310" s="106"/>
    </row>
    <row r="311" spans="1:10" x14ac:dyDescent="0.2">
      <c r="A311" s="106" t="s">
        <v>374</v>
      </c>
      <c r="B311" s="106" t="s">
        <v>270</v>
      </c>
      <c r="C311" s="106" t="s">
        <v>271</v>
      </c>
      <c r="D311" s="106" t="s">
        <v>272</v>
      </c>
      <c r="E311">
        <v>6070</v>
      </c>
      <c r="F311" s="106" t="s">
        <v>1947</v>
      </c>
      <c r="G311" s="106" t="s">
        <v>273</v>
      </c>
      <c r="H311" s="106" t="s">
        <v>278</v>
      </c>
      <c r="I311">
        <v>76</v>
      </c>
    </row>
    <row r="312" spans="1:10" x14ac:dyDescent="0.2">
      <c r="A312" s="106" t="s">
        <v>374</v>
      </c>
      <c r="B312" s="106" t="s">
        <v>270</v>
      </c>
      <c r="C312" s="106" t="s">
        <v>271</v>
      </c>
      <c r="D312" s="106" t="s">
        <v>272</v>
      </c>
      <c r="E312">
        <v>6086</v>
      </c>
      <c r="F312" s="106" t="s">
        <v>1948</v>
      </c>
      <c r="G312" s="106" t="s">
        <v>285</v>
      </c>
      <c r="H312" s="106" t="s">
        <v>278</v>
      </c>
      <c r="I312">
        <v>124</v>
      </c>
    </row>
    <row r="313" spans="1:10" x14ac:dyDescent="0.2">
      <c r="A313" s="106" t="s">
        <v>374</v>
      </c>
      <c r="B313" s="106" t="s">
        <v>270</v>
      </c>
      <c r="C313" s="106" t="s">
        <v>271</v>
      </c>
      <c r="D313" s="106" t="s">
        <v>272</v>
      </c>
      <c r="E313">
        <v>6173</v>
      </c>
      <c r="F313" s="106" t="s">
        <v>577</v>
      </c>
      <c r="G313" s="106" t="s">
        <v>285</v>
      </c>
      <c r="H313" s="106" t="s">
        <v>278</v>
      </c>
      <c r="I313">
        <v>23</v>
      </c>
    </row>
    <row r="314" spans="1:10" x14ac:dyDescent="0.2">
      <c r="A314" s="106" t="s">
        <v>374</v>
      </c>
      <c r="B314" s="106" t="s">
        <v>270</v>
      </c>
      <c r="C314" s="106" t="s">
        <v>271</v>
      </c>
      <c r="D314" s="106" t="s">
        <v>272</v>
      </c>
      <c r="E314">
        <v>6182</v>
      </c>
      <c r="F314" s="106" t="s">
        <v>1949</v>
      </c>
      <c r="G314" s="106" t="s">
        <v>285</v>
      </c>
      <c r="H314" s="106" t="s">
        <v>278</v>
      </c>
      <c r="I314" s="106">
        <v>402</v>
      </c>
      <c r="J314" s="106"/>
    </row>
    <row r="315" spans="1:10" x14ac:dyDescent="0.2">
      <c r="A315" s="106" t="s">
        <v>374</v>
      </c>
      <c r="B315" s="106" t="s">
        <v>270</v>
      </c>
      <c r="C315" s="106" t="s">
        <v>275</v>
      </c>
      <c r="D315" s="106" t="s">
        <v>272</v>
      </c>
      <c r="E315">
        <v>6199</v>
      </c>
      <c r="F315" s="106" t="s">
        <v>1950</v>
      </c>
      <c r="G315" s="106" t="s">
        <v>273</v>
      </c>
      <c r="H315" s="106" t="s">
        <v>278</v>
      </c>
      <c r="I315" s="106">
        <v>115</v>
      </c>
      <c r="J315" s="106"/>
    </row>
    <row r="316" spans="1:10" x14ac:dyDescent="0.2">
      <c r="A316" s="106" t="s">
        <v>374</v>
      </c>
      <c r="B316" s="106" t="s">
        <v>270</v>
      </c>
      <c r="C316" s="106" t="s">
        <v>282</v>
      </c>
      <c r="D316" s="106" t="s">
        <v>272</v>
      </c>
      <c r="E316">
        <v>6505</v>
      </c>
      <c r="F316" s="106" t="s">
        <v>1951</v>
      </c>
      <c r="G316" s="106" t="s">
        <v>273</v>
      </c>
      <c r="H316" s="106" t="s">
        <v>298</v>
      </c>
      <c r="I316" s="106">
        <v>149</v>
      </c>
      <c r="J316" s="106"/>
    </row>
    <row r="317" spans="1:10" x14ac:dyDescent="0.2">
      <c r="A317" s="106" t="s">
        <v>374</v>
      </c>
      <c r="B317" s="106" t="s">
        <v>270</v>
      </c>
      <c r="C317" s="106" t="s">
        <v>271</v>
      </c>
      <c r="D317" s="106" t="s">
        <v>276</v>
      </c>
      <c r="E317">
        <v>6532</v>
      </c>
      <c r="F317" s="106" t="s">
        <v>372</v>
      </c>
      <c r="G317" s="106" t="s">
        <v>273</v>
      </c>
      <c r="H317" s="106" t="s">
        <v>278</v>
      </c>
      <c r="I317" s="106">
        <v>858</v>
      </c>
      <c r="J317" s="106"/>
    </row>
    <row r="318" spans="1:10" x14ac:dyDescent="0.2">
      <c r="A318" s="106" t="s">
        <v>374</v>
      </c>
      <c r="B318" s="106" t="s">
        <v>270</v>
      </c>
      <c r="C318" s="106" t="s">
        <v>271</v>
      </c>
      <c r="D318" s="106" t="s">
        <v>272</v>
      </c>
      <c r="E318">
        <v>6543</v>
      </c>
      <c r="F318" s="106" t="s">
        <v>579</v>
      </c>
      <c r="G318" s="106" t="s">
        <v>277</v>
      </c>
      <c r="H318" s="106" t="s">
        <v>278</v>
      </c>
      <c r="I318">
        <v>26</v>
      </c>
    </row>
    <row r="319" spans="1:10" x14ac:dyDescent="0.2">
      <c r="A319" s="106" t="s">
        <v>374</v>
      </c>
      <c r="B319" s="106" t="s">
        <v>270</v>
      </c>
      <c r="C319" s="106" t="s">
        <v>280</v>
      </c>
      <c r="D319" s="106" t="s">
        <v>276</v>
      </c>
      <c r="E319">
        <v>6558</v>
      </c>
      <c r="F319" s="106" t="s">
        <v>1952</v>
      </c>
      <c r="G319" s="106" t="s">
        <v>285</v>
      </c>
      <c r="H319" s="106" t="s">
        <v>278</v>
      </c>
      <c r="I319" s="106">
        <v>65</v>
      </c>
      <c r="J319" s="106"/>
    </row>
    <row r="320" spans="1:10" x14ac:dyDescent="0.2">
      <c r="A320" s="106" t="s">
        <v>374</v>
      </c>
      <c r="B320" s="106" t="s">
        <v>270</v>
      </c>
      <c r="C320" s="106" t="s">
        <v>271</v>
      </c>
      <c r="D320" s="106" t="s">
        <v>272</v>
      </c>
      <c r="E320">
        <v>6572</v>
      </c>
      <c r="F320" s="106" t="s">
        <v>1953</v>
      </c>
      <c r="G320" s="106" t="s">
        <v>273</v>
      </c>
      <c r="H320" s="106" t="s">
        <v>278</v>
      </c>
      <c r="I320" s="106">
        <v>664</v>
      </c>
      <c r="J320" s="106"/>
    </row>
    <row r="321" spans="1:10" x14ac:dyDescent="0.2">
      <c r="A321" s="106" t="s">
        <v>374</v>
      </c>
      <c r="B321" s="106" t="s">
        <v>270</v>
      </c>
      <c r="C321" s="106" t="s">
        <v>271</v>
      </c>
      <c r="D321" s="106" t="s">
        <v>272</v>
      </c>
      <c r="E321">
        <v>6578</v>
      </c>
      <c r="F321" s="106" t="s">
        <v>389</v>
      </c>
      <c r="G321" s="106" t="s">
        <v>281</v>
      </c>
      <c r="H321" s="106" t="s">
        <v>278</v>
      </c>
      <c r="I321" s="106">
        <v>27</v>
      </c>
      <c r="J321" s="106"/>
    </row>
    <row r="322" spans="1:10" x14ac:dyDescent="0.2">
      <c r="A322" s="106" t="s">
        <v>374</v>
      </c>
      <c r="B322" s="106" t="s">
        <v>270</v>
      </c>
      <c r="C322" s="106" t="s">
        <v>271</v>
      </c>
      <c r="D322" s="106" t="s">
        <v>272</v>
      </c>
      <c r="E322">
        <v>6814</v>
      </c>
      <c r="F322" s="106" t="s">
        <v>382</v>
      </c>
      <c r="G322" s="106" t="s">
        <v>273</v>
      </c>
      <c r="H322" s="106" t="s">
        <v>298</v>
      </c>
      <c r="I322" s="106">
        <v>433</v>
      </c>
      <c r="J322" s="106"/>
    </row>
    <row r="323" spans="1:10" x14ac:dyDescent="0.2">
      <c r="A323" s="106" t="s">
        <v>374</v>
      </c>
      <c r="B323" s="106" t="s">
        <v>270</v>
      </c>
      <c r="C323" s="106" t="s">
        <v>275</v>
      </c>
      <c r="D323" s="106" t="s">
        <v>276</v>
      </c>
      <c r="E323">
        <v>7035</v>
      </c>
      <c r="F323" s="106" t="s">
        <v>1954</v>
      </c>
      <c r="G323" s="106" t="s">
        <v>285</v>
      </c>
      <c r="H323" s="106" t="s">
        <v>278</v>
      </c>
      <c r="I323" s="106">
        <v>225</v>
      </c>
      <c r="J323" s="106"/>
    </row>
    <row r="324" spans="1:10" x14ac:dyDescent="0.2">
      <c r="A324" s="106" t="s">
        <v>374</v>
      </c>
      <c r="B324" s="106" t="s">
        <v>270</v>
      </c>
      <c r="C324" s="106" t="s">
        <v>271</v>
      </c>
      <c r="D324" s="106" t="s">
        <v>272</v>
      </c>
      <c r="E324">
        <v>7049</v>
      </c>
      <c r="F324" s="106" t="s">
        <v>580</v>
      </c>
      <c r="G324" s="106" t="s">
        <v>285</v>
      </c>
      <c r="H324" s="106" t="s">
        <v>278</v>
      </c>
      <c r="I324" s="106">
        <v>119</v>
      </c>
      <c r="J324" s="106"/>
    </row>
    <row r="325" spans="1:10" x14ac:dyDescent="0.2">
      <c r="A325" s="106" t="s">
        <v>374</v>
      </c>
      <c r="B325" s="106" t="s">
        <v>270</v>
      </c>
      <c r="C325" s="106" t="s">
        <v>275</v>
      </c>
      <c r="D325" s="106" t="s">
        <v>272</v>
      </c>
      <c r="E325">
        <v>7065</v>
      </c>
      <c r="F325" s="106" t="s">
        <v>582</v>
      </c>
      <c r="G325" s="106" t="s">
        <v>281</v>
      </c>
      <c r="H325" s="106" t="s">
        <v>278</v>
      </c>
      <c r="I325" s="106">
        <v>187</v>
      </c>
      <c r="J325" s="106"/>
    </row>
    <row r="326" spans="1:10" x14ac:dyDescent="0.2">
      <c r="A326" s="106" t="s">
        <v>374</v>
      </c>
      <c r="B326" s="106" t="s">
        <v>270</v>
      </c>
      <c r="C326" s="106" t="s">
        <v>275</v>
      </c>
      <c r="D326" s="106" t="s">
        <v>272</v>
      </c>
      <c r="E326">
        <v>7445</v>
      </c>
      <c r="F326" s="106" t="s">
        <v>1955</v>
      </c>
      <c r="G326" s="106" t="s">
        <v>273</v>
      </c>
      <c r="H326" s="106" t="s">
        <v>283</v>
      </c>
      <c r="I326">
        <v>179</v>
      </c>
    </row>
    <row r="327" spans="1:10" x14ac:dyDescent="0.2">
      <c r="A327" s="106" t="s">
        <v>374</v>
      </c>
      <c r="B327" s="106" t="s">
        <v>270</v>
      </c>
      <c r="C327" s="106" t="s">
        <v>282</v>
      </c>
      <c r="D327" s="106" t="s">
        <v>272</v>
      </c>
      <c r="E327">
        <v>7487</v>
      </c>
      <c r="F327" s="106" t="s">
        <v>1867</v>
      </c>
      <c r="G327" s="106" t="s">
        <v>273</v>
      </c>
      <c r="H327" s="106" t="s">
        <v>279</v>
      </c>
      <c r="I327" s="106">
        <v>148</v>
      </c>
      <c r="J327" s="106"/>
    </row>
    <row r="328" spans="1:10" x14ac:dyDescent="0.2">
      <c r="A328" s="106" t="s">
        <v>374</v>
      </c>
      <c r="B328" s="106" t="s">
        <v>270</v>
      </c>
      <c r="C328" s="106" t="s">
        <v>271</v>
      </c>
      <c r="D328" s="106" t="s">
        <v>272</v>
      </c>
      <c r="E328">
        <v>7515</v>
      </c>
      <c r="F328" s="106" t="s">
        <v>1956</v>
      </c>
      <c r="G328" s="106" t="s">
        <v>281</v>
      </c>
      <c r="H328" s="106" t="s">
        <v>283</v>
      </c>
      <c r="I328">
        <v>25</v>
      </c>
    </row>
    <row r="329" spans="1:10" x14ac:dyDescent="0.2">
      <c r="A329" s="106" t="s">
        <v>374</v>
      </c>
      <c r="B329" s="106" t="s">
        <v>270</v>
      </c>
      <c r="C329" s="106" t="s">
        <v>271</v>
      </c>
      <c r="D329" s="106" t="s">
        <v>272</v>
      </c>
      <c r="E329">
        <v>7599</v>
      </c>
      <c r="F329" s="106" t="s">
        <v>1957</v>
      </c>
      <c r="G329" s="106" t="s">
        <v>273</v>
      </c>
      <c r="H329" s="106" t="s">
        <v>279</v>
      </c>
      <c r="I329">
        <v>680</v>
      </c>
    </row>
    <row r="330" spans="1:10" x14ac:dyDescent="0.2">
      <c r="A330" s="106" t="s">
        <v>374</v>
      </c>
      <c r="B330" s="106" t="s">
        <v>270</v>
      </c>
      <c r="C330" s="106" t="s">
        <v>271</v>
      </c>
      <c r="D330" s="106" t="s">
        <v>272</v>
      </c>
      <c r="E330">
        <v>7608</v>
      </c>
      <c r="F330" s="106" t="s">
        <v>1958</v>
      </c>
      <c r="G330" s="106" t="s">
        <v>273</v>
      </c>
      <c r="H330" s="106" t="s">
        <v>279</v>
      </c>
      <c r="I330" s="106">
        <v>38</v>
      </c>
      <c r="J330" s="106"/>
    </row>
    <row r="331" spans="1:10" x14ac:dyDescent="0.2">
      <c r="A331" s="106" t="s">
        <v>374</v>
      </c>
      <c r="B331" s="106" t="s">
        <v>270</v>
      </c>
      <c r="C331" s="106" t="s">
        <v>271</v>
      </c>
      <c r="D331" s="106" t="s">
        <v>276</v>
      </c>
      <c r="E331">
        <v>7610</v>
      </c>
      <c r="F331" s="106" t="s">
        <v>390</v>
      </c>
      <c r="G331" s="106" t="s">
        <v>277</v>
      </c>
      <c r="H331" s="106" t="s">
        <v>283</v>
      </c>
      <c r="I331" s="106">
        <v>24</v>
      </c>
      <c r="J331" s="106"/>
    </row>
    <row r="332" spans="1:10" x14ac:dyDescent="0.2">
      <c r="A332" s="106" t="s">
        <v>374</v>
      </c>
      <c r="B332" s="106" t="s">
        <v>270</v>
      </c>
      <c r="C332" s="106" t="s">
        <v>271</v>
      </c>
      <c r="D332" s="106" t="s">
        <v>272</v>
      </c>
      <c r="E332">
        <v>7719</v>
      </c>
      <c r="F332" s="106" t="s">
        <v>383</v>
      </c>
      <c r="G332" s="106" t="s">
        <v>281</v>
      </c>
      <c r="H332" s="106" t="s">
        <v>384</v>
      </c>
      <c r="I332" s="106">
        <v>18</v>
      </c>
      <c r="J332" s="106"/>
    </row>
    <row r="333" spans="1:10" x14ac:dyDescent="0.2">
      <c r="A333" s="106" t="s">
        <v>374</v>
      </c>
      <c r="B333" s="106" t="s">
        <v>270</v>
      </c>
      <c r="C333" s="106" t="s">
        <v>282</v>
      </c>
      <c r="D333" s="106" t="s">
        <v>272</v>
      </c>
      <c r="E333">
        <v>7808</v>
      </c>
      <c r="F333" s="106" t="s">
        <v>1959</v>
      </c>
      <c r="G333" s="106" t="s">
        <v>277</v>
      </c>
      <c r="H333" s="106" t="s">
        <v>295</v>
      </c>
      <c r="I333">
        <v>22</v>
      </c>
    </row>
    <row r="334" spans="1:10" x14ac:dyDescent="0.2">
      <c r="A334" s="106" t="s">
        <v>374</v>
      </c>
      <c r="B334" s="106" t="s">
        <v>270</v>
      </c>
      <c r="C334" s="106" t="s">
        <v>271</v>
      </c>
      <c r="D334" s="106" t="s">
        <v>272</v>
      </c>
      <c r="E334">
        <v>7811</v>
      </c>
      <c r="F334" s="106" t="s">
        <v>584</v>
      </c>
      <c r="G334" s="106" t="s">
        <v>273</v>
      </c>
      <c r="H334" s="106" t="s">
        <v>295</v>
      </c>
      <c r="I334" s="106">
        <v>130</v>
      </c>
      <c r="J334" s="106"/>
    </row>
    <row r="335" spans="1:10" x14ac:dyDescent="0.2">
      <c r="A335" s="106" t="s">
        <v>374</v>
      </c>
      <c r="B335" s="106" t="s">
        <v>270</v>
      </c>
      <c r="C335" s="106" t="s">
        <v>271</v>
      </c>
      <c r="D335" s="106" t="s">
        <v>276</v>
      </c>
      <c r="E335">
        <v>8181</v>
      </c>
      <c r="F335" s="106" t="s">
        <v>1960</v>
      </c>
      <c r="G335" s="106" t="s">
        <v>273</v>
      </c>
      <c r="H335" s="106" t="s">
        <v>283</v>
      </c>
      <c r="I335" s="106">
        <v>32</v>
      </c>
      <c r="J335" s="106"/>
    </row>
    <row r="336" spans="1:10" x14ac:dyDescent="0.2">
      <c r="A336" s="106" t="s">
        <v>374</v>
      </c>
      <c r="B336" s="106" t="s">
        <v>270</v>
      </c>
      <c r="C336" s="106" t="s">
        <v>271</v>
      </c>
      <c r="D336" s="106" t="s">
        <v>272</v>
      </c>
      <c r="E336">
        <v>8254</v>
      </c>
      <c r="F336" s="106" t="s">
        <v>1961</v>
      </c>
      <c r="G336" s="106" t="s">
        <v>281</v>
      </c>
      <c r="H336" s="106" t="s">
        <v>283</v>
      </c>
      <c r="I336" s="106">
        <v>10</v>
      </c>
      <c r="J336" s="106"/>
    </row>
    <row r="337" spans="1:10" x14ac:dyDescent="0.2">
      <c r="A337" s="106" t="s">
        <v>374</v>
      </c>
      <c r="B337" s="106" t="s">
        <v>270</v>
      </c>
      <c r="C337" s="106" t="s">
        <v>271</v>
      </c>
      <c r="D337" s="106" t="s">
        <v>272</v>
      </c>
      <c r="E337">
        <v>8257</v>
      </c>
      <c r="F337" s="106" t="s">
        <v>1962</v>
      </c>
      <c r="G337" s="106" t="s">
        <v>277</v>
      </c>
      <c r="H337" s="106" t="s">
        <v>283</v>
      </c>
      <c r="I337" s="106">
        <v>18</v>
      </c>
      <c r="J337" s="106"/>
    </row>
    <row r="338" spans="1:10" x14ac:dyDescent="0.2">
      <c r="A338" s="106" t="s">
        <v>374</v>
      </c>
      <c r="B338" s="106" t="s">
        <v>270</v>
      </c>
      <c r="C338" s="106" t="s">
        <v>282</v>
      </c>
      <c r="D338" s="106" t="s">
        <v>272</v>
      </c>
      <c r="E338">
        <v>8940</v>
      </c>
      <c r="F338" s="106" t="s">
        <v>1963</v>
      </c>
      <c r="G338" s="106" t="s">
        <v>273</v>
      </c>
      <c r="H338" s="106" t="s">
        <v>299</v>
      </c>
      <c r="I338">
        <v>64</v>
      </c>
    </row>
    <row r="339" spans="1:10" x14ac:dyDescent="0.2">
      <c r="A339" s="106" t="s">
        <v>374</v>
      </c>
      <c r="B339" s="106" t="s">
        <v>270</v>
      </c>
      <c r="C339" s="106" t="s">
        <v>275</v>
      </c>
      <c r="D339" s="106" t="s">
        <v>272</v>
      </c>
      <c r="E339">
        <v>9264</v>
      </c>
      <c r="F339" s="106" t="s">
        <v>1964</v>
      </c>
      <c r="G339" s="106" t="s">
        <v>277</v>
      </c>
      <c r="H339" s="106" t="s">
        <v>279</v>
      </c>
      <c r="I339" s="106">
        <v>51</v>
      </c>
      <c r="J339" s="106"/>
    </row>
    <row r="340" spans="1:10" x14ac:dyDescent="0.2">
      <c r="A340" s="106" t="s">
        <v>374</v>
      </c>
      <c r="B340" s="106" t="s">
        <v>270</v>
      </c>
      <c r="C340" s="106" t="s">
        <v>275</v>
      </c>
      <c r="D340" s="106" t="s">
        <v>272</v>
      </c>
      <c r="E340">
        <v>9270</v>
      </c>
      <c r="F340" s="106" t="s">
        <v>1965</v>
      </c>
      <c r="G340" s="106" t="s">
        <v>285</v>
      </c>
      <c r="H340" s="106" t="s">
        <v>279</v>
      </c>
      <c r="I340">
        <v>354</v>
      </c>
    </row>
    <row r="341" spans="1:10" x14ac:dyDescent="0.2">
      <c r="A341" s="106" t="s">
        <v>374</v>
      </c>
      <c r="B341" s="106" t="s">
        <v>270</v>
      </c>
      <c r="C341" s="106" t="s">
        <v>271</v>
      </c>
      <c r="D341" s="106" t="s">
        <v>272</v>
      </c>
      <c r="E341">
        <v>9275</v>
      </c>
      <c r="F341" s="106" t="s">
        <v>1966</v>
      </c>
      <c r="G341" s="106" t="s">
        <v>273</v>
      </c>
      <c r="H341" s="106" t="s">
        <v>283</v>
      </c>
      <c r="I341" s="106">
        <v>137</v>
      </c>
      <c r="J341" s="106"/>
    </row>
    <row r="342" spans="1:10" x14ac:dyDescent="0.2">
      <c r="A342" s="106" t="s">
        <v>374</v>
      </c>
      <c r="B342" s="106" t="s">
        <v>270</v>
      </c>
      <c r="C342" s="106" t="s">
        <v>271</v>
      </c>
      <c r="D342" s="106" t="s">
        <v>272</v>
      </c>
      <c r="E342">
        <v>9601</v>
      </c>
      <c r="F342" s="106" t="s">
        <v>1967</v>
      </c>
      <c r="G342" s="106" t="s">
        <v>273</v>
      </c>
      <c r="H342" s="106" t="s">
        <v>284</v>
      </c>
      <c r="I342" s="106" t="s">
        <v>296</v>
      </c>
      <c r="J342" s="106" t="s">
        <v>2168</v>
      </c>
    </row>
    <row r="343" spans="1:10" x14ac:dyDescent="0.2">
      <c r="A343" s="106" t="s">
        <v>374</v>
      </c>
      <c r="B343" s="106" t="s">
        <v>270</v>
      </c>
      <c r="C343" s="106" t="s">
        <v>271</v>
      </c>
      <c r="D343" s="106" t="s">
        <v>272</v>
      </c>
      <c r="E343">
        <v>9602</v>
      </c>
      <c r="F343" s="106" t="s">
        <v>385</v>
      </c>
      <c r="G343" s="106" t="s">
        <v>273</v>
      </c>
      <c r="H343" s="106" t="s">
        <v>284</v>
      </c>
      <c r="I343" s="106" t="s">
        <v>386</v>
      </c>
      <c r="J343" s="106" t="s">
        <v>2253</v>
      </c>
    </row>
    <row r="344" spans="1:10" x14ac:dyDescent="0.2">
      <c r="A344" s="106" t="s">
        <v>374</v>
      </c>
      <c r="B344" s="106" t="s">
        <v>270</v>
      </c>
      <c r="C344" s="106" t="s">
        <v>280</v>
      </c>
      <c r="D344" s="106" t="s">
        <v>272</v>
      </c>
      <c r="E344">
        <v>9837</v>
      </c>
      <c r="F344" s="106" t="s">
        <v>1968</v>
      </c>
      <c r="G344" s="106" t="s">
        <v>273</v>
      </c>
      <c r="H344" s="106" t="s">
        <v>279</v>
      </c>
      <c r="I344" s="106">
        <v>241</v>
      </c>
      <c r="J344" s="106"/>
    </row>
    <row r="345" spans="1:10" x14ac:dyDescent="0.2">
      <c r="A345" s="106" t="s">
        <v>374</v>
      </c>
      <c r="B345" s="106" t="s">
        <v>270</v>
      </c>
      <c r="C345" s="106" t="s">
        <v>271</v>
      </c>
      <c r="D345" s="106" t="s">
        <v>272</v>
      </c>
      <c r="E345">
        <v>9945</v>
      </c>
      <c r="F345" s="106" t="s">
        <v>770</v>
      </c>
      <c r="G345" s="106" t="s">
        <v>273</v>
      </c>
      <c r="H345" s="106" t="s">
        <v>283</v>
      </c>
      <c r="I345" s="106">
        <v>859</v>
      </c>
      <c r="J345" s="106"/>
    </row>
    <row r="346" spans="1:10" x14ac:dyDescent="0.2">
      <c r="A346" s="106" t="s">
        <v>374</v>
      </c>
      <c r="B346" s="106" t="s">
        <v>270</v>
      </c>
      <c r="C346" s="106" t="s">
        <v>280</v>
      </c>
      <c r="D346" s="106" t="s">
        <v>272</v>
      </c>
      <c r="E346">
        <v>9972</v>
      </c>
      <c r="F346" s="106" t="s">
        <v>1969</v>
      </c>
      <c r="G346" s="106" t="s">
        <v>273</v>
      </c>
      <c r="H346" s="106" t="s">
        <v>279</v>
      </c>
      <c r="I346" s="106">
        <v>44</v>
      </c>
      <c r="J346" s="106"/>
    </row>
    <row r="347" spans="1:10" x14ac:dyDescent="0.2">
      <c r="A347" s="106" t="s">
        <v>374</v>
      </c>
      <c r="B347" s="106" t="s">
        <v>270</v>
      </c>
      <c r="C347" s="106" t="s">
        <v>275</v>
      </c>
      <c r="D347" s="106" t="s">
        <v>272</v>
      </c>
      <c r="E347">
        <v>9979</v>
      </c>
      <c r="F347" s="106" t="s">
        <v>1970</v>
      </c>
      <c r="G347" s="106" t="s">
        <v>273</v>
      </c>
      <c r="H347" s="106" t="s">
        <v>283</v>
      </c>
      <c r="I347" s="106">
        <v>349</v>
      </c>
      <c r="J347" s="106"/>
    </row>
    <row r="348" spans="1:10" x14ac:dyDescent="0.2">
      <c r="A348" s="106" t="s">
        <v>387</v>
      </c>
      <c r="B348" s="106" t="s">
        <v>270</v>
      </c>
      <c r="C348" s="106" t="s">
        <v>280</v>
      </c>
      <c r="D348" s="106" t="s">
        <v>272</v>
      </c>
      <c r="E348">
        <v>3201</v>
      </c>
      <c r="F348" s="106" t="s">
        <v>1971</v>
      </c>
      <c r="G348" s="106" t="s">
        <v>273</v>
      </c>
      <c r="H348" s="106" t="s">
        <v>306</v>
      </c>
      <c r="I348" s="106">
        <v>988</v>
      </c>
      <c r="J348" s="106"/>
    </row>
    <row r="349" spans="1:10" x14ac:dyDescent="0.2">
      <c r="A349" s="106" t="s">
        <v>387</v>
      </c>
      <c r="B349" s="106" t="s">
        <v>270</v>
      </c>
      <c r="C349" s="106" t="s">
        <v>280</v>
      </c>
      <c r="D349" s="106" t="s">
        <v>272</v>
      </c>
      <c r="E349">
        <v>3907</v>
      </c>
      <c r="F349" s="106" t="s">
        <v>388</v>
      </c>
      <c r="G349" s="106" t="s">
        <v>285</v>
      </c>
      <c r="H349" s="106" t="s">
        <v>284</v>
      </c>
      <c r="I349" s="106">
        <v>44</v>
      </c>
      <c r="J349" s="106"/>
    </row>
    <row r="350" spans="1:10" x14ac:dyDescent="0.2">
      <c r="A350" s="106" t="s">
        <v>387</v>
      </c>
      <c r="B350" s="106" t="s">
        <v>270</v>
      </c>
      <c r="C350" s="106" t="s">
        <v>280</v>
      </c>
      <c r="D350" s="106" t="s">
        <v>272</v>
      </c>
      <c r="E350">
        <v>4361</v>
      </c>
      <c r="F350" s="106" t="s">
        <v>1972</v>
      </c>
      <c r="G350" s="106" t="s">
        <v>281</v>
      </c>
      <c r="H350" s="106" t="s">
        <v>286</v>
      </c>
      <c r="I350" s="106">
        <v>12</v>
      </c>
      <c r="J350" s="106"/>
    </row>
    <row r="351" spans="1:10" x14ac:dyDescent="0.2">
      <c r="A351" s="106" t="s">
        <v>387</v>
      </c>
      <c r="B351" s="106" t="s">
        <v>270</v>
      </c>
      <c r="C351" s="106" t="s">
        <v>280</v>
      </c>
      <c r="D351" s="106" t="s">
        <v>276</v>
      </c>
      <c r="E351">
        <v>4673</v>
      </c>
      <c r="F351" s="106" t="s">
        <v>1973</v>
      </c>
      <c r="G351" s="106" t="s">
        <v>277</v>
      </c>
      <c r="H351" s="106" t="s">
        <v>278</v>
      </c>
      <c r="I351" s="106">
        <v>22</v>
      </c>
      <c r="J351" s="106"/>
    </row>
    <row r="352" spans="1:10" x14ac:dyDescent="0.2">
      <c r="A352" s="106" t="s">
        <v>387</v>
      </c>
      <c r="B352" s="106" t="s">
        <v>270</v>
      </c>
      <c r="C352" s="106" t="s">
        <v>280</v>
      </c>
      <c r="D352" s="106" t="s">
        <v>272</v>
      </c>
      <c r="E352">
        <v>6064</v>
      </c>
      <c r="F352" s="106" t="s">
        <v>1974</v>
      </c>
      <c r="G352" s="106" t="s">
        <v>285</v>
      </c>
      <c r="H352" s="106" t="s">
        <v>278</v>
      </c>
      <c r="I352" s="106">
        <v>121</v>
      </c>
      <c r="J352" s="106"/>
    </row>
    <row r="353" spans="1:10" x14ac:dyDescent="0.2">
      <c r="A353" s="106" t="s">
        <v>387</v>
      </c>
      <c r="B353" s="106" t="s">
        <v>270</v>
      </c>
      <c r="C353" s="106" t="s">
        <v>280</v>
      </c>
      <c r="D353" s="106" t="s">
        <v>272</v>
      </c>
      <c r="E353">
        <v>6474</v>
      </c>
      <c r="F353" s="106" t="s">
        <v>1975</v>
      </c>
      <c r="G353" s="106" t="s">
        <v>273</v>
      </c>
      <c r="H353" s="106" t="s">
        <v>294</v>
      </c>
      <c r="I353" s="106" t="s">
        <v>304</v>
      </c>
      <c r="J353" s="106" t="s">
        <v>2240</v>
      </c>
    </row>
    <row r="354" spans="1:10" x14ac:dyDescent="0.2">
      <c r="A354" s="106" t="s">
        <v>387</v>
      </c>
      <c r="B354" s="106" t="s">
        <v>270</v>
      </c>
      <c r="C354" s="106" t="s">
        <v>280</v>
      </c>
      <c r="D354" s="106" t="s">
        <v>272</v>
      </c>
      <c r="E354">
        <v>7594</v>
      </c>
      <c r="F354" s="106" t="s">
        <v>1976</v>
      </c>
      <c r="G354" s="106" t="s">
        <v>273</v>
      </c>
      <c r="H354" s="106" t="s">
        <v>279</v>
      </c>
      <c r="I354" s="106">
        <v>218</v>
      </c>
      <c r="J354" s="106"/>
    </row>
    <row r="355" spans="1:10" x14ac:dyDescent="0.2">
      <c r="A355" s="106" t="s">
        <v>387</v>
      </c>
      <c r="B355" s="106" t="s">
        <v>270</v>
      </c>
      <c r="C355" s="106" t="s">
        <v>280</v>
      </c>
      <c r="D355" s="106" t="s">
        <v>272</v>
      </c>
      <c r="E355">
        <v>7879</v>
      </c>
      <c r="F355" s="106" t="s">
        <v>1977</v>
      </c>
      <c r="G355" s="106" t="s">
        <v>281</v>
      </c>
      <c r="H355" s="106" t="s">
        <v>295</v>
      </c>
      <c r="I355" s="106">
        <v>153</v>
      </c>
      <c r="J355" s="106"/>
    </row>
    <row r="356" spans="1:10" x14ac:dyDescent="0.2">
      <c r="A356" s="106" t="s">
        <v>387</v>
      </c>
      <c r="B356" s="106" t="s">
        <v>270</v>
      </c>
      <c r="C356" s="106" t="s">
        <v>280</v>
      </c>
      <c r="D356" s="106" t="s">
        <v>276</v>
      </c>
      <c r="E356">
        <v>9281</v>
      </c>
      <c r="F356" s="106" t="s">
        <v>1978</v>
      </c>
      <c r="G356" s="106" t="s">
        <v>310</v>
      </c>
      <c r="H356" s="106" t="s">
        <v>311</v>
      </c>
      <c r="I356" s="106">
        <v>225</v>
      </c>
      <c r="J356" s="106"/>
    </row>
    <row r="357" spans="1:10" x14ac:dyDescent="0.2">
      <c r="A357" s="106" t="s">
        <v>1979</v>
      </c>
      <c r="B357" s="106" t="s">
        <v>270</v>
      </c>
      <c r="C357" s="106" t="s">
        <v>280</v>
      </c>
      <c r="D357" s="106" t="s">
        <v>276</v>
      </c>
      <c r="E357">
        <v>8966</v>
      </c>
      <c r="F357" s="106" t="s">
        <v>1980</v>
      </c>
      <c r="G357" s="106" t="s">
        <v>310</v>
      </c>
      <c r="H357" s="106" t="s">
        <v>311</v>
      </c>
      <c r="I357" s="106" t="s">
        <v>304</v>
      </c>
      <c r="J357" s="106" t="s">
        <v>2387</v>
      </c>
    </row>
    <row r="358" spans="1:10" x14ac:dyDescent="0.2">
      <c r="A358" s="106" t="s">
        <v>1979</v>
      </c>
      <c r="B358" s="106" t="s">
        <v>270</v>
      </c>
      <c r="C358" s="106" t="s">
        <v>280</v>
      </c>
      <c r="D358" s="106" t="s">
        <v>276</v>
      </c>
      <c r="E358">
        <v>9720</v>
      </c>
      <c r="F358" s="106" t="s">
        <v>2388</v>
      </c>
      <c r="G358" s="106" t="s">
        <v>277</v>
      </c>
      <c r="H358" s="106" t="s">
        <v>278</v>
      </c>
      <c r="I358" s="106">
        <v>34</v>
      </c>
      <c r="J358" s="106"/>
    </row>
    <row r="359" spans="1:10" x14ac:dyDescent="0.2">
      <c r="A359" s="106" t="s">
        <v>391</v>
      </c>
      <c r="B359" s="106" t="s">
        <v>270</v>
      </c>
      <c r="C359" s="106" t="s">
        <v>280</v>
      </c>
      <c r="D359" s="106" t="s">
        <v>276</v>
      </c>
      <c r="E359">
        <v>3279</v>
      </c>
      <c r="F359" s="106" t="s">
        <v>392</v>
      </c>
      <c r="G359" s="106" t="s">
        <v>310</v>
      </c>
      <c r="H359" s="106" t="s">
        <v>311</v>
      </c>
      <c r="I359" s="106" t="s">
        <v>323</v>
      </c>
      <c r="J359" s="106" t="s">
        <v>2389</v>
      </c>
    </row>
    <row r="360" spans="1:10" x14ac:dyDescent="0.2">
      <c r="A360" s="106" t="s">
        <v>391</v>
      </c>
      <c r="B360" s="106" t="s">
        <v>270</v>
      </c>
      <c r="C360" s="106" t="s">
        <v>280</v>
      </c>
      <c r="D360" s="106" t="s">
        <v>276</v>
      </c>
      <c r="E360">
        <v>3283</v>
      </c>
      <c r="F360" s="106" t="s">
        <v>1981</v>
      </c>
      <c r="G360" s="106" t="s">
        <v>310</v>
      </c>
      <c r="H360" s="106" t="s">
        <v>311</v>
      </c>
      <c r="I360" t="s">
        <v>332</v>
      </c>
      <c r="J360" t="s">
        <v>2390</v>
      </c>
    </row>
    <row r="361" spans="1:10" x14ac:dyDescent="0.2">
      <c r="A361" s="106" t="s">
        <v>391</v>
      </c>
      <c r="B361" s="106" t="s">
        <v>270</v>
      </c>
      <c r="C361" s="106" t="s">
        <v>280</v>
      </c>
      <c r="D361" s="106" t="s">
        <v>272</v>
      </c>
      <c r="E361">
        <v>6217</v>
      </c>
      <c r="F361" s="106" t="s">
        <v>1982</v>
      </c>
      <c r="G361" s="106" t="s">
        <v>273</v>
      </c>
      <c r="H361" s="106" t="s">
        <v>294</v>
      </c>
      <c r="I361" s="106">
        <v>90</v>
      </c>
      <c r="J361" s="106"/>
    </row>
    <row r="362" spans="1:10" x14ac:dyDescent="0.2">
      <c r="A362" s="106" t="s">
        <v>391</v>
      </c>
      <c r="B362" s="106" t="s">
        <v>270</v>
      </c>
      <c r="C362" s="106" t="s">
        <v>280</v>
      </c>
      <c r="D362" s="106" t="s">
        <v>272</v>
      </c>
      <c r="E362">
        <v>6634</v>
      </c>
      <c r="F362" s="106" t="s">
        <v>393</v>
      </c>
      <c r="G362" s="106" t="s">
        <v>277</v>
      </c>
      <c r="H362" s="106" t="s">
        <v>298</v>
      </c>
      <c r="I362" s="106">
        <v>30</v>
      </c>
      <c r="J362" s="106"/>
    </row>
    <row r="363" spans="1:10" x14ac:dyDescent="0.2">
      <c r="A363" s="106" t="s">
        <v>391</v>
      </c>
      <c r="B363" s="106" t="s">
        <v>270</v>
      </c>
      <c r="C363" s="106" t="s">
        <v>280</v>
      </c>
      <c r="D363" s="106" t="s">
        <v>276</v>
      </c>
      <c r="E363">
        <v>7501</v>
      </c>
      <c r="F363" s="106" t="s">
        <v>394</v>
      </c>
      <c r="G363" s="106" t="s">
        <v>277</v>
      </c>
      <c r="H363" s="106" t="s">
        <v>279</v>
      </c>
      <c r="I363" s="106">
        <v>19</v>
      </c>
      <c r="J363" s="106"/>
    </row>
    <row r="364" spans="1:10" x14ac:dyDescent="0.2">
      <c r="A364" s="106" t="s">
        <v>391</v>
      </c>
      <c r="B364" s="106" t="s">
        <v>270</v>
      </c>
      <c r="C364" s="106" t="s">
        <v>280</v>
      </c>
      <c r="D364" s="106" t="s">
        <v>272</v>
      </c>
      <c r="E364">
        <v>7997</v>
      </c>
      <c r="F364" s="106" t="s">
        <v>1983</v>
      </c>
      <c r="G364" s="106" t="s">
        <v>281</v>
      </c>
      <c r="H364" s="106" t="s">
        <v>295</v>
      </c>
      <c r="I364">
        <v>17</v>
      </c>
    </row>
    <row r="365" spans="1:10" x14ac:dyDescent="0.2">
      <c r="A365" s="106" t="s">
        <v>391</v>
      </c>
      <c r="B365" s="106" t="s">
        <v>270</v>
      </c>
      <c r="C365" s="106" t="s">
        <v>280</v>
      </c>
      <c r="D365" s="106" t="s">
        <v>276</v>
      </c>
      <c r="E365">
        <v>8960</v>
      </c>
      <c r="F365" s="106" t="s">
        <v>1984</v>
      </c>
      <c r="G365" s="106" t="s">
        <v>310</v>
      </c>
      <c r="H365" s="106" t="s">
        <v>311</v>
      </c>
      <c r="I365" s="106" t="s">
        <v>332</v>
      </c>
      <c r="J365" s="106" t="s">
        <v>2391</v>
      </c>
    </row>
    <row r="366" spans="1:10" x14ac:dyDescent="0.2">
      <c r="A366" s="106" t="s">
        <v>391</v>
      </c>
      <c r="B366" s="106" t="s">
        <v>270</v>
      </c>
      <c r="C366" s="106" t="s">
        <v>280</v>
      </c>
      <c r="D366" s="106" t="s">
        <v>272</v>
      </c>
      <c r="E366">
        <v>9647</v>
      </c>
      <c r="F366" s="106" t="s">
        <v>1985</v>
      </c>
      <c r="G366" s="106" t="s">
        <v>277</v>
      </c>
      <c r="H366" s="106" t="s">
        <v>278</v>
      </c>
      <c r="I366" s="106">
        <v>19</v>
      </c>
      <c r="J366" s="106"/>
    </row>
    <row r="367" spans="1:10" x14ac:dyDescent="0.2">
      <c r="A367" s="106" t="s">
        <v>1986</v>
      </c>
      <c r="B367" s="106" t="s">
        <v>270</v>
      </c>
      <c r="C367" s="106" t="s">
        <v>280</v>
      </c>
      <c r="D367" s="106" t="s">
        <v>272</v>
      </c>
      <c r="E367">
        <v>5341</v>
      </c>
      <c r="F367" s="106" t="s">
        <v>1987</v>
      </c>
      <c r="G367" s="106" t="s">
        <v>281</v>
      </c>
      <c r="H367" s="106" t="s">
        <v>315</v>
      </c>
      <c r="I367" s="106">
        <v>10</v>
      </c>
      <c r="J367" s="106"/>
    </row>
    <row r="368" spans="1:10" x14ac:dyDescent="0.2">
      <c r="A368" s="106" t="s">
        <v>1988</v>
      </c>
      <c r="B368" s="106" t="s">
        <v>270</v>
      </c>
      <c r="C368" s="106" t="s">
        <v>280</v>
      </c>
      <c r="D368" s="106" t="s">
        <v>276</v>
      </c>
      <c r="E368">
        <v>3472</v>
      </c>
      <c r="F368" s="106" t="s">
        <v>1989</v>
      </c>
      <c r="G368" s="106" t="s">
        <v>310</v>
      </c>
      <c r="H368" s="106" t="s">
        <v>311</v>
      </c>
      <c r="I368">
        <v>215</v>
      </c>
    </row>
    <row r="369" spans="1:10" x14ac:dyDescent="0.2">
      <c r="A369" s="106" t="s">
        <v>1988</v>
      </c>
      <c r="B369" s="106" t="s">
        <v>270</v>
      </c>
      <c r="C369" s="106" t="s">
        <v>280</v>
      </c>
      <c r="D369" s="106" t="s">
        <v>276</v>
      </c>
      <c r="E369">
        <v>8976</v>
      </c>
      <c r="F369" s="106" t="s">
        <v>1990</v>
      </c>
      <c r="G369" s="106" t="s">
        <v>310</v>
      </c>
      <c r="H369" s="106" t="s">
        <v>311</v>
      </c>
      <c r="I369" s="106" t="s">
        <v>323</v>
      </c>
      <c r="J369" s="106" t="s">
        <v>2392</v>
      </c>
    </row>
    <row r="370" spans="1:10" x14ac:dyDescent="0.2">
      <c r="A370" s="106" t="s">
        <v>395</v>
      </c>
      <c r="B370" s="106" t="s">
        <v>270</v>
      </c>
      <c r="C370" s="106" t="s">
        <v>271</v>
      </c>
      <c r="D370" s="106" t="s">
        <v>272</v>
      </c>
      <c r="E370">
        <v>6146</v>
      </c>
      <c r="F370" s="106" t="s">
        <v>396</v>
      </c>
      <c r="G370" s="106" t="s">
        <v>273</v>
      </c>
      <c r="H370" s="106" t="s">
        <v>294</v>
      </c>
      <c r="I370" s="106" t="s">
        <v>456</v>
      </c>
      <c r="J370" s="106" t="s">
        <v>2393</v>
      </c>
    </row>
    <row r="371" spans="1:10" x14ac:dyDescent="0.2">
      <c r="A371" s="106" t="s">
        <v>395</v>
      </c>
      <c r="B371" s="106" t="s">
        <v>270</v>
      </c>
      <c r="C371" s="106" t="s">
        <v>280</v>
      </c>
      <c r="D371" s="106" t="s">
        <v>276</v>
      </c>
      <c r="E371">
        <v>8977</v>
      </c>
      <c r="F371" s="106" t="s">
        <v>771</v>
      </c>
      <c r="G371" s="106" t="s">
        <v>310</v>
      </c>
      <c r="H371" s="106" t="s">
        <v>311</v>
      </c>
      <c r="I371" s="106" t="s">
        <v>304</v>
      </c>
      <c r="J371" s="106" t="s">
        <v>2394</v>
      </c>
    </row>
    <row r="372" spans="1:10" x14ac:dyDescent="0.2">
      <c r="A372" s="106" t="s">
        <v>1991</v>
      </c>
      <c r="B372" s="106" t="s">
        <v>270</v>
      </c>
      <c r="C372" s="106" t="s">
        <v>271</v>
      </c>
      <c r="D372" s="106" t="s">
        <v>272</v>
      </c>
      <c r="E372">
        <v>6961</v>
      </c>
      <c r="F372" s="106" t="s">
        <v>1992</v>
      </c>
      <c r="G372" s="106" t="s">
        <v>273</v>
      </c>
      <c r="H372" s="106" t="s">
        <v>298</v>
      </c>
      <c r="I372" s="106">
        <v>651</v>
      </c>
      <c r="J372" s="106"/>
    </row>
    <row r="373" spans="1:10" x14ac:dyDescent="0.2">
      <c r="A373" s="106" t="s">
        <v>1991</v>
      </c>
      <c r="B373" s="106" t="s">
        <v>270</v>
      </c>
      <c r="C373" s="106" t="s">
        <v>271</v>
      </c>
      <c r="D373" s="106" t="s">
        <v>272</v>
      </c>
      <c r="E373">
        <v>8595</v>
      </c>
      <c r="F373" s="106" t="s">
        <v>1993</v>
      </c>
      <c r="G373" s="106" t="s">
        <v>273</v>
      </c>
      <c r="H373" s="106" t="s">
        <v>1994</v>
      </c>
      <c r="I373" t="s">
        <v>304</v>
      </c>
      <c r="J373" t="s">
        <v>2395</v>
      </c>
    </row>
    <row r="374" spans="1:10" x14ac:dyDescent="0.2">
      <c r="A374" s="106" t="s">
        <v>397</v>
      </c>
      <c r="B374" s="106" t="s">
        <v>270</v>
      </c>
      <c r="C374" s="106" t="s">
        <v>271</v>
      </c>
      <c r="D374" s="106" t="s">
        <v>272</v>
      </c>
      <c r="E374">
        <v>9433</v>
      </c>
      <c r="F374" s="106" t="s">
        <v>398</v>
      </c>
      <c r="G374" s="106" t="s">
        <v>273</v>
      </c>
      <c r="H374" s="106" t="s">
        <v>284</v>
      </c>
      <c r="I374" s="106" t="s">
        <v>2396</v>
      </c>
      <c r="J374" s="106" t="s">
        <v>2397</v>
      </c>
    </row>
    <row r="375" spans="1:10" x14ac:dyDescent="0.2">
      <c r="A375" s="106" t="s">
        <v>399</v>
      </c>
      <c r="B375" s="106" t="s">
        <v>337</v>
      </c>
      <c r="C375" s="106" t="s">
        <v>271</v>
      </c>
      <c r="D375" s="106" t="s">
        <v>276</v>
      </c>
      <c r="E375">
        <v>4973</v>
      </c>
      <c r="F375" s="106" t="s">
        <v>400</v>
      </c>
      <c r="G375" s="106" t="s">
        <v>273</v>
      </c>
      <c r="H375" s="106" t="s">
        <v>286</v>
      </c>
      <c r="I375">
        <v>166</v>
      </c>
    </row>
    <row r="376" spans="1:10" x14ac:dyDescent="0.2">
      <c r="A376" s="106" t="s">
        <v>399</v>
      </c>
      <c r="B376" s="106" t="s">
        <v>270</v>
      </c>
      <c r="C376" s="106" t="s">
        <v>271</v>
      </c>
      <c r="D376" s="106" t="s">
        <v>272</v>
      </c>
      <c r="E376">
        <v>5936</v>
      </c>
      <c r="F376" s="106" t="s">
        <v>1995</v>
      </c>
      <c r="G376" s="106" t="s">
        <v>273</v>
      </c>
      <c r="H376" s="106" t="s">
        <v>288</v>
      </c>
      <c r="I376" s="106">
        <v>46</v>
      </c>
      <c r="J376" s="106"/>
    </row>
    <row r="377" spans="1:10" x14ac:dyDescent="0.2">
      <c r="A377" s="106" t="s">
        <v>401</v>
      </c>
      <c r="B377" s="106" t="s">
        <v>297</v>
      </c>
      <c r="C377" s="106" t="s">
        <v>271</v>
      </c>
      <c r="D377" s="106" t="s">
        <v>272</v>
      </c>
      <c r="E377">
        <v>9478</v>
      </c>
      <c r="F377" s="106" t="s">
        <v>1996</v>
      </c>
      <c r="G377" s="106" t="s">
        <v>277</v>
      </c>
      <c r="H377" s="106" t="s">
        <v>284</v>
      </c>
      <c r="I377" s="106">
        <v>45</v>
      </c>
      <c r="J377" s="106"/>
    </row>
    <row r="378" spans="1:10" x14ac:dyDescent="0.2">
      <c r="A378" s="106" t="s">
        <v>401</v>
      </c>
      <c r="B378" s="106" t="s">
        <v>270</v>
      </c>
      <c r="C378" s="106" t="s">
        <v>271</v>
      </c>
      <c r="D378" s="106" t="s">
        <v>272</v>
      </c>
      <c r="E378">
        <v>4462</v>
      </c>
      <c r="F378" s="106" t="s">
        <v>402</v>
      </c>
      <c r="G378" s="106" t="s">
        <v>273</v>
      </c>
      <c r="H378" s="106" t="s">
        <v>286</v>
      </c>
      <c r="I378" s="106">
        <v>168</v>
      </c>
      <c r="J378" s="106"/>
    </row>
    <row r="379" spans="1:10" x14ac:dyDescent="0.2">
      <c r="A379" s="106" t="s">
        <v>403</v>
      </c>
      <c r="B379" s="106" t="s">
        <v>337</v>
      </c>
      <c r="C379" s="106" t="s">
        <v>271</v>
      </c>
      <c r="D379" s="106" t="s">
        <v>272</v>
      </c>
      <c r="E379">
        <v>3850</v>
      </c>
      <c r="F379" s="106" t="s">
        <v>1997</v>
      </c>
      <c r="G379" s="106" t="s">
        <v>281</v>
      </c>
      <c r="H379" s="106" t="s">
        <v>284</v>
      </c>
      <c r="I379" s="106">
        <v>216</v>
      </c>
      <c r="J379" s="106"/>
    </row>
    <row r="380" spans="1:10" x14ac:dyDescent="0.2">
      <c r="A380" s="106" t="s">
        <v>403</v>
      </c>
      <c r="B380" s="106" t="s">
        <v>270</v>
      </c>
      <c r="C380" s="106" t="s">
        <v>271</v>
      </c>
      <c r="D380" s="106" t="s">
        <v>276</v>
      </c>
      <c r="E380">
        <v>2540</v>
      </c>
      <c r="F380" s="106" t="s">
        <v>1998</v>
      </c>
      <c r="G380" s="106" t="s">
        <v>273</v>
      </c>
      <c r="H380" s="106" t="s">
        <v>274</v>
      </c>
      <c r="I380" s="106">
        <v>325</v>
      </c>
      <c r="J380" s="106"/>
    </row>
    <row r="381" spans="1:10" x14ac:dyDescent="0.2">
      <c r="A381" s="106" t="s">
        <v>403</v>
      </c>
      <c r="B381" s="106" t="s">
        <v>270</v>
      </c>
      <c r="C381" s="106" t="s">
        <v>271</v>
      </c>
      <c r="D381" s="106" t="s">
        <v>272</v>
      </c>
      <c r="E381">
        <v>4099</v>
      </c>
      <c r="F381" s="106" t="s">
        <v>1999</v>
      </c>
      <c r="G381" s="106" t="s">
        <v>273</v>
      </c>
      <c r="H381" s="106" t="s">
        <v>286</v>
      </c>
      <c r="I381" s="106">
        <v>813</v>
      </c>
      <c r="J381" s="106"/>
    </row>
    <row r="382" spans="1:10" x14ac:dyDescent="0.2">
      <c r="A382" s="106" t="s">
        <v>403</v>
      </c>
      <c r="B382" s="106" t="s">
        <v>270</v>
      </c>
      <c r="C382" s="106" t="s">
        <v>271</v>
      </c>
      <c r="D382" s="106" t="s">
        <v>272</v>
      </c>
      <c r="E382">
        <v>9039</v>
      </c>
      <c r="F382" s="106" t="s">
        <v>404</v>
      </c>
      <c r="G382" s="106" t="s">
        <v>273</v>
      </c>
      <c r="H382" s="106" t="s">
        <v>405</v>
      </c>
      <c r="I382" s="106" t="s">
        <v>304</v>
      </c>
      <c r="J382" s="106" t="s">
        <v>2398</v>
      </c>
    </row>
    <row r="383" spans="1:10" x14ac:dyDescent="0.2">
      <c r="A383" s="106" t="s">
        <v>406</v>
      </c>
      <c r="B383" s="106" t="s">
        <v>772</v>
      </c>
      <c r="C383" s="106" t="s">
        <v>271</v>
      </c>
      <c r="D383" s="106" t="s">
        <v>272</v>
      </c>
      <c r="E383">
        <v>6470</v>
      </c>
      <c r="F383" s="106" t="s">
        <v>773</v>
      </c>
      <c r="G383" s="106" t="s">
        <v>273</v>
      </c>
      <c r="H383" s="106" t="s">
        <v>294</v>
      </c>
      <c r="I383" s="106">
        <v>258</v>
      </c>
      <c r="J383" s="106"/>
    </row>
    <row r="384" spans="1:10" x14ac:dyDescent="0.2">
      <c r="A384" s="106" t="s">
        <v>406</v>
      </c>
      <c r="B384" s="106" t="s">
        <v>337</v>
      </c>
      <c r="C384" s="106" t="s">
        <v>271</v>
      </c>
      <c r="D384" s="106" t="s">
        <v>272</v>
      </c>
      <c r="E384">
        <v>2802</v>
      </c>
      <c r="F384" s="106" t="s">
        <v>774</v>
      </c>
      <c r="G384" s="106" t="s">
        <v>273</v>
      </c>
      <c r="H384" s="106" t="s">
        <v>274</v>
      </c>
      <c r="I384" s="106" t="s">
        <v>408</v>
      </c>
      <c r="J384" s="106" t="s">
        <v>2399</v>
      </c>
    </row>
    <row r="385" spans="1:10" x14ac:dyDescent="0.2">
      <c r="A385" s="106" t="s">
        <v>406</v>
      </c>
      <c r="B385" s="106" t="s">
        <v>297</v>
      </c>
      <c r="C385" s="106" t="s">
        <v>271</v>
      </c>
      <c r="D385" s="106" t="s">
        <v>272</v>
      </c>
      <c r="E385">
        <v>2002</v>
      </c>
      <c r="F385" s="106" t="s">
        <v>2000</v>
      </c>
      <c r="G385" s="106" t="s">
        <v>273</v>
      </c>
      <c r="H385" s="106" t="s">
        <v>274</v>
      </c>
      <c r="I385" s="106" t="s">
        <v>290</v>
      </c>
      <c r="J385" s="106" t="s">
        <v>2248</v>
      </c>
    </row>
    <row r="386" spans="1:10" x14ac:dyDescent="0.2">
      <c r="A386" s="106" t="s">
        <v>406</v>
      </c>
      <c r="B386" s="106" t="s">
        <v>270</v>
      </c>
      <c r="C386" s="106" t="s">
        <v>271</v>
      </c>
      <c r="D386" s="106" t="s">
        <v>272</v>
      </c>
      <c r="E386">
        <v>1878</v>
      </c>
      <c r="F386" s="106" t="s">
        <v>407</v>
      </c>
      <c r="G386" s="106" t="s">
        <v>273</v>
      </c>
      <c r="H386" s="106" t="s">
        <v>300</v>
      </c>
      <c r="I386" s="106" t="s">
        <v>408</v>
      </c>
      <c r="J386" s="106" t="s">
        <v>2400</v>
      </c>
    </row>
    <row r="387" spans="1:10" x14ac:dyDescent="0.2">
      <c r="A387" s="106" t="s">
        <v>406</v>
      </c>
      <c r="B387" s="106" t="s">
        <v>270</v>
      </c>
      <c r="C387" s="106" t="s">
        <v>271</v>
      </c>
      <c r="D387" s="106" t="s">
        <v>272</v>
      </c>
      <c r="E387">
        <v>2127</v>
      </c>
      <c r="F387" s="106" t="s">
        <v>712</v>
      </c>
      <c r="G387" s="106" t="s">
        <v>273</v>
      </c>
      <c r="H387" s="106" t="s">
        <v>278</v>
      </c>
      <c r="I387" t="s">
        <v>332</v>
      </c>
      <c r="J387" t="s">
        <v>2401</v>
      </c>
    </row>
    <row r="388" spans="1:10" x14ac:dyDescent="0.2">
      <c r="A388" s="106" t="s">
        <v>406</v>
      </c>
      <c r="B388" s="106" t="s">
        <v>270</v>
      </c>
      <c r="C388" s="106" t="s">
        <v>271</v>
      </c>
      <c r="D388" s="106" t="s">
        <v>272</v>
      </c>
      <c r="E388">
        <v>2412</v>
      </c>
      <c r="F388" s="106" t="s">
        <v>713</v>
      </c>
      <c r="G388" s="106" t="s">
        <v>273</v>
      </c>
      <c r="H388" s="106" t="s">
        <v>278</v>
      </c>
      <c r="I388" s="106" t="s">
        <v>357</v>
      </c>
      <c r="J388" s="106" t="s">
        <v>2402</v>
      </c>
    </row>
    <row r="389" spans="1:10" x14ac:dyDescent="0.2">
      <c r="A389" s="106" t="s">
        <v>406</v>
      </c>
      <c r="B389" s="106" t="s">
        <v>270</v>
      </c>
      <c r="C389" s="106" t="s">
        <v>271</v>
      </c>
      <c r="D389" s="106" t="s">
        <v>272</v>
      </c>
      <c r="E389">
        <v>2737</v>
      </c>
      <c r="F389" s="106" t="s">
        <v>409</v>
      </c>
      <c r="G389" s="106" t="s">
        <v>273</v>
      </c>
      <c r="H389" s="106" t="s">
        <v>279</v>
      </c>
      <c r="I389" s="106">
        <v>223</v>
      </c>
      <c r="J389" s="106"/>
    </row>
    <row r="390" spans="1:10" x14ac:dyDescent="0.2">
      <c r="A390" s="106" t="s">
        <v>406</v>
      </c>
      <c r="B390" s="106" t="s">
        <v>270</v>
      </c>
      <c r="C390" s="106" t="s">
        <v>280</v>
      </c>
      <c r="D390" s="106" t="s">
        <v>272</v>
      </c>
      <c r="E390">
        <v>3003</v>
      </c>
      <c r="F390" s="106" t="s">
        <v>775</v>
      </c>
      <c r="G390" s="106" t="s">
        <v>273</v>
      </c>
      <c r="H390" s="106" t="s">
        <v>299</v>
      </c>
      <c r="I390" s="106" t="s">
        <v>386</v>
      </c>
      <c r="J390" s="106" t="s">
        <v>2403</v>
      </c>
    </row>
    <row r="391" spans="1:10" x14ac:dyDescent="0.2">
      <c r="A391" s="106" t="s">
        <v>406</v>
      </c>
      <c r="B391" s="106" t="s">
        <v>270</v>
      </c>
      <c r="C391" s="106" t="s">
        <v>271</v>
      </c>
      <c r="D391" s="106" t="s">
        <v>272</v>
      </c>
      <c r="E391">
        <v>3167</v>
      </c>
      <c r="F391" s="106" t="s">
        <v>776</v>
      </c>
      <c r="G391" s="106" t="s">
        <v>273</v>
      </c>
      <c r="H391" s="106" t="s">
        <v>279</v>
      </c>
      <c r="I391" t="s">
        <v>304</v>
      </c>
      <c r="J391" t="s">
        <v>2404</v>
      </c>
    </row>
    <row r="392" spans="1:10" x14ac:dyDescent="0.2">
      <c r="A392" s="106" t="s">
        <v>406</v>
      </c>
      <c r="B392" s="106" t="s">
        <v>270</v>
      </c>
      <c r="C392" s="106" t="s">
        <v>271</v>
      </c>
      <c r="D392" s="106" t="s">
        <v>272</v>
      </c>
      <c r="E392">
        <v>3388</v>
      </c>
      <c r="F392" s="106" t="s">
        <v>777</v>
      </c>
      <c r="G392" s="106" t="s">
        <v>273</v>
      </c>
      <c r="H392" s="106" t="s">
        <v>279</v>
      </c>
      <c r="I392">
        <v>204</v>
      </c>
    </row>
    <row r="393" spans="1:10" x14ac:dyDescent="0.2">
      <c r="A393" s="106" t="s">
        <v>406</v>
      </c>
      <c r="B393" s="106" t="s">
        <v>270</v>
      </c>
      <c r="C393" s="106" t="s">
        <v>271</v>
      </c>
      <c r="D393" s="106" t="s">
        <v>272</v>
      </c>
      <c r="E393">
        <v>3640</v>
      </c>
      <c r="F393" s="106" t="s">
        <v>778</v>
      </c>
      <c r="G393" s="106" t="s">
        <v>273</v>
      </c>
      <c r="H393" s="106" t="s">
        <v>284</v>
      </c>
      <c r="I393" s="106">
        <v>132</v>
      </c>
      <c r="J393" s="106"/>
    </row>
    <row r="394" spans="1:10" x14ac:dyDescent="0.2">
      <c r="A394" s="106" t="s">
        <v>406</v>
      </c>
      <c r="B394" s="106" t="s">
        <v>270</v>
      </c>
      <c r="C394" s="106" t="s">
        <v>271</v>
      </c>
      <c r="D394" s="106" t="s">
        <v>272</v>
      </c>
      <c r="E394">
        <v>4956</v>
      </c>
      <c r="F394" s="106" t="s">
        <v>2405</v>
      </c>
      <c r="G394" s="106" t="s">
        <v>273</v>
      </c>
      <c r="H394" s="106" t="s">
        <v>286</v>
      </c>
      <c r="I394" s="106">
        <v>619</v>
      </c>
      <c r="J394" s="106"/>
    </row>
    <row r="395" spans="1:10" x14ac:dyDescent="0.2">
      <c r="A395" s="106" t="s">
        <v>406</v>
      </c>
      <c r="B395" s="106" t="s">
        <v>270</v>
      </c>
      <c r="C395" s="106" t="s">
        <v>271</v>
      </c>
      <c r="D395" s="106" t="s">
        <v>272</v>
      </c>
      <c r="E395">
        <v>6471</v>
      </c>
      <c r="F395" s="106" t="s">
        <v>2406</v>
      </c>
      <c r="G395" s="106" t="s">
        <v>273</v>
      </c>
      <c r="H395" s="106" t="s">
        <v>294</v>
      </c>
      <c r="I395" s="106" t="s">
        <v>290</v>
      </c>
      <c r="J395" s="106" t="s">
        <v>2407</v>
      </c>
    </row>
    <row r="396" spans="1:10" x14ac:dyDescent="0.2">
      <c r="A396" s="106" t="s">
        <v>406</v>
      </c>
      <c r="B396" s="106" t="s">
        <v>270</v>
      </c>
      <c r="C396" s="106" t="s">
        <v>271</v>
      </c>
      <c r="D396" s="106" t="s">
        <v>272</v>
      </c>
      <c r="E396">
        <v>7551</v>
      </c>
      <c r="F396" s="106" t="s">
        <v>2001</v>
      </c>
      <c r="G396" s="106" t="s">
        <v>277</v>
      </c>
      <c r="H396" s="106" t="s">
        <v>303</v>
      </c>
      <c r="I396" s="106">
        <v>95</v>
      </c>
      <c r="J396" s="106"/>
    </row>
    <row r="397" spans="1:10" x14ac:dyDescent="0.2">
      <c r="A397" s="106" t="s">
        <v>406</v>
      </c>
      <c r="B397" s="106" t="s">
        <v>270</v>
      </c>
      <c r="C397" s="106" t="s">
        <v>271</v>
      </c>
      <c r="D397" s="106" t="s">
        <v>272</v>
      </c>
      <c r="E397">
        <v>8137</v>
      </c>
      <c r="F397" s="106" t="s">
        <v>2002</v>
      </c>
      <c r="G397" s="106" t="s">
        <v>273</v>
      </c>
      <c r="H397" s="106" t="s">
        <v>279</v>
      </c>
      <c r="I397" s="106">
        <v>179</v>
      </c>
      <c r="J397" s="106"/>
    </row>
    <row r="398" spans="1:10" x14ac:dyDescent="0.2">
      <c r="A398" s="106" t="s">
        <v>406</v>
      </c>
      <c r="B398" s="106" t="s">
        <v>270</v>
      </c>
      <c r="C398" s="106" t="s">
        <v>271</v>
      </c>
      <c r="D398" s="106" t="s">
        <v>272</v>
      </c>
      <c r="E398">
        <v>8771</v>
      </c>
      <c r="F398" s="106" t="s">
        <v>410</v>
      </c>
      <c r="G398" s="106" t="s">
        <v>273</v>
      </c>
      <c r="H398" s="106" t="s">
        <v>309</v>
      </c>
      <c r="I398" s="106">
        <v>547</v>
      </c>
      <c r="J398" s="106"/>
    </row>
    <row r="399" spans="1:10" x14ac:dyDescent="0.2">
      <c r="A399" s="106" t="s">
        <v>406</v>
      </c>
      <c r="B399" s="106" t="s">
        <v>270</v>
      </c>
      <c r="C399" s="106" t="s">
        <v>271</v>
      </c>
      <c r="D399" s="106" t="s">
        <v>272</v>
      </c>
      <c r="E399">
        <v>9020</v>
      </c>
      <c r="F399" s="106" t="s">
        <v>779</v>
      </c>
      <c r="G399" s="106" t="s">
        <v>273</v>
      </c>
      <c r="H399" s="106" t="s">
        <v>405</v>
      </c>
      <c r="I399" s="106" t="s">
        <v>780</v>
      </c>
      <c r="J399" s="106" t="s">
        <v>2408</v>
      </c>
    </row>
    <row r="400" spans="1:10" x14ac:dyDescent="0.2">
      <c r="A400" s="106" t="s">
        <v>406</v>
      </c>
      <c r="B400" s="106" t="s">
        <v>270</v>
      </c>
      <c r="C400" s="106" t="s">
        <v>271</v>
      </c>
      <c r="D400" s="106" t="s">
        <v>272</v>
      </c>
      <c r="E400">
        <v>9037</v>
      </c>
      <c r="F400" s="106" t="s">
        <v>411</v>
      </c>
      <c r="G400" s="106" t="s">
        <v>273</v>
      </c>
      <c r="H400" s="106" t="s">
        <v>405</v>
      </c>
      <c r="I400" s="106">
        <v>684</v>
      </c>
      <c r="J400" s="106"/>
    </row>
    <row r="401" spans="1:10" x14ac:dyDescent="0.2">
      <c r="A401" s="106" t="s">
        <v>406</v>
      </c>
      <c r="B401" s="106" t="s">
        <v>270</v>
      </c>
      <c r="C401" s="106" t="s">
        <v>275</v>
      </c>
      <c r="D401" s="106" t="s">
        <v>276</v>
      </c>
      <c r="E401">
        <v>9795</v>
      </c>
      <c r="F401" s="106" t="s">
        <v>2003</v>
      </c>
      <c r="G401" s="106" t="s">
        <v>273</v>
      </c>
      <c r="H401" s="106" t="s">
        <v>278</v>
      </c>
      <c r="I401" s="106">
        <v>268</v>
      </c>
      <c r="J401" s="106"/>
    </row>
    <row r="402" spans="1:10" x14ac:dyDescent="0.2">
      <c r="A402" s="106" t="s">
        <v>406</v>
      </c>
      <c r="B402" s="106" t="s">
        <v>270</v>
      </c>
      <c r="C402" s="106" t="s">
        <v>271</v>
      </c>
      <c r="D402" s="106" t="s">
        <v>272</v>
      </c>
      <c r="E402">
        <v>9995</v>
      </c>
      <c r="F402" s="106" t="s">
        <v>412</v>
      </c>
      <c r="G402" s="106" t="s">
        <v>273</v>
      </c>
      <c r="H402" s="106" t="s">
        <v>279</v>
      </c>
      <c r="I402" s="106">
        <v>118</v>
      </c>
      <c r="J402" s="106"/>
    </row>
    <row r="403" spans="1:10" x14ac:dyDescent="0.2">
      <c r="A403" s="106" t="s">
        <v>413</v>
      </c>
      <c r="B403" s="106" t="s">
        <v>337</v>
      </c>
      <c r="C403" s="106" t="s">
        <v>271</v>
      </c>
      <c r="D403" s="106" t="s">
        <v>272</v>
      </c>
      <c r="E403">
        <v>3433</v>
      </c>
      <c r="F403" s="106" t="s">
        <v>781</v>
      </c>
      <c r="G403" s="106" t="s">
        <v>273</v>
      </c>
      <c r="H403" s="106" t="s">
        <v>288</v>
      </c>
      <c r="I403" s="106">
        <v>708</v>
      </c>
      <c r="J403" s="106"/>
    </row>
    <row r="404" spans="1:10" x14ac:dyDescent="0.2">
      <c r="A404" s="106" t="s">
        <v>413</v>
      </c>
      <c r="B404" s="106" t="s">
        <v>270</v>
      </c>
      <c r="C404" s="106" t="s">
        <v>271</v>
      </c>
      <c r="D404" s="106" t="s">
        <v>272</v>
      </c>
      <c r="E404">
        <v>1946</v>
      </c>
      <c r="F404" s="106" t="s">
        <v>512</v>
      </c>
      <c r="G404" s="106" t="s">
        <v>273</v>
      </c>
      <c r="H404" s="106" t="s">
        <v>300</v>
      </c>
      <c r="I404">
        <v>744</v>
      </c>
    </row>
    <row r="405" spans="1:10" x14ac:dyDescent="0.2">
      <c r="A405" s="106" t="s">
        <v>413</v>
      </c>
      <c r="B405" s="106" t="s">
        <v>270</v>
      </c>
      <c r="C405" s="106" t="s">
        <v>271</v>
      </c>
      <c r="D405" s="106" t="s">
        <v>272</v>
      </c>
      <c r="E405">
        <v>1950</v>
      </c>
      <c r="F405" s="106" t="s">
        <v>2170</v>
      </c>
      <c r="G405" s="106" t="s">
        <v>273</v>
      </c>
      <c r="H405" s="106" t="s">
        <v>300</v>
      </c>
      <c r="I405" t="s">
        <v>304</v>
      </c>
      <c r="J405" t="s">
        <v>2409</v>
      </c>
    </row>
    <row r="406" spans="1:10" x14ac:dyDescent="0.2">
      <c r="A406" s="106" t="s">
        <v>413</v>
      </c>
      <c r="B406" s="106" t="s">
        <v>270</v>
      </c>
      <c r="C406" s="106" t="s">
        <v>271</v>
      </c>
      <c r="D406" s="106" t="s">
        <v>272</v>
      </c>
      <c r="E406">
        <v>2175</v>
      </c>
      <c r="F406" s="106" t="s">
        <v>714</v>
      </c>
      <c r="G406" s="106" t="s">
        <v>273</v>
      </c>
      <c r="H406" s="106" t="s">
        <v>278</v>
      </c>
      <c r="I406" s="106" t="s">
        <v>296</v>
      </c>
      <c r="J406" s="106" t="s">
        <v>2410</v>
      </c>
    </row>
    <row r="407" spans="1:10" x14ac:dyDescent="0.2">
      <c r="A407" s="106" t="s">
        <v>413</v>
      </c>
      <c r="B407" s="106" t="s">
        <v>270</v>
      </c>
      <c r="C407" s="106" t="s">
        <v>271</v>
      </c>
      <c r="D407" s="106" t="s">
        <v>272</v>
      </c>
      <c r="E407">
        <v>2220</v>
      </c>
      <c r="F407" s="106" t="s">
        <v>715</v>
      </c>
      <c r="G407" s="106" t="s">
        <v>273</v>
      </c>
      <c r="H407" s="106" t="s">
        <v>274</v>
      </c>
      <c r="I407" s="106" t="s">
        <v>304</v>
      </c>
      <c r="J407" s="106" t="s">
        <v>2411</v>
      </c>
    </row>
    <row r="408" spans="1:10" x14ac:dyDescent="0.2">
      <c r="A408" s="106" t="s">
        <v>413</v>
      </c>
      <c r="B408" s="106" t="s">
        <v>270</v>
      </c>
      <c r="C408" s="106" t="s">
        <v>271</v>
      </c>
      <c r="D408" s="106" t="s">
        <v>272</v>
      </c>
      <c r="E408">
        <v>2331</v>
      </c>
      <c r="F408" s="106" t="s">
        <v>716</v>
      </c>
      <c r="G408" s="106" t="s">
        <v>273</v>
      </c>
      <c r="H408" s="106" t="s">
        <v>278</v>
      </c>
      <c r="I408" t="s">
        <v>332</v>
      </c>
      <c r="J408" t="s">
        <v>2412</v>
      </c>
    </row>
    <row r="409" spans="1:10" x14ac:dyDescent="0.2">
      <c r="A409" s="106" t="s">
        <v>413</v>
      </c>
      <c r="B409" s="106" t="s">
        <v>270</v>
      </c>
      <c r="C409" s="106" t="s">
        <v>271</v>
      </c>
      <c r="D409" s="106" t="s">
        <v>272</v>
      </c>
      <c r="E409">
        <v>2497</v>
      </c>
      <c r="F409" s="106" t="s">
        <v>782</v>
      </c>
      <c r="G409" s="106" t="s">
        <v>285</v>
      </c>
      <c r="H409" s="106" t="s">
        <v>278</v>
      </c>
      <c r="I409" s="106">
        <v>328</v>
      </c>
      <c r="J409" s="106"/>
    </row>
    <row r="410" spans="1:10" x14ac:dyDescent="0.2">
      <c r="A410" s="106" t="s">
        <v>413</v>
      </c>
      <c r="B410" s="106" t="s">
        <v>270</v>
      </c>
      <c r="C410" s="106" t="s">
        <v>271</v>
      </c>
      <c r="D410" s="106" t="s">
        <v>272</v>
      </c>
      <c r="E410">
        <v>2715</v>
      </c>
      <c r="F410" s="106" t="s">
        <v>414</v>
      </c>
      <c r="G410" s="106" t="s">
        <v>273</v>
      </c>
      <c r="H410" s="106" t="s">
        <v>279</v>
      </c>
      <c r="I410" s="106">
        <v>487</v>
      </c>
      <c r="J410" s="106"/>
    </row>
    <row r="411" spans="1:10" x14ac:dyDescent="0.2">
      <c r="A411" s="106" t="s">
        <v>413</v>
      </c>
      <c r="B411" s="106" t="s">
        <v>270</v>
      </c>
      <c r="C411" s="106" t="s">
        <v>271</v>
      </c>
      <c r="D411" s="106" t="s">
        <v>276</v>
      </c>
      <c r="E411">
        <v>2892</v>
      </c>
      <c r="F411" s="106" t="s">
        <v>415</v>
      </c>
      <c r="G411" s="106" t="s">
        <v>281</v>
      </c>
      <c r="H411" s="106" t="s">
        <v>274</v>
      </c>
      <c r="I411" s="106">
        <v>85</v>
      </c>
      <c r="J411" s="106"/>
    </row>
    <row r="412" spans="1:10" x14ac:dyDescent="0.2">
      <c r="A412" s="106" t="s">
        <v>413</v>
      </c>
      <c r="B412" s="106" t="s">
        <v>270</v>
      </c>
      <c r="C412" s="106" t="s">
        <v>271</v>
      </c>
      <c r="D412" s="106" t="s">
        <v>272</v>
      </c>
      <c r="E412">
        <v>3023</v>
      </c>
      <c r="F412" s="106" t="s">
        <v>416</v>
      </c>
      <c r="G412" s="106" t="s">
        <v>273</v>
      </c>
      <c r="H412" s="106" t="s">
        <v>279</v>
      </c>
      <c r="I412" s="106">
        <v>127</v>
      </c>
      <c r="J412" s="106"/>
    </row>
    <row r="413" spans="1:10" x14ac:dyDescent="0.2">
      <c r="A413" s="106" t="s">
        <v>413</v>
      </c>
      <c r="B413" s="106" t="s">
        <v>270</v>
      </c>
      <c r="C413" s="106" t="s">
        <v>271</v>
      </c>
      <c r="D413" s="106" t="s">
        <v>272</v>
      </c>
      <c r="E413">
        <v>3092</v>
      </c>
      <c r="F413" s="106" t="s">
        <v>783</v>
      </c>
      <c r="G413" s="106" t="s">
        <v>273</v>
      </c>
      <c r="H413" s="106" t="s">
        <v>283</v>
      </c>
      <c r="I413" s="106" t="s">
        <v>332</v>
      </c>
      <c r="J413" s="106" t="s">
        <v>2413</v>
      </c>
    </row>
    <row r="414" spans="1:10" x14ac:dyDescent="0.2">
      <c r="A414" s="106" t="s">
        <v>413</v>
      </c>
      <c r="B414" s="106" t="s">
        <v>270</v>
      </c>
      <c r="C414" s="106" t="s">
        <v>271</v>
      </c>
      <c r="D414" s="106" t="s">
        <v>272</v>
      </c>
      <c r="E414">
        <v>3098</v>
      </c>
      <c r="F414" s="106" t="s">
        <v>784</v>
      </c>
      <c r="G414" s="106" t="s">
        <v>273</v>
      </c>
      <c r="H414" s="106" t="s">
        <v>283</v>
      </c>
      <c r="I414" s="106" t="s">
        <v>304</v>
      </c>
      <c r="J414" s="106" t="s">
        <v>2252</v>
      </c>
    </row>
    <row r="415" spans="1:10" x14ac:dyDescent="0.2">
      <c r="A415" s="106" t="s">
        <v>413</v>
      </c>
      <c r="B415" s="106" t="s">
        <v>270</v>
      </c>
      <c r="C415" s="106" t="s">
        <v>271</v>
      </c>
      <c r="D415" s="106" t="s">
        <v>276</v>
      </c>
      <c r="E415">
        <v>3137</v>
      </c>
      <c r="F415" s="106" t="s">
        <v>785</v>
      </c>
      <c r="G415" s="106" t="s">
        <v>285</v>
      </c>
      <c r="H415" s="106" t="s">
        <v>283</v>
      </c>
      <c r="I415" s="106">
        <v>78</v>
      </c>
      <c r="J415" s="106"/>
    </row>
    <row r="416" spans="1:10" x14ac:dyDescent="0.2">
      <c r="A416" s="106" t="s">
        <v>413</v>
      </c>
      <c r="B416" s="106" t="s">
        <v>270</v>
      </c>
      <c r="C416" s="106" t="s">
        <v>271</v>
      </c>
      <c r="D416" s="106" t="s">
        <v>272</v>
      </c>
      <c r="E416">
        <v>3513</v>
      </c>
      <c r="F416" s="106" t="s">
        <v>786</v>
      </c>
      <c r="G416" s="106" t="s">
        <v>273</v>
      </c>
      <c r="H416" s="106" t="s">
        <v>306</v>
      </c>
      <c r="I416" s="106">
        <v>76</v>
      </c>
      <c r="J416" s="106"/>
    </row>
    <row r="417" spans="1:10" x14ac:dyDescent="0.2">
      <c r="A417" s="106" t="s">
        <v>413</v>
      </c>
      <c r="B417" s="106" t="s">
        <v>270</v>
      </c>
      <c r="C417" s="106" t="s">
        <v>271</v>
      </c>
      <c r="D417" s="106" t="s">
        <v>272</v>
      </c>
      <c r="E417">
        <v>3591</v>
      </c>
      <c r="F417" s="106" t="s">
        <v>787</v>
      </c>
      <c r="G417" s="106" t="s">
        <v>273</v>
      </c>
      <c r="H417" s="106" t="s">
        <v>306</v>
      </c>
      <c r="I417" s="106" t="s">
        <v>296</v>
      </c>
      <c r="J417" s="106" t="s">
        <v>2414</v>
      </c>
    </row>
    <row r="418" spans="1:10" x14ac:dyDescent="0.2">
      <c r="A418" s="106" t="s">
        <v>413</v>
      </c>
      <c r="B418" s="106" t="s">
        <v>270</v>
      </c>
      <c r="C418" s="106" t="s">
        <v>271</v>
      </c>
      <c r="D418" s="106" t="s">
        <v>272</v>
      </c>
      <c r="E418">
        <v>3666</v>
      </c>
      <c r="F418" s="106" t="s">
        <v>788</v>
      </c>
      <c r="G418" s="106" t="s">
        <v>273</v>
      </c>
      <c r="H418" s="106" t="s">
        <v>284</v>
      </c>
      <c r="I418" s="106">
        <v>101</v>
      </c>
      <c r="J418" s="106"/>
    </row>
    <row r="419" spans="1:10" x14ac:dyDescent="0.2">
      <c r="A419" s="106" t="s">
        <v>413</v>
      </c>
      <c r="B419" s="106" t="s">
        <v>270</v>
      </c>
      <c r="C419" s="106" t="s">
        <v>271</v>
      </c>
      <c r="D419" s="106" t="s">
        <v>272</v>
      </c>
      <c r="E419">
        <v>3762</v>
      </c>
      <c r="F419" s="106" t="s">
        <v>417</v>
      </c>
      <c r="G419" s="106" t="s">
        <v>273</v>
      </c>
      <c r="H419" s="106" t="s">
        <v>284</v>
      </c>
      <c r="I419" s="106">
        <v>528</v>
      </c>
      <c r="J419" s="106"/>
    </row>
    <row r="420" spans="1:10" x14ac:dyDescent="0.2">
      <c r="A420" s="106" t="s">
        <v>413</v>
      </c>
      <c r="B420" s="106" t="s">
        <v>270</v>
      </c>
      <c r="C420" s="106" t="s">
        <v>271</v>
      </c>
      <c r="D420" s="106" t="s">
        <v>276</v>
      </c>
      <c r="E420">
        <v>3841</v>
      </c>
      <c r="F420" s="106" t="s">
        <v>418</v>
      </c>
      <c r="G420" s="106" t="s">
        <v>277</v>
      </c>
      <c r="H420" s="106" t="s">
        <v>284</v>
      </c>
      <c r="I420" s="106">
        <v>23</v>
      </c>
      <c r="J420" s="106"/>
    </row>
    <row r="421" spans="1:10" x14ac:dyDescent="0.2">
      <c r="A421" s="106" t="s">
        <v>413</v>
      </c>
      <c r="B421" s="106" t="s">
        <v>270</v>
      </c>
      <c r="C421" s="106" t="s">
        <v>271</v>
      </c>
      <c r="D421" s="106" t="s">
        <v>272</v>
      </c>
      <c r="E421">
        <v>4310</v>
      </c>
      <c r="F421" s="106" t="s">
        <v>419</v>
      </c>
      <c r="G421" s="106" t="s">
        <v>273</v>
      </c>
      <c r="H421" s="106" t="s">
        <v>278</v>
      </c>
      <c r="I421" s="106">
        <v>165</v>
      </c>
      <c r="J421" s="106"/>
    </row>
    <row r="422" spans="1:10" x14ac:dyDescent="0.2">
      <c r="A422" s="106" t="s">
        <v>413</v>
      </c>
      <c r="B422" s="106" t="s">
        <v>270</v>
      </c>
      <c r="C422" s="106" t="s">
        <v>271</v>
      </c>
      <c r="D422" s="106" t="s">
        <v>272</v>
      </c>
      <c r="E422">
        <v>4368</v>
      </c>
      <c r="F422" s="106" t="s">
        <v>420</v>
      </c>
      <c r="G422" s="106" t="s">
        <v>273</v>
      </c>
      <c r="H422" s="106" t="s">
        <v>286</v>
      </c>
      <c r="I422" s="106" t="s">
        <v>304</v>
      </c>
      <c r="J422" s="106" t="s">
        <v>2242</v>
      </c>
    </row>
    <row r="423" spans="1:10" x14ac:dyDescent="0.2">
      <c r="A423" s="106" t="s">
        <v>413</v>
      </c>
      <c r="B423" s="106" t="s">
        <v>270</v>
      </c>
      <c r="C423" s="106" t="s">
        <v>271</v>
      </c>
      <c r="D423" s="106" t="s">
        <v>272</v>
      </c>
      <c r="E423">
        <v>4816</v>
      </c>
      <c r="F423" s="106" t="s">
        <v>789</v>
      </c>
      <c r="G423" s="106" t="s">
        <v>277</v>
      </c>
      <c r="H423" s="106" t="s">
        <v>284</v>
      </c>
      <c r="I423" s="106" t="s">
        <v>296</v>
      </c>
      <c r="J423" s="106" t="s">
        <v>2415</v>
      </c>
    </row>
    <row r="424" spans="1:10" x14ac:dyDescent="0.2">
      <c r="A424" s="106" t="s">
        <v>413</v>
      </c>
      <c r="B424" s="106" t="s">
        <v>270</v>
      </c>
      <c r="C424" s="106" t="s">
        <v>271</v>
      </c>
      <c r="D424" s="106" t="s">
        <v>272</v>
      </c>
      <c r="E424">
        <v>5332</v>
      </c>
      <c r="F424" s="106" t="s">
        <v>790</v>
      </c>
      <c r="G424" s="106" t="s">
        <v>273</v>
      </c>
      <c r="H424" s="106" t="s">
        <v>315</v>
      </c>
      <c r="I424" s="106" t="s">
        <v>386</v>
      </c>
      <c r="J424" s="106" t="s">
        <v>2416</v>
      </c>
    </row>
    <row r="425" spans="1:10" x14ac:dyDescent="0.2">
      <c r="A425" s="106" t="s">
        <v>413</v>
      </c>
      <c r="B425" s="106" t="s">
        <v>270</v>
      </c>
      <c r="C425" s="106" t="s">
        <v>271</v>
      </c>
      <c r="D425" s="106" t="s">
        <v>272</v>
      </c>
      <c r="E425">
        <v>5727</v>
      </c>
      <c r="F425" s="106" t="s">
        <v>421</v>
      </c>
      <c r="G425" s="106" t="s">
        <v>273</v>
      </c>
      <c r="H425" s="106" t="s">
        <v>422</v>
      </c>
      <c r="I425" s="106">
        <v>654</v>
      </c>
      <c r="J425" s="106"/>
    </row>
    <row r="426" spans="1:10" x14ac:dyDescent="0.2">
      <c r="A426" s="106" t="s">
        <v>413</v>
      </c>
      <c r="B426" s="106" t="s">
        <v>270</v>
      </c>
      <c r="C426" s="106" t="s">
        <v>271</v>
      </c>
      <c r="D426" s="106" t="s">
        <v>272</v>
      </c>
      <c r="E426">
        <v>5955</v>
      </c>
      <c r="F426" s="106" t="s">
        <v>2417</v>
      </c>
      <c r="G426" s="106" t="s">
        <v>281</v>
      </c>
      <c r="H426" s="106" t="s">
        <v>288</v>
      </c>
      <c r="I426" s="106">
        <v>95</v>
      </c>
      <c r="J426" s="106"/>
    </row>
    <row r="427" spans="1:10" x14ac:dyDescent="0.2">
      <c r="A427" s="106" t="s">
        <v>413</v>
      </c>
      <c r="B427" s="106" t="s">
        <v>270</v>
      </c>
      <c r="C427" s="106" t="s">
        <v>282</v>
      </c>
      <c r="D427" s="106" t="s">
        <v>272</v>
      </c>
      <c r="E427">
        <v>6028</v>
      </c>
      <c r="F427" s="106" t="s">
        <v>717</v>
      </c>
      <c r="G427" s="106" t="s">
        <v>273</v>
      </c>
      <c r="H427" s="106" t="s">
        <v>278</v>
      </c>
      <c r="I427" s="106" t="s">
        <v>296</v>
      </c>
      <c r="J427" s="106" t="s">
        <v>2418</v>
      </c>
    </row>
    <row r="428" spans="1:10" x14ac:dyDescent="0.2">
      <c r="A428" s="106" t="s">
        <v>413</v>
      </c>
      <c r="B428" s="106" t="s">
        <v>270</v>
      </c>
      <c r="C428" s="106" t="s">
        <v>271</v>
      </c>
      <c r="D428" s="106" t="s">
        <v>272</v>
      </c>
      <c r="E428">
        <v>6322</v>
      </c>
      <c r="F428" s="106" t="s">
        <v>423</v>
      </c>
      <c r="G428" s="106" t="s">
        <v>281</v>
      </c>
      <c r="H428" s="106" t="s">
        <v>294</v>
      </c>
      <c r="I428" s="106">
        <v>125</v>
      </c>
      <c r="J428" s="106"/>
    </row>
    <row r="429" spans="1:10" x14ac:dyDescent="0.2">
      <c r="A429" s="106" t="s">
        <v>413</v>
      </c>
      <c r="B429" s="106" t="s">
        <v>270</v>
      </c>
      <c r="C429" s="106" t="s">
        <v>271</v>
      </c>
      <c r="D429" s="106" t="s">
        <v>272</v>
      </c>
      <c r="E429">
        <v>6659</v>
      </c>
      <c r="F429" s="106" t="s">
        <v>424</v>
      </c>
      <c r="G429" s="106" t="s">
        <v>277</v>
      </c>
      <c r="H429" s="106" t="s">
        <v>298</v>
      </c>
      <c r="I429" s="106">
        <v>18</v>
      </c>
      <c r="J429" s="106"/>
    </row>
    <row r="430" spans="1:10" x14ac:dyDescent="0.2">
      <c r="A430" s="106" t="s">
        <v>413</v>
      </c>
      <c r="B430" s="106" t="s">
        <v>270</v>
      </c>
      <c r="C430" s="106" t="s">
        <v>280</v>
      </c>
      <c r="D430" s="106" t="s">
        <v>272</v>
      </c>
      <c r="E430">
        <v>6663</v>
      </c>
      <c r="F430" s="106" t="s">
        <v>2419</v>
      </c>
      <c r="G430" s="106" t="s">
        <v>277</v>
      </c>
      <c r="H430" s="106" t="s">
        <v>298</v>
      </c>
      <c r="I430">
        <v>30</v>
      </c>
    </row>
    <row r="431" spans="1:10" x14ac:dyDescent="0.2">
      <c r="A431" s="106" t="s">
        <v>413</v>
      </c>
      <c r="B431" s="106" t="s">
        <v>270</v>
      </c>
      <c r="C431" s="106" t="s">
        <v>271</v>
      </c>
      <c r="D431" s="106" t="s">
        <v>272</v>
      </c>
      <c r="E431">
        <v>6837</v>
      </c>
      <c r="F431" s="106" t="s">
        <v>2005</v>
      </c>
      <c r="G431" s="106" t="s">
        <v>277</v>
      </c>
      <c r="H431" s="106" t="s">
        <v>298</v>
      </c>
      <c r="I431">
        <v>44</v>
      </c>
    </row>
    <row r="432" spans="1:10" x14ac:dyDescent="0.2">
      <c r="A432" s="106" t="s">
        <v>413</v>
      </c>
      <c r="B432" s="106" t="s">
        <v>270</v>
      </c>
      <c r="C432" s="106" t="s">
        <v>271</v>
      </c>
      <c r="D432" s="106" t="s">
        <v>272</v>
      </c>
      <c r="E432">
        <v>6925</v>
      </c>
      <c r="F432" s="106" t="s">
        <v>425</v>
      </c>
      <c r="G432" s="106" t="s">
        <v>273</v>
      </c>
      <c r="H432" s="106" t="s">
        <v>298</v>
      </c>
      <c r="I432" t="s">
        <v>296</v>
      </c>
      <c r="J432" t="s">
        <v>2420</v>
      </c>
    </row>
    <row r="433" spans="1:10" x14ac:dyDescent="0.2">
      <c r="A433" s="106" t="s">
        <v>413</v>
      </c>
      <c r="B433" s="106" t="s">
        <v>270</v>
      </c>
      <c r="C433" s="106" t="s">
        <v>271</v>
      </c>
      <c r="D433" s="106" t="s">
        <v>272</v>
      </c>
      <c r="E433">
        <v>7282</v>
      </c>
      <c r="F433" s="106" t="s">
        <v>426</v>
      </c>
      <c r="G433" s="106" t="s">
        <v>273</v>
      </c>
      <c r="H433" s="106" t="s">
        <v>303</v>
      </c>
      <c r="I433" s="106" t="s">
        <v>357</v>
      </c>
      <c r="J433" s="106" t="s">
        <v>2390</v>
      </c>
    </row>
    <row r="434" spans="1:10" x14ac:dyDescent="0.2">
      <c r="A434" s="106" t="s">
        <v>413</v>
      </c>
      <c r="B434" s="106" t="s">
        <v>270</v>
      </c>
      <c r="C434" s="106" t="s">
        <v>271</v>
      </c>
      <c r="D434" s="106" t="s">
        <v>272</v>
      </c>
      <c r="E434">
        <v>7510</v>
      </c>
      <c r="F434" s="106" t="s">
        <v>427</v>
      </c>
      <c r="G434" s="106" t="s">
        <v>273</v>
      </c>
      <c r="H434" s="106" t="s">
        <v>279</v>
      </c>
      <c r="I434" s="106">
        <v>220</v>
      </c>
      <c r="J434" s="106"/>
    </row>
    <row r="435" spans="1:10" x14ac:dyDescent="0.2">
      <c r="A435" s="106" t="s">
        <v>413</v>
      </c>
      <c r="B435" s="106" t="s">
        <v>270</v>
      </c>
      <c r="C435" s="106" t="s">
        <v>271</v>
      </c>
      <c r="D435" s="106" t="s">
        <v>272</v>
      </c>
      <c r="E435">
        <v>7600</v>
      </c>
      <c r="F435" s="106" t="s">
        <v>428</v>
      </c>
      <c r="G435" s="106" t="s">
        <v>273</v>
      </c>
      <c r="H435" s="106" t="s">
        <v>384</v>
      </c>
      <c r="I435" s="106">
        <v>614</v>
      </c>
      <c r="J435" s="106"/>
    </row>
    <row r="436" spans="1:10" x14ac:dyDescent="0.2">
      <c r="A436" s="106" t="s">
        <v>413</v>
      </c>
      <c r="B436" s="106" t="s">
        <v>270</v>
      </c>
      <c r="C436" s="106" t="s">
        <v>271</v>
      </c>
      <c r="D436" s="106" t="s">
        <v>272</v>
      </c>
      <c r="E436">
        <v>7838</v>
      </c>
      <c r="F436" s="106" t="s">
        <v>429</v>
      </c>
      <c r="G436" s="106" t="s">
        <v>273</v>
      </c>
      <c r="H436" s="106" t="s">
        <v>295</v>
      </c>
      <c r="I436">
        <v>81</v>
      </c>
    </row>
    <row r="437" spans="1:10" x14ac:dyDescent="0.2">
      <c r="A437" s="106" t="s">
        <v>413</v>
      </c>
      <c r="B437" s="106" t="s">
        <v>270</v>
      </c>
      <c r="C437" s="106" t="s">
        <v>271</v>
      </c>
      <c r="D437" s="106" t="s">
        <v>272</v>
      </c>
      <c r="E437">
        <v>7840</v>
      </c>
      <c r="F437" s="106" t="s">
        <v>2006</v>
      </c>
      <c r="G437" s="106" t="s">
        <v>273</v>
      </c>
      <c r="H437" s="106" t="s">
        <v>295</v>
      </c>
      <c r="I437">
        <v>404</v>
      </c>
    </row>
    <row r="438" spans="1:10" x14ac:dyDescent="0.2">
      <c r="A438" s="106" t="s">
        <v>413</v>
      </c>
      <c r="B438" s="106" t="s">
        <v>270</v>
      </c>
      <c r="C438" s="106" t="s">
        <v>271</v>
      </c>
      <c r="D438" s="106" t="s">
        <v>272</v>
      </c>
      <c r="E438">
        <v>7925</v>
      </c>
      <c r="F438" s="106" t="s">
        <v>430</v>
      </c>
      <c r="G438" s="106" t="s">
        <v>273</v>
      </c>
      <c r="H438" s="106" t="s">
        <v>286</v>
      </c>
      <c r="I438" s="106">
        <v>190</v>
      </c>
      <c r="J438" s="106"/>
    </row>
    <row r="439" spans="1:10" x14ac:dyDescent="0.2">
      <c r="A439" s="106" t="s">
        <v>413</v>
      </c>
      <c r="B439" s="106" t="s">
        <v>270</v>
      </c>
      <c r="C439" s="106" t="s">
        <v>271</v>
      </c>
      <c r="D439" s="106" t="s">
        <v>272</v>
      </c>
      <c r="E439">
        <v>8806</v>
      </c>
      <c r="F439" s="106" t="s">
        <v>431</v>
      </c>
      <c r="G439" s="106" t="s">
        <v>273</v>
      </c>
      <c r="H439" s="106" t="s">
        <v>299</v>
      </c>
      <c r="I439" s="106" t="s">
        <v>304</v>
      </c>
      <c r="J439" s="106" t="s">
        <v>2421</v>
      </c>
    </row>
    <row r="440" spans="1:10" x14ac:dyDescent="0.2">
      <c r="A440" s="106" t="s">
        <v>413</v>
      </c>
      <c r="B440" s="106" t="s">
        <v>270</v>
      </c>
      <c r="C440" s="106" t="s">
        <v>271</v>
      </c>
      <c r="D440" s="106" t="s">
        <v>272</v>
      </c>
      <c r="E440">
        <v>9044</v>
      </c>
      <c r="F440" s="106" t="s">
        <v>2422</v>
      </c>
      <c r="G440" s="106" t="s">
        <v>273</v>
      </c>
      <c r="H440" s="106" t="s">
        <v>405</v>
      </c>
      <c r="I440" s="106" t="s">
        <v>357</v>
      </c>
      <c r="J440" s="106" t="s">
        <v>2165</v>
      </c>
    </row>
    <row r="441" spans="1:10" x14ac:dyDescent="0.2">
      <c r="A441" s="106" t="s">
        <v>413</v>
      </c>
      <c r="B441" s="106" t="s">
        <v>270</v>
      </c>
      <c r="C441" s="106" t="s">
        <v>271</v>
      </c>
      <c r="D441" s="106" t="s">
        <v>272</v>
      </c>
      <c r="E441">
        <v>9502</v>
      </c>
      <c r="F441" s="106" t="s">
        <v>538</v>
      </c>
      <c r="G441" s="106" t="s">
        <v>273</v>
      </c>
      <c r="H441" s="106" t="s">
        <v>539</v>
      </c>
      <c r="I441" s="106" t="s">
        <v>540</v>
      </c>
      <c r="J441" s="106" t="s">
        <v>2423</v>
      </c>
    </row>
    <row r="442" spans="1:10" x14ac:dyDescent="0.2">
      <c r="A442" s="106" t="s">
        <v>413</v>
      </c>
      <c r="B442" s="106" t="s">
        <v>270</v>
      </c>
      <c r="C442" s="106" t="s">
        <v>271</v>
      </c>
      <c r="D442" s="106" t="s">
        <v>272</v>
      </c>
      <c r="E442">
        <v>9511</v>
      </c>
      <c r="F442" s="106" t="s">
        <v>2007</v>
      </c>
      <c r="G442" s="106" t="s">
        <v>273</v>
      </c>
      <c r="H442" s="106" t="s">
        <v>539</v>
      </c>
      <c r="I442" s="106" t="s">
        <v>304</v>
      </c>
      <c r="J442" s="106" t="s">
        <v>2256</v>
      </c>
    </row>
    <row r="443" spans="1:10" x14ac:dyDescent="0.2">
      <c r="A443" s="106" t="s">
        <v>413</v>
      </c>
      <c r="B443" s="106" t="s">
        <v>270</v>
      </c>
      <c r="C443" s="106" t="s">
        <v>271</v>
      </c>
      <c r="D443" s="106" t="s">
        <v>272</v>
      </c>
      <c r="E443">
        <v>9759</v>
      </c>
      <c r="F443" s="106" t="s">
        <v>2008</v>
      </c>
      <c r="G443" s="106" t="s">
        <v>273</v>
      </c>
      <c r="H443" s="106" t="s">
        <v>284</v>
      </c>
      <c r="I443" t="s">
        <v>304</v>
      </c>
      <c r="J443" t="s">
        <v>2424</v>
      </c>
    </row>
    <row r="444" spans="1:10" x14ac:dyDescent="0.2">
      <c r="A444" s="106" t="s">
        <v>432</v>
      </c>
      <c r="B444" s="106" t="s">
        <v>270</v>
      </c>
      <c r="C444" s="106" t="s">
        <v>271</v>
      </c>
      <c r="D444" s="106" t="s">
        <v>276</v>
      </c>
      <c r="E444">
        <v>1379</v>
      </c>
      <c r="F444" s="106" t="s">
        <v>433</v>
      </c>
      <c r="G444" s="106" t="s">
        <v>273</v>
      </c>
      <c r="H444" s="106" t="s">
        <v>321</v>
      </c>
      <c r="I444" s="106">
        <v>671</v>
      </c>
      <c r="J444" s="106"/>
    </row>
    <row r="445" spans="1:10" x14ac:dyDescent="0.2">
      <c r="A445" s="106" t="s">
        <v>432</v>
      </c>
      <c r="B445" s="106" t="s">
        <v>270</v>
      </c>
      <c r="C445" s="106" t="s">
        <v>271</v>
      </c>
      <c r="D445" s="106" t="s">
        <v>272</v>
      </c>
      <c r="E445">
        <v>1515</v>
      </c>
      <c r="F445" s="106" t="s">
        <v>2009</v>
      </c>
      <c r="G445" s="106" t="s">
        <v>273</v>
      </c>
      <c r="H445" s="106" t="s">
        <v>635</v>
      </c>
      <c r="I445" s="106">
        <v>426</v>
      </c>
      <c r="J445" s="106"/>
    </row>
    <row r="446" spans="1:10" x14ac:dyDescent="0.2">
      <c r="A446" s="106" t="s">
        <v>432</v>
      </c>
      <c r="B446" s="106" t="s">
        <v>270</v>
      </c>
      <c r="C446" s="106" t="s">
        <v>282</v>
      </c>
      <c r="D446" s="106" t="s">
        <v>276</v>
      </c>
      <c r="E446">
        <v>2428</v>
      </c>
      <c r="F446" s="106" t="s">
        <v>797</v>
      </c>
      <c r="G446" s="106" t="s">
        <v>273</v>
      </c>
      <c r="H446" s="106" t="s">
        <v>278</v>
      </c>
      <c r="I446" s="106">
        <v>144</v>
      </c>
      <c r="J446" s="106"/>
    </row>
    <row r="447" spans="1:10" x14ac:dyDescent="0.2">
      <c r="A447" s="106" t="s">
        <v>432</v>
      </c>
      <c r="B447" s="106" t="s">
        <v>270</v>
      </c>
      <c r="C447" s="106" t="s">
        <v>271</v>
      </c>
      <c r="D447" s="106" t="s">
        <v>272</v>
      </c>
      <c r="E447">
        <v>2676</v>
      </c>
      <c r="F447" s="106" t="s">
        <v>791</v>
      </c>
      <c r="G447" s="106" t="s">
        <v>273</v>
      </c>
      <c r="H447" s="106" t="s">
        <v>279</v>
      </c>
      <c r="I447" s="106">
        <v>114</v>
      </c>
      <c r="J447" s="106"/>
    </row>
    <row r="448" spans="1:10" x14ac:dyDescent="0.2">
      <c r="A448" s="106" t="s">
        <v>432</v>
      </c>
      <c r="B448" s="106" t="s">
        <v>270</v>
      </c>
      <c r="C448" s="106" t="s">
        <v>282</v>
      </c>
      <c r="D448" s="106" t="s">
        <v>272</v>
      </c>
      <c r="E448">
        <v>2689</v>
      </c>
      <c r="F448" s="106" t="s">
        <v>2010</v>
      </c>
      <c r="G448" s="106" t="s">
        <v>281</v>
      </c>
      <c r="H448" s="106" t="s">
        <v>279</v>
      </c>
      <c r="I448">
        <v>87</v>
      </c>
    </row>
    <row r="449" spans="1:10" x14ac:dyDescent="0.2">
      <c r="A449" s="106" t="s">
        <v>432</v>
      </c>
      <c r="B449" s="106" t="s">
        <v>270</v>
      </c>
      <c r="C449" s="106" t="s">
        <v>271</v>
      </c>
      <c r="D449" s="106" t="s">
        <v>272</v>
      </c>
      <c r="E449">
        <v>2907</v>
      </c>
      <c r="F449" s="106" t="s">
        <v>434</v>
      </c>
      <c r="G449" s="106" t="s">
        <v>281</v>
      </c>
      <c r="H449" s="106" t="s">
        <v>274</v>
      </c>
      <c r="I449">
        <v>66</v>
      </c>
    </row>
    <row r="450" spans="1:10" x14ac:dyDescent="0.2">
      <c r="A450" s="106" t="s">
        <v>432</v>
      </c>
      <c r="B450" s="106" t="s">
        <v>270</v>
      </c>
      <c r="C450" s="106" t="s">
        <v>271</v>
      </c>
      <c r="D450" s="106" t="s">
        <v>272</v>
      </c>
      <c r="E450">
        <v>3024</v>
      </c>
      <c r="F450" s="106" t="s">
        <v>792</v>
      </c>
      <c r="G450" s="106" t="s">
        <v>277</v>
      </c>
      <c r="H450" s="106" t="s">
        <v>279</v>
      </c>
      <c r="I450" s="106">
        <v>28</v>
      </c>
      <c r="J450" s="106"/>
    </row>
    <row r="451" spans="1:10" x14ac:dyDescent="0.2">
      <c r="A451" s="106" t="s">
        <v>432</v>
      </c>
      <c r="B451" s="106" t="s">
        <v>270</v>
      </c>
      <c r="C451" s="106" t="s">
        <v>280</v>
      </c>
      <c r="D451" s="106" t="s">
        <v>272</v>
      </c>
      <c r="E451">
        <v>3064</v>
      </c>
      <c r="F451" s="106" t="s">
        <v>2425</v>
      </c>
      <c r="G451" s="106" t="s">
        <v>273</v>
      </c>
      <c r="H451" s="106" t="s">
        <v>283</v>
      </c>
      <c r="I451" s="106" t="s">
        <v>588</v>
      </c>
      <c r="J451" s="106" t="s">
        <v>2426</v>
      </c>
    </row>
    <row r="452" spans="1:10" x14ac:dyDescent="0.2">
      <c r="A452" s="106" t="s">
        <v>432</v>
      </c>
      <c r="B452" s="106" t="s">
        <v>270</v>
      </c>
      <c r="C452" s="106" t="s">
        <v>271</v>
      </c>
      <c r="D452" s="106" t="s">
        <v>276</v>
      </c>
      <c r="E452">
        <v>3484</v>
      </c>
      <c r="F452" s="106" t="s">
        <v>793</v>
      </c>
      <c r="G452" s="106" t="s">
        <v>273</v>
      </c>
      <c r="H452" s="106" t="s">
        <v>299</v>
      </c>
      <c r="I452" s="106">
        <v>175</v>
      </c>
      <c r="J452" s="106"/>
    </row>
    <row r="453" spans="1:10" x14ac:dyDescent="0.2">
      <c r="A453" s="106" t="s">
        <v>432</v>
      </c>
      <c r="B453" s="106" t="s">
        <v>270</v>
      </c>
      <c r="C453" s="106" t="s">
        <v>271</v>
      </c>
      <c r="D453" s="106" t="s">
        <v>272</v>
      </c>
      <c r="E453">
        <v>3612</v>
      </c>
      <c r="F453" s="106" t="s">
        <v>435</v>
      </c>
      <c r="G453" s="106" t="s">
        <v>273</v>
      </c>
      <c r="H453" s="106" t="s">
        <v>306</v>
      </c>
      <c r="I453" s="106">
        <v>953</v>
      </c>
      <c r="J453" s="106"/>
    </row>
    <row r="454" spans="1:10" x14ac:dyDescent="0.2">
      <c r="A454" s="106" t="s">
        <v>432</v>
      </c>
      <c r="B454" s="106" t="s">
        <v>270</v>
      </c>
      <c r="C454" s="106" t="s">
        <v>271</v>
      </c>
      <c r="D454" s="106" t="s">
        <v>272</v>
      </c>
      <c r="E454">
        <v>4044</v>
      </c>
      <c r="F454" s="106" t="s">
        <v>2011</v>
      </c>
      <c r="G454" s="106" t="s">
        <v>273</v>
      </c>
      <c r="H454" s="106" t="s">
        <v>286</v>
      </c>
      <c r="I454" t="s">
        <v>304</v>
      </c>
      <c r="J454" t="s">
        <v>2427</v>
      </c>
    </row>
    <row r="455" spans="1:10" x14ac:dyDescent="0.2">
      <c r="A455" s="106" t="s">
        <v>432</v>
      </c>
      <c r="B455" s="106" t="s">
        <v>270</v>
      </c>
      <c r="C455" s="106" t="s">
        <v>271</v>
      </c>
      <c r="D455" s="106" t="s">
        <v>272</v>
      </c>
      <c r="E455">
        <v>4521</v>
      </c>
      <c r="F455" s="106" t="s">
        <v>794</v>
      </c>
      <c r="G455" s="106" t="s">
        <v>273</v>
      </c>
      <c r="H455" s="106" t="s">
        <v>318</v>
      </c>
      <c r="I455" t="s">
        <v>296</v>
      </c>
      <c r="J455" t="s">
        <v>2238</v>
      </c>
    </row>
    <row r="456" spans="1:10" x14ac:dyDescent="0.2">
      <c r="A456" s="106" t="s">
        <v>432</v>
      </c>
      <c r="B456" s="106" t="s">
        <v>270</v>
      </c>
      <c r="C456" s="106" t="s">
        <v>271</v>
      </c>
      <c r="D456" s="106" t="s">
        <v>272</v>
      </c>
      <c r="E456">
        <v>6005</v>
      </c>
      <c r="F456" s="106" t="s">
        <v>2012</v>
      </c>
      <c r="G456" s="106" t="s">
        <v>273</v>
      </c>
      <c r="H456" s="106" t="s">
        <v>294</v>
      </c>
      <c r="I456" t="s">
        <v>323</v>
      </c>
      <c r="J456" t="s">
        <v>2176</v>
      </c>
    </row>
    <row r="457" spans="1:10" x14ac:dyDescent="0.2">
      <c r="A457" s="106" t="s">
        <v>432</v>
      </c>
      <c r="B457" s="106" t="s">
        <v>270</v>
      </c>
      <c r="C457" s="106" t="s">
        <v>282</v>
      </c>
      <c r="D457" s="106" t="s">
        <v>272</v>
      </c>
      <c r="E457">
        <v>6920</v>
      </c>
      <c r="F457" s="106" t="s">
        <v>718</v>
      </c>
      <c r="G457" s="106" t="s">
        <v>273</v>
      </c>
      <c r="H457" s="106" t="s">
        <v>298</v>
      </c>
      <c r="I457" s="106" t="s">
        <v>290</v>
      </c>
      <c r="J457" s="106" t="s">
        <v>2428</v>
      </c>
    </row>
    <row r="458" spans="1:10" x14ac:dyDescent="0.2">
      <c r="A458" s="106" t="s">
        <v>432</v>
      </c>
      <c r="B458" s="106" t="s">
        <v>270</v>
      </c>
      <c r="C458" s="106" t="s">
        <v>271</v>
      </c>
      <c r="D458" s="106" t="s">
        <v>276</v>
      </c>
      <c r="E458">
        <v>7506</v>
      </c>
      <c r="F458" s="106" t="s">
        <v>436</v>
      </c>
      <c r="G458" s="106" t="s">
        <v>273</v>
      </c>
      <c r="H458" s="106" t="s">
        <v>283</v>
      </c>
      <c r="I458" s="106">
        <v>78</v>
      </c>
      <c r="J458" s="106"/>
    </row>
    <row r="459" spans="1:10" x14ac:dyDescent="0.2">
      <c r="A459" s="106" t="s">
        <v>432</v>
      </c>
      <c r="B459" s="106" t="s">
        <v>270</v>
      </c>
      <c r="C459" s="106" t="s">
        <v>271</v>
      </c>
      <c r="D459" s="106" t="s">
        <v>272</v>
      </c>
      <c r="E459">
        <v>7859</v>
      </c>
      <c r="F459" s="106" t="s">
        <v>437</v>
      </c>
      <c r="G459" s="106" t="s">
        <v>281</v>
      </c>
      <c r="H459" s="106" t="s">
        <v>295</v>
      </c>
      <c r="I459" s="106">
        <v>32</v>
      </c>
      <c r="J459" s="106"/>
    </row>
    <row r="460" spans="1:10" x14ac:dyDescent="0.2">
      <c r="A460" s="106" t="s">
        <v>432</v>
      </c>
      <c r="B460" s="106" t="s">
        <v>270</v>
      </c>
      <c r="C460" s="106" t="s">
        <v>271</v>
      </c>
      <c r="D460" s="106" t="s">
        <v>272</v>
      </c>
      <c r="E460">
        <v>9008</v>
      </c>
      <c r="F460" s="106" t="s">
        <v>795</v>
      </c>
      <c r="G460" s="106" t="s">
        <v>273</v>
      </c>
      <c r="H460" s="106" t="s">
        <v>405</v>
      </c>
      <c r="I460" s="106" t="s">
        <v>386</v>
      </c>
      <c r="J460" s="106" t="s">
        <v>2429</v>
      </c>
    </row>
    <row r="461" spans="1:10" x14ac:dyDescent="0.2">
      <c r="A461" s="106" t="s">
        <v>438</v>
      </c>
      <c r="B461" s="106" t="s">
        <v>337</v>
      </c>
      <c r="C461" s="106" t="s">
        <v>271</v>
      </c>
      <c r="D461" s="106" t="s">
        <v>272</v>
      </c>
      <c r="E461">
        <v>2607</v>
      </c>
      <c r="F461" s="106" t="s">
        <v>796</v>
      </c>
      <c r="G461" s="106" t="s">
        <v>273</v>
      </c>
      <c r="H461" s="106" t="s">
        <v>274</v>
      </c>
      <c r="I461" s="106" t="s">
        <v>296</v>
      </c>
      <c r="J461" s="106" t="s">
        <v>2430</v>
      </c>
    </row>
    <row r="462" spans="1:10" x14ac:dyDescent="0.2">
      <c r="A462" s="106" t="s">
        <v>438</v>
      </c>
      <c r="B462" s="106" t="s">
        <v>337</v>
      </c>
      <c r="C462" s="106" t="s">
        <v>271</v>
      </c>
      <c r="D462" s="106" t="s">
        <v>272</v>
      </c>
      <c r="E462">
        <v>4502</v>
      </c>
      <c r="F462" s="106" t="s">
        <v>439</v>
      </c>
      <c r="G462" s="106" t="s">
        <v>273</v>
      </c>
      <c r="H462" s="106" t="s">
        <v>318</v>
      </c>
      <c r="I462" t="s">
        <v>2431</v>
      </c>
      <c r="J462" t="s">
        <v>2432</v>
      </c>
    </row>
    <row r="463" spans="1:10" x14ac:dyDescent="0.2">
      <c r="A463" s="106" t="s">
        <v>438</v>
      </c>
      <c r="B463" s="106" t="s">
        <v>270</v>
      </c>
      <c r="C463" s="106" t="s">
        <v>271</v>
      </c>
      <c r="D463" s="106" t="s">
        <v>272</v>
      </c>
      <c r="E463">
        <v>2117</v>
      </c>
      <c r="F463" s="106" t="s">
        <v>719</v>
      </c>
      <c r="G463" s="106" t="s">
        <v>273</v>
      </c>
      <c r="H463" s="106" t="s">
        <v>274</v>
      </c>
      <c r="I463" s="106">
        <v>461</v>
      </c>
      <c r="J463" s="106"/>
    </row>
    <row r="464" spans="1:10" x14ac:dyDescent="0.2">
      <c r="A464" s="106" t="s">
        <v>438</v>
      </c>
      <c r="B464" s="106" t="s">
        <v>270</v>
      </c>
      <c r="C464" s="106" t="s">
        <v>280</v>
      </c>
      <c r="D464" s="106" t="s">
        <v>276</v>
      </c>
      <c r="E464">
        <v>2268</v>
      </c>
      <c r="F464" s="106" t="s">
        <v>440</v>
      </c>
      <c r="G464" s="106" t="s">
        <v>277</v>
      </c>
      <c r="H464" s="106" t="s">
        <v>274</v>
      </c>
      <c r="I464" s="106">
        <v>388</v>
      </c>
      <c r="J464" s="106"/>
    </row>
    <row r="465" spans="1:10" x14ac:dyDescent="0.2">
      <c r="A465" s="106" t="s">
        <v>438</v>
      </c>
      <c r="B465" s="106" t="s">
        <v>270</v>
      </c>
      <c r="C465" s="106" t="s">
        <v>271</v>
      </c>
      <c r="D465" s="106" t="s">
        <v>272</v>
      </c>
      <c r="E465">
        <v>2801</v>
      </c>
      <c r="F465" s="106" t="s">
        <v>2014</v>
      </c>
      <c r="G465" s="106" t="s">
        <v>273</v>
      </c>
      <c r="H465" s="106" t="s">
        <v>274</v>
      </c>
      <c r="I465" s="106" t="s">
        <v>408</v>
      </c>
      <c r="J465" s="106" t="s">
        <v>2433</v>
      </c>
    </row>
    <row r="466" spans="1:10" x14ac:dyDescent="0.2">
      <c r="A466" s="106" t="s">
        <v>438</v>
      </c>
      <c r="B466" s="106" t="s">
        <v>270</v>
      </c>
      <c r="C466" s="106" t="s">
        <v>271</v>
      </c>
      <c r="D466" s="106" t="s">
        <v>272</v>
      </c>
      <c r="E466">
        <v>2871</v>
      </c>
      <c r="F466" s="106" t="s">
        <v>798</v>
      </c>
      <c r="G466" s="106" t="s">
        <v>273</v>
      </c>
      <c r="H466" s="106" t="s">
        <v>274</v>
      </c>
      <c r="I466" t="s">
        <v>357</v>
      </c>
      <c r="J466" t="s">
        <v>2434</v>
      </c>
    </row>
    <row r="467" spans="1:10" x14ac:dyDescent="0.2">
      <c r="A467" s="106" t="s">
        <v>438</v>
      </c>
      <c r="B467" s="106" t="s">
        <v>270</v>
      </c>
      <c r="C467" s="106" t="s">
        <v>280</v>
      </c>
      <c r="D467" s="106" t="s">
        <v>272</v>
      </c>
      <c r="E467">
        <v>4452</v>
      </c>
      <c r="F467" s="106" t="s">
        <v>2435</v>
      </c>
      <c r="G467" s="106" t="s">
        <v>273</v>
      </c>
      <c r="H467" s="106" t="s">
        <v>286</v>
      </c>
      <c r="I467" t="s">
        <v>2436</v>
      </c>
      <c r="J467" t="s">
        <v>2437</v>
      </c>
    </row>
    <row r="468" spans="1:10" x14ac:dyDescent="0.2">
      <c r="A468" s="106" t="s">
        <v>438</v>
      </c>
      <c r="B468" s="106" t="s">
        <v>270</v>
      </c>
      <c r="C468" s="106" t="s">
        <v>271</v>
      </c>
      <c r="D468" s="106" t="s">
        <v>272</v>
      </c>
      <c r="E468">
        <v>6151</v>
      </c>
      <c r="F468" s="106" t="s">
        <v>441</v>
      </c>
      <c r="G468" s="106" t="s">
        <v>273</v>
      </c>
      <c r="H468" s="106" t="s">
        <v>294</v>
      </c>
      <c r="I468" s="106">
        <v>510</v>
      </c>
      <c r="J468" s="106"/>
    </row>
    <row r="469" spans="1:10" x14ac:dyDescent="0.2">
      <c r="A469" s="106" t="s">
        <v>438</v>
      </c>
      <c r="B469" s="106" t="s">
        <v>270</v>
      </c>
      <c r="C469" s="106" t="s">
        <v>271</v>
      </c>
      <c r="D469" s="106" t="s">
        <v>272</v>
      </c>
      <c r="E469">
        <v>7230</v>
      </c>
      <c r="F469" s="106" t="s">
        <v>613</v>
      </c>
      <c r="G469" s="106" t="s">
        <v>273</v>
      </c>
      <c r="H469" s="106" t="s">
        <v>303</v>
      </c>
      <c r="I469" s="106" t="s">
        <v>304</v>
      </c>
      <c r="J469" s="106" t="s">
        <v>2172</v>
      </c>
    </row>
    <row r="470" spans="1:10" x14ac:dyDescent="0.2">
      <c r="A470" s="106" t="s">
        <v>438</v>
      </c>
      <c r="B470" s="106" t="s">
        <v>270</v>
      </c>
      <c r="C470" s="106" t="s">
        <v>271</v>
      </c>
      <c r="D470" s="106" t="s">
        <v>272</v>
      </c>
      <c r="E470">
        <v>7419</v>
      </c>
      <c r="F470" s="106" t="s">
        <v>442</v>
      </c>
      <c r="G470" s="106" t="s">
        <v>273</v>
      </c>
      <c r="H470" s="106" t="s">
        <v>283</v>
      </c>
      <c r="I470" s="106" t="s">
        <v>304</v>
      </c>
      <c r="J470" s="106" t="s">
        <v>2438</v>
      </c>
    </row>
    <row r="471" spans="1:10" x14ac:dyDescent="0.2">
      <c r="A471" s="106" t="s">
        <v>438</v>
      </c>
      <c r="B471" s="106" t="s">
        <v>270</v>
      </c>
      <c r="C471" s="106" t="s">
        <v>282</v>
      </c>
      <c r="D471" s="106" t="s">
        <v>272</v>
      </c>
      <c r="E471">
        <v>8945</v>
      </c>
      <c r="F471" s="106" t="s">
        <v>720</v>
      </c>
      <c r="G471" s="106" t="s">
        <v>273</v>
      </c>
      <c r="H471" s="106" t="s">
        <v>299</v>
      </c>
      <c r="I471" s="106">
        <v>133</v>
      </c>
      <c r="J471" s="106"/>
    </row>
    <row r="472" spans="1:10" x14ac:dyDescent="0.2">
      <c r="A472" s="106" t="s">
        <v>443</v>
      </c>
      <c r="B472" s="106" t="s">
        <v>270</v>
      </c>
      <c r="C472" s="106" t="s">
        <v>271</v>
      </c>
      <c r="D472" s="106" t="s">
        <v>272</v>
      </c>
      <c r="E472">
        <v>2130</v>
      </c>
      <c r="F472" s="106" t="s">
        <v>444</v>
      </c>
      <c r="G472" s="106" t="s">
        <v>273</v>
      </c>
      <c r="H472" s="106" t="s">
        <v>278</v>
      </c>
      <c r="I472" s="106">
        <v>301</v>
      </c>
      <c r="J472" s="106"/>
    </row>
    <row r="473" spans="1:10" x14ac:dyDescent="0.2">
      <c r="A473" s="106" t="s">
        <v>443</v>
      </c>
      <c r="B473" s="106" t="s">
        <v>270</v>
      </c>
      <c r="C473" s="106" t="s">
        <v>271</v>
      </c>
      <c r="D473" s="106" t="s">
        <v>276</v>
      </c>
      <c r="E473">
        <v>3464</v>
      </c>
      <c r="F473" s="106" t="s">
        <v>597</v>
      </c>
      <c r="G473" s="106" t="s">
        <v>273</v>
      </c>
      <c r="H473" s="106" t="s">
        <v>299</v>
      </c>
      <c r="I473">
        <v>82</v>
      </c>
    </row>
    <row r="474" spans="1:10" x14ac:dyDescent="0.2">
      <c r="A474" s="106" t="s">
        <v>443</v>
      </c>
      <c r="B474" s="106" t="s">
        <v>270</v>
      </c>
      <c r="C474" s="106" t="s">
        <v>282</v>
      </c>
      <c r="D474" s="106" t="s">
        <v>272</v>
      </c>
      <c r="E474">
        <v>3916</v>
      </c>
      <c r="F474" s="106" t="s">
        <v>2439</v>
      </c>
      <c r="G474" s="106" t="s">
        <v>273</v>
      </c>
      <c r="H474" s="106" t="s">
        <v>284</v>
      </c>
      <c r="I474">
        <v>263</v>
      </c>
    </row>
    <row r="475" spans="1:10" x14ac:dyDescent="0.2">
      <c r="A475" s="106" t="s">
        <v>443</v>
      </c>
      <c r="B475" s="106" t="s">
        <v>270</v>
      </c>
      <c r="C475" s="106" t="s">
        <v>271</v>
      </c>
      <c r="D475" s="106" t="s">
        <v>272</v>
      </c>
      <c r="E475">
        <v>4091</v>
      </c>
      <c r="F475" s="106" t="s">
        <v>2015</v>
      </c>
      <c r="G475" s="106" t="s">
        <v>273</v>
      </c>
      <c r="H475" s="106" t="s">
        <v>286</v>
      </c>
      <c r="I475" t="s">
        <v>408</v>
      </c>
      <c r="J475" t="s">
        <v>2440</v>
      </c>
    </row>
    <row r="476" spans="1:10" x14ac:dyDescent="0.2">
      <c r="A476" s="106" t="s">
        <v>443</v>
      </c>
      <c r="B476" s="106" t="s">
        <v>270</v>
      </c>
      <c r="C476" s="106" t="s">
        <v>271</v>
      </c>
      <c r="D476" s="106" t="s">
        <v>272</v>
      </c>
      <c r="E476">
        <v>4183</v>
      </c>
      <c r="F476" s="106" t="s">
        <v>2016</v>
      </c>
      <c r="G476" s="106" t="s">
        <v>273</v>
      </c>
      <c r="H476" s="106" t="s">
        <v>286</v>
      </c>
      <c r="I476" s="106" t="s">
        <v>290</v>
      </c>
      <c r="J476" s="106" t="s">
        <v>2258</v>
      </c>
    </row>
    <row r="477" spans="1:10" x14ac:dyDescent="0.2">
      <c r="A477" s="106" t="s">
        <v>443</v>
      </c>
      <c r="B477" s="106" t="s">
        <v>270</v>
      </c>
      <c r="C477" s="106" t="s">
        <v>271</v>
      </c>
      <c r="D477" s="106" t="s">
        <v>272</v>
      </c>
      <c r="E477">
        <v>4403</v>
      </c>
      <c r="F477" s="106" t="s">
        <v>2017</v>
      </c>
      <c r="G477" s="106" t="s">
        <v>273</v>
      </c>
      <c r="H477" s="106" t="s">
        <v>286</v>
      </c>
      <c r="I477" t="s">
        <v>357</v>
      </c>
      <c r="J477" t="s">
        <v>2441</v>
      </c>
    </row>
    <row r="478" spans="1:10" x14ac:dyDescent="0.2">
      <c r="A478" s="106" t="s">
        <v>443</v>
      </c>
      <c r="B478" s="106" t="s">
        <v>270</v>
      </c>
      <c r="C478" s="106" t="s">
        <v>271</v>
      </c>
      <c r="D478" s="106" t="s">
        <v>272</v>
      </c>
      <c r="E478">
        <v>4485</v>
      </c>
      <c r="F478" s="106" t="s">
        <v>2173</v>
      </c>
      <c r="G478" s="106" t="s">
        <v>285</v>
      </c>
      <c r="H478" s="106" t="s">
        <v>284</v>
      </c>
      <c r="I478" s="106">
        <v>721</v>
      </c>
      <c r="J478" s="106"/>
    </row>
    <row r="479" spans="1:10" x14ac:dyDescent="0.2">
      <c r="A479" s="106" t="s">
        <v>443</v>
      </c>
      <c r="B479" s="106" t="s">
        <v>270</v>
      </c>
      <c r="C479" s="106" t="s">
        <v>271</v>
      </c>
      <c r="D479" s="106" t="s">
        <v>272</v>
      </c>
      <c r="E479">
        <v>4516</v>
      </c>
      <c r="F479" s="106" t="s">
        <v>2018</v>
      </c>
      <c r="G479" s="106" t="s">
        <v>273</v>
      </c>
      <c r="H479" s="106" t="s">
        <v>318</v>
      </c>
      <c r="I479" s="106" t="s">
        <v>332</v>
      </c>
      <c r="J479" s="106" t="s">
        <v>2171</v>
      </c>
    </row>
    <row r="480" spans="1:10" x14ac:dyDescent="0.2">
      <c r="A480" s="106" t="s">
        <v>443</v>
      </c>
      <c r="B480" s="106" t="s">
        <v>270</v>
      </c>
      <c r="C480" s="106" t="s">
        <v>271</v>
      </c>
      <c r="D480" s="106" t="s">
        <v>276</v>
      </c>
      <c r="E480">
        <v>6678</v>
      </c>
      <c r="F480" s="106" t="s">
        <v>445</v>
      </c>
      <c r="G480" s="106" t="s">
        <v>273</v>
      </c>
      <c r="H480" s="106" t="s">
        <v>298</v>
      </c>
      <c r="I480">
        <v>182</v>
      </c>
    </row>
    <row r="481" spans="1:10" x14ac:dyDescent="0.2">
      <c r="A481" s="106" t="s">
        <v>443</v>
      </c>
      <c r="B481" s="106" t="s">
        <v>270</v>
      </c>
      <c r="C481" s="106" t="s">
        <v>271</v>
      </c>
      <c r="D481" s="106" t="s">
        <v>272</v>
      </c>
      <c r="E481">
        <v>6875</v>
      </c>
      <c r="F481" s="106" t="s">
        <v>446</v>
      </c>
      <c r="G481" s="106" t="s">
        <v>273</v>
      </c>
      <c r="H481" s="106" t="s">
        <v>298</v>
      </c>
      <c r="I481" s="106">
        <v>445</v>
      </c>
      <c r="J481" s="106"/>
    </row>
    <row r="482" spans="1:10" x14ac:dyDescent="0.2">
      <c r="A482" s="106" t="s">
        <v>443</v>
      </c>
      <c r="B482" s="106" t="s">
        <v>270</v>
      </c>
      <c r="C482" s="106" t="s">
        <v>282</v>
      </c>
      <c r="D482" s="106" t="s">
        <v>272</v>
      </c>
      <c r="E482">
        <v>7532</v>
      </c>
      <c r="F482" s="106" t="s">
        <v>721</v>
      </c>
      <c r="G482" s="106" t="s">
        <v>273</v>
      </c>
      <c r="H482" s="106" t="s">
        <v>283</v>
      </c>
      <c r="I482" s="106" t="s">
        <v>540</v>
      </c>
      <c r="J482" s="106" t="s">
        <v>2442</v>
      </c>
    </row>
    <row r="483" spans="1:10" x14ac:dyDescent="0.2">
      <c r="A483" s="106" t="s">
        <v>447</v>
      </c>
      <c r="B483" s="106" t="s">
        <v>337</v>
      </c>
      <c r="C483" s="106" t="s">
        <v>280</v>
      </c>
      <c r="D483" s="106" t="s">
        <v>272</v>
      </c>
      <c r="E483">
        <v>2914</v>
      </c>
      <c r="F483" s="106" t="s">
        <v>722</v>
      </c>
      <c r="G483" s="106" t="s">
        <v>273</v>
      </c>
      <c r="H483" s="106" t="s">
        <v>274</v>
      </c>
      <c r="I483" t="s">
        <v>799</v>
      </c>
      <c r="J483" t="s">
        <v>2443</v>
      </c>
    </row>
    <row r="484" spans="1:10" x14ac:dyDescent="0.2">
      <c r="A484" s="106" t="s">
        <v>447</v>
      </c>
      <c r="B484" s="106" t="s">
        <v>337</v>
      </c>
      <c r="C484" s="106" t="s">
        <v>282</v>
      </c>
      <c r="D484" s="106" t="s">
        <v>272</v>
      </c>
      <c r="E484">
        <v>4385</v>
      </c>
      <c r="F484" s="106" t="s">
        <v>800</v>
      </c>
      <c r="G484" s="106" t="s">
        <v>285</v>
      </c>
      <c r="H484" s="106" t="s">
        <v>284</v>
      </c>
      <c r="I484" t="s">
        <v>357</v>
      </c>
      <c r="J484" t="s">
        <v>2444</v>
      </c>
    </row>
    <row r="485" spans="1:10" x14ac:dyDescent="0.2">
      <c r="A485" s="106" t="s">
        <v>447</v>
      </c>
      <c r="B485" s="106" t="s">
        <v>270</v>
      </c>
      <c r="C485" s="106" t="s">
        <v>271</v>
      </c>
      <c r="D485" s="106" t="s">
        <v>272</v>
      </c>
      <c r="E485">
        <v>2372</v>
      </c>
      <c r="F485" s="106" t="s">
        <v>448</v>
      </c>
      <c r="G485" s="106" t="s">
        <v>273</v>
      </c>
      <c r="H485" s="106" t="s">
        <v>278</v>
      </c>
      <c r="I485" s="106">
        <v>177</v>
      </c>
      <c r="J485" s="106"/>
    </row>
    <row r="486" spans="1:10" x14ac:dyDescent="0.2">
      <c r="A486" s="106" t="s">
        <v>447</v>
      </c>
      <c r="B486" s="106" t="s">
        <v>270</v>
      </c>
      <c r="C486" s="106" t="s">
        <v>271</v>
      </c>
      <c r="D486" s="106" t="s">
        <v>272</v>
      </c>
      <c r="E486">
        <v>2487</v>
      </c>
      <c r="F486" s="106" t="s">
        <v>801</v>
      </c>
      <c r="G486" s="106" t="s">
        <v>273</v>
      </c>
      <c r="H486" s="106" t="s">
        <v>278</v>
      </c>
      <c r="I486" s="106">
        <v>89</v>
      </c>
      <c r="J486" s="106"/>
    </row>
    <row r="487" spans="1:10" x14ac:dyDescent="0.2">
      <c r="A487" s="106" t="s">
        <v>447</v>
      </c>
      <c r="B487" s="106" t="s">
        <v>270</v>
      </c>
      <c r="C487" s="106" t="s">
        <v>282</v>
      </c>
      <c r="D487" s="106" t="s">
        <v>272</v>
      </c>
      <c r="E487">
        <v>3242</v>
      </c>
      <c r="F487" s="106" t="s">
        <v>449</v>
      </c>
      <c r="G487" s="106" t="s">
        <v>277</v>
      </c>
      <c r="H487" s="106" t="s">
        <v>299</v>
      </c>
      <c r="I487" s="106">
        <v>110</v>
      </c>
      <c r="J487" s="106"/>
    </row>
    <row r="488" spans="1:10" x14ac:dyDescent="0.2">
      <c r="A488" s="106" t="s">
        <v>447</v>
      </c>
      <c r="B488" s="106" t="s">
        <v>270</v>
      </c>
      <c r="C488" s="106" t="s">
        <v>271</v>
      </c>
      <c r="D488" s="106" t="s">
        <v>276</v>
      </c>
      <c r="E488">
        <v>3634</v>
      </c>
      <c r="F488" s="106" t="s">
        <v>802</v>
      </c>
      <c r="G488" s="106" t="s">
        <v>285</v>
      </c>
      <c r="H488" s="106" t="s">
        <v>284</v>
      </c>
      <c r="I488" s="106">
        <v>34</v>
      </c>
      <c r="J488" s="106"/>
    </row>
    <row r="489" spans="1:10" x14ac:dyDescent="0.2">
      <c r="A489" s="106" t="s">
        <v>447</v>
      </c>
      <c r="B489" s="106" t="s">
        <v>270</v>
      </c>
      <c r="C489" s="106" t="s">
        <v>271</v>
      </c>
      <c r="D489" s="106" t="s">
        <v>276</v>
      </c>
      <c r="E489">
        <v>3837</v>
      </c>
      <c r="F489" s="106" t="s">
        <v>803</v>
      </c>
      <c r="G489" s="106" t="s">
        <v>273</v>
      </c>
      <c r="H489" s="106" t="s">
        <v>284</v>
      </c>
      <c r="I489">
        <v>215</v>
      </c>
    </row>
    <row r="490" spans="1:10" x14ac:dyDescent="0.2">
      <c r="A490" s="106" t="s">
        <v>447</v>
      </c>
      <c r="B490" s="106" t="s">
        <v>270</v>
      </c>
      <c r="C490" s="106" t="s">
        <v>271</v>
      </c>
      <c r="D490" s="106" t="s">
        <v>272</v>
      </c>
      <c r="E490">
        <v>4626</v>
      </c>
      <c r="F490" s="106" t="s">
        <v>450</v>
      </c>
      <c r="G490" s="106" t="s">
        <v>273</v>
      </c>
      <c r="H490" s="106" t="s">
        <v>286</v>
      </c>
      <c r="I490" s="106" t="s">
        <v>304</v>
      </c>
      <c r="J490" s="106" t="s">
        <v>2445</v>
      </c>
    </row>
    <row r="491" spans="1:10" x14ac:dyDescent="0.2">
      <c r="A491" s="106" t="s">
        <v>447</v>
      </c>
      <c r="B491" s="106" t="s">
        <v>270</v>
      </c>
      <c r="C491" s="106" t="s">
        <v>282</v>
      </c>
      <c r="D491" s="106" t="s">
        <v>276</v>
      </c>
      <c r="E491">
        <v>6195</v>
      </c>
      <c r="F491" s="106" t="s">
        <v>2446</v>
      </c>
      <c r="G491" s="106" t="s">
        <v>285</v>
      </c>
      <c r="H491" s="106" t="s">
        <v>278</v>
      </c>
      <c r="I491">
        <v>148</v>
      </c>
    </row>
    <row r="492" spans="1:10" x14ac:dyDescent="0.2">
      <c r="A492" s="106" t="s">
        <v>447</v>
      </c>
      <c r="B492" s="106" t="s">
        <v>270</v>
      </c>
      <c r="C492" s="106" t="s">
        <v>271</v>
      </c>
      <c r="D492" s="106" t="s">
        <v>272</v>
      </c>
      <c r="E492">
        <v>6569</v>
      </c>
      <c r="F492" s="106" t="s">
        <v>451</v>
      </c>
      <c r="G492" s="106" t="s">
        <v>273</v>
      </c>
      <c r="H492" s="106" t="s">
        <v>278</v>
      </c>
      <c r="I492" s="106">
        <v>363</v>
      </c>
      <c r="J492" s="106"/>
    </row>
    <row r="493" spans="1:10" x14ac:dyDescent="0.2">
      <c r="A493" s="106" t="s">
        <v>447</v>
      </c>
      <c r="B493" s="106" t="s">
        <v>270</v>
      </c>
      <c r="C493" s="106" t="s">
        <v>271</v>
      </c>
      <c r="D493" s="106" t="s">
        <v>272</v>
      </c>
      <c r="E493">
        <v>6715</v>
      </c>
      <c r="F493" s="106" t="s">
        <v>2019</v>
      </c>
      <c r="G493" s="106" t="s">
        <v>273</v>
      </c>
      <c r="H493" s="106" t="s">
        <v>298</v>
      </c>
      <c r="I493" s="106">
        <v>80</v>
      </c>
      <c r="J493" s="106"/>
    </row>
    <row r="494" spans="1:10" x14ac:dyDescent="0.2">
      <c r="A494" s="106" t="s">
        <v>447</v>
      </c>
      <c r="B494" s="106" t="s">
        <v>270</v>
      </c>
      <c r="C494" s="106" t="s">
        <v>271</v>
      </c>
      <c r="D494" s="106" t="s">
        <v>272</v>
      </c>
      <c r="E494">
        <v>7703</v>
      </c>
      <c r="F494" s="106" t="s">
        <v>452</v>
      </c>
      <c r="G494" s="106" t="s">
        <v>281</v>
      </c>
      <c r="H494" s="106" t="s">
        <v>384</v>
      </c>
      <c r="I494" s="106">
        <v>212</v>
      </c>
      <c r="J494" s="106"/>
    </row>
    <row r="495" spans="1:10" x14ac:dyDescent="0.2">
      <c r="A495" s="106" t="s">
        <v>447</v>
      </c>
      <c r="B495" s="106" t="s">
        <v>270</v>
      </c>
      <c r="C495" s="106" t="s">
        <v>271</v>
      </c>
      <c r="D495" s="106" t="s">
        <v>272</v>
      </c>
      <c r="E495">
        <v>7952</v>
      </c>
      <c r="F495" s="106" t="s">
        <v>453</v>
      </c>
      <c r="G495" s="106" t="s">
        <v>273</v>
      </c>
      <c r="H495" s="106" t="s">
        <v>295</v>
      </c>
      <c r="I495">
        <v>342</v>
      </c>
    </row>
    <row r="496" spans="1:10" x14ac:dyDescent="0.2">
      <c r="A496" s="106" t="s">
        <v>447</v>
      </c>
      <c r="B496" s="106" t="s">
        <v>270</v>
      </c>
      <c r="C496" s="106" t="s">
        <v>271</v>
      </c>
      <c r="D496" s="106" t="s">
        <v>272</v>
      </c>
      <c r="E496">
        <v>9024</v>
      </c>
      <c r="F496" s="106" t="s">
        <v>2020</v>
      </c>
      <c r="G496" s="106" t="s">
        <v>273</v>
      </c>
      <c r="H496" s="106" t="s">
        <v>405</v>
      </c>
      <c r="I496" s="106" t="s">
        <v>332</v>
      </c>
      <c r="J496" s="106" t="s">
        <v>1878</v>
      </c>
    </row>
    <row r="497" spans="1:10" x14ac:dyDescent="0.2">
      <c r="A497" s="106" t="s">
        <v>447</v>
      </c>
      <c r="B497" s="106" t="s">
        <v>270</v>
      </c>
      <c r="C497" s="106" t="s">
        <v>271</v>
      </c>
      <c r="D497" s="106" t="s">
        <v>272</v>
      </c>
      <c r="E497">
        <v>9324</v>
      </c>
      <c r="F497" s="106" t="s">
        <v>2447</v>
      </c>
      <c r="G497" s="106" t="s">
        <v>273</v>
      </c>
      <c r="H497" s="106" t="s">
        <v>626</v>
      </c>
      <c r="I497">
        <v>313</v>
      </c>
    </row>
    <row r="498" spans="1:10" x14ac:dyDescent="0.2">
      <c r="A498" s="106" t="s">
        <v>454</v>
      </c>
      <c r="B498" s="106" t="s">
        <v>337</v>
      </c>
      <c r="C498" s="106" t="s">
        <v>271</v>
      </c>
      <c r="D498" s="106" t="s">
        <v>272</v>
      </c>
      <c r="E498">
        <v>8093</v>
      </c>
      <c r="F498" s="106" t="s">
        <v>804</v>
      </c>
      <c r="G498" s="106" t="s">
        <v>273</v>
      </c>
      <c r="H498" s="106" t="s">
        <v>279</v>
      </c>
      <c r="I498" s="106">
        <v>144</v>
      </c>
      <c r="J498" s="106"/>
    </row>
    <row r="499" spans="1:10" x14ac:dyDescent="0.2">
      <c r="A499" s="106" t="s">
        <v>454</v>
      </c>
      <c r="B499" s="106" t="s">
        <v>270</v>
      </c>
      <c r="C499" s="106" t="s">
        <v>271</v>
      </c>
      <c r="D499" s="106" t="s">
        <v>272</v>
      </c>
      <c r="E499">
        <v>1721</v>
      </c>
      <c r="F499" s="106" t="s">
        <v>2021</v>
      </c>
      <c r="G499" s="106" t="s">
        <v>273</v>
      </c>
      <c r="H499" s="106" t="s">
        <v>300</v>
      </c>
      <c r="I499" s="106" t="s">
        <v>323</v>
      </c>
      <c r="J499" s="106" t="s">
        <v>2004</v>
      </c>
    </row>
    <row r="500" spans="1:10" x14ac:dyDescent="0.2">
      <c r="A500" s="106" t="s">
        <v>454</v>
      </c>
      <c r="B500" s="106" t="s">
        <v>270</v>
      </c>
      <c r="C500" s="106" t="s">
        <v>271</v>
      </c>
      <c r="D500" s="106" t="s">
        <v>272</v>
      </c>
      <c r="E500">
        <v>1801</v>
      </c>
      <c r="F500" s="106" t="s">
        <v>455</v>
      </c>
      <c r="G500" s="106" t="s">
        <v>273</v>
      </c>
      <c r="H500" s="106" t="s">
        <v>300</v>
      </c>
      <c r="I500" t="s">
        <v>408</v>
      </c>
      <c r="J500" t="s">
        <v>2411</v>
      </c>
    </row>
    <row r="501" spans="1:10" x14ac:dyDescent="0.2">
      <c r="A501" s="106" t="s">
        <v>454</v>
      </c>
      <c r="B501" s="106" t="s">
        <v>270</v>
      </c>
      <c r="C501" s="106" t="s">
        <v>271</v>
      </c>
      <c r="D501" s="106" t="s">
        <v>272</v>
      </c>
      <c r="E501">
        <v>1813</v>
      </c>
      <c r="F501" s="106" t="s">
        <v>457</v>
      </c>
      <c r="G501" s="106" t="s">
        <v>273</v>
      </c>
      <c r="H501" s="106" t="s">
        <v>300</v>
      </c>
      <c r="I501">
        <v>274</v>
      </c>
    </row>
    <row r="502" spans="1:10" x14ac:dyDescent="0.2">
      <c r="A502" s="106" t="s">
        <v>454</v>
      </c>
      <c r="B502" s="106" t="s">
        <v>270</v>
      </c>
      <c r="C502" s="106" t="s">
        <v>271</v>
      </c>
      <c r="D502" s="106" t="s">
        <v>272</v>
      </c>
      <c r="E502">
        <v>1835</v>
      </c>
      <c r="F502" s="106" t="s">
        <v>458</v>
      </c>
      <c r="G502" s="106" t="s">
        <v>273</v>
      </c>
      <c r="H502" s="106" t="s">
        <v>300</v>
      </c>
      <c r="I502" t="s">
        <v>304</v>
      </c>
      <c r="J502" t="s">
        <v>2366</v>
      </c>
    </row>
    <row r="503" spans="1:10" x14ac:dyDescent="0.2">
      <c r="A503" s="106" t="s">
        <v>454</v>
      </c>
      <c r="B503" s="106" t="s">
        <v>270</v>
      </c>
      <c r="C503" s="106" t="s">
        <v>271</v>
      </c>
      <c r="D503" s="106" t="s">
        <v>276</v>
      </c>
      <c r="E503">
        <v>1853</v>
      </c>
      <c r="F503" s="106" t="s">
        <v>459</v>
      </c>
      <c r="G503" s="106" t="s">
        <v>281</v>
      </c>
      <c r="H503" s="106" t="s">
        <v>300</v>
      </c>
      <c r="I503" s="106">
        <v>103</v>
      </c>
      <c r="J503" s="106"/>
    </row>
    <row r="504" spans="1:10" x14ac:dyDescent="0.2">
      <c r="A504" s="106" t="s">
        <v>454</v>
      </c>
      <c r="B504" s="106" t="s">
        <v>270</v>
      </c>
      <c r="C504" s="106" t="s">
        <v>271</v>
      </c>
      <c r="D504" s="106" t="s">
        <v>272</v>
      </c>
      <c r="E504">
        <v>1909</v>
      </c>
      <c r="F504" s="106" t="s">
        <v>460</v>
      </c>
      <c r="G504" s="106" t="s">
        <v>273</v>
      </c>
      <c r="H504" s="106" t="s">
        <v>294</v>
      </c>
      <c r="I504" s="106">
        <v>119</v>
      </c>
      <c r="J504" s="106"/>
    </row>
    <row r="505" spans="1:10" x14ac:dyDescent="0.2">
      <c r="A505" s="106" t="s">
        <v>454</v>
      </c>
      <c r="B505" s="106" t="s">
        <v>270</v>
      </c>
      <c r="C505" s="106" t="s">
        <v>271</v>
      </c>
      <c r="D505" s="106" t="s">
        <v>272</v>
      </c>
      <c r="E505">
        <v>1961</v>
      </c>
      <c r="F505" s="106" t="s">
        <v>461</v>
      </c>
      <c r="G505" s="106" t="s">
        <v>273</v>
      </c>
      <c r="H505" s="106" t="s">
        <v>300</v>
      </c>
      <c r="I505">
        <v>922</v>
      </c>
    </row>
    <row r="506" spans="1:10" x14ac:dyDescent="0.2">
      <c r="A506" s="106" t="s">
        <v>454</v>
      </c>
      <c r="B506" s="106" t="s">
        <v>270</v>
      </c>
      <c r="C506" s="106" t="s">
        <v>271</v>
      </c>
      <c r="D506" s="106" t="s">
        <v>272</v>
      </c>
      <c r="E506">
        <v>1969</v>
      </c>
      <c r="F506" s="106" t="s">
        <v>462</v>
      </c>
      <c r="G506" s="106" t="s">
        <v>273</v>
      </c>
      <c r="H506" s="106" t="s">
        <v>300</v>
      </c>
      <c r="I506" t="s">
        <v>304</v>
      </c>
      <c r="J506" t="s">
        <v>2448</v>
      </c>
    </row>
    <row r="507" spans="1:10" x14ac:dyDescent="0.2">
      <c r="A507" s="106" t="s">
        <v>454</v>
      </c>
      <c r="B507" s="106" t="s">
        <v>270</v>
      </c>
      <c r="C507" s="106" t="s">
        <v>280</v>
      </c>
      <c r="D507" s="106" t="s">
        <v>272</v>
      </c>
      <c r="E507">
        <v>2193</v>
      </c>
      <c r="F507" s="106" t="s">
        <v>2449</v>
      </c>
      <c r="G507" s="106" t="s">
        <v>273</v>
      </c>
      <c r="H507" s="106" t="s">
        <v>278</v>
      </c>
      <c r="I507">
        <v>386</v>
      </c>
    </row>
    <row r="508" spans="1:10" x14ac:dyDescent="0.2">
      <c r="A508" s="106" t="s">
        <v>454</v>
      </c>
      <c r="B508" s="106" t="s">
        <v>270</v>
      </c>
      <c r="C508" s="106" t="s">
        <v>271</v>
      </c>
      <c r="D508" s="106" t="s">
        <v>272</v>
      </c>
      <c r="E508">
        <v>2307</v>
      </c>
      <c r="F508" s="106" t="s">
        <v>805</v>
      </c>
      <c r="G508" s="106" t="s">
        <v>273</v>
      </c>
      <c r="H508" s="106" t="s">
        <v>284</v>
      </c>
      <c r="I508" s="106">
        <v>106</v>
      </c>
      <c r="J508" s="106"/>
    </row>
    <row r="509" spans="1:10" x14ac:dyDescent="0.2">
      <c r="A509" s="106" t="s">
        <v>454</v>
      </c>
      <c r="B509" s="106" t="s">
        <v>270</v>
      </c>
      <c r="C509" s="106" t="s">
        <v>271</v>
      </c>
      <c r="D509" s="106" t="s">
        <v>272</v>
      </c>
      <c r="E509">
        <v>2342</v>
      </c>
      <c r="F509" s="106" t="s">
        <v>2022</v>
      </c>
      <c r="G509" s="106" t="s">
        <v>285</v>
      </c>
      <c r="H509" s="106" t="s">
        <v>278</v>
      </c>
      <c r="I509" s="106">
        <v>70</v>
      </c>
      <c r="J509" s="106"/>
    </row>
    <row r="510" spans="1:10" x14ac:dyDescent="0.2">
      <c r="A510" s="106" t="s">
        <v>454</v>
      </c>
      <c r="B510" s="106" t="s">
        <v>270</v>
      </c>
      <c r="C510" s="106" t="s">
        <v>271</v>
      </c>
      <c r="D510" s="106" t="s">
        <v>272</v>
      </c>
      <c r="E510">
        <v>2475</v>
      </c>
      <c r="F510" s="106" t="s">
        <v>806</v>
      </c>
      <c r="G510" s="106" t="s">
        <v>273</v>
      </c>
      <c r="H510" s="106" t="s">
        <v>278</v>
      </c>
      <c r="I510" s="106">
        <v>546</v>
      </c>
      <c r="J510" s="106"/>
    </row>
    <row r="511" spans="1:10" x14ac:dyDescent="0.2">
      <c r="A511" s="106" t="s">
        <v>454</v>
      </c>
      <c r="B511" s="106" t="s">
        <v>270</v>
      </c>
      <c r="C511" s="106" t="s">
        <v>271</v>
      </c>
      <c r="D511" s="106" t="s">
        <v>272</v>
      </c>
      <c r="E511">
        <v>2480</v>
      </c>
      <c r="F511" s="106" t="s">
        <v>807</v>
      </c>
      <c r="G511" s="106" t="s">
        <v>277</v>
      </c>
      <c r="H511" s="106" t="s">
        <v>278</v>
      </c>
      <c r="I511" s="106">
        <v>61</v>
      </c>
      <c r="J511" s="106"/>
    </row>
    <row r="512" spans="1:10" x14ac:dyDescent="0.2">
      <c r="A512" s="106" t="s">
        <v>454</v>
      </c>
      <c r="B512" s="106" t="s">
        <v>270</v>
      </c>
      <c r="C512" s="106" t="s">
        <v>271</v>
      </c>
      <c r="D512" s="106" t="s">
        <v>272</v>
      </c>
      <c r="E512">
        <v>2815</v>
      </c>
      <c r="F512" s="106" t="s">
        <v>463</v>
      </c>
      <c r="G512" s="106" t="s">
        <v>273</v>
      </c>
      <c r="H512" s="106" t="s">
        <v>274</v>
      </c>
      <c r="I512" t="s">
        <v>296</v>
      </c>
      <c r="J512" t="s">
        <v>2423</v>
      </c>
    </row>
    <row r="513" spans="1:10" x14ac:dyDescent="0.2">
      <c r="A513" s="106" t="s">
        <v>454</v>
      </c>
      <c r="B513" s="106" t="s">
        <v>270</v>
      </c>
      <c r="C513" s="106" t="s">
        <v>271</v>
      </c>
      <c r="D513" s="106" t="s">
        <v>272</v>
      </c>
      <c r="E513">
        <v>2911</v>
      </c>
      <c r="F513" s="106" t="s">
        <v>808</v>
      </c>
      <c r="G513" s="106" t="s">
        <v>281</v>
      </c>
      <c r="H513" s="106" t="s">
        <v>274</v>
      </c>
      <c r="I513" s="106">
        <v>40</v>
      </c>
      <c r="J513" s="106"/>
    </row>
    <row r="514" spans="1:10" x14ac:dyDescent="0.2">
      <c r="A514" s="106" t="s">
        <v>454</v>
      </c>
      <c r="B514" s="106" t="s">
        <v>270</v>
      </c>
      <c r="C514" s="106" t="s">
        <v>271</v>
      </c>
      <c r="D514" s="106" t="s">
        <v>272</v>
      </c>
      <c r="E514">
        <v>3109</v>
      </c>
      <c r="F514" s="106" t="s">
        <v>464</v>
      </c>
      <c r="G514" s="106" t="s">
        <v>273</v>
      </c>
      <c r="H514" s="106" t="s">
        <v>306</v>
      </c>
      <c r="I514" s="106">
        <v>120</v>
      </c>
      <c r="J514" s="106"/>
    </row>
    <row r="515" spans="1:10" x14ac:dyDescent="0.2">
      <c r="A515" s="106" t="s">
        <v>454</v>
      </c>
      <c r="B515" s="106" t="s">
        <v>270</v>
      </c>
      <c r="C515" s="106" t="s">
        <v>280</v>
      </c>
      <c r="D515" s="106" t="s">
        <v>272</v>
      </c>
      <c r="E515">
        <v>3482</v>
      </c>
      <c r="F515" s="106" t="s">
        <v>809</v>
      </c>
      <c r="G515" s="106" t="s">
        <v>285</v>
      </c>
      <c r="H515" s="106" t="s">
        <v>299</v>
      </c>
      <c r="I515" s="106">
        <v>227</v>
      </c>
      <c r="J515" s="106"/>
    </row>
    <row r="516" spans="1:10" x14ac:dyDescent="0.2">
      <c r="A516" s="106" t="s">
        <v>454</v>
      </c>
      <c r="B516" s="106" t="s">
        <v>270</v>
      </c>
      <c r="C516" s="106" t="s">
        <v>280</v>
      </c>
      <c r="D516" s="106" t="s">
        <v>276</v>
      </c>
      <c r="E516">
        <v>3671</v>
      </c>
      <c r="F516" s="106" t="s">
        <v>2023</v>
      </c>
      <c r="G516" s="106" t="s">
        <v>285</v>
      </c>
      <c r="H516" s="106" t="s">
        <v>284</v>
      </c>
      <c r="I516">
        <v>59</v>
      </c>
    </row>
    <row r="517" spans="1:10" x14ac:dyDescent="0.2">
      <c r="A517" s="106" t="s">
        <v>454</v>
      </c>
      <c r="B517" s="106" t="s">
        <v>270</v>
      </c>
      <c r="C517" s="106" t="s">
        <v>275</v>
      </c>
      <c r="D517" s="106" t="s">
        <v>272</v>
      </c>
      <c r="E517">
        <v>3690</v>
      </c>
      <c r="F517" s="106" t="s">
        <v>810</v>
      </c>
      <c r="G517" s="106" t="s">
        <v>285</v>
      </c>
      <c r="H517" s="106" t="s">
        <v>284</v>
      </c>
      <c r="I517">
        <v>76</v>
      </c>
    </row>
    <row r="518" spans="1:10" x14ac:dyDescent="0.2">
      <c r="A518" s="106" t="s">
        <v>454</v>
      </c>
      <c r="B518" s="106" t="s">
        <v>270</v>
      </c>
      <c r="C518" s="106" t="s">
        <v>271</v>
      </c>
      <c r="D518" s="106" t="s">
        <v>272</v>
      </c>
      <c r="E518">
        <v>3766</v>
      </c>
      <c r="F518" s="106" t="s">
        <v>465</v>
      </c>
      <c r="G518" s="106" t="s">
        <v>277</v>
      </c>
      <c r="H518" s="106" t="s">
        <v>284</v>
      </c>
      <c r="I518">
        <v>25</v>
      </c>
    </row>
    <row r="519" spans="1:10" x14ac:dyDescent="0.2">
      <c r="A519" s="106" t="s">
        <v>454</v>
      </c>
      <c r="B519" s="106" t="s">
        <v>270</v>
      </c>
      <c r="C519" s="106" t="s">
        <v>271</v>
      </c>
      <c r="D519" s="106" t="s">
        <v>272</v>
      </c>
      <c r="E519">
        <v>3798</v>
      </c>
      <c r="F519" s="106" t="s">
        <v>2024</v>
      </c>
      <c r="G519" s="106" t="s">
        <v>277</v>
      </c>
      <c r="H519" s="106" t="s">
        <v>284</v>
      </c>
      <c r="I519" s="106">
        <v>173</v>
      </c>
      <c r="J519" s="106"/>
    </row>
    <row r="520" spans="1:10" x14ac:dyDescent="0.2">
      <c r="A520" s="106" t="s">
        <v>454</v>
      </c>
      <c r="B520" s="106" t="s">
        <v>270</v>
      </c>
      <c r="C520" s="106" t="s">
        <v>271</v>
      </c>
      <c r="D520" s="106" t="s">
        <v>272</v>
      </c>
      <c r="E520">
        <v>4540</v>
      </c>
      <c r="F520" s="106" t="s">
        <v>466</v>
      </c>
      <c r="G520" s="106" t="s">
        <v>273</v>
      </c>
      <c r="H520" s="106" t="s">
        <v>318</v>
      </c>
      <c r="I520" s="106" t="s">
        <v>296</v>
      </c>
      <c r="J520" s="106" t="s">
        <v>2450</v>
      </c>
    </row>
    <row r="521" spans="1:10" x14ac:dyDescent="0.2">
      <c r="A521" s="106" t="s">
        <v>454</v>
      </c>
      <c r="B521" s="106" t="s">
        <v>270</v>
      </c>
      <c r="C521" s="106" t="s">
        <v>280</v>
      </c>
      <c r="D521" s="106" t="s">
        <v>276</v>
      </c>
      <c r="E521">
        <v>4588</v>
      </c>
      <c r="F521" s="106" t="s">
        <v>467</v>
      </c>
      <c r="G521" s="106" t="s">
        <v>285</v>
      </c>
      <c r="H521" s="106" t="s">
        <v>318</v>
      </c>
      <c r="I521" s="106">
        <v>273</v>
      </c>
      <c r="J521" s="106"/>
    </row>
    <row r="522" spans="1:10" x14ac:dyDescent="0.2">
      <c r="A522" s="106" t="s">
        <v>454</v>
      </c>
      <c r="B522" s="106" t="s">
        <v>270</v>
      </c>
      <c r="C522" s="106" t="s">
        <v>271</v>
      </c>
      <c r="D522" s="106" t="s">
        <v>272</v>
      </c>
      <c r="E522">
        <v>4777</v>
      </c>
      <c r="F522" s="106" t="s">
        <v>468</v>
      </c>
      <c r="G522" s="106" t="s">
        <v>277</v>
      </c>
      <c r="H522" s="106" t="s">
        <v>284</v>
      </c>
      <c r="I522" s="106">
        <v>52</v>
      </c>
      <c r="J522" s="106"/>
    </row>
    <row r="523" spans="1:10" x14ac:dyDescent="0.2">
      <c r="A523" s="106" t="s">
        <v>454</v>
      </c>
      <c r="B523" s="106" t="s">
        <v>270</v>
      </c>
      <c r="C523" s="106" t="s">
        <v>271</v>
      </c>
      <c r="D523" s="106" t="s">
        <v>276</v>
      </c>
      <c r="E523">
        <v>4960</v>
      </c>
      <c r="F523" s="106" t="s">
        <v>2451</v>
      </c>
      <c r="G523" s="106" t="s">
        <v>281</v>
      </c>
      <c r="H523" s="106" t="s">
        <v>286</v>
      </c>
      <c r="I523" s="106">
        <v>40</v>
      </c>
      <c r="J523" s="106"/>
    </row>
    <row r="524" spans="1:10" x14ac:dyDescent="0.2">
      <c r="A524" s="106" t="s">
        <v>454</v>
      </c>
      <c r="B524" s="106" t="s">
        <v>270</v>
      </c>
      <c r="C524" s="106" t="s">
        <v>271</v>
      </c>
      <c r="D524" s="106" t="s">
        <v>276</v>
      </c>
      <c r="E524">
        <v>4970</v>
      </c>
      <c r="F524" s="106" t="s">
        <v>811</v>
      </c>
      <c r="G524" s="106" t="s">
        <v>277</v>
      </c>
      <c r="H524" s="106" t="s">
        <v>286</v>
      </c>
      <c r="I524" s="106">
        <v>354</v>
      </c>
      <c r="J524" s="106"/>
    </row>
    <row r="525" spans="1:10" x14ac:dyDescent="0.2">
      <c r="A525" s="106" t="s">
        <v>454</v>
      </c>
      <c r="B525" s="106" t="s">
        <v>270</v>
      </c>
      <c r="C525" s="106" t="s">
        <v>271</v>
      </c>
      <c r="D525" s="106" t="s">
        <v>272</v>
      </c>
      <c r="E525">
        <v>5602</v>
      </c>
      <c r="F525" s="106" t="s">
        <v>812</v>
      </c>
      <c r="G525" s="106" t="s">
        <v>273</v>
      </c>
      <c r="H525" s="106" t="s">
        <v>813</v>
      </c>
      <c r="I525">
        <v>293</v>
      </c>
    </row>
    <row r="526" spans="1:10" x14ac:dyDescent="0.2">
      <c r="A526" s="106" t="s">
        <v>454</v>
      </c>
      <c r="B526" s="106" t="s">
        <v>270</v>
      </c>
      <c r="C526" s="106" t="s">
        <v>271</v>
      </c>
      <c r="D526" s="106" t="s">
        <v>272</v>
      </c>
      <c r="E526">
        <v>5713</v>
      </c>
      <c r="F526" s="106" t="s">
        <v>469</v>
      </c>
      <c r="G526" s="106" t="s">
        <v>273</v>
      </c>
      <c r="H526" s="106" t="s">
        <v>422</v>
      </c>
      <c r="I526" s="106" t="s">
        <v>408</v>
      </c>
      <c r="J526" s="106" t="s">
        <v>2452</v>
      </c>
    </row>
    <row r="527" spans="1:10" x14ac:dyDescent="0.2">
      <c r="A527" s="106" t="s">
        <v>454</v>
      </c>
      <c r="B527" s="106" t="s">
        <v>270</v>
      </c>
      <c r="C527" s="106" t="s">
        <v>271</v>
      </c>
      <c r="D527" s="106" t="s">
        <v>272</v>
      </c>
      <c r="E527">
        <v>6101</v>
      </c>
      <c r="F527" s="106" t="s">
        <v>2453</v>
      </c>
      <c r="G527" s="106" t="s">
        <v>273</v>
      </c>
      <c r="H527" s="106" t="s">
        <v>294</v>
      </c>
      <c r="I527" s="106">
        <v>607</v>
      </c>
      <c r="J527" s="106"/>
    </row>
    <row r="528" spans="1:10" x14ac:dyDescent="0.2">
      <c r="A528" s="106" t="s">
        <v>454</v>
      </c>
      <c r="B528" s="106" t="s">
        <v>270</v>
      </c>
      <c r="C528" s="106" t="s">
        <v>280</v>
      </c>
      <c r="D528" s="106" t="s">
        <v>272</v>
      </c>
      <c r="E528">
        <v>6268</v>
      </c>
      <c r="F528" s="106" t="s">
        <v>2025</v>
      </c>
      <c r="G528" s="106" t="s">
        <v>273</v>
      </c>
      <c r="H528" s="106" t="s">
        <v>294</v>
      </c>
      <c r="I528" s="106" t="s">
        <v>323</v>
      </c>
      <c r="J528" s="106" t="s">
        <v>2343</v>
      </c>
    </row>
    <row r="529" spans="1:10" x14ac:dyDescent="0.2">
      <c r="A529" s="106" t="s">
        <v>454</v>
      </c>
      <c r="B529" s="106" t="s">
        <v>270</v>
      </c>
      <c r="C529" s="106" t="s">
        <v>271</v>
      </c>
      <c r="D529" s="106" t="s">
        <v>272</v>
      </c>
      <c r="E529">
        <v>6485</v>
      </c>
      <c r="F529" s="106" t="s">
        <v>470</v>
      </c>
      <c r="G529" s="106" t="s">
        <v>273</v>
      </c>
      <c r="H529" s="106" t="s">
        <v>294</v>
      </c>
      <c r="I529" s="106">
        <v>264</v>
      </c>
      <c r="J529" s="106"/>
    </row>
    <row r="530" spans="1:10" x14ac:dyDescent="0.2">
      <c r="A530" s="106" t="s">
        <v>454</v>
      </c>
      <c r="B530" s="106" t="s">
        <v>270</v>
      </c>
      <c r="C530" s="106" t="s">
        <v>271</v>
      </c>
      <c r="D530" s="106" t="s">
        <v>272</v>
      </c>
      <c r="E530">
        <v>6834</v>
      </c>
      <c r="F530" s="106" t="s">
        <v>2454</v>
      </c>
      <c r="G530" s="106" t="s">
        <v>277</v>
      </c>
      <c r="H530" s="106" t="s">
        <v>298</v>
      </c>
      <c r="I530" s="106">
        <v>306</v>
      </c>
      <c r="J530" s="106"/>
    </row>
    <row r="531" spans="1:10" x14ac:dyDescent="0.2">
      <c r="A531" s="106" t="s">
        <v>454</v>
      </c>
      <c r="B531" s="106" t="s">
        <v>270</v>
      </c>
      <c r="C531" s="106" t="s">
        <v>280</v>
      </c>
      <c r="D531" s="106" t="s">
        <v>272</v>
      </c>
      <c r="E531">
        <v>6929</v>
      </c>
      <c r="F531" s="106" t="s">
        <v>471</v>
      </c>
      <c r="G531" s="106" t="s">
        <v>273</v>
      </c>
      <c r="H531" s="106" t="s">
        <v>298</v>
      </c>
      <c r="I531">
        <v>756</v>
      </c>
    </row>
    <row r="532" spans="1:10" x14ac:dyDescent="0.2">
      <c r="A532" s="106" t="s">
        <v>454</v>
      </c>
      <c r="B532" s="106" t="s">
        <v>270</v>
      </c>
      <c r="C532" s="106" t="s">
        <v>271</v>
      </c>
      <c r="D532" s="106" t="s">
        <v>272</v>
      </c>
      <c r="E532">
        <v>6986</v>
      </c>
      <c r="F532" s="106" t="s">
        <v>2026</v>
      </c>
      <c r="G532" s="106" t="s">
        <v>273</v>
      </c>
      <c r="H532" s="106" t="s">
        <v>298</v>
      </c>
      <c r="I532">
        <v>582</v>
      </c>
    </row>
    <row r="533" spans="1:10" x14ac:dyDescent="0.2">
      <c r="A533" s="106" t="s">
        <v>454</v>
      </c>
      <c r="B533" s="106" t="s">
        <v>270</v>
      </c>
      <c r="C533" s="106" t="s">
        <v>271</v>
      </c>
      <c r="D533" s="106" t="s">
        <v>272</v>
      </c>
      <c r="E533">
        <v>7480</v>
      </c>
      <c r="F533" s="106" t="s">
        <v>472</v>
      </c>
      <c r="G533" s="106" t="s">
        <v>273</v>
      </c>
      <c r="H533" s="106" t="s">
        <v>279</v>
      </c>
      <c r="I533">
        <v>218</v>
      </c>
    </row>
    <row r="534" spans="1:10" x14ac:dyDescent="0.2">
      <c r="A534" s="106" t="s">
        <v>454</v>
      </c>
      <c r="B534" s="106" t="s">
        <v>270</v>
      </c>
      <c r="C534" s="106" t="s">
        <v>282</v>
      </c>
      <c r="D534" s="106" t="s">
        <v>272</v>
      </c>
      <c r="E534">
        <v>9028</v>
      </c>
      <c r="F534" s="106" t="s">
        <v>2027</v>
      </c>
      <c r="G534" s="106" t="s">
        <v>281</v>
      </c>
      <c r="H534" s="106" t="s">
        <v>405</v>
      </c>
      <c r="I534">
        <v>193</v>
      </c>
    </row>
    <row r="535" spans="1:10" x14ac:dyDescent="0.2">
      <c r="A535" s="106" t="s">
        <v>454</v>
      </c>
      <c r="B535" s="106" t="s">
        <v>270</v>
      </c>
      <c r="C535" s="106" t="s">
        <v>271</v>
      </c>
      <c r="D535" s="106" t="s">
        <v>272</v>
      </c>
      <c r="E535">
        <v>9880</v>
      </c>
      <c r="F535" s="106" t="s">
        <v>473</v>
      </c>
      <c r="G535" s="106" t="s">
        <v>273</v>
      </c>
      <c r="H535" s="106" t="s">
        <v>279</v>
      </c>
      <c r="I535">
        <v>172</v>
      </c>
    </row>
    <row r="536" spans="1:10" x14ac:dyDescent="0.2">
      <c r="A536" s="106" t="s">
        <v>454</v>
      </c>
      <c r="B536" s="106" t="s">
        <v>270</v>
      </c>
      <c r="C536" s="106" t="s">
        <v>271</v>
      </c>
      <c r="D536" s="106" t="s">
        <v>272</v>
      </c>
      <c r="E536">
        <v>9994</v>
      </c>
      <c r="F536" s="106" t="s">
        <v>474</v>
      </c>
      <c r="G536" s="106" t="s">
        <v>273</v>
      </c>
      <c r="H536" s="106" t="s">
        <v>283</v>
      </c>
      <c r="I536" s="106">
        <v>249</v>
      </c>
      <c r="J536" s="106"/>
    </row>
    <row r="537" spans="1:10" x14ac:dyDescent="0.2">
      <c r="A537" s="106" t="s">
        <v>2028</v>
      </c>
      <c r="B537" s="106" t="s">
        <v>270</v>
      </c>
      <c r="C537" s="106" t="s">
        <v>282</v>
      </c>
      <c r="D537" s="106" t="s">
        <v>272</v>
      </c>
      <c r="E537">
        <v>6327</v>
      </c>
      <c r="F537" s="106" t="s">
        <v>2029</v>
      </c>
      <c r="G537" s="106" t="s">
        <v>277</v>
      </c>
      <c r="H537" s="106" t="s">
        <v>294</v>
      </c>
      <c r="I537" s="106">
        <v>34</v>
      </c>
      <c r="J537" s="106"/>
    </row>
    <row r="538" spans="1:10" x14ac:dyDescent="0.2">
      <c r="A538" s="106" t="s">
        <v>475</v>
      </c>
      <c r="B538" s="106" t="s">
        <v>2030</v>
      </c>
      <c r="C538" s="106" t="s">
        <v>280</v>
      </c>
      <c r="D538" s="106" t="s">
        <v>272</v>
      </c>
      <c r="E538">
        <v>9830</v>
      </c>
      <c r="F538" s="106" t="s">
        <v>2031</v>
      </c>
      <c r="G538" s="106" t="s">
        <v>273</v>
      </c>
      <c r="H538" s="106" t="s">
        <v>279</v>
      </c>
      <c r="I538" t="s">
        <v>304</v>
      </c>
      <c r="J538" t="s">
        <v>2455</v>
      </c>
    </row>
    <row r="539" spans="1:10" x14ac:dyDescent="0.2">
      <c r="A539" s="106" t="s">
        <v>475</v>
      </c>
      <c r="B539" s="106" t="s">
        <v>270</v>
      </c>
      <c r="C539" s="106" t="s">
        <v>271</v>
      </c>
      <c r="D539" s="106" t="s">
        <v>272</v>
      </c>
      <c r="E539">
        <v>1979</v>
      </c>
      <c r="F539" s="106" t="s">
        <v>476</v>
      </c>
      <c r="G539" s="106" t="s">
        <v>273</v>
      </c>
      <c r="H539" s="106" t="s">
        <v>300</v>
      </c>
      <c r="I539" t="s">
        <v>304</v>
      </c>
      <c r="J539" t="s">
        <v>2261</v>
      </c>
    </row>
    <row r="540" spans="1:10" x14ac:dyDescent="0.2">
      <c r="A540" s="106" t="s">
        <v>475</v>
      </c>
      <c r="B540" s="106" t="s">
        <v>270</v>
      </c>
      <c r="C540" s="106" t="s">
        <v>271</v>
      </c>
      <c r="D540" s="106" t="s">
        <v>272</v>
      </c>
      <c r="E540">
        <v>2201</v>
      </c>
      <c r="F540" s="106" t="s">
        <v>723</v>
      </c>
      <c r="G540" s="106" t="s">
        <v>273</v>
      </c>
      <c r="H540" s="106" t="s">
        <v>274</v>
      </c>
      <c r="I540" t="s">
        <v>296</v>
      </c>
      <c r="J540" t="s">
        <v>2456</v>
      </c>
    </row>
    <row r="541" spans="1:10" x14ac:dyDescent="0.2">
      <c r="A541" s="106" t="s">
        <v>475</v>
      </c>
      <c r="B541" s="106" t="s">
        <v>270</v>
      </c>
      <c r="C541" s="106" t="s">
        <v>280</v>
      </c>
      <c r="D541" s="106" t="s">
        <v>272</v>
      </c>
      <c r="E541">
        <v>2384</v>
      </c>
      <c r="F541" s="106" t="s">
        <v>724</v>
      </c>
      <c r="G541" s="106" t="s">
        <v>273</v>
      </c>
      <c r="H541" s="106" t="s">
        <v>405</v>
      </c>
      <c r="I541">
        <v>771</v>
      </c>
    </row>
    <row r="542" spans="1:10" x14ac:dyDescent="0.2">
      <c r="A542" s="106" t="s">
        <v>475</v>
      </c>
      <c r="B542" s="106" t="s">
        <v>270</v>
      </c>
      <c r="C542" s="106" t="s">
        <v>271</v>
      </c>
      <c r="D542" s="106" t="s">
        <v>272</v>
      </c>
      <c r="E542">
        <v>2398</v>
      </c>
      <c r="F542" s="106" t="s">
        <v>725</v>
      </c>
      <c r="G542" s="106" t="s">
        <v>273</v>
      </c>
      <c r="H542" s="106" t="s">
        <v>278</v>
      </c>
      <c r="I542">
        <v>418</v>
      </c>
    </row>
    <row r="543" spans="1:10" x14ac:dyDescent="0.2">
      <c r="A543" s="106" t="s">
        <v>475</v>
      </c>
      <c r="B543" s="106" t="s">
        <v>270</v>
      </c>
      <c r="C543" s="106" t="s">
        <v>271</v>
      </c>
      <c r="D543" s="106" t="s">
        <v>276</v>
      </c>
      <c r="E543">
        <v>3133</v>
      </c>
      <c r="F543" s="106" t="s">
        <v>2457</v>
      </c>
      <c r="G543" s="106" t="s">
        <v>285</v>
      </c>
      <c r="H543" s="106" t="s">
        <v>283</v>
      </c>
      <c r="I543">
        <v>26</v>
      </c>
    </row>
    <row r="544" spans="1:10" x14ac:dyDescent="0.2">
      <c r="A544" s="106" t="s">
        <v>475</v>
      </c>
      <c r="B544" s="106" t="s">
        <v>270</v>
      </c>
      <c r="C544" s="106" t="s">
        <v>271</v>
      </c>
      <c r="D544" s="106" t="s">
        <v>272</v>
      </c>
      <c r="E544">
        <v>3183</v>
      </c>
      <c r="F544" s="106" t="s">
        <v>2032</v>
      </c>
      <c r="G544" s="106" t="s">
        <v>273</v>
      </c>
      <c r="H544" s="106" t="s">
        <v>279</v>
      </c>
      <c r="I544">
        <v>440</v>
      </c>
    </row>
    <row r="545" spans="1:10" x14ac:dyDescent="0.2">
      <c r="A545" s="106" t="s">
        <v>475</v>
      </c>
      <c r="B545" s="106" t="s">
        <v>270</v>
      </c>
      <c r="C545" s="106" t="s">
        <v>271</v>
      </c>
      <c r="D545" s="106" t="s">
        <v>272</v>
      </c>
      <c r="E545">
        <v>6155</v>
      </c>
      <c r="F545" s="106" t="s">
        <v>2033</v>
      </c>
      <c r="G545" s="106" t="s">
        <v>281</v>
      </c>
      <c r="H545" s="106" t="s">
        <v>294</v>
      </c>
      <c r="I545">
        <v>98</v>
      </c>
    </row>
    <row r="546" spans="1:10" x14ac:dyDescent="0.2">
      <c r="A546" s="106" t="s">
        <v>475</v>
      </c>
      <c r="B546" s="106" t="s">
        <v>270</v>
      </c>
      <c r="C546" s="106" t="s">
        <v>271</v>
      </c>
      <c r="D546" s="106" t="s">
        <v>272</v>
      </c>
      <c r="E546">
        <v>6324</v>
      </c>
      <c r="F546" s="106" t="s">
        <v>814</v>
      </c>
      <c r="G546" s="106" t="s">
        <v>277</v>
      </c>
      <c r="H546" s="106" t="s">
        <v>294</v>
      </c>
      <c r="I546" t="s">
        <v>323</v>
      </c>
      <c r="J546" t="s">
        <v>2458</v>
      </c>
    </row>
    <row r="547" spans="1:10" x14ac:dyDescent="0.2">
      <c r="A547" s="106" t="s">
        <v>475</v>
      </c>
      <c r="B547" s="106" t="s">
        <v>270</v>
      </c>
      <c r="C547" s="106" t="s">
        <v>271</v>
      </c>
      <c r="D547" s="106" t="s">
        <v>272</v>
      </c>
      <c r="E547">
        <v>7215</v>
      </c>
      <c r="F547" s="106" t="s">
        <v>2034</v>
      </c>
      <c r="G547" s="106" t="s">
        <v>273</v>
      </c>
      <c r="H547" s="106" t="s">
        <v>303</v>
      </c>
      <c r="I547">
        <v>112</v>
      </c>
    </row>
    <row r="548" spans="1:10" x14ac:dyDescent="0.2">
      <c r="A548" s="106" t="s">
        <v>475</v>
      </c>
      <c r="B548" s="106" t="s">
        <v>270</v>
      </c>
      <c r="C548" s="106" t="s">
        <v>282</v>
      </c>
      <c r="D548" s="106" t="s">
        <v>272</v>
      </c>
      <c r="E548">
        <v>7320</v>
      </c>
      <c r="F548" s="106" t="s">
        <v>726</v>
      </c>
      <c r="G548" s="106" t="s">
        <v>285</v>
      </c>
      <c r="H548" s="106" t="s">
        <v>309</v>
      </c>
      <c r="I548">
        <v>73</v>
      </c>
    </row>
    <row r="549" spans="1:10" x14ac:dyDescent="0.2">
      <c r="A549" s="106" t="s">
        <v>475</v>
      </c>
      <c r="B549" s="106" t="s">
        <v>270</v>
      </c>
      <c r="C549" s="106" t="s">
        <v>271</v>
      </c>
      <c r="D549" s="106" t="s">
        <v>272</v>
      </c>
      <c r="E549">
        <v>8108</v>
      </c>
      <c r="F549" s="106" t="s">
        <v>477</v>
      </c>
      <c r="G549" s="106" t="s">
        <v>478</v>
      </c>
      <c r="H549" s="106" t="s">
        <v>279</v>
      </c>
      <c r="I549">
        <v>267</v>
      </c>
    </row>
    <row r="550" spans="1:10" x14ac:dyDescent="0.2">
      <c r="A550" s="106" t="s">
        <v>475</v>
      </c>
      <c r="B550" s="106" t="s">
        <v>270</v>
      </c>
      <c r="C550" s="106" t="s">
        <v>271</v>
      </c>
      <c r="D550" s="106" t="s">
        <v>272</v>
      </c>
      <c r="E550">
        <v>9479</v>
      </c>
      <c r="F550" s="106" t="s">
        <v>2035</v>
      </c>
      <c r="G550" s="106" t="s">
        <v>273</v>
      </c>
      <c r="H550" s="106" t="s">
        <v>284</v>
      </c>
      <c r="I550">
        <v>71</v>
      </c>
    </row>
    <row r="551" spans="1:10" x14ac:dyDescent="0.2">
      <c r="A551" s="106" t="s">
        <v>479</v>
      </c>
      <c r="B551" s="106" t="s">
        <v>337</v>
      </c>
      <c r="C551" s="106" t="s">
        <v>275</v>
      </c>
      <c r="D551" s="106" t="s">
        <v>272</v>
      </c>
      <c r="E551">
        <v>7069</v>
      </c>
      <c r="F551" s="106" t="s">
        <v>2036</v>
      </c>
      <c r="G551" s="106" t="s">
        <v>285</v>
      </c>
      <c r="H551" s="106" t="s">
        <v>278</v>
      </c>
      <c r="I551">
        <v>205</v>
      </c>
    </row>
    <row r="552" spans="1:10" x14ac:dyDescent="0.2">
      <c r="A552" s="106" t="s">
        <v>479</v>
      </c>
      <c r="B552" s="106" t="s">
        <v>270</v>
      </c>
      <c r="C552" s="106" t="s">
        <v>271</v>
      </c>
      <c r="D552" s="106" t="s">
        <v>272</v>
      </c>
      <c r="E552">
        <v>1762</v>
      </c>
      <c r="F552" s="106" t="s">
        <v>480</v>
      </c>
      <c r="G552" s="106" t="s">
        <v>273</v>
      </c>
      <c r="H552" s="106" t="s">
        <v>300</v>
      </c>
      <c r="I552" t="s">
        <v>304</v>
      </c>
      <c r="J552" t="s">
        <v>2459</v>
      </c>
    </row>
    <row r="553" spans="1:10" x14ac:dyDescent="0.2">
      <c r="A553" s="106" t="s">
        <v>479</v>
      </c>
      <c r="B553" s="106" t="s">
        <v>270</v>
      </c>
      <c r="C553" s="106" t="s">
        <v>271</v>
      </c>
      <c r="D553" s="106" t="s">
        <v>272</v>
      </c>
      <c r="E553">
        <v>1821</v>
      </c>
      <c r="F553" s="106" t="s">
        <v>481</v>
      </c>
      <c r="G553" s="106" t="s">
        <v>273</v>
      </c>
      <c r="H553" s="106" t="s">
        <v>300</v>
      </c>
      <c r="I553" t="s">
        <v>304</v>
      </c>
      <c r="J553" t="s">
        <v>2247</v>
      </c>
    </row>
    <row r="554" spans="1:10" x14ac:dyDescent="0.2">
      <c r="A554" s="106" t="s">
        <v>479</v>
      </c>
      <c r="B554" s="106" t="s">
        <v>270</v>
      </c>
      <c r="C554" s="106" t="s">
        <v>275</v>
      </c>
      <c r="D554" s="106" t="s">
        <v>272</v>
      </c>
      <c r="E554">
        <v>2122</v>
      </c>
      <c r="F554" s="106" t="s">
        <v>2037</v>
      </c>
      <c r="G554" s="106" t="s">
        <v>285</v>
      </c>
      <c r="H554" s="106" t="s">
        <v>278</v>
      </c>
      <c r="I554">
        <v>77</v>
      </c>
    </row>
    <row r="555" spans="1:10" x14ac:dyDescent="0.2">
      <c r="A555" s="106" t="s">
        <v>479</v>
      </c>
      <c r="B555" s="106" t="s">
        <v>270</v>
      </c>
      <c r="C555" s="106" t="s">
        <v>271</v>
      </c>
      <c r="D555" s="106" t="s">
        <v>272</v>
      </c>
      <c r="E555">
        <v>2196</v>
      </c>
      <c r="F555" s="106" t="s">
        <v>727</v>
      </c>
      <c r="G555" s="106" t="s">
        <v>273</v>
      </c>
      <c r="H555" s="106" t="s">
        <v>278</v>
      </c>
      <c r="I555">
        <v>95</v>
      </c>
    </row>
    <row r="556" spans="1:10" x14ac:dyDescent="0.2">
      <c r="A556" s="106" t="s">
        <v>479</v>
      </c>
      <c r="B556" s="106" t="s">
        <v>270</v>
      </c>
      <c r="C556" s="106" t="s">
        <v>280</v>
      </c>
      <c r="D556" s="106" t="s">
        <v>272</v>
      </c>
      <c r="E556">
        <v>2436</v>
      </c>
      <c r="F556" s="106" t="s">
        <v>728</v>
      </c>
      <c r="G556" s="106" t="s">
        <v>277</v>
      </c>
      <c r="H556" s="106" t="s">
        <v>278</v>
      </c>
      <c r="I556" s="106">
        <v>53</v>
      </c>
      <c r="J556" s="106"/>
    </row>
    <row r="557" spans="1:10" x14ac:dyDescent="0.2">
      <c r="A557" s="106" t="s">
        <v>479</v>
      </c>
      <c r="B557" s="106" t="s">
        <v>270</v>
      </c>
      <c r="C557" s="106" t="s">
        <v>271</v>
      </c>
      <c r="D557" s="106" t="s">
        <v>272</v>
      </c>
      <c r="E557">
        <v>2705</v>
      </c>
      <c r="F557" s="106" t="s">
        <v>482</v>
      </c>
      <c r="G557" s="106" t="s">
        <v>277</v>
      </c>
      <c r="H557" s="106" t="s">
        <v>283</v>
      </c>
      <c r="I557" s="106">
        <v>169</v>
      </c>
      <c r="J557" s="106"/>
    </row>
    <row r="558" spans="1:10" x14ac:dyDescent="0.2">
      <c r="A558" s="106" t="s">
        <v>479</v>
      </c>
      <c r="B558" s="106" t="s">
        <v>270</v>
      </c>
      <c r="C558" s="106" t="s">
        <v>271</v>
      </c>
      <c r="D558" s="106" t="s">
        <v>272</v>
      </c>
      <c r="E558">
        <v>3010</v>
      </c>
      <c r="F558" s="106" t="s">
        <v>2038</v>
      </c>
      <c r="G558" s="106" t="s">
        <v>281</v>
      </c>
      <c r="H558" s="106" t="s">
        <v>278</v>
      </c>
      <c r="I558" s="106">
        <v>79</v>
      </c>
      <c r="J558" s="106"/>
    </row>
    <row r="559" spans="1:10" x14ac:dyDescent="0.2">
      <c r="A559" s="106" t="s">
        <v>479</v>
      </c>
      <c r="B559" s="106" t="s">
        <v>270</v>
      </c>
      <c r="C559" s="106" t="s">
        <v>280</v>
      </c>
      <c r="D559" s="106" t="s">
        <v>272</v>
      </c>
      <c r="E559">
        <v>3784</v>
      </c>
      <c r="F559" s="106" t="s">
        <v>815</v>
      </c>
      <c r="G559" s="106" t="s">
        <v>273</v>
      </c>
      <c r="H559" s="106" t="s">
        <v>284</v>
      </c>
      <c r="I559">
        <v>222</v>
      </c>
    </row>
    <row r="560" spans="1:10" x14ac:dyDescent="0.2">
      <c r="A560" s="106" t="s">
        <v>479</v>
      </c>
      <c r="B560" s="106" t="s">
        <v>270</v>
      </c>
      <c r="C560" s="106" t="s">
        <v>280</v>
      </c>
      <c r="D560" s="106" t="s">
        <v>276</v>
      </c>
      <c r="E560">
        <v>4438</v>
      </c>
      <c r="F560" s="106" t="s">
        <v>2039</v>
      </c>
      <c r="G560" s="106" t="s">
        <v>285</v>
      </c>
      <c r="H560" s="106" t="s">
        <v>284</v>
      </c>
      <c r="I560">
        <v>170</v>
      </c>
    </row>
    <row r="561" spans="1:10" x14ac:dyDescent="0.2">
      <c r="A561" s="106" t="s">
        <v>479</v>
      </c>
      <c r="B561" s="106" t="s">
        <v>270</v>
      </c>
      <c r="C561" s="106" t="s">
        <v>280</v>
      </c>
      <c r="D561" s="106" t="s">
        <v>272</v>
      </c>
      <c r="E561">
        <v>5187</v>
      </c>
      <c r="F561" s="106" t="s">
        <v>2040</v>
      </c>
      <c r="G561" s="106" t="s">
        <v>273</v>
      </c>
      <c r="H561" s="106" t="s">
        <v>384</v>
      </c>
      <c r="I561">
        <v>107</v>
      </c>
    </row>
    <row r="562" spans="1:10" x14ac:dyDescent="0.2">
      <c r="A562" s="106" t="s">
        <v>479</v>
      </c>
      <c r="B562" s="106" t="s">
        <v>270</v>
      </c>
      <c r="C562" s="106" t="s">
        <v>271</v>
      </c>
      <c r="D562" s="106" t="s">
        <v>272</v>
      </c>
      <c r="E562">
        <v>5714</v>
      </c>
      <c r="F562" s="106" t="s">
        <v>483</v>
      </c>
      <c r="G562" s="106" t="s">
        <v>273</v>
      </c>
      <c r="H562" s="106" t="s">
        <v>422</v>
      </c>
      <c r="I562" t="s">
        <v>296</v>
      </c>
      <c r="J562" t="s">
        <v>2460</v>
      </c>
    </row>
    <row r="563" spans="1:10" x14ac:dyDescent="0.2">
      <c r="A563" s="106" t="s">
        <v>479</v>
      </c>
      <c r="B563" s="106" t="s">
        <v>270</v>
      </c>
      <c r="C563" s="106" t="s">
        <v>271</v>
      </c>
      <c r="D563" s="106" t="s">
        <v>272</v>
      </c>
      <c r="E563">
        <v>6407</v>
      </c>
      <c r="F563" s="106" t="s">
        <v>2461</v>
      </c>
      <c r="G563" s="106" t="s">
        <v>273</v>
      </c>
      <c r="H563" s="106" t="s">
        <v>294</v>
      </c>
      <c r="I563" t="s">
        <v>304</v>
      </c>
      <c r="J563" t="s">
        <v>2241</v>
      </c>
    </row>
    <row r="564" spans="1:10" x14ac:dyDescent="0.2">
      <c r="A564" s="106" t="s">
        <v>479</v>
      </c>
      <c r="B564" s="106" t="s">
        <v>270</v>
      </c>
      <c r="C564" s="106" t="s">
        <v>271</v>
      </c>
      <c r="D564" s="106" t="s">
        <v>272</v>
      </c>
      <c r="E564">
        <v>6461</v>
      </c>
      <c r="F564" s="106" t="s">
        <v>2462</v>
      </c>
      <c r="G564" s="106" t="s">
        <v>273</v>
      </c>
      <c r="H564" s="106" t="s">
        <v>294</v>
      </c>
      <c r="I564">
        <v>133</v>
      </c>
    </row>
    <row r="565" spans="1:10" x14ac:dyDescent="0.2">
      <c r="A565" s="106" t="s">
        <v>479</v>
      </c>
      <c r="B565" s="106" t="s">
        <v>270</v>
      </c>
      <c r="C565" s="106" t="s">
        <v>280</v>
      </c>
      <c r="D565" s="106" t="s">
        <v>272</v>
      </c>
      <c r="E565">
        <v>6627</v>
      </c>
      <c r="F565" s="106" t="s">
        <v>816</v>
      </c>
      <c r="G565" s="106" t="s">
        <v>285</v>
      </c>
      <c r="H565" s="106" t="s">
        <v>298</v>
      </c>
      <c r="I565">
        <v>80</v>
      </c>
    </row>
    <row r="566" spans="1:10" x14ac:dyDescent="0.2">
      <c r="A566" s="106" t="s">
        <v>479</v>
      </c>
      <c r="B566" s="106" t="s">
        <v>270</v>
      </c>
      <c r="C566" s="106" t="s">
        <v>271</v>
      </c>
      <c r="D566" s="106" t="s">
        <v>272</v>
      </c>
      <c r="E566">
        <v>6704</v>
      </c>
      <c r="F566" s="106" t="s">
        <v>2463</v>
      </c>
      <c r="G566" s="106" t="s">
        <v>273</v>
      </c>
      <c r="H566" s="106" t="s">
        <v>298</v>
      </c>
      <c r="I566">
        <v>86</v>
      </c>
    </row>
    <row r="567" spans="1:10" x14ac:dyDescent="0.2">
      <c r="A567" s="106" t="s">
        <v>479</v>
      </c>
      <c r="B567" s="106" t="s">
        <v>270</v>
      </c>
      <c r="C567" s="106" t="s">
        <v>271</v>
      </c>
      <c r="D567" s="106" t="s">
        <v>272</v>
      </c>
      <c r="E567">
        <v>7294</v>
      </c>
      <c r="F567" s="106" t="s">
        <v>484</v>
      </c>
      <c r="G567" s="106" t="s">
        <v>273</v>
      </c>
      <c r="H567" s="106" t="s">
        <v>303</v>
      </c>
      <c r="I567">
        <v>373</v>
      </c>
    </row>
    <row r="568" spans="1:10" x14ac:dyDescent="0.2">
      <c r="A568" s="106" t="s">
        <v>479</v>
      </c>
      <c r="B568" s="106" t="s">
        <v>270</v>
      </c>
      <c r="C568" s="106" t="s">
        <v>271</v>
      </c>
      <c r="D568" s="106" t="s">
        <v>276</v>
      </c>
      <c r="E568">
        <v>7481</v>
      </c>
      <c r="F568" s="106" t="s">
        <v>616</v>
      </c>
      <c r="G568" s="106" t="s">
        <v>273</v>
      </c>
      <c r="H568" s="106" t="s">
        <v>279</v>
      </c>
      <c r="I568">
        <v>139</v>
      </c>
    </row>
    <row r="569" spans="1:10" x14ac:dyDescent="0.2">
      <c r="A569" s="106" t="s">
        <v>479</v>
      </c>
      <c r="B569" s="106" t="s">
        <v>270</v>
      </c>
      <c r="C569" s="106" t="s">
        <v>271</v>
      </c>
      <c r="D569" s="106" t="s">
        <v>272</v>
      </c>
      <c r="E569">
        <v>7561</v>
      </c>
      <c r="F569" s="106" t="s">
        <v>2464</v>
      </c>
      <c r="G569" s="106" t="s">
        <v>273</v>
      </c>
      <c r="H569" s="106" t="s">
        <v>283</v>
      </c>
      <c r="I569" s="106">
        <v>116</v>
      </c>
      <c r="J569" s="106"/>
    </row>
    <row r="570" spans="1:10" x14ac:dyDescent="0.2">
      <c r="A570" s="106" t="s">
        <v>479</v>
      </c>
      <c r="B570" s="106" t="s">
        <v>270</v>
      </c>
      <c r="C570" s="106" t="s">
        <v>275</v>
      </c>
      <c r="D570" s="106" t="s">
        <v>272</v>
      </c>
      <c r="E570">
        <v>8789</v>
      </c>
      <c r="F570" s="106" t="s">
        <v>2465</v>
      </c>
      <c r="G570" s="106" t="s">
        <v>285</v>
      </c>
      <c r="H570" s="106" t="s">
        <v>309</v>
      </c>
      <c r="I570" s="106">
        <v>139</v>
      </c>
      <c r="J570" s="106"/>
    </row>
    <row r="571" spans="1:10" x14ac:dyDescent="0.2">
      <c r="A571" s="106" t="s">
        <v>479</v>
      </c>
      <c r="B571" s="106" t="s">
        <v>270</v>
      </c>
      <c r="C571" s="106" t="s">
        <v>271</v>
      </c>
      <c r="D571" s="106" t="s">
        <v>272</v>
      </c>
      <c r="E571">
        <v>9873</v>
      </c>
      <c r="F571" s="106" t="s">
        <v>2466</v>
      </c>
      <c r="G571" s="106" t="s">
        <v>281</v>
      </c>
      <c r="H571" s="106" t="s">
        <v>283</v>
      </c>
      <c r="I571">
        <v>733</v>
      </c>
    </row>
    <row r="572" spans="1:10" x14ac:dyDescent="0.2">
      <c r="A572" s="106" t="s">
        <v>479</v>
      </c>
      <c r="B572" s="106" t="s">
        <v>270</v>
      </c>
      <c r="C572" s="106" t="s">
        <v>271</v>
      </c>
      <c r="D572" s="106" t="s">
        <v>272</v>
      </c>
      <c r="E572">
        <v>9964</v>
      </c>
      <c r="F572" s="106" t="s">
        <v>485</v>
      </c>
      <c r="G572" s="106" t="s">
        <v>277</v>
      </c>
      <c r="H572" s="106" t="s">
        <v>279</v>
      </c>
      <c r="I572" s="106">
        <v>190</v>
      </c>
      <c r="J572" s="106"/>
    </row>
    <row r="573" spans="1:10" x14ac:dyDescent="0.2">
      <c r="A573" s="106" t="s">
        <v>486</v>
      </c>
      <c r="B573" s="106" t="s">
        <v>337</v>
      </c>
      <c r="C573" s="106" t="s">
        <v>271</v>
      </c>
      <c r="D573" s="106" t="s">
        <v>276</v>
      </c>
      <c r="E573">
        <v>6568</v>
      </c>
      <c r="F573" s="106" t="s">
        <v>2041</v>
      </c>
      <c r="G573" s="106" t="s">
        <v>285</v>
      </c>
      <c r="H573" s="106" t="s">
        <v>278</v>
      </c>
      <c r="I573">
        <v>111</v>
      </c>
    </row>
    <row r="574" spans="1:10" x14ac:dyDescent="0.2">
      <c r="A574" s="106" t="s">
        <v>486</v>
      </c>
      <c r="B574" s="106" t="s">
        <v>297</v>
      </c>
      <c r="C574" s="106" t="s">
        <v>280</v>
      </c>
      <c r="D574" s="106" t="s">
        <v>272</v>
      </c>
      <c r="E574">
        <v>4576</v>
      </c>
      <c r="F574" s="106" t="s">
        <v>2042</v>
      </c>
      <c r="G574" s="106" t="s">
        <v>277</v>
      </c>
      <c r="H574" s="106" t="s">
        <v>318</v>
      </c>
      <c r="I574" s="106">
        <v>184</v>
      </c>
      <c r="J574" s="106"/>
    </row>
    <row r="575" spans="1:10" x14ac:dyDescent="0.2">
      <c r="A575" s="106" t="s">
        <v>486</v>
      </c>
      <c r="B575" s="106" t="s">
        <v>270</v>
      </c>
      <c r="C575" s="106" t="s">
        <v>271</v>
      </c>
      <c r="D575" s="106" t="s">
        <v>272</v>
      </c>
      <c r="E575">
        <v>1384</v>
      </c>
      <c r="F575" s="106" t="s">
        <v>487</v>
      </c>
      <c r="G575" s="106" t="s">
        <v>273</v>
      </c>
      <c r="H575" s="106" t="s">
        <v>321</v>
      </c>
      <c r="I575">
        <v>58</v>
      </c>
    </row>
    <row r="576" spans="1:10" x14ac:dyDescent="0.2">
      <c r="A576" s="106" t="s">
        <v>486</v>
      </c>
      <c r="B576" s="106" t="s">
        <v>270</v>
      </c>
      <c r="C576" s="106" t="s">
        <v>271</v>
      </c>
      <c r="D576" s="106" t="s">
        <v>272</v>
      </c>
      <c r="E576">
        <v>1951</v>
      </c>
      <c r="F576" s="106" t="s">
        <v>2467</v>
      </c>
      <c r="G576" s="106" t="s">
        <v>273</v>
      </c>
      <c r="H576" s="106" t="s">
        <v>300</v>
      </c>
      <c r="I576" t="s">
        <v>357</v>
      </c>
      <c r="J576" t="s">
        <v>2468</v>
      </c>
    </row>
    <row r="577" spans="1:10" x14ac:dyDescent="0.2">
      <c r="A577" s="106" t="s">
        <v>486</v>
      </c>
      <c r="B577" s="106" t="s">
        <v>270</v>
      </c>
      <c r="C577" s="106" t="s">
        <v>280</v>
      </c>
      <c r="D577" s="106" t="s">
        <v>272</v>
      </c>
      <c r="E577">
        <v>2150</v>
      </c>
      <c r="F577" s="106" t="s">
        <v>488</v>
      </c>
      <c r="G577" s="106" t="s">
        <v>285</v>
      </c>
      <c r="H577" s="106" t="s">
        <v>278</v>
      </c>
      <c r="I577">
        <v>87</v>
      </c>
    </row>
    <row r="578" spans="1:10" x14ac:dyDescent="0.2">
      <c r="A578" s="106" t="s">
        <v>486</v>
      </c>
      <c r="B578" s="106" t="s">
        <v>270</v>
      </c>
      <c r="C578" s="106" t="s">
        <v>280</v>
      </c>
      <c r="D578" s="106" t="s">
        <v>272</v>
      </c>
      <c r="E578">
        <v>2170</v>
      </c>
      <c r="F578" s="106" t="s">
        <v>489</v>
      </c>
      <c r="G578" s="106" t="s">
        <v>273</v>
      </c>
      <c r="H578" s="106" t="s">
        <v>278</v>
      </c>
      <c r="I578">
        <v>737</v>
      </c>
    </row>
    <row r="579" spans="1:10" x14ac:dyDescent="0.2">
      <c r="A579" s="106" t="s">
        <v>486</v>
      </c>
      <c r="B579" s="106" t="s">
        <v>270</v>
      </c>
      <c r="C579" s="106" t="s">
        <v>275</v>
      </c>
      <c r="D579" s="106" t="s">
        <v>272</v>
      </c>
      <c r="E579">
        <v>2185</v>
      </c>
      <c r="F579" s="106" t="s">
        <v>729</v>
      </c>
      <c r="G579" s="106" t="s">
        <v>277</v>
      </c>
      <c r="H579" s="106" t="s">
        <v>278</v>
      </c>
      <c r="I579">
        <v>167</v>
      </c>
    </row>
    <row r="580" spans="1:10" x14ac:dyDescent="0.2">
      <c r="A580" s="106" t="s">
        <v>486</v>
      </c>
      <c r="B580" s="106" t="s">
        <v>270</v>
      </c>
      <c r="C580" s="106" t="s">
        <v>271</v>
      </c>
      <c r="D580" s="106" t="s">
        <v>272</v>
      </c>
      <c r="E580">
        <v>2323</v>
      </c>
      <c r="F580" s="106" t="s">
        <v>730</v>
      </c>
      <c r="G580" s="106" t="s">
        <v>277</v>
      </c>
      <c r="H580" s="106" t="s">
        <v>284</v>
      </c>
      <c r="I580">
        <v>14</v>
      </c>
    </row>
    <row r="581" spans="1:10" x14ac:dyDescent="0.2">
      <c r="A581" s="106" t="s">
        <v>486</v>
      </c>
      <c r="B581" s="106" t="s">
        <v>270</v>
      </c>
      <c r="C581" s="106" t="s">
        <v>271</v>
      </c>
      <c r="D581" s="106" t="s">
        <v>272</v>
      </c>
      <c r="E581">
        <v>2654</v>
      </c>
      <c r="F581" s="106" t="s">
        <v>490</v>
      </c>
      <c r="G581" s="106" t="s">
        <v>281</v>
      </c>
      <c r="H581" s="106" t="s">
        <v>283</v>
      </c>
      <c r="I581">
        <v>91</v>
      </c>
    </row>
    <row r="582" spans="1:10" x14ac:dyDescent="0.2">
      <c r="A582" s="106" t="s">
        <v>486</v>
      </c>
      <c r="B582" s="106" t="s">
        <v>270</v>
      </c>
      <c r="C582" s="106" t="s">
        <v>280</v>
      </c>
      <c r="D582" s="106" t="s">
        <v>272</v>
      </c>
      <c r="E582">
        <v>2743</v>
      </c>
      <c r="F582" s="106" t="s">
        <v>2043</v>
      </c>
      <c r="G582" s="106" t="s">
        <v>277</v>
      </c>
      <c r="H582" s="106" t="s">
        <v>279</v>
      </c>
      <c r="I582">
        <v>44</v>
      </c>
    </row>
    <row r="583" spans="1:10" x14ac:dyDescent="0.2">
      <c r="A583" s="106" t="s">
        <v>486</v>
      </c>
      <c r="B583" s="106" t="s">
        <v>270</v>
      </c>
      <c r="C583" s="106" t="s">
        <v>271</v>
      </c>
      <c r="D583" s="106" t="s">
        <v>272</v>
      </c>
      <c r="E583">
        <v>3182</v>
      </c>
      <c r="F583" s="106" t="s">
        <v>491</v>
      </c>
      <c r="G583" s="106" t="s">
        <v>285</v>
      </c>
      <c r="H583" s="106" t="s">
        <v>283</v>
      </c>
      <c r="I583">
        <v>418</v>
      </c>
    </row>
    <row r="584" spans="1:10" x14ac:dyDescent="0.2">
      <c r="A584" s="106" t="s">
        <v>486</v>
      </c>
      <c r="B584" s="106" t="s">
        <v>270</v>
      </c>
      <c r="C584" s="106" t="s">
        <v>280</v>
      </c>
      <c r="D584" s="106" t="s">
        <v>272</v>
      </c>
      <c r="E584">
        <v>3355</v>
      </c>
      <c r="F584" s="106" t="s">
        <v>2044</v>
      </c>
      <c r="G584" s="106" t="s">
        <v>281</v>
      </c>
      <c r="H584" s="106" t="s">
        <v>279</v>
      </c>
      <c r="I584">
        <v>178</v>
      </c>
    </row>
    <row r="585" spans="1:10" x14ac:dyDescent="0.2">
      <c r="A585" s="106" t="s">
        <v>486</v>
      </c>
      <c r="B585" s="106" t="s">
        <v>270</v>
      </c>
      <c r="C585" s="106" t="s">
        <v>271</v>
      </c>
      <c r="D585" s="106" t="s">
        <v>272</v>
      </c>
      <c r="E585">
        <v>3397</v>
      </c>
      <c r="F585" s="106" t="s">
        <v>2174</v>
      </c>
      <c r="G585" s="106" t="s">
        <v>273</v>
      </c>
      <c r="H585" s="106" t="s">
        <v>283</v>
      </c>
      <c r="I585" t="s">
        <v>304</v>
      </c>
      <c r="J585" t="s">
        <v>2245</v>
      </c>
    </row>
    <row r="586" spans="1:10" x14ac:dyDescent="0.2">
      <c r="A586" s="106" t="s">
        <v>486</v>
      </c>
      <c r="B586" s="106" t="s">
        <v>270</v>
      </c>
      <c r="C586" s="106" t="s">
        <v>282</v>
      </c>
      <c r="D586" s="106" t="s">
        <v>276</v>
      </c>
      <c r="E586">
        <v>3446</v>
      </c>
      <c r="F586" s="106" t="s">
        <v>2045</v>
      </c>
      <c r="G586" s="106" t="s">
        <v>285</v>
      </c>
      <c r="H586" s="106" t="s">
        <v>288</v>
      </c>
      <c r="I586" s="106">
        <v>184</v>
      </c>
      <c r="J586" s="106"/>
    </row>
    <row r="587" spans="1:10" x14ac:dyDescent="0.2">
      <c r="A587" s="106" t="s">
        <v>486</v>
      </c>
      <c r="B587" s="106" t="s">
        <v>270</v>
      </c>
      <c r="C587" s="106" t="s">
        <v>271</v>
      </c>
      <c r="D587" s="106" t="s">
        <v>276</v>
      </c>
      <c r="E587">
        <v>3477</v>
      </c>
      <c r="F587" s="106" t="s">
        <v>817</v>
      </c>
      <c r="G587" s="106" t="s">
        <v>285</v>
      </c>
      <c r="H587" s="106" t="s">
        <v>299</v>
      </c>
      <c r="I587">
        <v>27</v>
      </c>
    </row>
    <row r="588" spans="1:10" x14ac:dyDescent="0.2">
      <c r="A588" s="106" t="s">
        <v>486</v>
      </c>
      <c r="B588" s="106" t="s">
        <v>270</v>
      </c>
      <c r="C588" s="106" t="s">
        <v>280</v>
      </c>
      <c r="D588" s="106" t="s">
        <v>272</v>
      </c>
      <c r="E588">
        <v>3649</v>
      </c>
      <c r="F588" s="106" t="s">
        <v>818</v>
      </c>
      <c r="G588" s="106" t="s">
        <v>273</v>
      </c>
      <c r="H588" s="106" t="s">
        <v>284</v>
      </c>
      <c r="I588" s="106">
        <v>359</v>
      </c>
      <c r="J588" s="106"/>
    </row>
    <row r="589" spans="1:10" x14ac:dyDescent="0.2">
      <c r="A589" s="106" t="s">
        <v>486</v>
      </c>
      <c r="B589" s="106" t="s">
        <v>270</v>
      </c>
      <c r="C589" s="106" t="s">
        <v>280</v>
      </c>
      <c r="D589" s="106" t="s">
        <v>272</v>
      </c>
      <c r="E589">
        <v>3664</v>
      </c>
      <c r="F589" s="106" t="s">
        <v>819</v>
      </c>
      <c r="G589" s="106" t="s">
        <v>285</v>
      </c>
      <c r="H589" s="106" t="s">
        <v>284</v>
      </c>
      <c r="I589" s="106">
        <v>72</v>
      </c>
      <c r="J589" s="106"/>
    </row>
    <row r="590" spans="1:10" x14ac:dyDescent="0.2">
      <c r="A590" s="106" t="s">
        <v>486</v>
      </c>
      <c r="B590" s="106" t="s">
        <v>270</v>
      </c>
      <c r="C590" s="106" t="s">
        <v>271</v>
      </c>
      <c r="D590" s="106" t="s">
        <v>272</v>
      </c>
      <c r="E590">
        <v>3934</v>
      </c>
      <c r="F590" s="106" t="s">
        <v>492</v>
      </c>
      <c r="G590" s="106" t="s">
        <v>273</v>
      </c>
      <c r="H590" s="106" t="s">
        <v>284</v>
      </c>
      <c r="I590" s="106">
        <v>128</v>
      </c>
      <c r="J590" s="106"/>
    </row>
    <row r="591" spans="1:10" x14ac:dyDescent="0.2">
      <c r="A591" s="106" t="s">
        <v>486</v>
      </c>
      <c r="B591" s="106" t="s">
        <v>270</v>
      </c>
      <c r="C591" s="106" t="s">
        <v>282</v>
      </c>
      <c r="D591" s="106" t="s">
        <v>272</v>
      </c>
      <c r="E591">
        <v>3960</v>
      </c>
      <c r="F591" s="106" t="s">
        <v>493</v>
      </c>
      <c r="G591" s="106" t="s">
        <v>285</v>
      </c>
      <c r="H591" s="106" t="s">
        <v>284</v>
      </c>
      <c r="I591" s="106">
        <v>26</v>
      </c>
      <c r="J591" s="106"/>
    </row>
    <row r="592" spans="1:10" x14ac:dyDescent="0.2">
      <c r="A592" s="106" t="s">
        <v>486</v>
      </c>
      <c r="B592" s="106" t="s">
        <v>270</v>
      </c>
      <c r="C592" s="106" t="s">
        <v>280</v>
      </c>
      <c r="D592" s="106" t="s">
        <v>272</v>
      </c>
      <c r="E592">
        <v>4755</v>
      </c>
      <c r="F592" s="106" t="s">
        <v>494</v>
      </c>
      <c r="G592" s="106" t="s">
        <v>273</v>
      </c>
      <c r="H592" s="106" t="s">
        <v>278</v>
      </c>
      <c r="I592" s="106" t="s">
        <v>495</v>
      </c>
      <c r="J592" s="106" t="s">
        <v>2469</v>
      </c>
    </row>
    <row r="593" spans="1:10" x14ac:dyDescent="0.2">
      <c r="A593" s="106" t="s">
        <v>486</v>
      </c>
      <c r="B593" s="106" t="s">
        <v>270</v>
      </c>
      <c r="C593" s="106" t="s">
        <v>271</v>
      </c>
      <c r="D593" s="106" t="s">
        <v>272</v>
      </c>
      <c r="E593">
        <v>5304</v>
      </c>
      <c r="F593" s="106" t="s">
        <v>496</v>
      </c>
      <c r="G593" s="106" t="s">
        <v>281</v>
      </c>
      <c r="H593" s="106" t="s">
        <v>315</v>
      </c>
      <c r="I593" s="106">
        <v>393</v>
      </c>
      <c r="J593" s="106"/>
    </row>
    <row r="594" spans="1:10" x14ac:dyDescent="0.2">
      <c r="A594" s="106" t="s">
        <v>486</v>
      </c>
      <c r="B594" s="106" t="s">
        <v>270</v>
      </c>
      <c r="C594" s="106" t="s">
        <v>271</v>
      </c>
      <c r="D594" s="106" t="s">
        <v>272</v>
      </c>
      <c r="E594">
        <v>6033</v>
      </c>
      <c r="F594" s="106" t="s">
        <v>497</v>
      </c>
      <c r="G594" s="106" t="s">
        <v>285</v>
      </c>
      <c r="H594" s="106" t="s">
        <v>278</v>
      </c>
      <c r="I594" s="106">
        <v>107</v>
      </c>
      <c r="J594" s="106"/>
    </row>
    <row r="595" spans="1:10" x14ac:dyDescent="0.2">
      <c r="A595" s="106" t="s">
        <v>486</v>
      </c>
      <c r="B595" s="106" t="s">
        <v>270</v>
      </c>
      <c r="C595" s="106" t="s">
        <v>271</v>
      </c>
      <c r="D595" s="106" t="s">
        <v>272</v>
      </c>
      <c r="E595">
        <v>6125</v>
      </c>
      <c r="F595" s="106" t="s">
        <v>731</v>
      </c>
      <c r="G595" s="106" t="s">
        <v>281</v>
      </c>
      <c r="H595" s="106" t="s">
        <v>294</v>
      </c>
      <c r="I595" s="106">
        <v>146</v>
      </c>
      <c r="J595" s="106"/>
    </row>
    <row r="596" spans="1:10" x14ac:dyDescent="0.2">
      <c r="A596" s="106" t="s">
        <v>486</v>
      </c>
      <c r="B596" s="106" t="s">
        <v>270</v>
      </c>
      <c r="C596" s="106" t="s">
        <v>271</v>
      </c>
      <c r="D596" s="106" t="s">
        <v>272</v>
      </c>
      <c r="E596">
        <v>6303</v>
      </c>
      <c r="F596" s="106" t="s">
        <v>820</v>
      </c>
      <c r="G596" s="106" t="s">
        <v>281</v>
      </c>
      <c r="H596" s="106" t="s">
        <v>294</v>
      </c>
      <c r="I596">
        <v>75</v>
      </c>
    </row>
    <row r="597" spans="1:10" x14ac:dyDescent="0.2">
      <c r="A597" s="106" t="s">
        <v>486</v>
      </c>
      <c r="B597" s="106" t="s">
        <v>270</v>
      </c>
      <c r="C597" s="106" t="s">
        <v>280</v>
      </c>
      <c r="D597" s="106" t="s">
        <v>272</v>
      </c>
      <c r="E597">
        <v>6328</v>
      </c>
      <c r="F597" s="106" t="s">
        <v>2470</v>
      </c>
      <c r="G597" s="106" t="s">
        <v>273</v>
      </c>
      <c r="H597" s="106" t="s">
        <v>294</v>
      </c>
      <c r="I597">
        <v>152</v>
      </c>
    </row>
    <row r="598" spans="1:10" x14ac:dyDescent="0.2">
      <c r="A598" s="106" t="s">
        <v>486</v>
      </c>
      <c r="B598" s="106" t="s">
        <v>270</v>
      </c>
      <c r="C598" s="106" t="s">
        <v>271</v>
      </c>
      <c r="D598" s="106" t="s">
        <v>272</v>
      </c>
      <c r="E598">
        <v>6494</v>
      </c>
      <c r="F598" s="106" t="s">
        <v>2471</v>
      </c>
      <c r="G598" s="106" t="s">
        <v>277</v>
      </c>
      <c r="H598" s="106" t="s">
        <v>294</v>
      </c>
      <c r="I598">
        <v>35</v>
      </c>
    </row>
    <row r="599" spans="1:10" x14ac:dyDescent="0.2">
      <c r="A599" s="106" t="s">
        <v>486</v>
      </c>
      <c r="B599" s="106" t="s">
        <v>270</v>
      </c>
      <c r="C599" s="106" t="s">
        <v>271</v>
      </c>
      <c r="D599" s="106" t="s">
        <v>272</v>
      </c>
      <c r="E599">
        <v>6574</v>
      </c>
      <c r="F599" s="106" t="s">
        <v>666</v>
      </c>
      <c r="G599" s="106" t="s">
        <v>285</v>
      </c>
      <c r="H599" s="106" t="s">
        <v>278</v>
      </c>
      <c r="I599">
        <v>30</v>
      </c>
    </row>
    <row r="600" spans="1:10" x14ac:dyDescent="0.2">
      <c r="A600" s="106" t="s">
        <v>486</v>
      </c>
      <c r="B600" s="106" t="s">
        <v>270</v>
      </c>
      <c r="C600" s="106" t="s">
        <v>271</v>
      </c>
      <c r="D600" s="106" t="s">
        <v>272</v>
      </c>
      <c r="E600">
        <v>7070</v>
      </c>
      <c r="F600" s="106" t="s">
        <v>498</v>
      </c>
      <c r="G600" s="106" t="s">
        <v>277</v>
      </c>
      <c r="H600" s="106" t="s">
        <v>278</v>
      </c>
      <c r="I600">
        <v>59</v>
      </c>
    </row>
    <row r="601" spans="1:10" x14ac:dyDescent="0.2">
      <c r="A601" s="106" t="s">
        <v>486</v>
      </c>
      <c r="B601" s="106" t="s">
        <v>270</v>
      </c>
      <c r="C601" s="106" t="s">
        <v>280</v>
      </c>
      <c r="D601" s="106" t="s">
        <v>272</v>
      </c>
      <c r="E601">
        <v>7244</v>
      </c>
      <c r="F601" s="106" t="s">
        <v>2046</v>
      </c>
      <c r="G601" s="106" t="s">
        <v>273</v>
      </c>
      <c r="H601" s="106" t="s">
        <v>298</v>
      </c>
      <c r="I601">
        <v>750</v>
      </c>
    </row>
    <row r="602" spans="1:10" x14ac:dyDescent="0.2">
      <c r="A602" s="106" t="s">
        <v>486</v>
      </c>
      <c r="B602" s="106" t="s">
        <v>270</v>
      </c>
      <c r="C602" s="106" t="s">
        <v>280</v>
      </c>
      <c r="D602" s="106" t="s">
        <v>272</v>
      </c>
      <c r="E602">
        <v>7613</v>
      </c>
      <c r="F602" s="106" t="s">
        <v>2047</v>
      </c>
      <c r="G602" s="106" t="s">
        <v>273</v>
      </c>
      <c r="H602" s="106" t="s">
        <v>279</v>
      </c>
      <c r="I602">
        <v>804</v>
      </c>
    </row>
    <row r="603" spans="1:10" x14ac:dyDescent="0.2">
      <c r="A603" s="106" t="s">
        <v>486</v>
      </c>
      <c r="B603" s="106" t="s">
        <v>270</v>
      </c>
      <c r="C603" s="106" t="s">
        <v>271</v>
      </c>
      <c r="D603" s="106" t="s">
        <v>272</v>
      </c>
      <c r="E603">
        <v>7677</v>
      </c>
      <c r="F603" s="106" t="s">
        <v>679</v>
      </c>
      <c r="G603" s="106" t="s">
        <v>281</v>
      </c>
      <c r="H603" s="106" t="s">
        <v>279</v>
      </c>
      <c r="I603">
        <v>55</v>
      </c>
    </row>
    <row r="604" spans="1:10" x14ac:dyDescent="0.2">
      <c r="A604" s="106" t="s">
        <v>486</v>
      </c>
      <c r="B604" s="106" t="s">
        <v>270</v>
      </c>
      <c r="C604" s="106" t="s">
        <v>271</v>
      </c>
      <c r="D604" s="106" t="s">
        <v>272</v>
      </c>
      <c r="E604">
        <v>7726</v>
      </c>
      <c r="F604" s="106" t="s">
        <v>2048</v>
      </c>
      <c r="G604" s="106" t="s">
        <v>281</v>
      </c>
      <c r="H604" s="106" t="s">
        <v>294</v>
      </c>
      <c r="I604" s="106">
        <v>60</v>
      </c>
      <c r="J604" s="106"/>
    </row>
    <row r="605" spans="1:10" x14ac:dyDescent="0.2">
      <c r="A605" s="106" t="s">
        <v>486</v>
      </c>
      <c r="B605" s="106" t="s">
        <v>270</v>
      </c>
      <c r="C605" s="106" t="s">
        <v>271</v>
      </c>
      <c r="D605" s="106" t="s">
        <v>272</v>
      </c>
      <c r="E605">
        <v>7780</v>
      </c>
      <c r="F605" s="106" t="s">
        <v>499</v>
      </c>
      <c r="G605" s="106" t="s">
        <v>273</v>
      </c>
      <c r="H605" s="106" t="s">
        <v>384</v>
      </c>
      <c r="I605" s="106" t="s">
        <v>304</v>
      </c>
      <c r="J605" s="106" t="s">
        <v>2252</v>
      </c>
    </row>
    <row r="606" spans="1:10" x14ac:dyDescent="0.2">
      <c r="A606" s="106" t="s">
        <v>486</v>
      </c>
      <c r="B606" s="106" t="s">
        <v>270</v>
      </c>
      <c r="C606" s="106" t="s">
        <v>280</v>
      </c>
      <c r="D606" s="106" t="s">
        <v>272</v>
      </c>
      <c r="E606">
        <v>8113</v>
      </c>
      <c r="F606" s="106" t="s">
        <v>2049</v>
      </c>
      <c r="G606" s="106" t="s">
        <v>273</v>
      </c>
      <c r="H606" s="106" t="s">
        <v>286</v>
      </c>
      <c r="I606" t="s">
        <v>2050</v>
      </c>
      <c r="J606" t="s">
        <v>2472</v>
      </c>
    </row>
    <row r="607" spans="1:10" x14ac:dyDescent="0.2">
      <c r="A607" s="106" t="s">
        <v>486</v>
      </c>
      <c r="B607" s="106" t="s">
        <v>270</v>
      </c>
      <c r="C607" s="106" t="s">
        <v>271</v>
      </c>
      <c r="D607" s="106" t="s">
        <v>272</v>
      </c>
      <c r="E607">
        <v>8830</v>
      </c>
      <c r="F607" s="106" t="s">
        <v>2473</v>
      </c>
      <c r="G607" s="106" t="s">
        <v>273</v>
      </c>
      <c r="H607" s="106" t="s">
        <v>299</v>
      </c>
      <c r="I607" t="s">
        <v>2474</v>
      </c>
      <c r="J607" t="s">
        <v>2475</v>
      </c>
    </row>
    <row r="608" spans="1:10" x14ac:dyDescent="0.2">
      <c r="A608" s="106" t="s">
        <v>486</v>
      </c>
      <c r="B608" s="106" t="s">
        <v>270</v>
      </c>
      <c r="C608" s="106" t="s">
        <v>271</v>
      </c>
      <c r="D608" s="106" t="s">
        <v>272</v>
      </c>
      <c r="E608">
        <v>9707</v>
      </c>
      <c r="F608" s="106" t="s">
        <v>500</v>
      </c>
      <c r="G608" s="106" t="s">
        <v>277</v>
      </c>
      <c r="H608" s="106" t="s">
        <v>278</v>
      </c>
      <c r="I608">
        <v>131</v>
      </c>
    </row>
    <row r="609" spans="1:10" x14ac:dyDescent="0.2">
      <c r="A609" s="106" t="s">
        <v>501</v>
      </c>
      <c r="B609" s="106" t="s">
        <v>297</v>
      </c>
      <c r="C609" s="106" t="s">
        <v>282</v>
      </c>
      <c r="D609" s="106" t="s">
        <v>272</v>
      </c>
      <c r="E609">
        <v>7747</v>
      </c>
      <c r="F609" s="106" t="s">
        <v>2476</v>
      </c>
      <c r="G609" s="106" t="s">
        <v>273</v>
      </c>
      <c r="H609" s="106" t="s">
        <v>384</v>
      </c>
      <c r="I609" s="106" t="s">
        <v>386</v>
      </c>
      <c r="J609" s="106" t="s">
        <v>2172</v>
      </c>
    </row>
    <row r="610" spans="1:10" x14ac:dyDescent="0.2">
      <c r="A610" s="106" t="s">
        <v>501</v>
      </c>
      <c r="B610" s="106" t="s">
        <v>270</v>
      </c>
      <c r="C610" s="106" t="s">
        <v>271</v>
      </c>
      <c r="D610" s="106" t="s">
        <v>272</v>
      </c>
      <c r="E610">
        <v>2181</v>
      </c>
      <c r="F610" s="106" t="s">
        <v>732</v>
      </c>
      <c r="G610" s="106" t="s">
        <v>273</v>
      </c>
      <c r="H610" s="106" t="s">
        <v>278</v>
      </c>
      <c r="I610" s="106" t="s">
        <v>323</v>
      </c>
      <c r="J610" s="106" t="s">
        <v>2244</v>
      </c>
    </row>
    <row r="611" spans="1:10" x14ac:dyDescent="0.2">
      <c r="A611" s="106" t="s">
        <v>501</v>
      </c>
      <c r="B611" s="106" t="s">
        <v>270</v>
      </c>
      <c r="C611" s="106" t="s">
        <v>271</v>
      </c>
      <c r="D611" s="106" t="s">
        <v>276</v>
      </c>
      <c r="E611">
        <v>2334</v>
      </c>
      <c r="F611" s="106" t="s">
        <v>733</v>
      </c>
      <c r="G611" s="106" t="s">
        <v>285</v>
      </c>
      <c r="H611" s="106" t="s">
        <v>278</v>
      </c>
      <c r="I611">
        <v>58</v>
      </c>
    </row>
    <row r="612" spans="1:10" x14ac:dyDescent="0.2">
      <c r="A612" s="106" t="s">
        <v>501</v>
      </c>
      <c r="B612" s="106" t="s">
        <v>270</v>
      </c>
      <c r="C612" s="106" t="s">
        <v>280</v>
      </c>
      <c r="D612" s="106" t="s">
        <v>272</v>
      </c>
      <c r="E612">
        <v>2492</v>
      </c>
      <c r="F612" s="106" t="s">
        <v>821</v>
      </c>
      <c r="G612" s="106" t="s">
        <v>273</v>
      </c>
      <c r="H612" s="106" t="s">
        <v>278</v>
      </c>
      <c r="I612" s="106" t="s">
        <v>296</v>
      </c>
      <c r="J612" s="106" t="s">
        <v>2477</v>
      </c>
    </row>
    <row r="613" spans="1:10" x14ac:dyDescent="0.2">
      <c r="A613" s="106" t="s">
        <v>501</v>
      </c>
      <c r="B613" s="106" t="s">
        <v>270</v>
      </c>
      <c r="C613" s="106" t="s">
        <v>275</v>
      </c>
      <c r="D613" s="106" t="s">
        <v>272</v>
      </c>
      <c r="E613">
        <v>2498</v>
      </c>
      <c r="F613" s="106" t="s">
        <v>2051</v>
      </c>
      <c r="G613" s="106" t="s">
        <v>277</v>
      </c>
      <c r="H613" s="106" t="s">
        <v>278</v>
      </c>
      <c r="I613">
        <v>172</v>
      </c>
    </row>
    <row r="614" spans="1:10" x14ac:dyDescent="0.2">
      <c r="A614" s="106" t="s">
        <v>501</v>
      </c>
      <c r="B614" s="106" t="s">
        <v>270</v>
      </c>
      <c r="C614" s="106" t="s">
        <v>271</v>
      </c>
      <c r="D614" s="106" t="s">
        <v>272</v>
      </c>
      <c r="E614">
        <v>3058</v>
      </c>
      <c r="F614" s="106" t="s">
        <v>2478</v>
      </c>
      <c r="G614" s="106" t="s">
        <v>277</v>
      </c>
      <c r="H614" s="106" t="s">
        <v>283</v>
      </c>
      <c r="I614">
        <v>60</v>
      </c>
    </row>
    <row r="615" spans="1:10" x14ac:dyDescent="0.2">
      <c r="A615" s="106" t="s">
        <v>501</v>
      </c>
      <c r="B615" s="106" t="s">
        <v>270</v>
      </c>
      <c r="C615" s="106" t="s">
        <v>282</v>
      </c>
      <c r="D615" s="106" t="s">
        <v>272</v>
      </c>
      <c r="E615">
        <v>3135</v>
      </c>
      <c r="F615" s="106" t="s">
        <v>502</v>
      </c>
      <c r="G615" s="106" t="s">
        <v>285</v>
      </c>
      <c r="H615" s="106" t="s">
        <v>283</v>
      </c>
      <c r="I615">
        <v>157</v>
      </c>
    </row>
    <row r="616" spans="1:10" x14ac:dyDescent="0.2">
      <c r="A616" s="106" t="s">
        <v>501</v>
      </c>
      <c r="B616" s="106" t="s">
        <v>270</v>
      </c>
      <c r="C616" s="106" t="s">
        <v>271</v>
      </c>
      <c r="D616" s="106" t="s">
        <v>272</v>
      </c>
      <c r="E616">
        <v>3184</v>
      </c>
      <c r="F616" s="106" t="s">
        <v>822</v>
      </c>
      <c r="G616" s="106" t="s">
        <v>281</v>
      </c>
      <c r="H616" s="106" t="s">
        <v>283</v>
      </c>
      <c r="I616">
        <v>37</v>
      </c>
    </row>
    <row r="617" spans="1:10" x14ac:dyDescent="0.2">
      <c r="A617" s="106" t="s">
        <v>501</v>
      </c>
      <c r="B617" s="106" t="s">
        <v>270</v>
      </c>
      <c r="C617" s="106" t="s">
        <v>271</v>
      </c>
      <c r="D617" s="106" t="s">
        <v>276</v>
      </c>
      <c r="E617">
        <v>3489</v>
      </c>
      <c r="F617" s="106" t="s">
        <v>823</v>
      </c>
      <c r="G617" s="106" t="s">
        <v>285</v>
      </c>
      <c r="H617" s="106" t="s">
        <v>299</v>
      </c>
      <c r="I617">
        <v>65</v>
      </c>
    </row>
    <row r="618" spans="1:10" x14ac:dyDescent="0.2">
      <c r="A618" s="106" t="s">
        <v>501</v>
      </c>
      <c r="B618" s="106" t="s">
        <v>270</v>
      </c>
      <c r="C618" s="106" t="s">
        <v>271</v>
      </c>
      <c r="D618" s="106" t="s">
        <v>272</v>
      </c>
      <c r="E618">
        <v>4234</v>
      </c>
      <c r="F618" s="106" t="s">
        <v>2052</v>
      </c>
      <c r="G618" s="106" t="s">
        <v>277</v>
      </c>
      <c r="H618" s="106" t="s">
        <v>286</v>
      </c>
      <c r="I618">
        <v>60</v>
      </c>
    </row>
    <row r="619" spans="1:10" x14ac:dyDescent="0.2">
      <c r="A619" s="106" t="s">
        <v>501</v>
      </c>
      <c r="B619" s="106" t="s">
        <v>270</v>
      </c>
      <c r="C619" s="106" t="s">
        <v>280</v>
      </c>
      <c r="D619" s="106" t="s">
        <v>272</v>
      </c>
      <c r="E619">
        <v>4392</v>
      </c>
      <c r="F619" s="106" t="s">
        <v>2053</v>
      </c>
      <c r="G619" s="106" t="s">
        <v>273</v>
      </c>
      <c r="H619" s="106" t="s">
        <v>284</v>
      </c>
      <c r="I619" s="106">
        <v>97</v>
      </c>
      <c r="J619" s="106"/>
    </row>
    <row r="620" spans="1:10" x14ac:dyDescent="0.2">
      <c r="A620" s="106" t="s">
        <v>501</v>
      </c>
      <c r="B620" s="106" t="s">
        <v>270</v>
      </c>
      <c r="C620" s="106" t="s">
        <v>280</v>
      </c>
      <c r="D620" s="106" t="s">
        <v>276</v>
      </c>
      <c r="E620">
        <v>4450</v>
      </c>
      <c r="F620" s="106" t="s">
        <v>655</v>
      </c>
      <c r="G620" s="106" t="s">
        <v>285</v>
      </c>
      <c r="H620" s="106" t="s">
        <v>284</v>
      </c>
      <c r="I620" s="106">
        <v>51</v>
      </c>
      <c r="J620" s="106"/>
    </row>
    <row r="621" spans="1:10" x14ac:dyDescent="0.2">
      <c r="A621" s="106" t="s">
        <v>501</v>
      </c>
      <c r="B621" s="106" t="s">
        <v>270</v>
      </c>
      <c r="C621" s="106" t="s">
        <v>280</v>
      </c>
      <c r="D621" s="106" t="s">
        <v>272</v>
      </c>
      <c r="E621">
        <v>4481</v>
      </c>
      <c r="F621" s="106" t="s">
        <v>2054</v>
      </c>
      <c r="G621" s="106" t="s">
        <v>281</v>
      </c>
      <c r="H621" s="106" t="s">
        <v>284</v>
      </c>
      <c r="I621">
        <v>213</v>
      </c>
    </row>
    <row r="622" spans="1:10" x14ac:dyDescent="0.2">
      <c r="A622" s="106" t="s">
        <v>501</v>
      </c>
      <c r="B622" s="106" t="s">
        <v>270</v>
      </c>
      <c r="C622" s="106" t="s">
        <v>271</v>
      </c>
      <c r="D622" s="106" t="s">
        <v>272</v>
      </c>
      <c r="E622">
        <v>4620</v>
      </c>
      <c r="F622" s="106" t="s">
        <v>503</v>
      </c>
      <c r="G622" s="106" t="s">
        <v>273</v>
      </c>
      <c r="H622" s="106" t="s">
        <v>286</v>
      </c>
      <c r="I622" s="106">
        <v>190</v>
      </c>
      <c r="J622" s="106"/>
    </row>
    <row r="623" spans="1:10" x14ac:dyDescent="0.2">
      <c r="A623" s="106" t="s">
        <v>501</v>
      </c>
      <c r="B623" s="106" t="s">
        <v>270</v>
      </c>
      <c r="C623" s="106" t="s">
        <v>280</v>
      </c>
      <c r="D623" s="106" t="s">
        <v>272</v>
      </c>
      <c r="E623">
        <v>5959</v>
      </c>
      <c r="F623" s="106" t="s">
        <v>2055</v>
      </c>
      <c r="G623" s="106" t="s">
        <v>273</v>
      </c>
      <c r="H623" s="106" t="s">
        <v>288</v>
      </c>
      <c r="I623" s="106">
        <v>508</v>
      </c>
      <c r="J623" s="106"/>
    </row>
    <row r="624" spans="1:10" x14ac:dyDescent="0.2">
      <c r="A624" s="106" t="s">
        <v>501</v>
      </c>
      <c r="B624" s="106" t="s">
        <v>270</v>
      </c>
      <c r="C624" s="106" t="s">
        <v>282</v>
      </c>
      <c r="D624" s="106" t="s">
        <v>272</v>
      </c>
      <c r="E624">
        <v>6038</v>
      </c>
      <c r="F624" s="106" t="s">
        <v>2056</v>
      </c>
      <c r="G624" s="106" t="s">
        <v>285</v>
      </c>
      <c r="H624" s="106" t="s">
        <v>278</v>
      </c>
      <c r="I624" s="106">
        <v>51</v>
      </c>
      <c r="J624" s="106"/>
    </row>
    <row r="625" spans="1:10" x14ac:dyDescent="0.2">
      <c r="A625" s="106" t="s">
        <v>501</v>
      </c>
      <c r="B625" s="106" t="s">
        <v>270</v>
      </c>
      <c r="C625" s="106" t="s">
        <v>280</v>
      </c>
      <c r="D625" s="106" t="s">
        <v>272</v>
      </c>
      <c r="E625">
        <v>6141</v>
      </c>
      <c r="F625" s="106" t="s">
        <v>504</v>
      </c>
      <c r="G625" s="106" t="s">
        <v>273</v>
      </c>
      <c r="H625" s="106" t="s">
        <v>294</v>
      </c>
      <c r="I625" s="106" t="s">
        <v>296</v>
      </c>
      <c r="J625" s="106" t="s">
        <v>2438</v>
      </c>
    </row>
    <row r="626" spans="1:10" x14ac:dyDescent="0.2">
      <c r="A626" s="106" t="s">
        <v>501</v>
      </c>
      <c r="B626" s="106" t="s">
        <v>270</v>
      </c>
      <c r="C626" s="106" t="s">
        <v>271</v>
      </c>
      <c r="D626" s="106" t="s">
        <v>272</v>
      </c>
      <c r="E626">
        <v>6247</v>
      </c>
      <c r="F626" s="106" t="s">
        <v>505</v>
      </c>
      <c r="G626" s="106" t="s">
        <v>273</v>
      </c>
      <c r="H626" s="106" t="s">
        <v>294</v>
      </c>
      <c r="I626">
        <v>331</v>
      </c>
    </row>
    <row r="627" spans="1:10" x14ac:dyDescent="0.2">
      <c r="A627" s="106" t="s">
        <v>501</v>
      </c>
      <c r="B627" s="106" t="s">
        <v>270</v>
      </c>
      <c r="C627" s="106" t="s">
        <v>271</v>
      </c>
      <c r="D627" s="106" t="s">
        <v>272</v>
      </c>
      <c r="E627">
        <v>7199</v>
      </c>
      <c r="F627" s="106" t="s">
        <v>506</v>
      </c>
      <c r="G627" s="106" t="s">
        <v>273</v>
      </c>
      <c r="H627" s="106" t="s">
        <v>309</v>
      </c>
      <c r="I627" s="106">
        <v>305</v>
      </c>
      <c r="J627" s="106"/>
    </row>
    <row r="628" spans="1:10" x14ac:dyDescent="0.2">
      <c r="A628" s="106" t="s">
        <v>501</v>
      </c>
      <c r="B628" s="106" t="s">
        <v>270</v>
      </c>
      <c r="C628" s="106" t="s">
        <v>271</v>
      </c>
      <c r="D628" s="106" t="s">
        <v>272</v>
      </c>
      <c r="E628">
        <v>7958</v>
      </c>
      <c r="F628" s="106" t="s">
        <v>2479</v>
      </c>
      <c r="G628" s="106" t="s">
        <v>273</v>
      </c>
      <c r="H628" s="106" t="s">
        <v>286</v>
      </c>
      <c r="I628">
        <v>537</v>
      </c>
    </row>
    <row r="629" spans="1:10" x14ac:dyDescent="0.2">
      <c r="A629" s="106" t="s">
        <v>501</v>
      </c>
      <c r="B629" s="106" t="s">
        <v>270</v>
      </c>
      <c r="C629" s="106" t="s">
        <v>282</v>
      </c>
      <c r="D629" s="106" t="s">
        <v>272</v>
      </c>
      <c r="E629">
        <v>9450</v>
      </c>
      <c r="F629" s="106" t="s">
        <v>2057</v>
      </c>
      <c r="G629" s="106" t="s">
        <v>273</v>
      </c>
      <c r="H629" s="106" t="s">
        <v>284</v>
      </c>
      <c r="I629">
        <v>296</v>
      </c>
    </row>
    <row r="630" spans="1:10" x14ac:dyDescent="0.2">
      <c r="A630" s="106" t="s">
        <v>501</v>
      </c>
      <c r="B630" s="106" t="s">
        <v>270</v>
      </c>
      <c r="C630" s="106" t="s">
        <v>280</v>
      </c>
      <c r="D630" s="106" t="s">
        <v>272</v>
      </c>
      <c r="E630">
        <v>9722</v>
      </c>
      <c r="F630" s="106" t="s">
        <v>2480</v>
      </c>
      <c r="G630" s="106" t="s">
        <v>273</v>
      </c>
      <c r="H630" s="106" t="s">
        <v>278</v>
      </c>
      <c r="I630">
        <v>348</v>
      </c>
    </row>
    <row r="631" spans="1:10" x14ac:dyDescent="0.2">
      <c r="A631" s="106" t="s">
        <v>2058</v>
      </c>
      <c r="B631" s="106" t="s">
        <v>270</v>
      </c>
      <c r="C631" s="106" t="s">
        <v>280</v>
      </c>
      <c r="D631" s="106" t="s">
        <v>272</v>
      </c>
      <c r="E631">
        <v>3975</v>
      </c>
      <c r="F631" s="106" t="s">
        <v>2059</v>
      </c>
      <c r="G631" s="106" t="s">
        <v>273</v>
      </c>
      <c r="H631" s="106" t="s">
        <v>284</v>
      </c>
      <c r="I631" s="106">
        <v>174</v>
      </c>
      <c r="J631" s="106"/>
    </row>
    <row r="632" spans="1:10" x14ac:dyDescent="0.2">
      <c r="A632" s="106" t="s">
        <v>507</v>
      </c>
      <c r="B632" s="106" t="s">
        <v>270</v>
      </c>
      <c r="C632" s="106" t="s">
        <v>280</v>
      </c>
      <c r="D632" s="106" t="s">
        <v>276</v>
      </c>
      <c r="E632">
        <v>8985</v>
      </c>
      <c r="F632" s="106" t="s">
        <v>508</v>
      </c>
      <c r="G632" s="106" t="s">
        <v>310</v>
      </c>
      <c r="H632" s="106" t="s">
        <v>311</v>
      </c>
      <c r="I632" s="106" t="s">
        <v>357</v>
      </c>
      <c r="J632" s="106" t="s">
        <v>2481</v>
      </c>
    </row>
    <row r="633" spans="1:10" x14ac:dyDescent="0.2">
      <c r="A633" s="106" t="s">
        <v>2060</v>
      </c>
      <c r="B633" s="106" t="s">
        <v>270</v>
      </c>
      <c r="C633" s="106" t="s">
        <v>275</v>
      </c>
      <c r="D633" s="106" t="s">
        <v>272</v>
      </c>
      <c r="E633">
        <v>4666</v>
      </c>
      <c r="F633" s="106" t="s">
        <v>331</v>
      </c>
      <c r="G633" s="106" t="s">
        <v>273</v>
      </c>
      <c r="H633" s="106" t="s">
        <v>299</v>
      </c>
      <c r="I633" s="106" t="s">
        <v>323</v>
      </c>
      <c r="J633" s="106" t="s">
        <v>2264</v>
      </c>
    </row>
    <row r="634" spans="1:10" x14ac:dyDescent="0.2">
      <c r="A634" s="106" t="s">
        <v>824</v>
      </c>
      <c r="B634" s="106" t="s">
        <v>270</v>
      </c>
      <c r="C634" s="106" t="s">
        <v>271</v>
      </c>
      <c r="D634" s="106" t="s">
        <v>272</v>
      </c>
      <c r="E634">
        <v>2593</v>
      </c>
      <c r="F634" s="106" t="s">
        <v>289</v>
      </c>
      <c r="G634" s="106" t="s">
        <v>273</v>
      </c>
      <c r="H634" s="106" t="s">
        <v>274</v>
      </c>
      <c r="I634" t="s">
        <v>323</v>
      </c>
      <c r="J634" t="s">
        <v>2482</v>
      </c>
    </row>
    <row r="635" spans="1:10" x14ac:dyDescent="0.2">
      <c r="A635" s="106" t="s">
        <v>824</v>
      </c>
      <c r="B635" s="106" t="s">
        <v>270</v>
      </c>
      <c r="C635" s="106" t="s">
        <v>282</v>
      </c>
      <c r="D635" s="106" t="s">
        <v>272</v>
      </c>
      <c r="E635">
        <v>6267</v>
      </c>
      <c r="F635" s="106" t="s">
        <v>293</v>
      </c>
      <c r="G635" s="106" t="s">
        <v>277</v>
      </c>
      <c r="H635" s="106" t="s">
        <v>294</v>
      </c>
      <c r="I635" s="106">
        <v>37</v>
      </c>
      <c r="J635" s="106"/>
    </row>
    <row r="636" spans="1:10" x14ac:dyDescent="0.2">
      <c r="A636" s="106" t="s">
        <v>825</v>
      </c>
      <c r="B636" s="106" t="s">
        <v>270</v>
      </c>
      <c r="C636" s="106" t="s">
        <v>271</v>
      </c>
      <c r="D636" s="106" t="s">
        <v>272</v>
      </c>
      <c r="E636">
        <v>4750</v>
      </c>
      <c r="F636" s="106" t="s">
        <v>287</v>
      </c>
      <c r="G636" s="106" t="s">
        <v>281</v>
      </c>
      <c r="H636" s="106" t="s">
        <v>278</v>
      </c>
      <c r="I636" s="106">
        <v>51</v>
      </c>
      <c r="J636" s="106"/>
    </row>
    <row r="637" spans="1:10" x14ac:dyDescent="0.2">
      <c r="A637" s="106" t="s">
        <v>825</v>
      </c>
      <c r="B637" s="106" t="s">
        <v>270</v>
      </c>
      <c r="C637" s="106" t="s">
        <v>280</v>
      </c>
      <c r="D637" s="106" t="s">
        <v>272</v>
      </c>
      <c r="E637">
        <v>7590</v>
      </c>
      <c r="F637" s="106" t="s">
        <v>2061</v>
      </c>
      <c r="G637" s="106" t="s">
        <v>273</v>
      </c>
      <c r="H637" s="106" t="s">
        <v>279</v>
      </c>
      <c r="I637" s="106">
        <v>75</v>
      </c>
      <c r="J637" s="106"/>
    </row>
    <row r="638" spans="1:10" x14ac:dyDescent="0.2">
      <c r="A638" s="106" t="s">
        <v>2062</v>
      </c>
      <c r="B638" s="106" t="s">
        <v>270</v>
      </c>
      <c r="C638" s="106" t="s">
        <v>275</v>
      </c>
      <c r="D638" s="106" t="s">
        <v>272</v>
      </c>
      <c r="E638">
        <v>1383</v>
      </c>
      <c r="F638" s="106" t="s">
        <v>320</v>
      </c>
      <c r="G638" s="106" t="s">
        <v>277</v>
      </c>
      <c r="H638" s="106" t="s">
        <v>321</v>
      </c>
      <c r="I638" s="106">
        <v>31</v>
      </c>
      <c r="J638" s="106"/>
    </row>
    <row r="639" spans="1:10" x14ac:dyDescent="0.2">
      <c r="A639" s="106" t="s">
        <v>2063</v>
      </c>
      <c r="B639" s="106" t="s">
        <v>270</v>
      </c>
      <c r="C639" s="106" t="s">
        <v>282</v>
      </c>
      <c r="D639" s="106" t="s">
        <v>276</v>
      </c>
      <c r="E639">
        <v>9262</v>
      </c>
      <c r="F639" s="106" t="s">
        <v>314</v>
      </c>
      <c r="G639" s="106" t="s">
        <v>285</v>
      </c>
      <c r="H639" s="106" t="s">
        <v>283</v>
      </c>
      <c r="I639" s="106">
        <v>295</v>
      </c>
      <c r="J639" s="106"/>
    </row>
    <row r="640" spans="1:10" x14ac:dyDescent="0.2">
      <c r="A640" s="106" t="s">
        <v>2064</v>
      </c>
      <c r="B640" s="106" t="s">
        <v>270</v>
      </c>
      <c r="C640" s="106" t="s">
        <v>280</v>
      </c>
      <c r="D640" s="106" t="s">
        <v>272</v>
      </c>
      <c r="E640">
        <v>3995</v>
      </c>
      <c r="F640" s="106" t="s">
        <v>325</v>
      </c>
      <c r="G640" s="106" t="s">
        <v>285</v>
      </c>
      <c r="H640" s="106" t="s">
        <v>284</v>
      </c>
      <c r="I640" s="106">
        <v>65</v>
      </c>
      <c r="J640" s="106"/>
    </row>
    <row r="641" spans="1:10" x14ac:dyDescent="0.2">
      <c r="A641" s="106" t="s">
        <v>2065</v>
      </c>
      <c r="B641" s="106" t="s">
        <v>270</v>
      </c>
      <c r="C641" s="106" t="s">
        <v>282</v>
      </c>
      <c r="D641" s="106" t="s">
        <v>276</v>
      </c>
      <c r="E641">
        <v>2424</v>
      </c>
      <c r="F641" s="106" t="s">
        <v>322</v>
      </c>
      <c r="G641" s="106" t="s">
        <v>273</v>
      </c>
      <c r="H641" s="106" t="s">
        <v>278</v>
      </c>
      <c r="I641" s="106">
        <v>46</v>
      </c>
      <c r="J641" s="106"/>
    </row>
    <row r="642" spans="1:10" x14ac:dyDescent="0.2">
      <c r="A642" s="106" t="s">
        <v>2065</v>
      </c>
      <c r="B642" s="106" t="s">
        <v>270</v>
      </c>
      <c r="C642" s="106" t="s">
        <v>271</v>
      </c>
      <c r="D642" s="106" t="s">
        <v>276</v>
      </c>
      <c r="E642">
        <v>4431</v>
      </c>
      <c r="F642" s="106" t="s">
        <v>326</v>
      </c>
      <c r="G642" s="106" t="s">
        <v>285</v>
      </c>
      <c r="H642" s="106" t="s">
        <v>284</v>
      </c>
      <c r="I642">
        <v>307</v>
      </c>
    </row>
    <row r="643" spans="1:10" x14ac:dyDescent="0.2">
      <c r="A643" s="106" t="s">
        <v>2065</v>
      </c>
      <c r="B643" s="106" t="s">
        <v>270</v>
      </c>
      <c r="C643" s="106" t="s">
        <v>280</v>
      </c>
      <c r="D643" s="106" t="s">
        <v>272</v>
      </c>
      <c r="E643">
        <v>7683</v>
      </c>
      <c r="F643" s="106" t="s">
        <v>330</v>
      </c>
      <c r="G643" s="106" t="s">
        <v>285</v>
      </c>
      <c r="H643" s="106" t="s">
        <v>283</v>
      </c>
      <c r="I643">
        <v>144</v>
      </c>
    </row>
    <row r="644" spans="1:10" x14ac:dyDescent="0.2">
      <c r="A644" s="106" t="s">
        <v>509</v>
      </c>
      <c r="B644" s="106" t="s">
        <v>270</v>
      </c>
      <c r="C644" s="106" t="s">
        <v>271</v>
      </c>
      <c r="D644" s="106" t="s">
        <v>276</v>
      </c>
      <c r="E644">
        <v>1723</v>
      </c>
      <c r="F644" s="106" t="s">
        <v>510</v>
      </c>
      <c r="G644" s="106" t="s">
        <v>277</v>
      </c>
      <c r="H644" s="106" t="s">
        <v>300</v>
      </c>
      <c r="I644">
        <v>269</v>
      </c>
    </row>
    <row r="645" spans="1:10" x14ac:dyDescent="0.2">
      <c r="A645" s="106" t="s">
        <v>509</v>
      </c>
      <c r="B645" s="106" t="s">
        <v>270</v>
      </c>
      <c r="C645" s="106" t="s">
        <v>271</v>
      </c>
      <c r="D645" s="106" t="s">
        <v>272</v>
      </c>
      <c r="E645">
        <v>1941</v>
      </c>
      <c r="F645" s="106" t="s">
        <v>511</v>
      </c>
      <c r="G645" s="106" t="s">
        <v>273</v>
      </c>
      <c r="H645" s="106" t="s">
        <v>300</v>
      </c>
      <c r="I645" t="s">
        <v>304</v>
      </c>
      <c r="J645" t="s">
        <v>2260</v>
      </c>
    </row>
    <row r="646" spans="1:10" x14ac:dyDescent="0.2">
      <c r="A646" s="106" t="s">
        <v>509</v>
      </c>
      <c r="B646" s="106" t="s">
        <v>270</v>
      </c>
      <c r="C646" s="106" t="s">
        <v>271</v>
      </c>
      <c r="D646" s="106" t="s">
        <v>272</v>
      </c>
      <c r="E646">
        <v>1959</v>
      </c>
      <c r="F646" s="106" t="s">
        <v>513</v>
      </c>
      <c r="G646" s="106" t="s">
        <v>273</v>
      </c>
      <c r="H646" s="106" t="s">
        <v>300</v>
      </c>
      <c r="I646" t="s">
        <v>296</v>
      </c>
      <c r="J646" t="s">
        <v>2483</v>
      </c>
    </row>
    <row r="647" spans="1:10" x14ac:dyDescent="0.2">
      <c r="A647" s="106" t="s">
        <v>509</v>
      </c>
      <c r="B647" s="106" t="s">
        <v>270</v>
      </c>
      <c r="C647" s="106" t="s">
        <v>271</v>
      </c>
      <c r="D647" s="106" t="s">
        <v>272</v>
      </c>
      <c r="E647">
        <v>2148</v>
      </c>
      <c r="F647" s="106" t="s">
        <v>734</v>
      </c>
      <c r="G647" s="106" t="s">
        <v>273</v>
      </c>
      <c r="H647" s="106" t="s">
        <v>278</v>
      </c>
      <c r="I647" s="106">
        <v>156</v>
      </c>
      <c r="J647" s="106"/>
    </row>
    <row r="648" spans="1:10" x14ac:dyDescent="0.2">
      <c r="A648" s="106" t="s">
        <v>509</v>
      </c>
      <c r="B648" s="106" t="s">
        <v>270</v>
      </c>
      <c r="C648" s="106" t="s">
        <v>271</v>
      </c>
      <c r="D648" s="106" t="s">
        <v>272</v>
      </c>
      <c r="E648">
        <v>2326</v>
      </c>
      <c r="F648" s="106" t="s">
        <v>735</v>
      </c>
      <c r="G648" s="106" t="s">
        <v>273</v>
      </c>
      <c r="H648" s="106" t="s">
        <v>284</v>
      </c>
      <c r="I648" s="106">
        <v>796</v>
      </c>
      <c r="J648" s="106"/>
    </row>
    <row r="649" spans="1:10" x14ac:dyDescent="0.2">
      <c r="A649" s="106" t="s">
        <v>509</v>
      </c>
      <c r="B649" s="106" t="s">
        <v>270</v>
      </c>
      <c r="C649" s="106" t="s">
        <v>271</v>
      </c>
      <c r="D649" s="106" t="s">
        <v>276</v>
      </c>
      <c r="E649">
        <v>2332</v>
      </c>
      <c r="F649" s="106" t="s">
        <v>514</v>
      </c>
      <c r="G649" s="106" t="s">
        <v>277</v>
      </c>
      <c r="H649" s="106" t="s">
        <v>284</v>
      </c>
      <c r="I649" s="106">
        <v>61</v>
      </c>
      <c r="J649" s="106"/>
    </row>
    <row r="650" spans="1:10" x14ac:dyDescent="0.2">
      <c r="A650" s="106" t="s">
        <v>509</v>
      </c>
      <c r="B650" s="106" t="s">
        <v>270</v>
      </c>
      <c r="C650" s="106" t="s">
        <v>271</v>
      </c>
      <c r="D650" s="106" t="s">
        <v>272</v>
      </c>
      <c r="E650">
        <v>3116</v>
      </c>
      <c r="F650" s="106" t="s">
        <v>826</v>
      </c>
      <c r="G650" s="106" t="s">
        <v>273</v>
      </c>
      <c r="H650" s="106" t="s">
        <v>303</v>
      </c>
      <c r="I650" s="106" t="s">
        <v>357</v>
      </c>
      <c r="J650" s="106" t="s">
        <v>2484</v>
      </c>
    </row>
    <row r="651" spans="1:10" x14ac:dyDescent="0.2">
      <c r="A651" s="106" t="s">
        <v>509</v>
      </c>
      <c r="B651" s="106" t="s">
        <v>270</v>
      </c>
      <c r="C651" s="106" t="s">
        <v>271</v>
      </c>
      <c r="D651" s="106" t="s">
        <v>272</v>
      </c>
      <c r="E651">
        <v>3132</v>
      </c>
      <c r="F651" s="106" t="s">
        <v>827</v>
      </c>
      <c r="G651" s="106" t="s">
        <v>273</v>
      </c>
      <c r="H651" s="106" t="s">
        <v>279</v>
      </c>
      <c r="I651" s="106" t="s">
        <v>304</v>
      </c>
      <c r="J651" s="106" t="s">
        <v>2485</v>
      </c>
    </row>
    <row r="652" spans="1:10" x14ac:dyDescent="0.2">
      <c r="A652" s="106" t="s">
        <v>509</v>
      </c>
      <c r="B652" s="106" t="s">
        <v>270</v>
      </c>
      <c r="C652" s="106" t="s">
        <v>271</v>
      </c>
      <c r="D652" s="106" t="s">
        <v>276</v>
      </c>
      <c r="E652">
        <v>3177</v>
      </c>
      <c r="F652" s="106" t="s">
        <v>515</v>
      </c>
      <c r="G652" s="106" t="s">
        <v>277</v>
      </c>
      <c r="H652" s="106" t="s">
        <v>283</v>
      </c>
      <c r="I652">
        <v>22</v>
      </c>
    </row>
    <row r="653" spans="1:10" x14ac:dyDescent="0.2">
      <c r="A653" s="106" t="s">
        <v>509</v>
      </c>
      <c r="B653" s="106" t="s">
        <v>270</v>
      </c>
      <c r="C653" s="106" t="s">
        <v>271</v>
      </c>
      <c r="D653" s="106" t="s">
        <v>272</v>
      </c>
      <c r="E653">
        <v>3231</v>
      </c>
      <c r="F653" s="106" t="s">
        <v>516</v>
      </c>
      <c r="G653" s="106" t="s">
        <v>273</v>
      </c>
      <c r="H653" s="106" t="s">
        <v>299</v>
      </c>
      <c r="I653" t="s">
        <v>290</v>
      </c>
      <c r="J653" t="s">
        <v>2262</v>
      </c>
    </row>
    <row r="654" spans="1:10" x14ac:dyDescent="0.2">
      <c r="A654" s="106" t="s">
        <v>509</v>
      </c>
      <c r="B654" s="106" t="s">
        <v>270</v>
      </c>
      <c r="C654" s="106" t="s">
        <v>271</v>
      </c>
      <c r="D654" s="106" t="s">
        <v>276</v>
      </c>
      <c r="E654">
        <v>3564</v>
      </c>
      <c r="F654" s="106" t="s">
        <v>828</v>
      </c>
      <c r="G654" s="106" t="s">
        <v>273</v>
      </c>
      <c r="H654" s="106" t="s">
        <v>283</v>
      </c>
      <c r="I654">
        <v>884</v>
      </c>
    </row>
    <row r="655" spans="1:10" x14ac:dyDescent="0.2">
      <c r="A655" s="106" t="s">
        <v>509</v>
      </c>
      <c r="B655" s="106" t="s">
        <v>270</v>
      </c>
      <c r="C655" s="106" t="s">
        <v>271</v>
      </c>
      <c r="D655" s="106" t="s">
        <v>276</v>
      </c>
      <c r="E655">
        <v>3658</v>
      </c>
      <c r="F655" s="106" t="s">
        <v>829</v>
      </c>
      <c r="G655" s="106" t="s">
        <v>273</v>
      </c>
      <c r="H655" s="106" t="s">
        <v>284</v>
      </c>
      <c r="I655">
        <v>109</v>
      </c>
    </row>
    <row r="656" spans="1:10" x14ac:dyDescent="0.2">
      <c r="A656" s="106" t="s">
        <v>509</v>
      </c>
      <c r="B656" s="106" t="s">
        <v>270</v>
      </c>
      <c r="C656" s="106" t="s">
        <v>271</v>
      </c>
      <c r="D656" s="106" t="s">
        <v>272</v>
      </c>
      <c r="E656">
        <v>3778</v>
      </c>
      <c r="F656" s="106" t="s">
        <v>830</v>
      </c>
      <c r="G656" s="106" t="s">
        <v>273</v>
      </c>
      <c r="H656" s="106" t="s">
        <v>284</v>
      </c>
      <c r="I656">
        <v>269</v>
      </c>
    </row>
    <row r="657" spans="1:10" x14ac:dyDescent="0.2">
      <c r="A657" s="106" t="s">
        <v>509</v>
      </c>
      <c r="B657" s="106" t="s">
        <v>270</v>
      </c>
      <c r="C657" s="106" t="s">
        <v>271</v>
      </c>
      <c r="D657" s="106" t="s">
        <v>276</v>
      </c>
      <c r="E657">
        <v>4333</v>
      </c>
      <c r="F657" s="106" t="s">
        <v>517</v>
      </c>
      <c r="G657" s="106" t="s">
        <v>273</v>
      </c>
      <c r="H657" s="106" t="s">
        <v>284</v>
      </c>
      <c r="I657">
        <v>129</v>
      </c>
    </row>
    <row r="658" spans="1:10" x14ac:dyDescent="0.2">
      <c r="A658" s="106" t="s">
        <v>509</v>
      </c>
      <c r="B658" s="106" t="s">
        <v>270</v>
      </c>
      <c r="C658" s="106" t="s">
        <v>275</v>
      </c>
      <c r="D658" s="106" t="s">
        <v>276</v>
      </c>
      <c r="E658">
        <v>4393</v>
      </c>
      <c r="F658" s="106" t="s">
        <v>518</v>
      </c>
      <c r="G658" s="106" t="s">
        <v>285</v>
      </c>
      <c r="H658" s="106" t="s">
        <v>284</v>
      </c>
      <c r="I658">
        <v>99</v>
      </c>
    </row>
    <row r="659" spans="1:10" x14ac:dyDescent="0.2">
      <c r="A659" s="106" t="s">
        <v>509</v>
      </c>
      <c r="B659" s="106" t="s">
        <v>270</v>
      </c>
      <c r="C659" s="106" t="s">
        <v>271</v>
      </c>
      <c r="D659" s="106" t="s">
        <v>272</v>
      </c>
      <c r="E659">
        <v>4557</v>
      </c>
      <c r="F659" s="106" t="s">
        <v>519</v>
      </c>
      <c r="G659" s="106" t="s">
        <v>277</v>
      </c>
      <c r="H659" s="106" t="s">
        <v>318</v>
      </c>
      <c r="I659">
        <v>213</v>
      </c>
    </row>
    <row r="660" spans="1:10" x14ac:dyDescent="0.2">
      <c r="A660" s="106" t="s">
        <v>509</v>
      </c>
      <c r="B660" s="106" t="s">
        <v>270</v>
      </c>
      <c r="C660" s="106" t="s">
        <v>271</v>
      </c>
      <c r="D660" s="106" t="s">
        <v>272</v>
      </c>
      <c r="E660">
        <v>4684</v>
      </c>
      <c r="F660" s="106" t="s">
        <v>520</v>
      </c>
      <c r="G660" s="106" t="s">
        <v>273</v>
      </c>
      <c r="H660" s="106" t="s">
        <v>284</v>
      </c>
      <c r="I660" t="s">
        <v>521</v>
      </c>
      <c r="J660" t="s">
        <v>2486</v>
      </c>
    </row>
    <row r="661" spans="1:10" x14ac:dyDescent="0.2">
      <c r="A661" s="106" t="s">
        <v>509</v>
      </c>
      <c r="B661" s="106" t="s">
        <v>270</v>
      </c>
      <c r="C661" s="106" t="s">
        <v>271</v>
      </c>
      <c r="D661" s="106" t="s">
        <v>272</v>
      </c>
      <c r="E661">
        <v>4689</v>
      </c>
      <c r="F661" s="106" t="s">
        <v>522</v>
      </c>
      <c r="G661" s="106" t="s">
        <v>273</v>
      </c>
      <c r="H661" s="106" t="s">
        <v>284</v>
      </c>
      <c r="I661" s="106" t="s">
        <v>525</v>
      </c>
      <c r="J661" s="106" t="s">
        <v>2169</v>
      </c>
    </row>
    <row r="662" spans="1:10" x14ac:dyDescent="0.2">
      <c r="A662" s="106" t="s">
        <v>509</v>
      </c>
      <c r="B662" s="106" t="s">
        <v>270</v>
      </c>
      <c r="C662" s="106" t="s">
        <v>271</v>
      </c>
      <c r="D662" s="106" t="s">
        <v>272</v>
      </c>
      <c r="E662">
        <v>5445</v>
      </c>
      <c r="F662" s="106" t="s">
        <v>2487</v>
      </c>
      <c r="G662" s="106" t="s">
        <v>273</v>
      </c>
      <c r="H662" s="106" t="s">
        <v>813</v>
      </c>
      <c r="I662">
        <v>150</v>
      </c>
    </row>
    <row r="663" spans="1:10" x14ac:dyDescent="0.2">
      <c r="A663" s="106" t="s">
        <v>509</v>
      </c>
      <c r="B663" s="106" t="s">
        <v>270</v>
      </c>
      <c r="C663" s="106" t="s">
        <v>271</v>
      </c>
      <c r="D663" s="106" t="s">
        <v>276</v>
      </c>
      <c r="E663">
        <v>6022</v>
      </c>
      <c r="F663" s="106" t="s">
        <v>523</v>
      </c>
      <c r="G663" s="106" t="s">
        <v>281</v>
      </c>
      <c r="H663" s="106" t="s">
        <v>294</v>
      </c>
      <c r="I663">
        <v>27</v>
      </c>
    </row>
    <row r="664" spans="1:10" x14ac:dyDescent="0.2">
      <c r="A664" s="106" t="s">
        <v>509</v>
      </c>
      <c r="B664" s="106" t="s">
        <v>270</v>
      </c>
      <c r="C664" s="106" t="s">
        <v>271</v>
      </c>
      <c r="D664" s="106" t="s">
        <v>272</v>
      </c>
      <c r="E664">
        <v>6201</v>
      </c>
      <c r="F664" s="106" t="s">
        <v>524</v>
      </c>
      <c r="G664" s="106" t="s">
        <v>273</v>
      </c>
      <c r="H664" s="106" t="s">
        <v>303</v>
      </c>
      <c r="I664" t="s">
        <v>831</v>
      </c>
      <c r="J664" t="s">
        <v>2488</v>
      </c>
    </row>
    <row r="665" spans="1:10" x14ac:dyDescent="0.2">
      <c r="A665" s="106" t="s">
        <v>509</v>
      </c>
      <c r="B665" s="106" t="s">
        <v>270</v>
      </c>
      <c r="C665" s="106" t="s">
        <v>271</v>
      </c>
      <c r="D665" s="106" t="s">
        <v>272</v>
      </c>
      <c r="E665">
        <v>6301</v>
      </c>
      <c r="F665" s="106" t="s">
        <v>526</v>
      </c>
      <c r="G665" s="106" t="s">
        <v>273</v>
      </c>
      <c r="H665" s="106" t="s">
        <v>294</v>
      </c>
      <c r="I665" t="s">
        <v>2259</v>
      </c>
      <c r="J665" t="s">
        <v>2331</v>
      </c>
    </row>
    <row r="666" spans="1:10" x14ac:dyDescent="0.2">
      <c r="A666" s="106" t="s">
        <v>509</v>
      </c>
      <c r="B666" s="106" t="s">
        <v>270</v>
      </c>
      <c r="C666" s="106" t="s">
        <v>271</v>
      </c>
      <c r="D666" s="106" t="s">
        <v>272</v>
      </c>
      <c r="E666">
        <v>6395</v>
      </c>
      <c r="F666" s="106" t="s">
        <v>527</v>
      </c>
      <c r="G666" s="106" t="s">
        <v>273</v>
      </c>
      <c r="H666" s="106" t="s">
        <v>294</v>
      </c>
      <c r="I666" t="s">
        <v>304</v>
      </c>
      <c r="J666" t="s">
        <v>2468</v>
      </c>
    </row>
    <row r="667" spans="1:10" x14ac:dyDescent="0.2">
      <c r="A667" s="106" t="s">
        <v>509</v>
      </c>
      <c r="B667" s="106" t="s">
        <v>270</v>
      </c>
      <c r="C667" s="106" t="s">
        <v>271</v>
      </c>
      <c r="D667" s="106" t="s">
        <v>272</v>
      </c>
      <c r="E667">
        <v>6645</v>
      </c>
      <c r="F667" s="106" t="s">
        <v>528</v>
      </c>
      <c r="G667" s="106" t="s">
        <v>273</v>
      </c>
      <c r="H667" s="106" t="s">
        <v>298</v>
      </c>
      <c r="I667" s="106" t="s">
        <v>495</v>
      </c>
      <c r="J667" s="106" t="s">
        <v>2263</v>
      </c>
    </row>
    <row r="668" spans="1:10" x14ac:dyDescent="0.2">
      <c r="A668" s="106" t="s">
        <v>509</v>
      </c>
      <c r="B668" s="106" t="s">
        <v>270</v>
      </c>
      <c r="C668" s="106" t="s">
        <v>271</v>
      </c>
      <c r="D668" s="106" t="s">
        <v>272</v>
      </c>
      <c r="E668">
        <v>6788</v>
      </c>
      <c r="F668" s="106" t="s">
        <v>529</v>
      </c>
      <c r="G668" s="106" t="s">
        <v>273</v>
      </c>
      <c r="H668" s="106" t="s">
        <v>298</v>
      </c>
      <c r="I668" s="106">
        <v>396</v>
      </c>
      <c r="J668" s="106"/>
    </row>
    <row r="669" spans="1:10" x14ac:dyDescent="0.2">
      <c r="A669" s="106" t="s">
        <v>509</v>
      </c>
      <c r="B669" s="106" t="s">
        <v>270</v>
      </c>
      <c r="C669" s="106" t="s">
        <v>271</v>
      </c>
      <c r="D669" s="106" t="s">
        <v>272</v>
      </c>
      <c r="E669">
        <v>7278</v>
      </c>
      <c r="F669" s="106" t="s">
        <v>530</v>
      </c>
      <c r="G669" s="106" t="s">
        <v>273</v>
      </c>
      <c r="H669" s="106" t="s">
        <v>303</v>
      </c>
      <c r="I669" t="s">
        <v>304</v>
      </c>
      <c r="J669" t="s">
        <v>2240</v>
      </c>
    </row>
    <row r="670" spans="1:10" x14ac:dyDescent="0.2">
      <c r="A670" s="106" t="s">
        <v>509</v>
      </c>
      <c r="B670" s="106" t="s">
        <v>270</v>
      </c>
      <c r="C670" s="106" t="s">
        <v>271</v>
      </c>
      <c r="D670" s="106" t="s">
        <v>272</v>
      </c>
      <c r="E670">
        <v>7442</v>
      </c>
      <c r="F670" s="106" t="s">
        <v>2066</v>
      </c>
      <c r="G670" s="106" t="s">
        <v>273</v>
      </c>
      <c r="H670" s="106" t="s">
        <v>279</v>
      </c>
      <c r="I670">
        <v>108</v>
      </c>
    </row>
    <row r="671" spans="1:10" x14ac:dyDescent="0.2">
      <c r="A671" s="106" t="s">
        <v>509</v>
      </c>
      <c r="B671" s="106" t="s">
        <v>270</v>
      </c>
      <c r="C671" s="106" t="s">
        <v>282</v>
      </c>
      <c r="D671" s="106" t="s">
        <v>276</v>
      </c>
      <c r="E671">
        <v>7500</v>
      </c>
      <c r="F671" s="106" t="s">
        <v>832</v>
      </c>
      <c r="G671" s="106" t="s">
        <v>277</v>
      </c>
      <c r="H671" s="106" t="s">
        <v>279</v>
      </c>
      <c r="I671">
        <v>164</v>
      </c>
    </row>
    <row r="672" spans="1:10" x14ac:dyDescent="0.2">
      <c r="A672" s="106" t="s">
        <v>509</v>
      </c>
      <c r="B672" s="106" t="s">
        <v>270</v>
      </c>
      <c r="C672" s="106" t="s">
        <v>275</v>
      </c>
      <c r="D672" s="106" t="s">
        <v>272</v>
      </c>
      <c r="E672">
        <v>7821</v>
      </c>
      <c r="F672" s="106" t="s">
        <v>2489</v>
      </c>
      <c r="G672" s="106" t="s">
        <v>273</v>
      </c>
      <c r="H672" s="106" t="s">
        <v>295</v>
      </c>
      <c r="I672">
        <v>703</v>
      </c>
    </row>
    <row r="673" spans="1:10" x14ac:dyDescent="0.2">
      <c r="A673" s="106" t="s">
        <v>509</v>
      </c>
      <c r="B673" s="106" t="s">
        <v>270</v>
      </c>
      <c r="C673" s="106" t="s">
        <v>271</v>
      </c>
      <c r="D673" s="106" t="s">
        <v>272</v>
      </c>
      <c r="E673">
        <v>7995</v>
      </c>
      <c r="F673" s="106" t="s">
        <v>531</v>
      </c>
      <c r="G673" s="106" t="s">
        <v>273</v>
      </c>
      <c r="H673" s="106" t="s">
        <v>286</v>
      </c>
      <c r="I673">
        <v>509</v>
      </c>
    </row>
    <row r="674" spans="1:10" x14ac:dyDescent="0.2">
      <c r="A674" s="106" t="s">
        <v>509</v>
      </c>
      <c r="B674" s="106" t="s">
        <v>270</v>
      </c>
      <c r="C674" s="106" t="s">
        <v>271</v>
      </c>
      <c r="D674" s="106" t="s">
        <v>272</v>
      </c>
      <c r="E674">
        <v>8242</v>
      </c>
      <c r="F674" s="106" t="s">
        <v>532</v>
      </c>
      <c r="G674" s="106" t="s">
        <v>273</v>
      </c>
      <c r="H674" s="106" t="s">
        <v>283</v>
      </c>
      <c r="I674" t="s">
        <v>304</v>
      </c>
      <c r="J674" t="s">
        <v>2448</v>
      </c>
    </row>
    <row r="675" spans="1:10" x14ac:dyDescent="0.2">
      <c r="A675" s="106" t="s">
        <v>509</v>
      </c>
      <c r="B675" s="106" t="s">
        <v>270</v>
      </c>
      <c r="C675" s="106" t="s">
        <v>271</v>
      </c>
      <c r="D675" s="106" t="s">
        <v>272</v>
      </c>
      <c r="E675">
        <v>8304</v>
      </c>
      <c r="F675" s="106" t="s">
        <v>533</v>
      </c>
      <c r="G675" s="106" t="s">
        <v>273</v>
      </c>
      <c r="H675" s="106" t="s">
        <v>534</v>
      </c>
      <c r="I675" s="106" t="s">
        <v>357</v>
      </c>
      <c r="J675" s="106" t="s">
        <v>2490</v>
      </c>
    </row>
    <row r="676" spans="1:10" x14ac:dyDescent="0.2">
      <c r="A676" s="106" t="s">
        <v>509</v>
      </c>
      <c r="B676" s="106" t="s">
        <v>270</v>
      </c>
      <c r="C676" s="106" t="s">
        <v>271</v>
      </c>
      <c r="D676" s="106" t="s">
        <v>272</v>
      </c>
      <c r="E676">
        <v>8309</v>
      </c>
      <c r="F676" s="106" t="s">
        <v>2067</v>
      </c>
      <c r="G676" s="106" t="s">
        <v>273</v>
      </c>
      <c r="H676" s="106" t="s">
        <v>534</v>
      </c>
      <c r="I676" t="s">
        <v>301</v>
      </c>
      <c r="J676" t="s">
        <v>2491</v>
      </c>
    </row>
    <row r="677" spans="1:10" x14ac:dyDescent="0.2">
      <c r="A677" s="106" t="s">
        <v>509</v>
      </c>
      <c r="B677" s="106" t="s">
        <v>270</v>
      </c>
      <c r="C677" s="106" t="s">
        <v>271</v>
      </c>
      <c r="D677" s="106" t="s">
        <v>272</v>
      </c>
      <c r="E677">
        <v>9055</v>
      </c>
      <c r="F677" s="106" t="s">
        <v>2068</v>
      </c>
      <c r="G677" s="106" t="s">
        <v>281</v>
      </c>
      <c r="H677" s="106" t="s">
        <v>405</v>
      </c>
      <c r="I677">
        <v>287</v>
      </c>
    </row>
    <row r="678" spans="1:10" x14ac:dyDescent="0.2">
      <c r="A678" s="106" t="s">
        <v>509</v>
      </c>
      <c r="B678" s="106" t="s">
        <v>270</v>
      </c>
      <c r="C678" s="106" t="s">
        <v>271</v>
      </c>
      <c r="D678" s="106" t="s">
        <v>272</v>
      </c>
      <c r="E678">
        <v>9202</v>
      </c>
      <c r="F678" s="106" t="s">
        <v>535</v>
      </c>
      <c r="G678" s="106" t="s">
        <v>273</v>
      </c>
      <c r="H678" s="106" t="s">
        <v>536</v>
      </c>
      <c r="I678" t="s">
        <v>615</v>
      </c>
      <c r="J678" t="s">
        <v>2492</v>
      </c>
    </row>
    <row r="679" spans="1:10" x14ac:dyDescent="0.2">
      <c r="A679" s="106" t="s">
        <v>509</v>
      </c>
      <c r="B679" s="106" t="s">
        <v>270</v>
      </c>
      <c r="C679" s="106" t="s">
        <v>271</v>
      </c>
      <c r="D679" s="106" t="s">
        <v>272</v>
      </c>
      <c r="E679">
        <v>9436</v>
      </c>
      <c r="F679" s="106" t="s">
        <v>2069</v>
      </c>
      <c r="G679" s="106" t="s">
        <v>277</v>
      </c>
      <c r="H679" s="106" t="s">
        <v>284</v>
      </c>
      <c r="I679" t="s">
        <v>304</v>
      </c>
      <c r="J679" t="s">
        <v>2493</v>
      </c>
    </row>
    <row r="680" spans="1:10" x14ac:dyDescent="0.2">
      <c r="A680" s="106" t="s">
        <v>509</v>
      </c>
      <c r="B680" s="106" t="s">
        <v>270</v>
      </c>
      <c r="C680" s="106" t="s">
        <v>271</v>
      </c>
      <c r="D680" s="106" t="s">
        <v>272</v>
      </c>
      <c r="E680">
        <v>9474</v>
      </c>
      <c r="F680" s="106" t="s">
        <v>537</v>
      </c>
      <c r="G680" s="106" t="s">
        <v>273</v>
      </c>
      <c r="H680" s="106" t="s">
        <v>284</v>
      </c>
      <c r="I680" s="106" t="s">
        <v>304</v>
      </c>
      <c r="J680" s="106" t="s">
        <v>2494</v>
      </c>
    </row>
    <row r="681" spans="1:10" x14ac:dyDescent="0.2">
      <c r="A681" s="106" t="s">
        <v>509</v>
      </c>
      <c r="B681" s="106" t="s">
        <v>270</v>
      </c>
      <c r="C681" s="106" t="s">
        <v>271</v>
      </c>
      <c r="D681" s="106" t="s">
        <v>272</v>
      </c>
      <c r="E681">
        <v>9504</v>
      </c>
      <c r="F681" s="106" t="s">
        <v>541</v>
      </c>
      <c r="G681" s="106" t="s">
        <v>273</v>
      </c>
      <c r="H681" s="106" t="s">
        <v>539</v>
      </c>
      <c r="I681" t="s">
        <v>290</v>
      </c>
      <c r="J681" t="s">
        <v>2336</v>
      </c>
    </row>
    <row r="682" spans="1:10" x14ac:dyDescent="0.2">
      <c r="A682" s="106" t="s">
        <v>509</v>
      </c>
      <c r="B682" s="106" t="s">
        <v>270</v>
      </c>
      <c r="C682" s="106" t="s">
        <v>271</v>
      </c>
      <c r="D682" s="106" t="s">
        <v>272</v>
      </c>
      <c r="E682">
        <v>9531</v>
      </c>
      <c r="F682" s="106" t="s">
        <v>542</v>
      </c>
      <c r="G682" s="106" t="s">
        <v>273</v>
      </c>
      <c r="H682" s="106" t="s">
        <v>539</v>
      </c>
      <c r="I682" t="s">
        <v>540</v>
      </c>
      <c r="J682" t="s">
        <v>2495</v>
      </c>
    </row>
    <row r="683" spans="1:10" x14ac:dyDescent="0.2">
      <c r="A683" s="106" t="s">
        <v>509</v>
      </c>
      <c r="B683" s="106" t="s">
        <v>270</v>
      </c>
      <c r="C683" s="106" t="s">
        <v>271</v>
      </c>
      <c r="D683" s="106" t="s">
        <v>272</v>
      </c>
      <c r="E683">
        <v>9719</v>
      </c>
      <c r="F683" s="106" t="s">
        <v>543</v>
      </c>
      <c r="G683" s="106" t="s">
        <v>273</v>
      </c>
      <c r="H683" s="106" t="s">
        <v>284</v>
      </c>
      <c r="I683" t="s">
        <v>290</v>
      </c>
      <c r="J683" t="s">
        <v>2496</v>
      </c>
    </row>
    <row r="684" spans="1:10" x14ac:dyDescent="0.2">
      <c r="A684" s="106" t="s">
        <v>509</v>
      </c>
      <c r="B684" s="106" t="s">
        <v>270</v>
      </c>
      <c r="C684" s="106" t="s">
        <v>271</v>
      </c>
      <c r="D684" s="106" t="s">
        <v>272</v>
      </c>
      <c r="E684">
        <v>9936</v>
      </c>
      <c r="F684" s="106" t="s">
        <v>544</v>
      </c>
      <c r="G684" s="106" t="s">
        <v>273</v>
      </c>
      <c r="H684" s="106" t="s">
        <v>283</v>
      </c>
      <c r="I684" t="s">
        <v>304</v>
      </c>
      <c r="J684" t="s">
        <v>2497</v>
      </c>
    </row>
    <row r="685" spans="1:10" x14ac:dyDescent="0.2">
      <c r="A685" s="106" t="s">
        <v>545</v>
      </c>
      <c r="B685" s="106" t="s">
        <v>270</v>
      </c>
      <c r="C685" s="106" t="s">
        <v>271</v>
      </c>
      <c r="D685" s="106" t="s">
        <v>272</v>
      </c>
      <c r="E685">
        <v>3353</v>
      </c>
      <c r="F685" s="106" t="s">
        <v>550</v>
      </c>
      <c r="G685" s="106" t="s">
        <v>277</v>
      </c>
      <c r="H685" s="106" t="s">
        <v>283</v>
      </c>
      <c r="I685">
        <v>176</v>
      </c>
    </row>
    <row r="686" spans="1:10" x14ac:dyDescent="0.2">
      <c r="A686" s="106" t="s">
        <v>560</v>
      </c>
      <c r="B686" s="106" t="s">
        <v>270</v>
      </c>
      <c r="C686" s="106" t="s">
        <v>275</v>
      </c>
      <c r="D686" s="106" t="s">
        <v>272</v>
      </c>
      <c r="E686">
        <v>4433</v>
      </c>
      <c r="F686" s="106" t="s">
        <v>573</v>
      </c>
      <c r="G686" s="106" t="s">
        <v>273</v>
      </c>
      <c r="H686" s="106" t="s">
        <v>284</v>
      </c>
      <c r="I686">
        <v>272</v>
      </c>
    </row>
    <row r="687" spans="1:10" x14ac:dyDescent="0.2">
      <c r="A687" s="106" t="s">
        <v>560</v>
      </c>
      <c r="B687" s="106" t="s">
        <v>270</v>
      </c>
      <c r="C687" s="106" t="s">
        <v>271</v>
      </c>
      <c r="D687" s="106" t="s">
        <v>272</v>
      </c>
      <c r="E687">
        <v>7058</v>
      </c>
      <c r="F687" s="106" t="s">
        <v>581</v>
      </c>
      <c r="G687" s="106" t="s">
        <v>277</v>
      </c>
      <c r="H687" s="106" t="s">
        <v>278</v>
      </c>
      <c r="I687">
        <v>75</v>
      </c>
    </row>
    <row r="688" spans="1:10" x14ac:dyDescent="0.2">
      <c r="A688" s="106" t="s">
        <v>2498</v>
      </c>
      <c r="B688" s="106" t="s">
        <v>270</v>
      </c>
      <c r="C688" s="106" t="s">
        <v>282</v>
      </c>
      <c r="D688" s="106" t="s">
        <v>276</v>
      </c>
      <c r="E688">
        <v>2391</v>
      </c>
      <c r="F688" s="106" t="s">
        <v>2499</v>
      </c>
      <c r="G688" s="106" t="s">
        <v>277</v>
      </c>
      <c r="H688" s="106" t="s">
        <v>278</v>
      </c>
      <c r="I688">
        <v>102</v>
      </c>
    </row>
    <row r="689" spans="1:10" x14ac:dyDescent="0.2">
      <c r="A689" s="106" t="s">
        <v>585</v>
      </c>
      <c r="B689" s="106" t="s">
        <v>270</v>
      </c>
      <c r="C689" s="106" t="s">
        <v>271</v>
      </c>
      <c r="D689" s="106" t="s">
        <v>272</v>
      </c>
      <c r="E689">
        <v>1719</v>
      </c>
      <c r="F689" s="106" t="s">
        <v>586</v>
      </c>
      <c r="G689" s="106" t="s">
        <v>273</v>
      </c>
      <c r="H689" s="106" t="s">
        <v>300</v>
      </c>
      <c r="I689" t="s">
        <v>304</v>
      </c>
      <c r="J689" t="s">
        <v>2500</v>
      </c>
    </row>
    <row r="690" spans="1:10" x14ac:dyDescent="0.2">
      <c r="A690" s="106" t="s">
        <v>585</v>
      </c>
      <c r="B690" s="106" t="s">
        <v>270</v>
      </c>
      <c r="C690" s="106" t="s">
        <v>271</v>
      </c>
      <c r="D690" s="106" t="s">
        <v>272</v>
      </c>
      <c r="E690">
        <v>1812</v>
      </c>
      <c r="F690" s="106" t="s">
        <v>587</v>
      </c>
      <c r="G690" s="106" t="s">
        <v>273</v>
      </c>
      <c r="H690" s="106" t="s">
        <v>300</v>
      </c>
      <c r="I690" t="s">
        <v>588</v>
      </c>
      <c r="J690" t="s">
        <v>2501</v>
      </c>
    </row>
    <row r="691" spans="1:10" x14ac:dyDescent="0.2">
      <c r="A691" s="106" t="s">
        <v>585</v>
      </c>
      <c r="B691" s="106" t="s">
        <v>270</v>
      </c>
      <c r="C691" s="106" t="s">
        <v>271</v>
      </c>
      <c r="D691" s="106" t="s">
        <v>272</v>
      </c>
      <c r="E691">
        <v>1824</v>
      </c>
      <c r="F691" s="106" t="s">
        <v>589</v>
      </c>
      <c r="G691" s="106" t="s">
        <v>273</v>
      </c>
      <c r="H691" s="106" t="s">
        <v>300</v>
      </c>
      <c r="I691" t="s">
        <v>296</v>
      </c>
      <c r="J691" t="s">
        <v>2502</v>
      </c>
    </row>
    <row r="692" spans="1:10" x14ac:dyDescent="0.2">
      <c r="A692" s="106" t="s">
        <v>585</v>
      </c>
      <c r="B692" s="106" t="s">
        <v>270</v>
      </c>
      <c r="C692" s="106" t="s">
        <v>271</v>
      </c>
      <c r="D692" s="106" t="s">
        <v>272</v>
      </c>
      <c r="E692">
        <v>1860</v>
      </c>
      <c r="F692" s="106" t="s">
        <v>590</v>
      </c>
      <c r="G692" s="106" t="s">
        <v>273</v>
      </c>
      <c r="H692" s="106" t="s">
        <v>300</v>
      </c>
      <c r="I692" s="106" t="s">
        <v>296</v>
      </c>
      <c r="J692" s="106" t="s">
        <v>2503</v>
      </c>
    </row>
    <row r="693" spans="1:10" x14ac:dyDescent="0.2">
      <c r="A693" s="106" t="s">
        <v>585</v>
      </c>
      <c r="B693" s="106" t="s">
        <v>270</v>
      </c>
      <c r="C693" s="106" t="s">
        <v>271</v>
      </c>
      <c r="D693" s="106" t="s">
        <v>272</v>
      </c>
      <c r="E693">
        <v>1893</v>
      </c>
      <c r="F693" s="106" t="s">
        <v>2070</v>
      </c>
      <c r="G693" s="106" t="s">
        <v>273</v>
      </c>
      <c r="H693" s="106" t="s">
        <v>300</v>
      </c>
      <c r="I693" s="106" t="s">
        <v>304</v>
      </c>
      <c r="J693" s="106" t="s">
        <v>2504</v>
      </c>
    </row>
    <row r="694" spans="1:10" x14ac:dyDescent="0.2">
      <c r="A694" s="106" t="s">
        <v>585</v>
      </c>
      <c r="B694" s="106" t="s">
        <v>270</v>
      </c>
      <c r="C694" s="106" t="s">
        <v>271</v>
      </c>
      <c r="D694" s="106" t="s">
        <v>272</v>
      </c>
      <c r="E694">
        <v>1964</v>
      </c>
      <c r="F694" s="106" t="s">
        <v>591</v>
      </c>
      <c r="G694" s="106" t="s">
        <v>273</v>
      </c>
      <c r="H694" s="106" t="s">
        <v>300</v>
      </c>
      <c r="I694" s="106">
        <v>144</v>
      </c>
      <c r="J694" s="106"/>
    </row>
    <row r="695" spans="1:10" x14ac:dyDescent="0.2">
      <c r="A695" s="106" t="s">
        <v>585</v>
      </c>
      <c r="B695" s="106" t="s">
        <v>270</v>
      </c>
      <c r="C695" s="106" t="s">
        <v>271</v>
      </c>
      <c r="D695" s="106" t="s">
        <v>272</v>
      </c>
      <c r="E695">
        <v>2108</v>
      </c>
      <c r="F695" s="106" t="s">
        <v>592</v>
      </c>
      <c r="G695" s="106" t="s">
        <v>273</v>
      </c>
      <c r="H695" s="106" t="s">
        <v>274</v>
      </c>
      <c r="I695">
        <v>310</v>
      </c>
    </row>
    <row r="696" spans="1:10" x14ac:dyDescent="0.2">
      <c r="A696" s="106" t="s">
        <v>585</v>
      </c>
      <c r="B696" s="106" t="s">
        <v>270</v>
      </c>
      <c r="C696" s="106" t="s">
        <v>271</v>
      </c>
      <c r="D696" s="106" t="s">
        <v>272</v>
      </c>
      <c r="E696">
        <v>2173</v>
      </c>
      <c r="F696" s="106" t="s">
        <v>736</v>
      </c>
      <c r="G696" s="106" t="s">
        <v>277</v>
      </c>
      <c r="H696" s="106" t="s">
        <v>278</v>
      </c>
      <c r="I696">
        <v>57</v>
      </c>
    </row>
    <row r="697" spans="1:10" x14ac:dyDescent="0.2">
      <c r="A697" s="106" t="s">
        <v>585</v>
      </c>
      <c r="B697" s="106" t="s">
        <v>270</v>
      </c>
      <c r="C697" s="106" t="s">
        <v>282</v>
      </c>
      <c r="D697" s="106" t="s">
        <v>272</v>
      </c>
      <c r="E697">
        <v>2180</v>
      </c>
      <c r="F697" s="106" t="s">
        <v>593</v>
      </c>
      <c r="G697" s="106" t="s">
        <v>273</v>
      </c>
      <c r="H697" s="106" t="s">
        <v>278</v>
      </c>
      <c r="I697">
        <v>165</v>
      </c>
    </row>
    <row r="698" spans="1:10" x14ac:dyDescent="0.2">
      <c r="A698" s="106" t="s">
        <v>585</v>
      </c>
      <c r="B698" s="106" t="s">
        <v>270</v>
      </c>
      <c r="C698" s="106" t="s">
        <v>271</v>
      </c>
      <c r="D698" s="106" t="s">
        <v>272</v>
      </c>
      <c r="E698">
        <v>2288</v>
      </c>
      <c r="F698" s="106" t="s">
        <v>594</v>
      </c>
      <c r="G698" s="106" t="s">
        <v>273</v>
      </c>
      <c r="H698" s="106" t="s">
        <v>274</v>
      </c>
      <c r="I698">
        <v>612</v>
      </c>
    </row>
    <row r="699" spans="1:10" x14ac:dyDescent="0.2">
      <c r="A699" s="106" t="s">
        <v>585</v>
      </c>
      <c r="B699" s="106" t="s">
        <v>270</v>
      </c>
      <c r="C699" s="106" t="s">
        <v>271</v>
      </c>
      <c r="D699" s="106" t="s">
        <v>272</v>
      </c>
      <c r="E699">
        <v>2349</v>
      </c>
      <c r="F699" s="106" t="s">
        <v>737</v>
      </c>
      <c r="G699" s="106" t="s">
        <v>277</v>
      </c>
      <c r="H699" s="106" t="s">
        <v>284</v>
      </c>
      <c r="I699">
        <v>184</v>
      </c>
    </row>
    <row r="700" spans="1:10" x14ac:dyDescent="0.2">
      <c r="A700" s="106" t="s">
        <v>585</v>
      </c>
      <c r="B700" s="106" t="s">
        <v>270</v>
      </c>
      <c r="C700" s="106" t="s">
        <v>271</v>
      </c>
      <c r="D700" s="106" t="s">
        <v>272</v>
      </c>
      <c r="E700">
        <v>2454</v>
      </c>
      <c r="F700" s="106" t="s">
        <v>834</v>
      </c>
      <c r="G700" s="106" t="s">
        <v>277</v>
      </c>
      <c r="H700" s="106" t="s">
        <v>278</v>
      </c>
      <c r="I700">
        <v>94</v>
      </c>
    </row>
    <row r="701" spans="1:10" x14ac:dyDescent="0.2">
      <c r="A701" s="106" t="s">
        <v>585</v>
      </c>
      <c r="B701" s="106" t="s">
        <v>270</v>
      </c>
      <c r="C701" s="106" t="s">
        <v>280</v>
      </c>
      <c r="D701" s="106" t="s">
        <v>272</v>
      </c>
      <c r="E701">
        <v>2675</v>
      </c>
      <c r="F701" s="106" t="s">
        <v>595</v>
      </c>
      <c r="G701" s="106" t="s">
        <v>281</v>
      </c>
      <c r="H701" s="106" t="s">
        <v>283</v>
      </c>
      <c r="I701">
        <v>120</v>
      </c>
    </row>
    <row r="702" spans="1:10" x14ac:dyDescent="0.2">
      <c r="A702" s="106" t="s">
        <v>585</v>
      </c>
      <c r="B702" s="106" t="s">
        <v>270</v>
      </c>
      <c r="C702" s="106" t="s">
        <v>271</v>
      </c>
      <c r="D702" s="106" t="s">
        <v>272</v>
      </c>
      <c r="E702">
        <v>2733</v>
      </c>
      <c r="F702" s="106" t="s">
        <v>835</v>
      </c>
      <c r="G702" s="106" t="s">
        <v>273</v>
      </c>
      <c r="H702" s="106" t="s">
        <v>279</v>
      </c>
      <c r="I702">
        <v>822</v>
      </c>
    </row>
    <row r="703" spans="1:10" x14ac:dyDescent="0.2">
      <c r="A703" s="106" t="s">
        <v>585</v>
      </c>
      <c r="B703" s="106" t="s">
        <v>270</v>
      </c>
      <c r="C703" s="106" t="s">
        <v>271</v>
      </c>
      <c r="D703" s="106" t="s">
        <v>272</v>
      </c>
      <c r="E703">
        <v>2768</v>
      </c>
      <c r="F703" s="106" t="s">
        <v>836</v>
      </c>
      <c r="G703" s="106" t="s">
        <v>273</v>
      </c>
      <c r="H703" s="106" t="s">
        <v>279</v>
      </c>
      <c r="I703" s="106" t="s">
        <v>323</v>
      </c>
      <c r="J703" s="106" t="s">
        <v>2257</v>
      </c>
    </row>
    <row r="704" spans="1:10" x14ac:dyDescent="0.2">
      <c r="A704" s="106" t="s">
        <v>585</v>
      </c>
      <c r="B704" s="106" t="s">
        <v>270</v>
      </c>
      <c r="C704" s="106" t="s">
        <v>271</v>
      </c>
      <c r="D704" s="106" t="s">
        <v>272</v>
      </c>
      <c r="E704">
        <v>2812</v>
      </c>
      <c r="F704" s="106" t="s">
        <v>837</v>
      </c>
      <c r="G704" s="106" t="s">
        <v>273</v>
      </c>
      <c r="H704" s="106" t="s">
        <v>274</v>
      </c>
      <c r="I704">
        <v>135</v>
      </c>
    </row>
    <row r="705" spans="1:10" x14ac:dyDescent="0.2">
      <c r="A705" s="106" t="s">
        <v>585</v>
      </c>
      <c r="B705" s="106" t="s">
        <v>270</v>
      </c>
      <c r="C705" s="106" t="s">
        <v>271</v>
      </c>
      <c r="D705" s="106" t="s">
        <v>272</v>
      </c>
      <c r="E705">
        <v>2899</v>
      </c>
      <c r="F705" s="106" t="s">
        <v>2071</v>
      </c>
      <c r="G705" s="106" t="s">
        <v>273</v>
      </c>
      <c r="H705" s="106" t="s">
        <v>274</v>
      </c>
      <c r="I705" s="106">
        <v>417</v>
      </c>
      <c r="J705" s="106"/>
    </row>
    <row r="706" spans="1:10" x14ac:dyDescent="0.2">
      <c r="A706" s="106" t="s">
        <v>585</v>
      </c>
      <c r="B706" s="106" t="s">
        <v>270</v>
      </c>
      <c r="C706" s="106" t="s">
        <v>271</v>
      </c>
      <c r="D706" s="106" t="s">
        <v>272</v>
      </c>
      <c r="E706">
        <v>2903</v>
      </c>
      <c r="F706" s="106" t="s">
        <v>838</v>
      </c>
      <c r="G706" s="106" t="s">
        <v>281</v>
      </c>
      <c r="H706" s="106" t="s">
        <v>274</v>
      </c>
      <c r="I706" s="106">
        <v>95</v>
      </c>
      <c r="J706" s="106"/>
    </row>
    <row r="707" spans="1:10" x14ac:dyDescent="0.2">
      <c r="A707" s="106" t="s">
        <v>585</v>
      </c>
      <c r="B707" s="106" t="s">
        <v>270</v>
      </c>
      <c r="C707" s="106" t="s">
        <v>271</v>
      </c>
      <c r="D707" s="106" t="s">
        <v>272</v>
      </c>
      <c r="E707">
        <v>2915</v>
      </c>
      <c r="F707" s="106" t="s">
        <v>839</v>
      </c>
      <c r="G707" s="106" t="s">
        <v>273</v>
      </c>
      <c r="H707" s="106" t="s">
        <v>274</v>
      </c>
      <c r="I707">
        <v>413</v>
      </c>
    </row>
    <row r="708" spans="1:10" x14ac:dyDescent="0.2">
      <c r="A708" s="106" t="s">
        <v>585</v>
      </c>
      <c r="B708" s="106" t="s">
        <v>270</v>
      </c>
      <c r="C708" s="106" t="s">
        <v>271</v>
      </c>
      <c r="D708" s="106" t="s">
        <v>272</v>
      </c>
      <c r="E708">
        <v>3284</v>
      </c>
      <c r="F708" s="106" t="s">
        <v>840</v>
      </c>
      <c r="G708" s="106" t="s">
        <v>273</v>
      </c>
      <c r="H708" s="106" t="s">
        <v>299</v>
      </c>
      <c r="I708">
        <v>414</v>
      </c>
    </row>
    <row r="709" spans="1:10" x14ac:dyDescent="0.2">
      <c r="A709" s="106" t="s">
        <v>585</v>
      </c>
      <c r="B709" s="106" t="s">
        <v>270</v>
      </c>
      <c r="C709" s="106" t="s">
        <v>271</v>
      </c>
      <c r="D709" s="106" t="s">
        <v>272</v>
      </c>
      <c r="E709">
        <v>3289</v>
      </c>
      <c r="F709" s="106" t="s">
        <v>841</v>
      </c>
      <c r="G709" s="106" t="s">
        <v>273</v>
      </c>
      <c r="H709" s="106" t="s">
        <v>299</v>
      </c>
      <c r="I709" t="s">
        <v>290</v>
      </c>
      <c r="J709" t="s">
        <v>2505</v>
      </c>
    </row>
    <row r="710" spans="1:10" x14ac:dyDescent="0.2">
      <c r="A710" s="106" t="s">
        <v>585</v>
      </c>
      <c r="B710" s="106" t="s">
        <v>270</v>
      </c>
      <c r="C710" s="106" t="s">
        <v>271</v>
      </c>
      <c r="D710" s="106" t="s">
        <v>272</v>
      </c>
      <c r="E710">
        <v>3401</v>
      </c>
      <c r="F710" s="106" t="s">
        <v>842</v>
      </c>
      <c r="G710" s="106" t="s">
        <v>273</v>
      </c>
      <c r="H710" s="106" t="s">
        <v>306</v>
      </c>
      <c r="I710" t="s">
        <v>323</v>
      </c>
      <c r="J710" t="s">
        <v>2506</v>
      </c>
    </row>
    <row r="711" spans="1:10" x14ac:dyDescent="0.2">
      <c r="A711" s="106" t="s">
        <v>585</v>
      </c>
      <c r="B711" s="106" t="s">
        <v>270</v>
      </c>
      <c r="C711" s="106" t="s">
        <v>271</v>
      </c>
      <c r="D711" s="106" t="s">
        <v>272</v>
      </c>
      <c r="E711">
        <v>3447</v>
      </c>
      <c r="F711" s="106" t="s">
        <v>596</v>
      </c>
      <c r="G711" s="106" t="s">
        <v>273</v>
      </c>
      <c r="H711" s="106" t="s">
        <v>288</v>
      </c>
      <c r="I711">
        <v>154</v>
      </c>
    </row>
    <row r="712" spans="1:10" x14ac:dyDescent="0.2">
      <c r="A712" s="106" t="s">
        <v>585</v>
      </c>
      <c r="B712" s="106" t="s">
        <v>270</v>
      </c>
      <c r="C712" s="106" t="s">
        <v>280</v>
      </c>
      <c r="D712" s="106" t="s">
        <v>272</v>
      </c>
      <c r="E712">
        <v>3449</v>
      </c>
      <c r="F712" s="106" t="s">
        <v>2072</v>
      </c>
      <c r="G712" s="106" t="s">
        <v>281</v>
      </c>
      <c r="H712" s="106" t="s">
        <v>288</v>
      </c>
      <c r="I712" s="106">
        <v>260</v>
      </c>
      <c r="J712" s="106"/>
    </row>
    <row r="713" spans="1:10" x14ac:dyDescent="0.2">
      <c r="A713" s="106" t="s">
        <v>585</v>
      </c>
      <c r="B713" s="106" t="s">
        <v>270</v>
      </c>
      <c r="C713" s="106" t="s">
        <v>271</v>
      </c>
      <c r="D713" s="106" t="s">
        <v>276</v>
      </c>
      <c r="E713">
        <v>3467</v>
      </c>
      <c r="F713" s="106" t="s">
        <v>598</v>
      </c>
      <c r="G713" s="106" t="s">
        <v>273</v>
      </c>
      <c r="H713" s="106" t="s">
        <v>299</v>
      </c>
      <c r="I713">
        <v>31</v>
      </c>
    </row>
    <row r="714" spans="1:10" x14ac:dyDescent="0.2">
      <c r="A714" s="106" t="s">
        <v>585</v>
      </c>
      <c r="B714" s="106" t="s">
        <v>270</v>
      </c>
      <c r="C714" s="106" t="s">
        <v>271</v>
      </c>
      <c r="D714" s="106" t="s">
        <v>272</v>
      </c>
      <c r="E714">
        <v>3571</v>
      </c>
      <c r="F714" s="106" t="s">
        <v>843</v>
      </c>
      <c r="G714" s="106" t="s">
        <v>273</v>
      </c>
      <c r="H714" s="106" t="s">
        <v>306</v>
      </c>
      <c r="I714">
        <v>136</v>
      </c>
    </row>
    <row r="715" spans="1:10" x14ac:dyDescent="0.2">
      <c r="A715" s="106" t="s">
        <v>585</v>
      </c>
      <c r="B715" s="106" t="s">
        <v>270</v>
      </c>
      <c r="C715" s="106" t="s">
        <v>271</v>
      </c>
      <c r="D715" s="106" t="s">
        <v>272</v>
      </c>
      <c r="E715">
        <v>3600</v>
      </c>
      <c r="F715" s="106" t="s">
        <v>844</v>
      </c>
      <c r="G715" s="106" t="s">
        <v>281</v>
      </c>
      <c r="H715" s="106" t="s">
        <v>306</v>
      </c>
      <c r="I715">
        <v>28</v>
      </c>
    </row>
    <row r="716" spans="1:10" x14ac:dyDescent="0.2">
      <c r="A716" s="106" t="s">
        <v>585</v>
      </c>
      <c r="B716" s="106" t="s">
        <v>270</v>
      </c>
      <c r="C716" s="106" t="s">
        <v>271</v>
      </c>
      <c r="D716" s="106" t="s">
        <v>272</v>
      </c>
      <c r="E716">
        <v>3622</v>
      </c>
      <c r="F716" s="106" t="s">
        <v>845</v>
      </c>
      <c r="G716" s="106" t="s">
        <v>285</v>
      </c>
      <c r="H716" s="106" t="s">
        <v>284</v>
      </c>
      <c r="I716">
        <v>43</v>
      </c>
    </row>
    <row r="717" spans="1:10" x14ac:dyDescent="0.2">
      <c r="A717" s="106" t="s">
        <v>585</v>
      </c>
      <c r="B717" s="106" t="s">
        <v>270</v>
      </c>
      <c r="C717" s="106" t="s">
        <v>271</v>
      </c>
      <c r="D717" s="106" t="s">
        <v>272</v>
      </c>
      <c r="E717">
        <v>3626</v>
      </c>
      <c r="F717" s="106" t="s">
        <v>846</v>
      </c>
      <c r="G717" s="106" t="s">
        <v>273</v>
      </c>
      <c r="H717" s="106" t="s">
        <v>284</v>
      </c>
      <c r="I717" t="s">
        <v>290</v>
      </c>
      <c r="J717" t="s">
        <v>2507</v>
      </c>
    </row>
    <row r="718" spans="1:10" x14ac:dyDescent="0.2">
      <c r="A718" s="106" t="s">
        <v>585</v>
      </c>
      <c r="B718" s="106" t="s">
        <v>270</v>
      </c>
      <c r="C718" s="106" t="s">
        <v>271</v>
      </c>
      <c r="D718" s="106" t="s">
        <v>276</v>
      </c>
      <c r="E718">
        <v>3741</v>
      </c>
      <c r="F718" s="106" t="s">
        <v>847</v>
      </c>
      <c r="G718" s="106" t="s">
        <v>273</v>
      </c>
      <c r="H718" s="106" t="s">
        <v>284</v>
      </c>
      <c r="I718">
        <v>193</v>
      </c>
    </row>
    <row r="719" spans="1:10" x14ac:dyDescent="0.2">
      <c r="A719" s="106" t="s">
        <v>585</v>
      </c>
      <c r="B719" s="106" t="s">
        <v>270</v>
      </c>
      <c r="C719" s="106" t="s">
        <v>271</v>
      </c>
      <c r="D719" s="106" t="s">
        <v>272</v>
      </c>
      <c r="E719">
        <v>3943</v>
      </c>
      <c r="F719" s="106" t="s">
        <v>599</v>
      </c>
      <c r="G719" s="106" t="s">
        <v>478</v>
      </c>
      <c r="H719" s="106" t="s">
        <v>307</v>
      </c>
      <c r="I719">
        <v>85</v>
      </c>
    </row>
    <row r="720" spans="1:10" x14ac:dyDescent="0.2">
      <c r="A720" s="106" t="s">
        <v>585</v>
      </c>
      <c r="B720" s="106" t="s">
        <v>270</v>
      </c>
      <c r="C720" s="106" t="s">
        <v>271</v>
      </c>
      <c r="D720" s="106" t="s">
        <v>272</v>
      </c>
      <c r="E720">
        <v>4046</v>
      </c>
      <c r="F720" s="106" t="s">
        <v>600</v>
      </c>
      <c r="G720" s="106" t="s">
        <v>273</v>
      </c>
      <c r="H720" s="106" t="s">
        <v>286</v>
      </c>
      <c r="I720">
        <v>850</v>
      </c>
    </row>
    <row r="721" spans="1:10" x14ac:dyDescent="0.2">
      <c r="A721" s="106" t="s">
        <v>585</v>
      </c>
      <c r="B721" s="106" t="s">
        <v>270</v>
      </c>
      <c r="C721" s="106" t="s">
        <v>271</v>
      </c>
      <c r="D721" s="106" t="s">
        <v>276</v>
      </c>
      <c r="E721">
        <v>4080</v>
      </c>
      <c r="F721" s="106" t="s">
        <v>601</v>
      </c>
      <c r="G721" s="106" t="s">
        <v>277</v>
      </c>
      <c r="H721" s="106" t="s">
        <v>286</v>
      </c>
      <c r="I721" s="106">
        <v>286</v>
      </c>
      <c r="J721" s="106"/>
    </row>
    <row r="722" spans="1:10" x14ac:dyDescent="0.2">
      <c r="A722" s="106" t="s">
        <v>585</v>
      </c>
      <c r="B722" s="106" t="s">
        <v>270</v>
      </c>
      <c r="C722" s="106" t="s">
        <v>271</v>
      </c>
      <c r="D722" s="106" t="s">
        <v>272</v>
      </c>
      <c r="E722">
        <v>4203</v>
      </c>
      <c r="F722" s="106" t="s">
        <v>2073</v>
      </c>
      <c r="G722" s="106" t="s">
        <v>273</v>
      </c>
      <c r="H722" s="106" t="s">
        <v>286</v>
      </c>
      <c r="I722" t="s">
        <v>296</v>
      </c>
      <c r="J722" t="s">
        <v>2472</v>
      </c>
    </row>
    <row r="723" spans="1:10" x14ac:dyDescent="0.2">
      <c r="A723" s="106" t="s">
        <v>585</v>
      </c>
      <c r="B723" s="106" t="s">
        <v>270</v>
      </c>
      <c r="C723" s="106" t="s">
        <v>275</v>
      </c>
      <c r="D723" s="106" t="s">
        <v>276</v>
      </c>
      <c r="E723">
        <v>4447</v>
      </c>
      <c r="F723" s="106" t="s">
        <v>602</v>
      </c>
      <c r="G723" s="106" t="s">
        <v>478</v>
      </c>
      <c r="H723" s="106" t="s">
        <v>284</v>
      </c>
      <c r="I723">
        <v>27</v>
      </c>
    </row>
    <row r="724" spans="1:10" x14ac:dyDescent="0.2">
      <c r="A724" s="106" t="s">
        <v>585</v>
      </c>
      <c r="B724" s="106" t="s">
        <v>270</v>
      </c>
      <c r="C724" s="106" t="s">
        <v>271</v>
      </c>
      <c r="D724" s="106" t="s">
        <v>272</v>
      </c>
      <c r="E724">
        <v>4548</v>
      </c>
      <c r="F724" s="106" t="s">
        <v>603</v>
      </c>
      <c r="G724" s="106" t="s">
        <v>273</v>
      </c>
      <c r="H724" s="106" t="s">
        <v>318</v>
      </c>
      <c r="I724">
        <v>704</v>
      </c>
    </row>
    <row r="725" spans="1:10" x14ac:dyDescent="0.2">
      <c r="A725" s="106" t="s">
        <v>585</v>
      </c>
      <c r="B725" s="106" t="s">
        <v>270</v>
      </c>
      <c r="C725" s="106" t="s">
        <v>271</v>
      </c>
      <c r="D725" s="106" t="s">
        <v>272</v>
      </c>
      <c r="E725">
        <v>5192</v>
      </c>
      <c r="F725" s="106" t="s">
        <v>604</v>
      </c>
      <c r="G725" s="106" t="s">
        <v>273</v>
      </c>
      <c r="H725" s="106" t="s">
        <v>605</v>
      </c>
      <c r="I725">
        <v>693</v>
      </c>
    </row>
    <row r="726" spans="1:10" x14ac:dyDescent="0.2">
      <c r="A726" s="106" t="s">
        <v>585</v>
      </c>
      <c r="B726" s="106" t="s">
        <v>270</v>
      </c>
      <c r="C726" s="106" t="s">
        <v>271</v>
      </c>
      <c r="D726" s="106" t="s">
        <v>272</v>
      </c>
      <c r="E726">
        <v>5964</v>
      </c>
      <c r="F726" s="106" t="s">
        <v>606</v>
      </c>
      <c r="G726" s="106" t="s">
        <v>281</v>
      </c>
      <c r="H726" s="106" t="s">
        <v>288</v>
      </c>
      <c r="I726">
        <v>22</v>
      </c>
    </row>
    <row r="727" spans="1:10" x14ac:dyDescent="0.2">
      <c r="A727" s="106" t="s">
        <v>585</v>
      </c>
      <c r="B727" s="106" t="s">
        <v>270</v>
      </c>
      <c r="C727" s="106" t="s">
        <v>271</v>
      </c>
      <c r="D727" s="106" t="s">
        <v>272</v>
      </c>
      <c r="E727">
        <v>5989</v>
      </c>
      <c r="F727" s="106" t="s">
        <v>607</v>
      </c>
      <c r="G727" s="106" t="s">
        <v>273</v>
      </c>
      <c r="H727" s="106" t="s">
        <v>288</v>
      </c>
      <c r="I727">
        <v>233</v>
      </c>
    </row>
    <row r="728" spans="1:10" x14ac:dyDescent="0.2">
      <c r="A728" s="106" t="s">
        <v>585</v>
      </c>
      <c r="B728" s="106" t="s">
        <v>270</v>
      </c>
      <c r="C728" s="106" t="s">
        <v>271</v>
      </c>
      <c r="D728" s="106" t="s">
        <v>272</v>
      </c>
      <c r="E728">
        <v>6240</v>
      </c>
      <c r="F728" s="106" t="s">
        <v>608</v>
      </c>
      <c r="G728" s="106" t="s">
        <v>273</v>
      </c>
      <c r="H728" s="106" t="s">
        <v>294</v>
      </c>
      <c r="I728">
        <v>612</v>
      </c>
    </row>
    <row r="729" spans="1:10" x14ac:dyDescent="0.2">
      <c r="A729" s="106" t="s">
        <v>585</v>
      </c>
      <c r="B729" s="106" t="s">
        <v>270</v>
      </c>
      <c r="C729" s="106" t="s">
        <v>271</v>
      </c>
      <c r="D729" s="106" t="s">
        <v>272</v>
      </c>
      <c r="E729">
        <v>6282</v>
      </c>
      <c r="F729" s="106" t="s">
        <v>2074</v>
      </c>
      <c r="G729" s="106" t="s">
        <v>273</v>
      </c>
      <c r="H729" s="106" t="s">
        <v>294</v>
      </c>
      <c r="I729">
        <v>575</v>
      </c>
    </row>
    <row r="730" spans="1:10" x14ac:dyDescent="0.2">
      <c r="A730" s="106" t="s">
        <v>585</v>
      </c>
      <c r="B730" s="106" t="s">
        <v>270</v>
      </c>
      <c r="C730" s="106" t="s">
        <v>280</v>
      </c>
      <c r="D730" s="106" t="s">
        <v>272</v>
      </c>
      <c r="E730">
        <v>6537</v>
      </c>
      <c r="F730" s="106" t="s">
        <v>609</v>
      </c>
      <c r="G730" s="106" t="s">
        <v>285</v>
      </c>
      <c r="H730" s="106" t="s">
        <v>278</v>
      </c>
      <c r="I730">
        <v>62</v>
      </c>
    </row>
    <row r="731" spans="1:10" x14ac:dyDescent="0.2">
      <c r="A731" s="106" t="s">
        <v>585</v>
      </c>
      <c r="B731" s="106" t="s">
        <v>270</v>
      </c>
      <c r="C731" s="106" t="s">
        <v>282</v>
      </c>
      <c r="D731" s="106" t="s">
        <v>272</v>
      </c>
      <c r="E731">
        <v>6662</v>
      </c>
      <c r="F731" s="106" t="s">
        <v>738</v>
      </c>
      <c r="G731" s="106" t="s">
        <v>277</v>
      </c>
      <c r="H731" s="106" t="s">
        <v>298</v>
      </c>
      <c r="I731">
        <v>42</v>
      </c>
    </row>
    <row r="732" spans="1:10" x14ac:dyDescent="0.2">
      <c r="A732" s="106" t="s">
        <v>585</v>
      </c>
      <c r="B732" s="106" t="s">
        <v>270</v>
      </c>
      <c r="C732" s="106" t="s">
        <v>271</v>
      </c>
      <c r="D732" s="106" t="s">
        <v>272</v>
      </c>
      <c r="E732">
        <v>6832</v>
      </c>
      <c r="F732" s="106" t="s">
        <v>610</v>
      </c>
      <c r="G732" s="106" t="s">
        <v>281</v>
      </c>
      <c r="H732" s="106" t="s">
        <v>298</v>
      </c>
      <c r="I732">
        <v>329</v>
      </c>
    </row>
    <row r="733" spans="1:10" x14ac:dyDescent="0.2">
      <c r="A733" s="106" t="s">
        <v>585</v>
      </c>
      <c r="B733" s="106" t="s">
        <v>270</v>
      </c>
      <c r="C733" s="106" t="s">
        <v>271</v>
      </c>
      <c r="D733" s="106" t="s">
        <v>272</v>
      </c>
      <c r="E733">
        <v>7057</v>
      </c>
      <c r="F733" s="106" t="s">
        <v>611</v>
      </c>
      <c r="G733" s="106" t="s">
        <v>277</v>
      </c>
      <c r="H733" s="106" t="s">
        <v>278</v>
      </c>
      <c r="I733">
        <v>39</v>
      </c>
    </row>
    <row r="734" spans="1:10" x14ac:dyDescent="0.2">
      <c r="A734" s="106" t="s">
        <v>585</v>
      </c>
      <c r="B734" s="106" t="s">
        <v>270</v>
      </c>
      <c r="C734" s="106" t="s">
        <v>271</v>
      </c>
      <c r="D734" s="106" t="s">
        <v>276</v>
      </c>
      <c r="E734">
        <v>7164</v>
      </c>
      <c r="F734" s="106" t="s">
        <v>612</v>
      </c>
      <c r="G734" s="106" t="s">
        <v>273</v>
      </c>
      <c r="H734" s="106" t="s">
        <v>309</v>
      </c>
      <c r="I734" t="s">
        <v>357</v>
      </c>
      <c r="J734" t="s">
        <v>2508</v>
      </c>
    </row>
    <row r="735" spans="1:10" x14ac:dyDescent="0.2">
      <c r="A735" s="106" t="s">
        <v>585</v>
      </c>
      <c r="B735" s="106" t="s">
        <v>270</v>
      </c>
      <c r="C735" s="106" t="s">
        <v>271</v>
      </c>
      <c r="D735" s="106" t="s">
        <v>272</v>
      </c>
      <c r="E735">
        <v>7259</v>
      </c>
      <c r="F735" s="106" t="s">
        <v>614</v>
      </c>
      <c r="G735" s="106" t="s">
        <v>273</v>
      </c>
      <c r="H735" s="106" t="s">
        <v>303</v>
      </c>
      <c r="I735" t="s">
        <v>615</v>
      </c>
      <c r="J735" t="s">
        <v>2509</v>
      </c>
    </row>
    <row r="736" spans="1:10" x14ac:dyDescent="0.2">
      <c r="A736" s="106" t="s">
        <v>585</v>
      </c>
      <c r="B736" s="106" t="s">
        <v>270</v>
      </c>
      <c r="C736" s="106" t="s">
        <v>271</v>
      </c>
      <c r="D736" s="106" t="s">
        <v>272</v>
      </c>
      <c r="E736">
        <v>7702</v>
      </c>
      <c r="F736" s="106" t="s">
        <v>617</v>
      </c>
      <c r="G736" s="106" t="s">
        <v>273</v>
      </c>
      <c r="H736" s="106" t="s">
        <v>384</v>
      </c>
      <c r="I736">
        <v>199</v>
      </c>
    </row>
    <row r="737" spans="1:10" x14ac:dyDescent="0.2">
      <c r="A737" s="106" t="s">
        <v>585</v>
      </c>
      <c r="B737" s="106" t="s">
        <v>270</v>
      </c>
      <c r="C737" s="106" t="s">
        <v>282</v>
      </c>
      <c r="D737" s="106" t="s">
        <v>272</v>
      </c>
      <c r="E737">
        <v>7813</v>
      </c>
      <c r="F737" s="106" t="s">
        <v>618</v>
      </c>
      <c r="G737" s="106" t="s">
        <v>285</v>
      </c>
      <c r="H737" s="106" t="s">
        <v>295</v>
      </c>
      <c r="I737">
        <v>69</v>
      </c>
    </row>
    <row r="738" spans="1:10" x14ac:dyDescent="0.2">
      <c r="A738" s="106" t="s">
        <v>585</v>
      </c>
      <c r="B738" s="106" t="s">
        <v>270</v>
      </c>
      <c r="C738" s="106" t="s">
        <v>280</v>
      </c>
      <c r="D738" s="106" t="s">
        <v>272</v>
      </c>
      <c r="E738">
        <v>7963</v>
      </c>
      <c r="F738" s="106" t="s">
        <v>619</v>
      </c>
      <c r="G738" s="106" t="s">
        <v>277</v>
      </c>
      <c r="H738" s="106" t="s">
        <v>295</v>
      </c>
      <c r="I738">
        <v>69</v>
      </c>
    </row>
    <row r="739" spans="1:10" x14ac:dyDescent="0.2">
      <c r="A739" s="106" t="s">
        <v>585</v>
      </c>
      <c r="B739" s="106" t="s">
        <v>270</v>
      </c>
      <c r="C739" s="106" t="s">
        <v>271</v>
      </c>
      <c r="D739" s="106" t="s">
        <v>272</v>
      </c>
      <c r="E739">
        <v>7971</v>
      </c>
      <c r="F739" s="106" t="s">
        <v>2075</v>
      </c>
      <c r="G739" s="106" t="s">
        <v>273</v>
      </c>
      <c r="H739" s="106" t="s">
        <v>286</v>
      </c>
      <c r="I739">
        <v>216</v>
      </c>
    </row>
    <row r="740" spans="1:10" x14ac:dyDescent="0.2">
      <c r="A740" s="106" t="s">
        <v>585</v>
      </c>
      <c r="B740" s="106" t="s">
        <v>270</v>
      </c>
      <c r="C740" s="106" t="s">
        <v>271</v>
      </c>
      <c r="D740" s="106" t="s">
        <v>272</v>
      </c>
      <c r="E740">
        <v>8138</v>
      </c>
      <c r="F740" s="106" t="s">
        <v>620</v>
      </c>
      <c r="G740" s="106" t="s">
        <v>281</v>
      </c>
      <c r="H740" s="106" t="s">
        <v>279</v>
      </c>
      <c r="I740">
        <v>42</v>
      </c>
    </row>
    <row r="741" spans="1:10" x14ac:dyDescent="0.2">
      <c r="A741" s="106" t="s">
        <v>585</v>
      </c>
      <c r="B741" s="106" t="s">
        <v>270</v>
      </c>
      <c r="C741" s="106" t="s">
        <v>271</v>
      </c>
      <c r="D741" s="106" t="s">
        <v>272</v>
      </c>
      <c r="E741">
        <v>8150</v>
      </c>
      <c r="F741" s="106" t="s">
        <v>2510</v>
      </c>
      <c r="G741" s="106" t="s">
        <v>273</v>
      </c>
      <c r="H741" s="106" t="s">
        <v>279</v>
      </c>
      <c r="I741">
        <v>428</v>
      </c>
    </row>
    <row r="742" spans="1:10" x14ac:dyDescent="0.2">
      <c r="A742" s="106" t="s">
        <v>585</v>
      </c>
      <c r="B742" s="106" t="s">
        <v>270</v>
      </c>
      <c r="C742" s="106" t="s">
        <v>271</v>
      </c>
      <c r="D742" s="106" t="s">
        <v>272</v>
      </c>
      <c r="E742">
        <v>8153</v>
      </c>
      <c r="F742" s="106" t="s">
        <v>621</v>
      </c>
      <c r="G742" s="106" t="s">
        <v>273</v>
      </c>
      <c r="H742" s="106" t="s">
        <v>279</v>
      </c>
      <c r="I742">
        <v>975</v>
      </c>
    </row>
    <row r="743" spans="1:10" x14ac:dyDescent="0.2">
      <c r="A743" s="106" t="s">
        <v>585</v>
      </c>
      <c r="B743" s="106" t="s">
        <v>270</v>
      </c>
      <c r="C743" s="106" t="s">
        <v>271</v>
      </c>
      <c r="D743" s="106" t="s">
        <v>272</v>
      </c>
      <c r="E743">
        <v>8226</v>
      </c>
      <c r="F743" s="106" t="s">
        <v>622</v>
      </c>
      <c r="G743" s="106" t="s">
        <v>281</v>
      </c>
      <c r="H743" s="106" t="s">
        <v>279</v>
      </c>
      <c r="I743" s="106">
        <v>29</v>
      </c>
      <c r="J743" s="106"/>
    </row>
    <row r="744" spans="1:10" x14ac:dyDescent="0.2">
      <c r="A744" s="106" t="s">
        <v>585</v>
      </c>
      <c r="B744" s="106" t="s">
        <v>270</v>
      </c>
      <c r="C744" s="106" t="s">
        <v>271</v>
      </c>
      <c r="D744" s="106" t="s">
        <v>272</v>
      </c>
      <c r="E744">
        <v>8281</v>
      </c>
      <c r="F744" s="106" t="s">
        <v>623</v>
      </c>
      <c r="G744" s="106" t="s">
        <v>273</v>
      </c>
      <c r="H744" s="106" t="s">
        <v>283</v>
      </c>
      <c r="I744">
        <v>631</v>
      </c>
    </row>
    <row r="745" spans="1:10" x14ac:dyDescent="0.2">
      <c r="A745" s="106" t="s">
        <v>585</v>
      </c>
      <c r="B745" s="106" t="s">
        <v>270</v>
      </c>
      <c r="C745" s="106" t="s">
        <v>271</v>
      </c>
      <c r="D745" s="106" t="s">
        <v>272</v>
      </c>
      <c r="E745">
        <v>9001</v>
      </c>
      <c r="F745" s="106" t="s">
        <v>624</v>
      </c>
      <c r="G745" s="106" t="s">
        <v>273</v>
      </c>
      <c r="H745" s="106" t="s">
        <v>405</v>
      </c>
      <c r="I745" t="s">
        <v>386</v>
      </c>
      <c r="J745" t="s">
        <v>2172</v>
      </c>
    </row>
    <row r="746" spans="1:10" x14ac:dyDescent="0.2">
      <c r="A746" s="106" t="s">
        <v>585</v>
      </c>
      <c r="B746" s="106" t="s">
        <v>270</v>
      </c>
      <c r="C746" s="106" t="s">
        <v>271</v>
      </c>
      <c r="D746" s="106" t="s">
        <v>272</v>
      </c>
      <c r="E746">
        <v>9035</v>
      </c>
      <c r="F746" s="106" t="s">
        <v>2511</v>
      </c>
      <c r="G746" s="106" t="s">
        <v>478</v>
      </c>
      <c r="H746" s="106" t="s">
        <v>405</v>
      </c>
      <c r="I746">
        <v>348</v>
      </c>
    </row>
    <row r="747" spans="1:10" x14ac:dyDescent="0.2">
      <c r="A747" s="106" t="s">
        <v>585</v>
      </c>
      <c r="B747" s="106" t="s">
        <v>270</v>
      </c>
      <c r="C747" s="106" t="s">
        <v>280</v>
      </c>
      <c r="D747" s="106" t="s">
        <v>276</v>
      </c>
      <c r="E747">
        <v>9284</v>
      </c>
      <c r="F747" s="106" t="s">
        <v>739</v>
      </c>
      <c r="G747" s="106" t="s">
        <v>310</v>
      </c>
      <c r="H747" s="106" t="s">
        <v>311</v>
      </c>
      <c r="I747">
        <v>278</v>
      </c>
    </row>
    <row r="748" spans="1:10" x14ac:dyDescent="0.2">
      <c r="A748" s="106" t="s">
        <v>585</v>
      </c>
      <c r="B748" s="106" t="s">
        <v>270</v>
      </c>
      <c r="C748" s="106" t="s">
        <v>271</v>
      </c>
      <c r="D748" s="106" t="s">
        <v>272</v>
      </c>
      <c r="E748">
        <v>9364</v>
      </c>
      <c r="F748" s="106" t="s">
        <v>625</v>
      </c>
      <c r="G748" s="106" t="s">
        <v>273</v>
      </c>
      <c r="H748" s="106" t="s">
        <v>626</v>
      </c>
      <c r="I748" t="s">
        <v>357</v>
      </c>
      <c r="J748" t="s">
        <v>2512</v>
      </c>
    </row>
    <row r="749" spans="1:10" x14ac:dyDescent="0.2">
      <c r="A749" s="106" t="s">
        <v>585</v>
      </c>
      <c r="B749" s="106" t="s">
        <v>270</v>
      </c>
      <c r="C749" s="106" t="s">
        <v>271</v>
      </c>
      <c r="D749" s="106" t="s">
        <v>272</v>
      </c>
      <c r="E749">
        <v>9613</v>
      </c>
      <c r="F749" s="106" t="s">
        <v>627</v>
      </c>
      <c r="G749" s="106" t="s">
        <v>273</v>
      </c>
      <c r="H749" s="106" t="s">
        <v>284</v>
      </c>
      <c r="I749" t="s">
        <v>831</v>
      </c>
      <c r="J749" t="s">
        <v>2513</v>
      </c>
    </row>
    <row r="750" spans="1:10" x14ac:dyDescent="0.2">
      <c r="A750" s="106" t="s">
        <v>585</v>
      </c>
      <c r="B750" s="106" t="s">
        <v>270</v>
      </c>
      <c r="C750" s="106" t="s">
        <v>271</v>
      </c>
      <c r="D750" s="106" t="s">
        <v>272</v>
      </c>
      <c r="E750">
        <v>9671</v>
      </c>
      <c r="F750" s="106" t="s">
        <v>628</v>
      </c>
      <c r="G750" s="106" t="s">
        <v>273</v>
      </c>
      <c r="H750" s="106" t="s">
        <v>278</v>
      </c>
      <c r="I750">
        <v>380</v>
      </c>
    </row>
    <row r="751" spans="1:10" x14ac:dyDescent="0.2">
      <c r="A751" s="106" t="s">
        <v>585</v>
      </c>
      <c r="B751" s="106" t="s">
        <v>270</v>
      </c>
      <c r="C751" s="106" t="s">
        <v>271</v>
      </c>
      <c r="D751" s="106" t="s">
        <v>272</v>
      </c>
      <c r="E751">
        <v>9887</v>
      </c>
      <c r="F751" s="106" t="s">
        <v>629</v>
      </c>
      <c r="G751" s="106" t="s">
        <v>273</v>
      </c>
      <c r="H751" s="106" t="s">
        <v>283</v>
      </c>
      <c r="I751">
        <v>865</v>
      </c>
    </row>
    <row r="752" spans="1:10" x14ac:dyDescent="0.2">
      <c r="A752" s="106" t="s">
        <v>585</v>
      </c>
      <c r="B752" s="106" t="s">
        <v>270</v>
      </c>
      <c r="C752" s="106" t="s">
        <v>271</v>
      </c>
      <c r="D752" s="106" t="s">
        <v>272</v>
      </c>
      <c r="E752">
        <v>9896</v>
      </c>
      <c r="F752" s="106" t="s">
        <v>630</v>
      </c>
      <c r="G752" s="106" t="s">
        <v>273</v>
      </c>
      <c r="H752" s="106" t="s">
        <v>279</v>
      </c>
      <c r="I752">
        <v>216</v>
      </c>
    </row>
    <row r="753" spans="1:10" x14ac:dyDescent="0.2">
      <c r="A753" s="106" t="s">
        <v>631</v>
      </c>
      <c r="B753" s="106" t="s">
        <v>270</v>
      </c>
      <c r="C753" s="106" t="s">
        <v>271</v>
      </c>
      <c r="D753" s="106" t="s">
        <v>276</v>
      </c>
      <c r="E753">
        <v>1450</v>
      </c>
      <c r="F753" s="106" t="s">
        <v>632</v>
      </c>
      <c r="G753" s="106" t="s">
        <v>277</v>
      </c>
      <c r="H753" s="106" t="s">
        <v>300</v>
      </c>
      <c r="I753">
        <v>57</v>
      </c>
    </row>
    <row r="754" spans="1:10" x14ac:dyDescent="0.2">
      <c r="A754" s="106" t="s">
        <v>631</v>
      </c>
      <c r="B754" s="106" t="s">
        <v>270</v>
      </c>
      <c r="C754" s="106" t="s">
        <v>271</v>
      </c>
      <c r="D754" s="106" t="s">
        <v>272</v>
      </c>
      <c r="E754">
        <v>1451</v>
      </c>
      <c r="F754" s="106" t="s">
        <v>633</v>
      </c>
      <c r="G754" s="106" t="s">
        <v>281</v>
      </c>
      <c r="H754" s="106" t="s">
        <v>300</v>
      </c>
      <c r="I754">
        <v>31</v>
      </c>
    </row>
    <row r="755" spans="1:10" x14ac:dyDescent="0.2">
      <c r="A755" s="106" t="s">
        <v>631</v>
      </c>
      <c r="B755" s="106" t="s">
        <v>270</v>
      </c>
      <c r="C755" s="106" t="s">
        <v>280</v>
      </c>
      <c r="D755" s="106" t="s">
        <v>272</v>
      </c>
      <c r="E755">
        <v>1605</v>
      </c>
      <c r="F755" s="106" t="s">
        <v>634</v>
      </c>
      <c r="G755" s="106" t="s">
        <v>273</v>
      </c>
      <c r="H755" s="106" t="s">
        <v>635</v>
      </c>
      <c r="I755" t="s">
        <v>301</v>
      </c>
      <c r="J755" t="s">
        <v>2514</v>
      </c>
    </row>
    <row r="756" spans="1:10" x14ac:dyDescent="0.2">
      <c r="A756" s="106" t="s">
        <v>631</v>
      </c>
      <c r="B756" s="106" t="s">
        <v>270</v>
      </c>
      <c r="C756" s="106" t="s">
        <v>271</v>
      </c>
      <c r="D756" s="106" t="s">
        <v>272</v>
      </c>
      <c r="E756">
        <v>1866</v>
      </c>
      <c r="F756" s="106" t="s">
        <v>636</v>
      </c>
      <c r="G756" s="106" t="s">
        <v>273</v>
      </c>
      <c r="H756" s="106" t="s">
        <v>300</v>
      </c>
      <c r="I756">
        <v>180</v>
      </c>
    </row>
    <row r="757" spans="1:10" x14ac:dyDescent="0.2">
      <c r="A757" s="106" t="s">
        <v>631</v>
      </c>
      <c r="B757" s="106" t="s">
        <v>270</v>
      </c>
      <c r="C757" s="106" t="s">
        <v>280</v>
      </c>
      <c r="D757" s="106" t="s">
        <v>272</v>
      </c>
      <c r="E757">
        <v>1899</v>
      </c>
      <c r="F757" s="106" t="s">
        <v>637</v>
      </c>
      <c r="G757" s="106" t="s">
        <v>273</v>
      </c>
      <c r="H757" s="106" t="s">
        <v>300</v>
      </c>
      <c r="I757">
        <v>463</v>
      </c>
    </row>
    <row r="758" spans="1:10" x14ac:dyDescent="0.2">
      <c r="A758" s="106" t="s">
        <v>631</v>
      </c>
      <c r="B758" s="106" t="s">
        <v>270</v>
      </c>
      <c r="C758" s="106" t="s">
        <v>271</v>
      </c>
      <c r="D758" s="106" t="s">
        <v>272</v>
      </c>
      <c r="E758">
        <v>1952</v>
      </c>
      <c r="F758" s="106" t="s">
        <v>638</v>
      </c>
      <c r="G758" s="106" t="s">
        <v>273</v>
      </c>
      <c r="H758" s="106" t="s">
        <v>300</v>
      </c>
      <c r="I758">
        <v>529</v>
      </c>
    </row>
    <row r="759" spans="1:10" x14ac:dyDescent="0.2">
      <c r="A759" s="106" t="s">
        <v>631</v>
      </c>
      <c r="B759" s="106" t="s">
        <v>270</v>
      </c>
      <c r="C759" s="106" t="s">
        <v>271</v>
      </c>
      <c r="D759" s="106" t="s">
        <v>272</v>
      </c>
      <c r="E759">
        <v>2134</v>
      </c>
      <c r="F759" s="106" t="s">
        <v>639</v>
      </c>
      <c r="G759" s="106" t="s">
        <v>277</v>
      </c>
      <c r="H759" s="106" t="s">
        <v>278</v>
      </c>
      <c r="I759">
        <v>42</v>
      </c>
    </row>
    <row r="760" spans="1:10" x14ac:dyDescent="0.2">
      <c r="A760" s="106" t="s">
        <v>631</v>
      </c>
      <c r="B760" s="106" t="s">
        <v>270</v>
      </c>
      <c r="C760" s="106" t="s">
        <v>282</v>
      </c>
      <c r="D760" s="106" t="s">
        <v>272</v>
      </c>
      <c r="E760">
        <v>2385</v>
      </c>
      <c r="F760" s="106" t="s">
        <v>2076</v>
      </c>
      <c r="G760" s="106" t="s">
        <v>285</v>
      </c>
      <c r="H760" s="106" t="s">
        <v>278</v>
      </c>
      <c r="I760">
        <v>161</v>
      </c>
    </row>
    <row r="761" spans="1:10" x14ac:dyDescent="0.2">
      <c r="A761" s="106" t="s">
        <v>631</v>
      </c>
      <c r="B761" s="106" t="s">
        <v>270</v>
      </c>
      <c r="C761" s="106" t="s">
        <v>271</v>
      </c>
      <c r="D761" s="106" t="s">
        <v>272</v>
      </c>
      <c r="E761">
        <v>2831</v>
      </c>
      <c r="F761" s="106" t="s">
        <v>848</v>
      </c>
      <c r="G761" s="106" t="s">
        <v>281</v>
      </c>
      <c r="H761" s="106" t="s">
        <v>274</v>
      </c>
      <c r="I761">
        <v>272</v>
      </c>
    </row>
    <row r="762" spans="1:10" x14ac:dyDescent="0.2">
      <c r="A762" s="106" t="s">
        <v>631</v>
      </c>
      <c r="B762" s="106" t="s">
        <v>270</v>
      </c>
      <c r="C762" s="106" t="s">
        <v>275</v>
      </c>
      <c r="D762" s="106" t="s">
        <v>272</v>
      </c>
      <c r="E762">
        <v>2974</v>
      </c>
      <c r="F762" s="106" t="s">
        <v>640</v>
      </c>
      <c r="G762" s="106" t="s">
        <v>478</v>
      </c>
      <c r="H762" s="106" t="s">
        <v>299</v>
      </c>
      <c r="I762">
        <v>34</v>
      </c>
    </row>
    <row r="763" spans="1:10" x14ac:dyDescent="0.2">
      <c r="A763" s="106" t="s">
        <v>631</v>
      </c>
      <c r="B763" s="106" t="s">
        <v>270</v>
      </c>
      <c r="C763" s="106" t="s">
        <v>271</v>
      </c>
      <c r="D763" s="106" t="s">
        <v>272</v>
      </c>
      <c r="E763">
        <v>2976</v>
      </c>
      <c r="F763" s="106" t="s">
        <v>641</v>
      </c>
      <c r="G763" s="106" t="s">
        <v>642</v>
      </c>
      <c r="H763" s="106" t="s">
        <v>299</v>
      </c>
      <c r="I763">
        <v>14</v>
      </c>
    </row>
    <row r="764" spans="1:10" x14ac:dyDescent="0.2">
      <c r="A764" s="106" t="s">
        <v>631</v>
      </c>
      <c r="B764" s="106" t="s">
        <v>270</v>
      </c>
      <c r="C764" s="106" t="s">
        <v>271</v>
      </c>
      <c r="D764" s="106" t="s">
        <v>272</v>
      </c>
      <c r="E764">
        <v>2981</v>
      </c>
      <c r="F764" s="106" t="s">
        <v>2515</v>
      </c>
      <c r="G764" s="106" t="s">
        <v>285</v>
      </c>
      <c r="H764" s="106" t="s">
        <v>299</v>
      </c>
      <c r="I764">
        <v>79</v>
      </c>
    </row>
    <row r="765" spans="1:10" x14ac:dyDescent="0.2">
      <c r="A765" s="106" t="s">
        <v>631</v>
      </c>
      <c r="B765" s="106" t="s">
        <v>270</v>
      </c>
      <c r="C765" s="106" t="s">
        <v>271</v>
      </c>
      <c r="D765" s="106" t="s">
        <v>272</v>
      </c>
      <c r="E765">
        <v>3291</v>
      </c>
      <c r="F765" s="106" t="s">
        <v>849</v>
      </c>
      <c r="G765" s="106" t="s">
        <v>273</v>
      </c>
      <c r="H765" s="106" t="s">
        <v>299</v>
      </c>
      <c r="I765" t="s">
        <v>290</v>
      </c>
      <c r="J765" t="s">
        <v>2516</v>
      </c>
    </row>
    <row r="766" spans="1:10" x14ac:dyDescent="0.2">
      <c r="A766" s="106" t="s">
        <v>631</v>
      </c>
      <c r="B766" s="106" t="s">
        <v>270</v>
      </c>
      <c r="C766" s="106" t="s">
        <v>271</v>
      </c>
      <c r="D766" s="106" t="s">
        <v>272</v>
      </c>
      <c r="E766">
        <v>3372</v>
      </c>
      <c r="F766" s="106" t="s">
        <v>850</v>
      </c>
      <c r="G766" s="106" t="s">
        <v>281</v>
      </c>
      <c r="H766" s="106" t="s">
        <v>283</v>
      </c>
      <c r="I766">
        <v>52</v>
      </c>
    </row>
    <row r="767" spans="1:10" x14ac:dyDescent="0.2">
      <c r="A767" s="106" t="s">
        <v>631</v>
      </c>
      <c r="B767" s="106" t="s">
        <v>270</v>
      </c>
      <c r="C767" s="106" t="s">
        <v>280</v>
      </c>
      <c r="D767" s="106" t="s">
        <v>272</v>
      </c>
      <c r="E767">
        <v>3606</v>
      </c>
      <c r="F767" s="106" t="s">
        <v>643</v>
      </c>
      <c r="G767" s="106" t="s">
        <v>273</v>
      </c>
      <c r="H767" s="106" t="s">
        <v>306</v>
      </c>
      <c r="I767">
        <v>114</v>
      </c>
    </row>
    <row r="768" spans="1:10" x14ac:dyDescent="0.2">
      <c r="A768" s="106" t="s">
        <v>631</v>
      </c>
      <c r="B768" s="106" t="s">
        <v>270</v>
      </c>
      <c r="C768" s="106" t="s">
        <v>271</v>
      </c>
      <c r="D768" s="106" t="s">
        <v>276</v>
      </c>
      <c r="E768">
        <v>3652</v>
      </c>
      <c r="F768" s="106" t="s">
        <v>851</v>
      </c>
      <c r="G768" s="106" t="s">
        <v>285</v>
      </c>
      <c r="H768" s="106" t="s">
        <v>284</v>
      </c>
      <c r="I768">
        <v>124</v>
      </c>
    </row>
    <row r="769" spans="1:10" x14ac:dyDescent="0.2">
      <c r="A769" s="106" t="s">
        <v>631</v>
      </c>
      <c r="B769" s="106" t="s">
        <v>270</v>
      </c>
      <c r="C769" s="106" t="s">
        <v>280</v>
      </c>
      <c r="D769" s="106" t="s">
        <v>276</v>
      </c>
      <c r="E769">
        <v>3719</v>
      </c>
      <c r="F769" s="106" t="s">
        <v>852</v>
      </c>
      <c r="G769" s="106" t="s">
        <v>277</v>
      </c>
      <c r="H769" s="106" t="s">
        <v>284</v>
      </c>
      <c r="I769">
        <v>26</v>
      </c>
    </row>
    <row r="770" spans="1:10" x14ac:dyDescent="0.2">
      <c r="A770" s="106" t="s">
        <v>631</v>
      </c>
      <c r="B770" s="106" t="s">
        <v>270</v>
      </c>
      <c r="C770" s="106" t="s">
        <v>282</v>
      </c>
      <c r="D770" s="106" t="s">
        <v>272</v>
      </c>
      <c r="E770">
        <v>3856</v>
      </c>
      <c r="F770" s="106" t="s">
        <v>644</v>
      </c>
      <c r="G770" s="106" t="s">
        <v>281</v>
      </c>
      <c r="H770" s="106" t="s">
        <v>298</v>
      </c>
      <c r="I770">
        <v>29</v>
      </c>
    </row>
    <row r="771" spans="1:10" x14ac:dyDescent="0.2">
      <c r="A771" s="106" t="s">
        <v>631</v>
      </c>
      <c r="B771" s="106" t="s">
        <v>270</v>
      </c>
      <c r="C771" s="106" t="s">
        <v>271</v>
      </c>
      <c r="D771" s="106" t="s">
        <v>272</v>
      </c>
      <c r="E771">
        <v>3896</v>
      </c>
      <c r="F771" s="106" t="s">
        <v>645</v>
      </c>
      <c r="G771" s="106" t="s">
        <v>273</v>
      </c>
      <c r="H771" s="106" t="s">
        <v>307</v>
      </c>
      <c r="I771">
        <v>56</v>
      </c>
    </row>
    <row r="772" spans="1:10" x14ac:dyDescent="0.2">
      <c r="A772" s="106" t="s">
        <v>631</v>
      </c>
      <c r="B772" s="106" t="s">
        <v>270</v>
      </c>
      <c r="C772" s="106" t="s">
        <v>280</v>
      </c>
      <c r="D772" s="106" t="s">
        <v>272</v>
      </c>
      <c r="E772">
        <v>3902</v>
      </c>
      <c r="F772" s="106" t="s">
        <v>646</v>
      </c>
      <c r="G772" s="106" t="s">
        <v>273</v>
      </c>
      <c r="H772" s="106" t="s">
        <v>284</v>
      </c>
      <c r="I772">
        <v>359</v>
      </c>
    </row>
    <row r="773" spans="1:10" x14ac:dyDescent="0.2">
      <c r="A773" s="106" t="s">
        <v>631</v>
      </c>
      <c r="B773" s="106" t="s">
        <v>270</v>
      </c>
      <c r="C773" s="106" t="s">
        <v>271</v>
      </c>
      <c r="D773" s="106" t="s">
        <v>272</v>
      </c>
      <c r="E773">
        <v>3963</v>
      </c>
      <c r="F773" s="106" t="s">
        <v>647</v>
      </c>
      <c r="G773" s="106" t="s">
        <v>273</v>
      </c>
      <c r="H773" s="106" t="s">
        <v>284</v>
      </c>
      <c r="I773">
        <v>147</v>
      </c>
    </row>
    <row r="774" spans="1:10" x14ac:dyDescent="0.2">
      <c r="A774" s="106" t="s">
        <v>631</v>
      </c>
      <c r="B774" s="106" t="s">
        <v>270</v>
      </c>
      <c r="C774" s="106" t="s">
        <v>280</v>
      </c>
      <c r="D774" s="106" t="s">
        <v>272</v>
      </c>
      <c r="E774">
        <v>4245</v>
      </c>
      <c r="F774" s="106" t="s">
        <v>648</v>
      </c>
      <c r="G774" s="106" t="s">
        <v>273</v>
      </c>
      <c r="H774" s="106" t="s">
        <v>286</v>
      </c>
      <c r="I774">
        <v>124</v>
      </c>
    </row>
    <row r="775" spans="1:10" x14ac:dyDescent="0.2">
      <c r="A775" s="106" t="s">
        <v>631</v>
      </c>
      <c r="B775" s="106" t="s">
        <v>270</v>
      </c>
      <c r="C775" s="106" t="s">
        <v>280</v>
      </c>
      <c r="D775" s="106" t="s">
        <v>272</v>
      </c>
      <c r="E775">
        <v>4251</v>
      </c>
      <c r="F775" s="106" t="s">
        <v>649</v>
      </c>
      <c r="G775" s="106" t="s">
        <v>281</v>
      </c>
      <c r="H775" s="106" t="s">
        <v>286</v>
      </c>
      <c r="I775">
        <v>126</v>
      </c>
    </row>
    <row r="776" spans="1:10" x14ac:dyDescent="0.2">
      <c r="A776" s="106" t="s">
        <v>631</v>
      </c>
      <c r="B776" s="106" t="s">
        <v>270</v>
      </c>
      <c r="C776" s="106" t="s">
        <v>271</v>
      </c>
      <c r="D776" s="106" t="s">
        <v>272</v>
      </c>
      <c r="E776">
        <v>4390</v>
      </c>
      <c r="F776" s="106" t="s">
        <v>2077</v>
      </c>
      <c r="G776" s="106" t="s">
        <v>285</v>
      </c>
      <c r="H776" s="106" t="s">
        <v>284</v>
      </c>
      <c r="I776" s="106">
        <v>144</v>
      </c>
      <c r="J776" s="106"/>
    </row>
    <row r="777" spans="1:10" x14ac:dyDescent="0.2">
      <c r="A777" s="106" t="s">
        <v>631</v>
      </c>
      <c r="B777" s="106" t="s">
        <v>270</v>
      </c>
      <c r="C777" s="106" t="s">
        <v>271</v>
      </c>
      <c r="D777" s="106" t="s">
        <v>272</v>
      </c>
      <c r="E777">
        <v>4425</v>
      </c>
      <c r="F777" s="106" t="s">
        <v>650</v>
      </c>
      <c r="G777" s="106" t="s">
        <v>285</v>
      </c>
      <c r="H777" s="106" t="s">
        <v>284</v>
      </c>
      <c r="I777">
        <v>592</v>
      </c>
    </row>
    <row r="778" spans="1:10" x14ac:dyDescent="0.2">
      <c r="A778" s="106" t="s">
        <v>631</v>
      </c>
      <c r="B778" s="106" t="s">
        <v>270</v>
      </c>
      <c r="C778" s="106" t="s">
        <v>271</v>
      </c>
      <c r="D778" s="106" t="s">
        <v>276</v>
      </c>
      <c r="E778">
        <v>4435</v>
      </c>
      <c r="F778" s="106" t="s">
        <v>651</v>
      </c>
      <c r="G778" s="106" t="s">
        <v>285</v>
      </c>
      <c r="H778" s="106" t="s">
        <v>284</v>
      </c>
      <c r="I778">
        <v>425</v>
      </c>
    </row>
    <row r="779" spans="1:10" x14ac:dyDescent="0.2">
      <c r="A779" s="106" t="s">
        <v>631</v>
      </c>
      <c r="B779" s="106" t="s">
        <v>270</v>
      </c>
      <c r="C779" s="106" t="s">
        <v>271</v>
      </c>
      <c r="D779" s="106" t="s">
        <v>272</v>
      </c>
      <c r="E779">
        <v>4442</v>
      </c>
      <c r="F779" s="106" t="s">
        <v>652</v>
      </c>
      <c r="G779" s="106" t="s">
        <v>285</v>
      </c>
      <c r="H779" s="106" t="s">
        <v>284</v>
      </c>
      <c r="I779">
        <v>117</v>
      </c>
    </row>
    <row r="780" spans="1:10" x14ac:dyDescent="0.2">
      <c r="A780" s="106" t="s">
        <v>631</v>
      </c>
      <c r="B780" s="106" t="s">
        <v>270</v>
      </c>
      <c r="C780" s="106" t="s">
        <v>280</v>
      </c>
      <c r="D780" s="106" t="s">
        <v>276</v>
      </c>
      <c r="E780">
        <v>4448</v>
      </c>
      <c r="F780" s="106" t="s">
        <v>653</v>
      </c>
      <c r="G780" s="106" t="s">
        <v>285</v>
      </c>
      <c r="H780" s="106" t="s">
        <v>284</v>
      </c>
      <c r="I780">
        <v>360</v>
      </c>
    </row>
    <row r="781" spans="1:10" x14ac:dyDescent="0.2">
      <c r="A781" s="106" t="s">
        <v>631</v>
      </c>
      <c r="B781" s="106" t="s">
        <v>270</v>
      </c>
      <c r="C781" s="106" t="s">
        <v>280</v>
      </c>
      <c r="D781" s="106" t="s">
        <v>272</v>
      </c>
      <c r="E781">
        <v>4449</v>
      </c>
      <c r="F781" s="106" t="s">
        <v>654</v>
      </c>
      <c r="G781" s="106" t="s">
        <v>285</v>
      </c>
      <c r="H781" s="106" t="s">
        <v>284</v>
      </c>
      <c r="I781">
        <v>406</v>
      </c>
    </row>
    <row r="782" spans="1:10" x14ac:dyDescent="0.2">
      <c r="A782" s="106" t="s">
        <v>631</v>
      </c>
      <c r="B782" s="106" t="s">
        <v>270</v>
      </c>
      <c r="C782" s="106" t="s">
        <v>275</v>
      </c>
      <c r="D782" s="106" t="s">
        <v>272</v>
      </c>
      <c r="E782">
        <v>4475</v>
      </c>
      <c r="F782" s="106" t="s">
        <v>656</v>
      </c>
      <c r="G782" s="106" t="s">
        <v>285</v>
      </c>
      <c r="H782" s="106" t="s">
        <v>284</v>
      </c>
      <c r="I782" s="106">
        <v>276</v>
      </c>
      <c r="J782" s="106"/>
    </row>
    <row r="783" spans="1:10" x14ac:dyDescent="0.2">
      <c r="A783" s="106" t="s">
        <v>631</v>
      </c>
      <c r="B783" s="106" t="s">
        <v>270</v>
      </c>
      <c r="C783" s="106" t="s">
        <v>280</v>
      </c>
      <c r="D783" s="106" t="s">
        <v>276</v>
      </c>
      <c r="E783">
        <v>4476</v>
      </c>
      <c r="F783" s="106" t="s">
        <v>657</v>
      </c>
      <c r="G783" s="106" t="s">
        <v>285</v>
      </c>
      <c r="H783" s="106" t="s">
        <v>284</v>
      </c>
      <c r="I783">
        <v>93</v>
      </c>
    </row>
    <row r="784" spans="1:10" x14ac:dyDescent="0.2">
      <c r="A784" s="106" t="s">
        <v>631</v>
      </c>
      <c r="B784" s="106" t="s">
        <v>270</v>
      </c>
      <c r="C784" s="106" t="s">
        <v>280</v>
      </c>
      <c r="D784" s="106" t="s">
        <v>272</v>
      </c>
      <c r="E784">
        <v>4477</v>
      </c>
      <c r="F784" s="106" t="s">
        <v>658</v>
      </c>
      <c r="G784" s="106" t="s">
        <v>285</v>
      </c>
      <c r="H784" s="106" t="s">
        <v>284</v>
      </c>
      <c r="I784">
        <v>337</v>
      </c>
    </row>
    <row r="785" spans="1:10" x14ac:dyDescent="0.2">
      <c r="A785" s="106" t="s">
        <v>631</v>
      </c>
      <c r="B785" s="106" t="s">
        <v>270</v>
      </c>
      <c r="C785" s="106" t="s">
        <v>280</v>
      </c>
      <c r="D785" s="106" t="s">
        <v>276</v>
      </c>
      <c r="E785">
        <v>4482</v>
      </c>
      <c r="F785" s="106" t="s">
        <v>2078</v>
      </c>
      <c r="G785" s="106" t="s">
        <v>285</v>
      </c>
      <c r="H785" s="106" t="s">
        <v>284</v>
      </c>
      <c r="I785">
        <v>210</v>
      </c>
    </row>
    <row r="786" spans="1:10" x14ac:dyDescent="0.2">
      <c r="A786" s="106" t="s">
        <v>631</v>
      </c>
      <c r="B786" s="106" t="s">
        <v>270</v>
      </c>
      <c r="C786" s="106" t="s">
        <v>271</v>
      </c>
      <c r="D786" s="106" t="s">
        <v>272</v>
      </c>
      <c r="E786">
        <v>4484</v>
      </c>
      <c r="F786" s="106" t="s">
        <v>2079</v>
      </c>
      <c r="G786" s="106" t="s">
        <v>285</v>
      </c>
      <c r="H786" s="106" t="s">
        <v>284</v>
      </c>
      <c r="I786">
        <v>121</v>
      </c>
    </row>
    <row r="787" spans="1:10" x14ac:dyDescent="0.2">
      <c r="A787" s="106" t="s">
        <v>631</v>
      </c>
      <c r="B787" s="106" t="s">
        <v>270</v>
      </c>
      <c r="C787" s="106" t="s">
        <v>280</v>
      </c>
      <c r="D787" s="106" t="s">
        <v>276</v>
      </c>
      <c r="E787">
        <v>4487</v>
      </c>
      <c r="F787" s="106" t="s">
        <v>2517</v>
      </c>
      <c r="G787" s="106" t="s">
        <v>285</v>
      </c>
      <c r="H787" s="106" t="s">
        <v>284</v>
      </c>
      <c r="I787">
        <v>158</v>
      </c>
    </row>
    <row r="788" spans="1:10" x14ac:dyDescent="0.2">
      <c r="A788" s="106" t="s">
        <v>631</v>
      </c>
      <c r="B788" s="106" t="s">
        <v>270</v>
      </c>
      <c r="C788" s="106" t="s">
        <v>280</v>
      </c>
      <c r="D788" s="106" t="s">
        <v>272</v>
      </c>
      <c r="E788">
        <v>4631</v>
      </c>
      <c r="F788" s="106" t="s">
        <v>659</v>
      </c>
      <c r="G788" s="106" t="s">
        <v>273</v>
      </c>
      <c r="H788" s="106" t="s">
        <v>286</v>
      </c>
      <c r="I788" t="s">
        <v>296</v>
      </c>
      <c r="J788" t="s">
        <v>2456</v>
      </c>
    </row>
    <row r="789" spans="1:10" x14ac:dyDescent="0.2">
      <c r="A789" s="106" t="s">
        <v>631</v>
      </c>
      <c r="B789" s="106" t="s">
        <v>270</v>
      </c>
      <c r="C789" s="106" t="s">
        <v>271</v>
      </c>
      <c r="D789" s="106" t="s">
        <v>272</v>
      </c>
      <c r="E789">
        <v>4691</v>
      </c>
      <c r="F789" s="106" t="s">
        <v>660</v>
      </c>
      <c r="G789" s="106" t="s">
        <v>281</v>
      </c>
      <c r="H789" s="106" t="s">
        <v>278</v>
      </c>
      <c r="I789">
        <v>162</v>
      </c>
    </row>
    <row r="790" spans="1:10" x14ac:dyDescent="0.2">
      <c r="A790" s="106" t="s">
        <v>631</v>
      </c>
      <c r="B790" s="106" t="s">
        <v>270</v>
      </c>
      <c r="C790" s="106" t="s">
        <v>282</v>
      </c>
      <c r="D790" s="106" t="s">
        <v>272</v>
      </c>
      <c r="E790">
        <v>4845</v>
      </c>
      <c r="F790" s="106" t="s">
        <v>661</v>
      </c>
      <c r="G790" s="106" t="s">
        <v>273</v>
      </c>
      <c r="H790" s="106" t="s">
        <v>284</v>
      </c>
      <c r="I790">
        <v>140</v>
      </c>
    </row>
    <row r="791" spans="1:10" x14ac:dyDescent="0.2">
      <c r="A791" s="106" t="s">
        <v>631</v>
      </c>
      <c r="B791" s="106" t="s">
        <v>270</v>
      </c>
      <c r="C791" s="106" t="s">
        <v>271</v>
      </c>
      <c r="D791" s="106" t="s">
        <v>272</v>
      </c>
      <c r="E791">
        <v>6059</v>
      </c>
      <c r="F791" s="106" t="s">
        <v>2080</v>
      </c>
      <c r="G791" s="106" t="s">
        <v>273</v>
      </c>
      <c r="H791" s="106" t="s">
        <v>278</v>
      </c>
      <c r="I791">
        <v>117</v>
      </c>
    </row>
    <row r="792" spans="1:10" x14ac:dyDescent="0.2">
      <c r="A792" s="106" t="s">
        <v>631</v>
      </c>
      <c r="B792" s="106" t="s">
        <v>270</v>
      </c>
      <c r="C792" s="106" t="s">
        <v>271</v>
      </c>
      <c r="D792" s="106" t="s">
        <v>272</v>
      </c>
      <c r="E792">
        <v>6082</v>
      </c>
      <c r="F792" s="106" t="s">
        <v>662</v>
      </c>
      <c r="G792" s="106" t="s">
        <v>273</v>
      </c>
      <c r="H792" s="106" t="s">
        <v>278</v>
      </c>
      <c r="I792" s="106">
        <v>224</v>
      </c>
      <c r="J792" s="106"/>
    </row>
    <row r="793" spans="1:10" x14ac:dyDescent="0.2">
      <c r="A793" s="106" t="s">
        <v>631</v>
      </c>
      <c r="B793" s="106" t="s">
        <v>270</v>
      </c>
      <c r="C793" s="106" t="s">
        <v>271</v>
      </c>
      <c r="D793" s="106" t="s">
        <v>272</v>
      </c>
      <c r="E793">
        <v>6408</v>
      </c>
      <c r="F793" s="106" t="s">
        <v>663</v>
      </c>
      <c r="G793" s="106" t="s">
        <v>277</v>
      </c>
      <c r="H793" s="106" t="s">
        <v>294</v>
      </c>
      <c r="I793" s="106">
        <v>51</v>
      </c>
      <c r="J793" s="106"/>
    </row>
    <row r="794" spans="1:10" x14ac:dyDescent="0.2">
      <c r="A794" s="106" t="s">
        <v>631</v>
      </c>
      <c r="B794" s="106" t="s">
        <v>270</v>
      </c>
      <c r="C794" s="106" t="s">
        <v>271</v>
      </c>
      <c r="D794" s="106" t="s">
        <v>272</v>
      </c>
      <c r="E794">
        <v>6424</v>
      </c>
      <c r="F794" s="106" t="s">
        <v>664</v>
      </c>
      <c r="G794" s="106" t="s">
        <v>277</v>
      </c>
      <c r="H794" s="106" t="s">
        <v>294</v>
      </c>
      <c r="I794">
        <v>64</v>
      </c>
    </row>
    <row r="795" spans="1:10" x14ac:dyDescent="0.2">
      <c r="A795" s="106" t="s">
        <v>631</v>
      </c>
      <c r="B795" s="106" t="s">
        <v>270</v>
      </c>
      <c r="C795" s="106" t="s">
        <v>271</v>
      </c>
      <c r="D795" s="106" t="s">
        <v>272</v>
      </c>
      <c r="E795">
        <v>6517</v>
      </c>
      <c r="F795" s="106" t="s">
        <v>665</v>
      </c>
      <c r="G795" s="106" t="s">
        <v>273</v>
      </c>
      <c r="H795" s="106" t="s">
        <v>298</v>
      </c>
      <c r="I795">
        <v>470</v>
      </c>
    </row>
    <row r="796" spans="1:10" x14ac:dyDescent="0.2">
      <c r="A796" t="s">
        <v>631</v>
      </c>
      <c r="B796" t="s">
        <v>270</v>
      </c>
      <c r="C796" t="s">
        <v>282</v>
      </c>
      <c r="D796" t="s">
        <v>276</v>
      </c>
      <c r="E796">
        <v>6597</v>
      </c>
      <c r="F796" t="s">
        <v>667</v>
      </c>
      <c r="G796" t="s">
        <v>285</v>
      </c>
      <c r="H796" t="s">
        <v>298</v>
      </c>
      <c r="I796">
        <v>87</v>
      </c>
    </row>
    <row r="797" spans="1:10" x14ac:dyDescent="0.2">
      <c r="A797" t="s">
        <v>631</v>
      </c>
      <c r="B797" t="s">
        <v>270</v>
      </c>
      <c r="C797" t="s">
        <v>271</v>
      </c>
      <c r="D797" t="s">
        <v>272</v>
      </c>
      <c r="E797">
        <v>6706</v>
      </c>
      <c r="F797" t="s">
        <v>668</v>
      </c>
      <c r="G797" t="s">
        <v>273</v>
      </c>
      <c r="H797" t="s">
        <v>298</v>
      </c>
      <c r="I797">
        <v>468</v>
      </c>
    </row>
    <row r="798" spans="1:10" x14ac:dyDescent="0.2">
      <c r="A798" t="s">
        <v>631</v>
      </c>
      <c r="B798" t="s">
        <v>270</v>
      </c>
      <c r="C798" t="s">
        <v>271</v>
      </c>
      <c r="D798" t="s">
        <v>272</v>
      </c>
      <c r="E798">
        <v>6819</v>
      </c>
      <c r="F798" t="s">
        <v>669</v>
      </c>
      <c r="G798" t="s">
        <v>277</v>
      </c>
      <c r="H798" t="s">
        <v>278</v>
      </c>
      <c r="I798">
        <v>34</v>
      </c>
    </row>
    <row r="799" spans="1:10" x14ac:dyDescent="0.2">
      <c r="A799" t="s">
        <v>631</v>
      </c>
      <c r="B799" t="s">
        <v>270</v>
      </c>
      <c r="C799" t="s">
        <v>280</v>
      </c>
      <c r="D799" t="s">
        <v>272</v>
      </c>
      <c r="E799">
        <v>6870</v>
      </c>
      <c r="F799" t="s">
        <v>670</v>
      </c>
      <c r="G799" t="s">
        <v>281</v>
      </c>
      <c r="H799" t="s">
        <v>298</v>
      </c>
      <c r="I799">
        <v>90</v>
      </c>
    </row>
    <row r="800" spans="1:10" x14ac:dyDescent="0.2">
      <c r="A800" t="s">
        <v>631</v>
      </c>
      <c r="B800" t="s">
        <v>270</v>
      </c>
      <c r="C800" t="s">
        <v>271</v>
      </c>
      <c r="D800" t="s">
        <v>272</v>
      </c>
      <c r="E800">
        <v>7059</v>
      </c>
      <c r="F800" t="s">
        <v>853</v>
      </c>
      <c r="G800" t="s">
        <v>285</v>
      </c>
      <c r="H800" t="s">
        <v>278</v>
      </c>
      <c r="I800">
        <v>150</v>
      </c>
    </row>
    <row r="801" spans="1:9" x14ac:dyDescent="0.2">
      <c r="A801" t="s">
        <v>631</v>
      </c>
      <c r="B801" t="s">
        <v>270</v>
      </c>
      <c r="C801" t="s">
        <v>271</v>
      </c>
      <c r="D801" t="s">
        <v>272</v>
      </c>
      <c r="E801">
        <v>7060</v>
      </c>
      <c r="F801" t="s">
        <v>671</v>
      </c>
      <c r="G801" t="s">
        <v>285</v>
      </c>
      <c r="H801" t="s">
        <v>278</v>
      </c>
      <c r="I801">
        <v>170</v>
      </c>
    </row>
    <row r="802" spans="1:9" x14ac:dyDescent="0.2">
      <c r="A802" t="s">
        <v>631</v>
      </c>
      <c r="B802" t="s">
        <v>270</v>
      </c>
      <c r="C802" t="s">
        <v>282</v>
      </c>
      <c r="D802" t="s">
        <v>272</v>
      </c>
      <c r="E802">
        <v>7063</v>
      </c>
      <c r="F802" t="s">
        <v>672</v>
      </c>
      <c r="G802" t="s">
        <v>285</v>
      </c>
      <c r="H802" t="s">
        <v>278</v>
      </c>
      <c r="I802">
        <v>86</v>
      </c>
    </row>
    <row r="803" spans="1:9" x14ac:dyDescent="0.2">
      <c r="A803" t="s">
        <v>631</v>
      </c>
      <c r="B803" t="s">
        <v>270</v>
      </c>
      <c r="C803" t="s">
        <v>271</v>
      </c>
      <c r="D803" t="s">
        <v>272</v>
      </c>
      <c r="E803">
        <v>7067</v>
      </c>
      <c r="F803" t="s">
        <v>673</v>
      </c>
      <c r="G803" t="s">
        <v>285</v>
      </c>
      <c r="H803" t="s">
        <v>278</v>
      </c>
      <c r="I803">
        <v>33</v>
      </c>
    </row>
    <row r="804" spans="1:9" x14ac:dyDescent="0.2">
      <c r="A804" t="s">
        <v>631</v>
      </c>
      <c r="B804" t="s">
        <v>270</v>
      </c>
      <c r="C804" t="s">
        <v>275</v>
      </c>
      <c r="D804" t="s">
        <v>272</v>
      </c>
      <c r="E804">
        <v>7071</v>
      </c>
      <c r="F804" t="s">
        <v>2081</v>
      </c>
      <c r="G804" t="s">
        <v>277</v>
      </c>
      <c r="H804" t="s">
        <v>278</v>
      </c>
      <c r="I804">
        <v>780</v>
      </c>
    </row>
    <row r="805" spans="1:9" x14ac:dyDescent="0.2">
      <c r="A805" t="s">
        <v>631</v>
      </c>
      <c r="B805" t="s">
        <v>270</v>
      </c>
      <c r="C805" t="s">
        <v>275</v>
      </c>
      <c r="D805" t="s">
        <v>276</v>
      </c>
      <c r="E805">
        <v>7072</v>
      </c>
      <c r="F805" t="s">
        <v>674</v>
      </c>
      <c r="G805" t="s">
        <v>285</v>
      </c>
      <c r="H805" t="s">
        <v>278</v>
      </c>
      <c r="I805">
        <v>72</v>
      </c>
    </row>
    <row r="806" spans="1:9" x14ac:dyDescent="0.2">
      <c r="A806" t="s">
        <v>631</v>
      </c>
      <c r="B806" t="s">
        <v>270</v>
      </c>
      <c r="C806" t="s">
        <v>271</v>
      </c>
      <c r="D806" t="s">
        <v>272</v>
      </c>
      <c r="E806">
        <v>7239</v>
      </c>
      <c r="F806" t="s">
        <v>675</v>
      </c>
      <c r="G806" t="s">
        <v>273</v>
      </c>
      <c r="H806" t="s">
        <v>303</v>
      </c>
      <c r="I806">
        <v>510</v>
      </c>
    </row>
    <row r="807" spans="1:9" x14ac:dyDescent="0.2">
      <c r="A807" t="s">
        <v>631</v>
      </c>
      <c r="B807" t="s">
        <v>270</v>
      </c>
      <c r="C807" t="s">
        <v>271</v>
      </c>
      <c r="D807" t="s">
        <v>272</v>
      </c>
      <c r="E807">
        <v>7242</v>
      </c>
      <c r="F807" t="s">
        <v>676</v>
      </c>
      <c r="G807" t="s">
        <v>273</v>
      </c>
      <c r="H807" t="s">
        <v>303</v>
      </c>
      <c r="I807">
        <v>848</v>
      </c>
    </row>
    <row r="808" spans="1:9" x14ac:dyDescent="0.2">
      <c r="A808" t="s">
        <v>631</v>
      </c>
      <c r="B808" t="s">
        <v>270</v>
      </c>
      <c r="C808" t="s">
        <v>282</v>
      </c>
      <c r="D808" t="s">
        <v>272</v>
      </c>
      <c r="E808">
        <v>7325</v>
      </c>
      <c r="F808" t="s">
        <v>740</v>
      </c>
      <c r="G808" t="s">
        <v>285</v>
      </c>
      <c r="H808" t="s">
        <v>741</v>
      </c>
      <c r="I808">
        <v>110</v>
      </c>
    </row>
    <row r="809" spans="1:9" x14ac:dyDescent="0.2">
      <c r="A809" t="s">
        <v>631</v>
      </c>
      <c r="B809" t="s">
        <v>270</v>
      </c>
      <c r="C809" t="s">
        <v>271</v>
      </c>
      <c r="D809" t="s">
        <v>272</v>
      </c>
      <c r="E809">
        <v>7593</v>
      </c>
      <c r="F809" t="s">
        <v>854</v>
      </c>
      <c r="G809" t="s">
        <v>273</v>
      </c>
      <c r="H809" t="s">
        <v>283</v>
      </c>
      <c r="I809">
        <v>563</v>
      </c>
    </row>
    <row r="810" spans="1:9" x14ac:dyDescent="0.2">
      <c r="A810" t="s">
        <v>631</v>
      </c>
      <c r="B810" t="s">
        <v>270</v>
      </c>
      <c r="C810" t="s">
        <v>282</v>
      </c>
      <c r="D810" t="s">
        <v>276</v>
      </c>
      <c r="E810">
        <v>7674</v>
      </c>
      <c r="F810" t="s">
        <v>677</v>
      </c>
      <c r="G810" t="s">
        <v>285</v>
      </c>
      <c r="H810" t="s">
        <v>283</v>
      </c>
      <c r="I810">
        <v>79</v>
      </c>
    </row>
    <row r="811" spans="1:9" x14ac:dyDescent="0.2">
      <c r="A811" t="s">
        <v>631</v>
      </c>
      <c r="B811" t="s">
        <v>270</v>
      </c>
      <c r="C811" t="s">
        <v>275</v>
      </c>
      <c r="D811" t="s">
        <v>276</v>
      </c>
      <c r="E811">
        <v>7676</v>
      </c>
      <c r="F811" t="s">
        <v>678</v>
      </c>
      <c r="G811" t="s">
        <v>285</v>
      </c>
      <c r="H811" t="s">
        <v>283</v>
      </c>
      <c r="I811">
        <v>43</v>
      </c>
    </row>
    <row r="812" spans="1:9" x14ac:dyDescent="0.2">
      <c r="A812" t="s">
        <v>631</v>
      </c>
      <c r="B812" t="s">
        <v>270</v>
      </c>
      <c r="C812" t="s">
        <v>275</v>
      </c>
      <c r="D812" t="s">
        <v>272</v>
      </c>
      <c r="E812">
        <v>7681</v>
      </c>
      <c r="F812" t="s">
        <v>680</v>
      </c>
      <c r="G812" t="s">
        <v>281</v>
      </c>
      <c r="H812" t="s">
        <v>279</v>
      </c>
      <c r="I812">
        <v>58</v>
      </c>
    </row>
    <row r="813" spans="1:9" x14ac:dyDescent="0.2">
      <c r="A813" t="s">
        <v>631</v>
      </c>
      <c r="B813" t="s">
        <v>270</v>
      </c>
      <c r="C813" t="s">
        <v>280</v>
      </c>
      <c r="D813" t="s">
        <v>276</v>
      </c>
      <c r="E813">
        <v>7685</v>
      </c>
      <c r="F813" t="s">
        <v>2177</v>
      </c>
      <c r="G813" t="s">
        <v>285</v>
      </c>
      <c r="H813" t="s">
        <v>279</v>
      </c>
      <c r="I813">
        <v>187</v>
      </c>
    </row>
    <row r="814" spans="1:9" x14ac:dyDescent="0.2">
      <c r="A814" t="s">
        <v>631</v>
      </c>
      <c r="B814" t="s">
        <v>270</v>
      </c>
      <c r="C814" t="s">
        <v>271</v>
      </c>
      <c r="D814" t="s">
        <v>272</v>
      </c>
      <c r="E814">
        <v>7686</v>
      </c>
      <c r="F814" t="s">
        <v>2518</v>
      </c>
      <c r="G814" t="s">
        <v>281</v>
      </c>
      <c r="H814" t="s">
        <v>279</v>
      </c>
      <c r="I814">
        <v>147</v>
      </c>
    </row>
    <row r="815" spans="1:9" x14ac:dyDescent="0.2">
      <c r="A815" t="s">
        <v>631</v>
      </c>
      <c r="B815" t="s">
        <v>270</v>
      </c>
      <c r="C815" t="s">
        <v>271</v>
      </c>
      <c r="D815" t="s">
        <v>272</v>
      </c>
      <c r="E815">
        <v>7749</v>
      </c>
      <c r="F815" t="s">
        <v>681</v>
      </c>
      <c r="G815" t="s">
        <v>277</v>
      </c>
      <c r="H815" t="s">
        <v>384</v>
      </c>
      <c r="I815">
        <v>651</v>
      </c>
    </row>
    <row r="816" spans="1:9" x14ac:dyDescent="0.2">
      <c r="A816" t="s">
        <v>631</v>
      </c>
      <c r="B816" t="s">
        <v>270</v>
      </c>
      <c r="C816" t="s">
        <v>275</v>
      </c>
      <c r="D816" t="s">
        <v>276</v>
      </c>
      <c r="E816">
        <v>7800</v>
      </c>
      <c r="F816" t="s">
        <v>682</v>
      </c>
      <c r="G816" t="s">
        <v>277</v>
      </c>
      <c r="H816" t="s">
        <v>295</v>
      </c>
      <c r="I816">
        <v>31</v>
      </c>
    </row>
    <row r="817" spans="1:10" x14ac:dyDescent="0.2">
      <c r="A817" t="s">
        <v>631</v>
      </c>
      <c r="B817" t="s">
        <v>270</v>
      </c>
      <c r="C817" t="s">
        <v>271</v>
      </c>
      <c r="D817" t="s">
        <v>272</v>
      </c>
      <c r="E817">
        <v>8152</v>
      </c>
      <c r="F817" t="s">
        <v>683</v>
      </c>
      <c r="G817" t="s">
        <v>281</v>
      </c>
      <c r="H817" t="s">
        <v>279</v>
      </c>
      <c r="I817">
        <v>37</v>
      </c>
    </row>
    <row r="818" spans="1:10" x14ac:dyDescent="0.2">
      <c r="A818" t="s">
        <v>631</v>
      </c>
      <c r="B818" t="s">
        <v>270</v>
      </c>
      <c r="C818" t="s">
        <v>282</v>
      </c>
      <c r="D818" t="s">
        <v>272</v>
      </c>
      <c r="E818">
        <v>8928</v>
      </c>
      <c r="F818" t="s">
        <v>742</v>
      </c>
      <c r="G818" t="s">
        <v>273</v>
      </c>
      <c r="H818" t="s">
        <v>299</v>
      </c>
      <c r="I818">
        <v>206</v>
      </c>
    </row>
    <row r="819" spans="1:10" x14ac:dyDescent="0.2">
      <c r="A819" t="s">
        <v>631</v>
      </c>
      <c r="B819" t="s">
        <v>270</v>
      </c>
      <c r="C819" t="s">
        <v>280</v>
      </c>
      <c r="D819" t="s">
        <v>272</v>
      </c>
      <c r="E819">
        <v>9672</v>
      </c>
      <c r="F819" t="s">
        <v>684</v>
      </c>
      <c r="G819" t="s">
        <v>273</v>
      </c>
      <c r="H819" t="s">
        <v>278</v>
      </c>
      <c r="I819" t="s">
        <v>304</v>
      </c>
      <c r="J819" t="s">
        <v>2519</v>
      </c>
    </row>
    <row r="820" spans="1:10" x14ac:dyDescent="0.2">
      <c r="A820" t="s">
        <v>631</v>
      </c>
      <c r="B820" t="s">
        <v>270</v>
      </c>
      <c r="C820" t="s">
        <v>280</v>
      </c>
      <c r="D820" t="s">
        <v>272</v>
      </c>
      <c r="E820">
        <v>9755</v>
      </c>
      <c r="F820" t="s">
        <v>2082</v>
      </c>
      <c r="G820" t="s">
        <v>273</v>
      </c>
      <c r="H820" t="s">
        <v>278</v>
      </c>
      <c r="I820">
        <v>414</v>
      </c>
    </row>
    <row r="821" spans="1:10" x14ac:dyDescent="0.2">
      <c r="A821" t="s">
        <v>2520</v>
      </c>
      <c r="B821" t="s">
        <v>270</v>
      </c>
      <c r="C821" t="s">
        <v>271</v>
      </c>
      <c r="D821" t="s">
        <v>272</v>
      </c>
      <c r="E821">
        <v>3160</v>
      </c>
      <c r="F821" t="s">
        <v>692</v>
      </c>
      <c r="G821" t="s">
        <v>273</v>
      </c>
      <c r="H821" t="s">
        <v>279</v>
      </c>
      <c r="I821">
        <v>89</v>
      </c>
    </row>
    <row r="822" spans="1:10" x14ac:dyDescent="0.2">
      <c r="A822" t="s">
        <v>855</v>
      </c>
      <c r="B822" t="s">
        <v>270</v>
      </c>
      <c r="C822" t="s">
        <v>271</v>
      </c>
      <c r="D822" t="s">
        <v>272</v>
      </c>
      <c r="E822">
        <v>2910</v>
      </c>
      <c r="F822" t="s">
        <v>291</v>
      </c>
      <c r="G822" t="s">
        <v>273</v>
      </c>
      <c r="H822" t="s">
        <v>274</v>
      </c>
      <c r="I822">
        <v>413</v>
      </c>
    </row>
    <row r="823" spans="1:10" x14ac:dyDescent="0.2">
      <c r="A823" t="s">
        <v>855</v>
      </c>
      <c r="B823" t="s">
        <v>270</v>
      </c>
      <c r="C823" t="s">
        <v>271</v>
      </c>
      <c r="D823" t="s">
        <v>272</v>
      </c>
      <c r="E823">
        <v>3770</v>
      </c>
      <c r="F823" t="s">
        <v>292</v>
      </c>
      <c r="G823" t="s">
        <v>273</v>
      </c>
      <c r="H823" t="s">
        <v>284</v>
      </c>
      <c r="I823">
        <v>56</v>
      </c>
    </row>
    <row r="824" spans="1:10" x14ac:dyDescent="0.2">
      <c r="A824" t="s">
        <v>855</v>
      </c>
      <c r="B824" t="s">
        <v>270</v>
      </c>
      <c r="C824" t="s">
        <v>275</v>
      </c>
      <c r="D824" t="s">
        <v>272</v>
      </c>
      <c r="E824">
        <v>4996</v>
      </c>
      <c r="F824" t="s">
        <v>327</v>
      </c>
      <c r="G824" t="s">
        <v>273</v>
      </c>
      <c r="H824" t="s">
        <v>286</v>
      </c>
      <c r="I824" t="s">
        <v>304</v>
      </c>
      <c r="J824" t="s">
        <v>2246</v>
      </c>
    </row>
    <row r="825" spans="1:10" x14ac:dyDescent="0.2">
      <c r="A825" t="s">
        <v>855</v>
      </c>
      <c r="B825" t="s">
        <v>270</v>
      </c>
      <c r="C825" t="s">
        <v>282</v>
      </c>
      <c r="D825" t="s">
        <v>272</v>
      </c>
      <c r="E825">
        <v>6040</v>
      </c>
      <c r="F825" t="s">
        <v>302</v>
      </c>
      <c r="G825" t="s">
        <v>285</v>
      </c>
      <c r="H825" t="s">
        <v>278</v>
      </c>
      <c r="I825">
        <v>130</v>
      </c>
    </row>
    <row r="826" spans="1:10" x14ac:dyDescent="0.2">
      <c r="A826" t="s">
        <v>855</v>
      </c>
      <c r="B826" t="s">
        <v>270</v>
      </c>
      <c r="C826" t="s">
        <v>280</v>
      </c>
      <c r="D826" t="s">
        <v>272</v>
      </c>
      <c r="E826">
        <v>6696</v>
      </c>
      <c r="F826" t="s">
        <v>313</v>
      </c>
      <c r="G826" t="s">
        <v>285</v>
      </c>
      <c r="H826" t="s">
        <v>298</v>
      </c>
      <c r="I826">
        <v>45</v>
      </c>
    </row>
    <row r="827" spans="1:10" x14ac:dyDescent="0.2">
      <c r="A827" t="s">
        <v>855</v>
      </c>
      <c r="B827" t="s">
        <v>270</v>
      </c>
      <c r="C827" t="s">
        <v>280</v>
      </c>
      <c r="D827" t="s">
        <v>272</v>
      </c>
      <c r="E827">
        <v>6757</v>
      </c>
      <c r="F827" t="s">
        <v>696</v>
      </c>
      <c r="G827" t="s">
        <v>277</v>
      </c>
      <c r="H827" t="s">
        <v>298</v>
      </c>
      <c r="I827">
        <v>107</v>
      </c>
    </row>
    <row r="828" spans="1:10" x14ac:dyDescent="0.2">
      <c r="A828" t="s">
        <v>855</v>
      </c>
      <c r="B828" t="s">
        <v>270</v>
      </c>
      <c r="C828" t="s">
        <v>282</v>
      </c>
      <c r="D828" t="s">
        <v>276</v>
      </c>
      <c r="E828">
        <v>7682</v>
      </c>
      <c r="F828" t="s">
        <v>329</v>
      </c>
      <c r="G828" t="s">
        <v>277</v>
      </c>
      <c r="H828" t="s">
        <v>283</v>
      </c>
      <c r="I828">
        <v>25</v>
      </c>
    </row>
    <row r="829" spans="1:10" x14ac:dyDescent="0.2">
      <c r="A829" t="s">
        <v>855</v>
      </c>
      <c r="B829" t="s">
        <v>270</v>
      </c>
      <c r="C829" t="s">
        <v>275</v>
      </c>
      <c r="D829" t="s">
        <v>272</v>
      </c>
      <c r="E829">
        <v>8917</v>
      </c>
      <c r="F829" t="s">
        <v>2521</v>
      </c>
      <c r="G829" t="s">
        <v>273</v>
      </c>
      <c r="H829" t="s">
        <v>299</v>
      </c>
      <c r="I829">
        <v>217</v>
      </c>
    </row>
    <row r="830" spans="1:10" x14ac:dyDescent="0.2">
      <c r="A830" t="s">
        <v>685</v>
      </c>
      <c r="B830" t="s">
        <v>270</v>
      </c>
      <c r="C830" t="s">
        <v>280</v>
      </c>
      <c r="D830" t="s">
        <v>276</v>
      </c>
      <c r="E830">
        <v>2163</v>
      </c>
      <c r="F830" t="s">
        <v>305</v>
      </c>
      <c r="G830" t="s">
        <v>273</v>
      </c>
      <c r="H830" t="s">
        <v>278</v>
      </c>
      <c r="I830">
        <v>86</v>
      </c>
    </row>
    <row r="831" spans="1:10" x14ac:dyDescent="0.2">
      <c r="A831" t="s">
        <v>685</v>
      </c>
      <c r="B831" t="s">
        <v>270</v>
      </c>
      <c r="C831" t="s">
        <v>280</v>
      </c>
      <c r="D831" t="s">
        <v>276</v>
      </c>
      <c r="E831">
        <v>3282</v>
      </c>
      <c r="F831" t="s">
        <v>686</v>
      </c>
      <c r="G831" t="s">
        <v>310</v>
      </c>
      <c r="H831" t="s">
        <v>311</v>
      </c>
      <c r="I831" t="s">
        <v>296</v>
      </c>
      <c r="J831" t="s">
        <v>2522</v>
      </c>
    </row>
    <row r="832" spans="1:10" x14ac:dyDescent="0.2">
      <c r="A832" t="s">
        <v>685</v>
      </c>
      <c r="B832" t="s">
        <v>270</v>
      </c>
      <c r="C832" t="s">
        <v>280</v>
      </c>
      <c r="D832" t="s">
        <v>276</v>
      </c>
      <c r="E832">
        <v>3463</v>
      </c>
      <c r="F832" t="s">
        <v>687</v>
      </c>
      <c r="G832" t="s">
        <v>310</v>
      </c>
      <c r="H832" t="s">
        <v>311</v>
      </c>
      <c r="I832">
        <v>340</v>
      </c>
    </row>
    <row r="833" spans="1:10" x14ac:dyDescent="0.2">
      <c r="A833" t="s">
        <v>685</v>
      </c>
      <c r="B833" t="s">
        <v>270</v>
      </c>
      <c r="C833" t="s">
        <v>282</v>
      </c>
      <c r="D833" t="s">
        <v>276</v>
      </c>
      <c r="E833">
        <v>3497</v>
      </c>
      <c r="F833" t="s">
        <v>324</v>
      </c>
      <c r="G833" t="s">
        <v>285</v>
      </c>
      <c r="H833" t="s">
        <v>299</v>
      </c>
      <c r="I833">
        <v>37</v>
      </c>
    </row>
    <row r="834" spans="1:10" x14ac:dyDescent="0.2">
      <c r="A834" t="s">
        <v>685</v>
      </c>
      <c r="B834" t="s">
        <v>270</v>
      </c>
      <c r="C834" t="s">
        <v>280</v>
      </c>
      <c r="D834" t="s">
        <v>276</v>
      </c>
      <c r="E834">
        <v>4380</v>
      </c>
      <c r="F834" t="s">
        <v>319</v>
      </c>
      <c r="G834" t="s">
        <v>285</v>
      </c>
      <c r="H834" t="s">
        <v>284</v>
      </c>
      <c r="I834">
        <v>37</v>
      </c>
    </row>
    <row r="835" spans="1:10" x14ac:dyDescent="0.2">
      <c r="A835" t="s">
        <v>685</v>
      </c>
      <c r="B835" t="s">
        <v>270</v>
      </c>
      <c r="C835" t="s">
        <v>282</v>
      </c>
      <c r="D835" t="s">
        <v>272</v>
      </c>
      <c r="E835">
        <v>4422</v>
      </c>
      <c r="F835" t="s">
        <v>317</v>
      </c>
      <c r="G835" t="s">
        <v>285</v>
      </c>
      <c r="H835" t="s">
        <v>284</v>
      </c>
      <c r="I835">
        <v>50</v>
      </c>
    </row>
    <row r="836" spans="1:10" x14ac:dyDescent="0.2">
      <c r="A836" t="s">
        <v>685</v>
      </c>
      <c r="B836" t="s">
        <v>270</v>
      </c>
      <c r="C836" t="s">
        <v>275</v>
      </c>
      <c r="D836" t="s">
        <v>276</v>
      </c>
      <c r="E836">
        <v>4441</v>
      </c>
      <c r="F836" t="s">
        <v>312</v>
      </c>
      <c r="G836" t="s">
        <v>285</v>
      </c>
      <c r="H836" t="s">
        <v>284</v>
      </c>
      <c r="I836">
        <v>236</v>
      </c>
    </row>
    <row r="837" spans="1:10" x14ac:dyDescent="0.2">
      <c r="A837" t="s">
        <v>685</v>
      </c>
      <c r="B837" t="s">
        <v>270</v>
      </c>
      <c r="C837" t="s">
        <v>271</v>
      </c>
      <c r="D837" t="s">
        <v>272</v>
      </c>
      <c r="E837">
        <v>6065</v>
      </c>
      <c r="F837" t="s">
        <v>308</v>
      </c>
      <c r="G837" t="s">
        <v>273</v>
      </c>
      <c r="H837" t="s">
        <v>278</v>
      </c>
      <c r="I837">
        <v>87</v>
      </c>
    </row>
    <row r="838" spans="1:10" x14ac:dyDescent="0.2">
      <c r="A838" t="s">
        <v>685</v>
      </c>
      <c r="B838" t="s">
        <v>270</v>
      </c>
      <c r="C838" t="s">
        <v>271</v>
      </c>
      <c r="D838" t="s">
        <v>272</v>
      </c>
      <c r="E838">
        <v>6905</v>
      </c>
      <c r="F838" t="s">
        <v>697</v>
      </c>
      <c r="G838" t="s">
        <v>273</v>
      </c>
      <c r="H838" t="s">
        <v>298</v>
      </c>
      <c r="I838">
        <v>428</v>
      </c>
    </row>
    <row r="839" spans="1:10" x14ac:dyDescent="0.2">
      <c r="A839" t="s">
        <v>685</v>
      </c>
      <c r="B839" t="s">
        <v>270</v>
      </c>
      <c r="C839" t="s">
        <v>280</v>
      </c>
      <c r="D839" t="s">
        <v>276</v>
      </c>
      <c r="E839">
        <v>7064</v>
      </c>
      <c r="F839" t="s">
        <v>316</v>
      </c>
      <c r="G839" t="s">
        <v>285</v>
      </c>
      <c r="H839" t="s">
        <v>278</v>
      </c>
      <c r="I839">
        <v>29</v>
      </c>
    </row>
    <row r="840" spans="1:10" x14ac:dyDescent="0.2">
      <c r="A840" t="s">
        <v>685</v>
      </c>
      <c r="B840" t="s">
        <v>270</v>
      </c>
      <c r="C840" t="s">
        <v>280</v>
      </c>
      <c r="D840" t="s">
        <v>272</v>
      </c>
      <c r="E840">
        <v>7073</v>
      </c>
      <c r="F840" t="s">
        <v>328</v>
      </c>
      <c r="G840" t="s">
        <v>285</v>
      </c>
      <c r="H840" t="s">
        <v>278</v>
      </c>
      <c r="I840">
        <v>69</v>
      </c>
    </row>
    <row r="841" spans="1:10" x14ac:dyDescent="0.2">
      <c r="A841" t="s">
        <v>688</v>
      </c>
      <c r="B841" t="s">
        <v>270</v>
      </c>
      <c r="C841" t="s">
        <v>280</v>
      </c>
      <c r="D841" t="s">
        <v>276</v>
      </c>
      <c r="E841">
        <v>3281</v>
      </c>
      <c r="F841" t="s">
        <v>689</v>
      </c>
      <c r="G841" t="s">
        <v>310</v>
      </c>
      <c r="H841" t="s">
        <v>311</v>
      </c>
      <c r="I841" t="s">
        <v>290</v>
      </c>
      <c r="J841" t="s">
        <v>2175</v>
      </c>
    </row>
    <row r="842" spans="1:10" x14ac:dyDescent="0.2">
      <c r="A842" t="s">
        <v>688</v>
      </c>
      <c r="B842" t="s">
        <v>270</v>
      </c>
      <c r="C842" t="s">
        <v>280</v>
      </c>
      <c r="D842" t="s">
        <v>276</v>
      </c>
      <c r="E842">
        <v>3466</v>
      </c>
      <c r="F842" t="s">
        <v>690</v>
      </c>
      <c r="G842" t="s">
        <v>310</v>
      </c>
      <c r="H842" t="s">
        <v>311</v>
      </c>
      <c r="I842" t="s">
        <v>296</v>
      </c>
      <c r="J842" t="s">
        <v>2264</v>
      </c>
    </row>
    <row r="843" spans="1:10" x14ac:dyDescent="0.2">
      <c r="A843" t="s">
        <v>688</v>
      </c>
      <c r="B843" t="s">
        <v>270</v>
      </c>
      <c r="C843" t="s">
        <v>280</v>
      </c>
      <c r="D843" t="s">
        <v>276</v>
      </c>
      <c r="E843">
        <v>7077</v>
      </c>
      <c r="F843" t="s">
        <v>2083</v>
      </c>
      <c r="G843" t="s">
        <v>285</v>
      </c>
      <c r="H843" t="s">
        <v>278</v>
      </c>
      <c r="I843">
        <v>70</v>
      </c>
    </row>
    <row r="844" spans="1:10" x14ac:dyDescent="0.2">
      <c r="A844" t="s">
        <v>2178</v>
      </c>
      <c r="B844" t="s">
        <v>270</v>
      </c>
      <c r="C844" t="s">
        <v>280</v>
      </c>
      <c r="D844" t="s">
        <v>276</v>
      </c>
      <c r="E844">
        <v>8975</v>
      </c>
      <c r="F844" t="s">
        <v>2179</v>
      </c>
      <c r="G844" t="s">
        <v>310</v>
      </c>
      <c r="H844" t="s">
        <v>311</v>
      </c>
      <c r="I844" t="s">
        <v>304</v>
      </c>
      <c r="J844" t="s">
        <v>2523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934</v>
      </c>
      <c r="B1" s="106" t="s">
        <v>935</v>
      </c>
      <c r="C1" s="188">
        <v>43823</v>
      </c>
      <c r="D1" s="188">
        <v>43822</v>
      </c>
      <c r="E1" s="188">
        <v>43819</v>
      </c>
      <c r="F1" s="188">
        <v>43818</v>
      </c>
      <c r="G1" s="188">
        <v>43817</v>
      </c>
    </row>
    <row r="2" spans="1:7" x14ac:dyDescent="0.2">
      <c r="A2" s="106">
        <v>1301</v>
      </c>
      <c r="B2" s="106" t="s">
        <v>936</v>
      </c>
      <c r="C2" s="188">
        <v>0</v>
      </c>
      <c r="D2" s="188">
        <v>0</v>
      </c>
      <c r="E2" s="188">
        <v>0</v>
      </c>
      <c r="F2" s="188">
        <v>0</v>
      </c>
      <c r="G2" s="188">
        <v>0</v>
      </c>
    </row>
    <row r="3" spans="1:7" x14ac:dyDescent="0.2">
      <c r="A3">
        <v>1377</v>
      </c>
      <c r="B3" s="106" t="s">
        <v>2265</v>
      </c>
      <c r="C3">
        <v>0</v>
      </c>
      <c r="D3">
        <v>0.05</v>
      </c>
      <c r="E3">
        <v>0</v>
      </c>
      <c r="F3" t="s">
        <v>166</v>
      </c>
      <c r="G3" t="s">
        <v>166</v>
      </c>
    </row>
    <row r="4" spans="1:7" x14ac:dyDescent="0.2">
      <c r="A4">
        <v>1379</v>
      </c>
      <c r="B4" s="106" t="s">
        <v>937</v>
      </c>
      <c r="C4">
        <v>0.05</v>
      </c>
      <c r="D4">
        <v>0.05</v>
      </c>
      <c r="E4">
        <v>0.05</v>
      </c>
      <c r="F4">
        <v>0.05</v>
      </c>
      <c r="G4">
        <v>0.15</v>
      </c>
    </row>
    <row r="5" spans="1:7" x14ac:dyDescent="0.2">
      <c r="A5">
        <v>1414</v>
      </c>
      <c r="B5" s="106" t="s">
        <v>2524</v>
      </c>
      <c r="C5">
        <v>0</v>
      </c>
      <c r="D5" t="s">
        <v>166</v>
      </c>
      <c r="E5" t="s">
        <v>166</v>
      </c>
      <c r="F5">
        <v>0</v>
      </c>
      <c r="G5" t="s">
        <v>166</v>
      </c>
    </row>
    <row r="6" spans="1:7" x14ac:dyDescent="0.2">
      <c r="A6">
        <v>1419</v>
      </c>
      <c r="B6" s="106" t="s">
        <v>938</v>
      </c>
      <c r="C6">
        <v>0.05</v>
      </c>
      <c r="D6">
        <v>0.05</v>
      </c>
      <c r="E6">
        <v>0.05</v>
      </c>
      <c r="F6">
        <v>0.05</v>
      </c>
      <c r="G6">
        <v>0.15</v>
      </c>
    </row>
    <row r="7" spans="1:7" x14ac:dyDescent="0.2">
      <c r="A7">
        <v>1420</v>
      </c>
      <c r="B7" s="106" t="s">
        <v>939</v>
      </c>
      <c r="C7">
        <v>0</v>
      </c>
      <c r="D7">
        <v>0</v>
      </c>
      <c r="E7">
        <v>0.05</v>
      </c>
      <c r="F7">
        <v>0</v>
      </c>
      <c r="G7">
        <v>0.15</v>
      </c>
    </row>
    <row r="8" spans="1:7" x14ac:dyDescent="0.2">
      <c r="A8">
        <v>1430</v>
      </c>
      <c r="B8" s="106" t="s">
        <v>940</v>
      </c>
      <c r="C8">
        <v>0</v>
      </c>
      <c r="D8" s="106">
        <v>0.05</v>
      </c>
      <c r="E8">
        <v>0</v>
      </c>
      <c r="F8">
        <v>0.05</v>
      </c>
      <c r="G8" s="106">
        <v>0</v>
      </c>
    </row>
    <row r="9" spans="1:7" x14ac:dyDescent="0.2">
      <c r="A9">
        <v>1433</v>
      </c>
      <c r="B9" s="106" t="s">
        <v>941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">
      <c r="A10">
        <v>1514</v>
      </c>
      <c r="B10" s="106" t="s">
        <v>2266</v>
      </c>
      <c r="C10">
        <v>0</v>
      </c>
      <c r="D10" t="s">
        <v>166</v>
      </c>
      <c r="E10">
        <v>0</v>
      </c>
      <c r="F10" t="s">
        <v>166</v>
      </c>
      <c r="G10">
        <v>0</v>
      </c>
    </row>
    <row r="11" spans="1:7" x14ac:dyDescent="0.2">
      <c r="A11">
        <v>1605</v>
      </c>
      <c r="B11" s="106" t="s">
        <v>942</v>
      </c>
      <c r="C11">
        <v>0.05</v>
      </c>
      <c r="D11">
        <v>0.05</v>
      </c>
      <c r="E11">
        <v>0.05</v>
      </c>
      <c r="F11">
        <v>0.05</v>
      </c>
      <c r="G11">
        <v>0.15</v>
      </c>
    </row>
    <row r="12" spans="1:7" x14ac:dyDescent="0.2">
      <c r="A12">
        <v>1662</v>
      </c>
      <c r="B12" s="106" t="s">
        <v>943</v>
      </c>
      <c r="C12">
        <v>0.05</v>
      </c>
      <c r="D12">
        <v>0.05</v>
      </c>
      <c r="E12">
        <v>0.1</v>
      </c>
      <c r="F12">
        <v>0.1</v>
      </c>
      <c r="G12">
        <v>0.3</v>
      </c>
    </row>
    <row r="13" spans="1:7" x14ac:dyDescent="0.2">
      <c r="A13">
        <v>1663</v>
      </c>
      <c r="B13" s="106" t="s">
        <v>944</v>
      </c>
      <c r="C13">
        <v>0.05</v>
      </c>
      <c r="D13">
        <v>0.05</v>
      </c>
      <c r="E13">
        <v>0.05</v>
      </c>
      <c r="F13">
        <v>0.05</v>
      </c>
      <c r="G13">
        <v>0.15</v>
      </c>
    </row>
    <row r="14" spans="1:7" x14ac:dyDescent="0.2">
      <c r="A14">
        <v>1712</v>
      </c>
      <c r="B14" s="106" t="s">
        <v>2525</v>
      </c>
      <c r="C14">
        <v>0</v>
      </c>
      <c r="D14" t="s">
        <v>166</v>
      </c>
      <c r="E14" s="106" t="s">
        <v>166</v>
      </c>
      <c r="F14">
        <v>0</v>
      </c>
      <c r="G14" s="106" t="s">
        <v>166</v>
      </c>
    </row>
    <row r="15" spans="1:7" x14ac:dyDescent="0.2">
      <c r="A15">
        <v>1719</v>
      </c>
      <c r="B15" s="106" t="s">
        <v>914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1722</v>
      </c>
      <c r="B16" s="106" t="s">
        <v>945</v>
      </c>
      <c r="C16">
        <v>0.05</v>
      </c>
      <c r="D16" s="106">
        <v>0.05</v>
      </c>
      <c r="E16" s="106">
        <v>0.05</v>
      </c>
      <c r="F16" s="106">
        <v>0.05</v>
      </c>
      <c r="G16" s="106">
        <v>0.15</v>
      </c>
    </row>
    <row r="17" spans="1:7" x14ac:dyDescent="0.2">
      <c r="A17">
        <v>1762</v>
      </c>
      <c r="B17" s="106" t="s">
        <v>2526</v>
      </c>
      <c r="C17">
        <v>0</v>
      </c>
      <c r="D17" s="106">
        <v>0</v>
      </c>
      <c r="E17" s="106" t="s">
        <v>166</v>
      </c>
      <c r="F17" s="106" t="s">
        <v>166</v>
      </c>
      <c r="G17" s="106">
        <v>0</v>
      </c>
    </row>
    <row r="18" spans="1:7" x14ac:dyDescent="0.2">
      <c r="A18">
        <v>1766</v>
      </c>
      <c r="B18" s="106" t="s">
        <v>946</v>
      </c>
      <c r="C18">
        <v>0.15</v>
      </c>
      <c r="D18">
        <v>0.15</v>
      </c>
      <c r="E18" s="106">
        <v>0.15</v>
      </c>
      <c r="F18" s="106">
        <v>0.15</v>
      </c>
      <c r="G18">
        <v>0.45</v>
      </c>
    </row>
    <row r="19" spans="1:7" x14ac:dyDescent="0.2">
      <c r="A19">
        <v>1768</v>
      </c>
      <c r="B19" s="106" t="s">
        <v>947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1780</v>
      </c>
      <c r="B20" s="106" t="s">
        <v>948</v>
      </c>
      <c r="C20">
        <v>0.05</v>
      </c>
      <c r="D20">
        <v>0.05</v>
      </c>
      <c r="E20">
        <v>0.05</v>
      </c>
      <c r="F20">
        <v>0.05</v>
      </c>
      <c r="G20">
        <v>0.15</v>
      </c>
    </row>
    <row r="21" spans="1:7" x14ac:dyDescent="0.2">
      <c r="A21">
        <v>1801</v>
      </c>
      <c r="B21" s="106" t="s">
        <v>2527</v>
      </c>
      <c r="C21">
        <v>0</v>
      </c>
      <c r="D21" s="106">
        <v>0</v>
      </c>
      <c r="E21" s="106" t="s">
        <v>166</v>
      </c>
      <c r="F21" s="106" t="s">
        <v>166</v>
      </c>
      <c r="G21" s="106">
        <v>0</v>
      </c>
    </row>
    <row r="22" spans="1:7" x14ac:dyDescent="0.2">
      <c r="A22">
        <v>1808</v>
      </c>
      <c r="B22" s="106" t="s">
        <v>949</v>
      </c>
      <c r="C22">
        <v>0.05</v>
      </c>
      <c r="D22" s="106">
        <v>0.05</v>
      </c>
      <c r="E22" s="106">
        <v>0.05</v>
      </c>
      <c r="F22" s="106">
        <v>0.05</v>
      </c>
      <c r="G22" s="106">
        <v>0.15</v>
      </c>
    </row>
    <row r="23" spans="1:7" x14ac:dyDescent="0.2">
      <c r="A23">
        <v>1810</v>
      </c>
      <c r="B23" s="106" t="s">
        <v>950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1826</v>
      </c>
      <c r="B24" s="106" t="s">
        <v>951</v>
      </c>
      <c r="C24">
        <v>0</v>
      </c>
      <c r="D24" t="s">
        <v>166</v>
      </c>
      <c r="E24">
        <v>0</v>
      </c>
      <c r="F24" s="106">
        <v>0</v>
      </c>
      <c r="G24" s="106">
        <v>0</v>
      </c>
    </row>
    <row r="25" spans="1:7" x14ac:dyDescent="0.2">
      <c r="A25">
        <v>1835</v>
      </c>
      <c r="B25" s="106" t="s">
        <v>2528</v>
      </c>
      <c r="C25">
        <v>0</v>
      </c>
      <c r="D25" t="s">
        <v>166</v>
      </c>
      <c r="E25" s="106" t="s">
        <v>166</v>
      </c>
      <c r="F25" s="106" t="s">
        <v>166</v>
      </c>
      <c r="G25" s="106" t="s">
        <v>166</v>
      </c>
    </row>
    <row r="26" spans="1:7" x14ac:dyDescent="0.2">
      <c r="A26">
        <v>1848</v>
      </c>
      <c r="B26" s="106" t="s">
        <v>952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1860</v>
      </c>
      <c r="B27" s="106" t="s">
        <v>63</v>
      </c>
      <c r="C27">
        <v>0.05</v>
      </c>
      <c r="D27" s="106">
        <v>0</v>
      </c>
      <c r="E27">
        <v>0</v>
      </c>
      <c r="F27" s="106">
        <v>0.05</v>
      </c>
      <c r="G27">
        <v>0</v>
      </c>
    </row>
    <row r="28" spans="1:7" x14ac:dyDescent="0.2">
      <c r="A28">
        <v>1867</v>
      </c>
      <c r="B28" s="106" t="s">
        <v>2180</v>
      </c>
      <c r="C28">
        <v>0</v>
      </c>
      <c r="D28" s="106">
        <v>0.05</v>
      </c>
      <c r="E28">
        <v>0</v>
      </c>
      <c r="F28" s="106">
        <v>0.05</v>
      </c>
      <c r="G28" s="106" t="s">
        <v>166</v>
      </c>
    </row>
    <row r="29" spans="1:7" x14ac:dyDescent="0.2">
      <c r="A29">
        <v>1878</v>
      </c>
      <c r="B29" s="106" t="s">
        <v>953</v>
      </c>
      <c r="C29">
        <v>0.25</v>
      </c>
      <c r="D29">
        <v>0.25</v>
      </c>
      <c r="E29">
        <v>0.25</v>
      </c>
      <c r="F29">
        <v>0.25</v>
      </c>
      <c r="G29" s="106">
        <v>0.75</v>
      </c>
    </row>
    <row r="30" spans="1:7" x14ac:dyDescent="0.2">
      <c r="A30">
        <v>1881</v>
      </c>
      <c r="B30" s="106" t="s">
        <v>954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1883</v>
      </c>
      <c r="B31" s="106" t="s">
        <v>955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1884</v>
      </c>
      <c r="B32" s="106" t="s">
        <v>956</v>
      </c>
      <c r="C32">
        <v>0.15</v>
      </c>
      <c r="D32">
        <v>0.15</v>
      </c>
      <c r="E32">
        <v>0.15</v>
      </c>
      <c r="F32">
        <v>0.15</v>
      </c>
      <c r="G32" s="106">
        <v>0.45</v>
      </c>
    </row>
    <row r="33" spans="1:7" x14ac:dyDescent="0.2">
      <c r="A33">
        <v>1885</v>
      </c>
      <c r="B33" s="106" t="s">
        <v>2267</v>
      </c>
      <c r="C33">
        <v>0</v>
      </c>
      <c r="D33" s="106">
        <v>0</v>
      </c>
      <c r="E33" s="106">
        <v>0</v>
      </c>
      <c r="F33" s="106" t="s">
        <v>166</v>
      </c>
      <c r="G33" t="s">
        <v>166</v>
      </c>
    </row>
    <row r="34" spans="1:7" x14ac:dyDescent="0.2">
      <c r="A34">
        <v>1911</v>
      </c>
      <c r="B34" s="106" t="s">
        <v>57</v>
      </c>
      <c r="C34">
        <v>0</v>
      </c>
      <c r="D34" s="106">
        <v>0.05</v>
      </c>
      <c r="E34">
        <v>0</v>
      </c>
      <c r="F34" s="106" t="s">
        <v>166</v>
      </c>
      <c r="G34">
        <v>0</v>
      </c>
    </row>
    <row r="35" spans="1:7" x14ac:dyDescent="0.2">
      <c r="A35">
        <v>1921</v>
      </c>
      <c r="B35" s="106" t="s">
        <v>957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1928</v>
      </c>
      <c r="B36" s="106" t="s">
        <v>230</v>
      </c>
      <c r="C36">
        <v>0.05</v>
      </c>
      <c r="D36" s="106">
        <v>0.05</v>
      </c>
      <c r="E36">
        <v>0.05</v>
      </c>
      <c r="F36" s="106">
        <v>0.05</v>
      </c>
      <c r="G36" s="106">
        <v>0.15</v>
      </c>
    </row>
    <row r="37" spans="1:7" x14ac:dyDescent="0.2">
      <c r="A37">
        <v>1930</v>
      </c>
      <c r="B37" s="106" t="s">
        <v>958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1934</v>
      </c>
      <c r="B38" s="106" t="s">
        <v>2084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1939</v>
      </c>
      <c r="B39" s="106" t="s">
        <v>959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1944</v>
      </c>
      <c r="B40" s="106" t="s">
        <v>2181</v>
      </c>
      <c r="C40">
        <v>0</v>
      </c>
      <c r="D40">
        <v>0</v>
      </c>
      <c r="E40">
        <v>0</v>
      </c>
      <c r="F40">
        <v>0</v>
      </c>
      <c r="G40" t="s">
        <v>166</v>
      </c>
    </row>
    <row r="41" spans="1:7" x14ac:dyDescent="0.2">
      <c r="A41">
        <v>1949</v>
      </c>
      <c r="B41" s="106" t="s">
        <v>960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1952</v>
      </c>
      <c r="B42" s="106" t="s">
        <v>961</v>
      </c>
      <c r="C42">
        <v>0.05</v>
      </c>
      <c r="D42">
        <v>0.05</v>
      </c>
      <c r="E42" s="106">
        <v>0.05</v>
      </c>
      <c r="F42">
        <v>0.05</v>
      </c>
      <c r="G42">
        <v>0.15</v>
      </c>
    </row>
    <row r="43" spans="1:7" x14ac:dyDescent="0.2">
      <c r="A43">
        <v>1954</v>
      </c>
      <c r="B43" s="106" t="s">
        <v>962</v>
      </c>
      <c r="C43">
        <v>0.1</v>
      </c>
      <c r="D43">
        <v>0.1</v>
      </c>
      <c r="E43">
        <v>0.1</v>
      </c>
      <c r="F43">
        <v>0.1</v>
      </c>
      <c r="G43">
        <v>0.3</v>
      </c>
    </row>
    <row r="44" spans="1:7" x14ac:dyDescent="0.2">
      <c r="A44">
        <v>1961</v>
      </c>
      <c r="B44" s="106" t="s">
        <v>963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1963</v>
      </c>
      <c r="B45" s="106" t="s">
        <v>2268</v>
      </c>
      <c r="C45">
        <v>0.05</v>
      </c>
      <c r="D45">
        <v>0.05</v>
      </c>
      <c r="E45">
        <v>0.05</v>
      </c>
      <c r="F45" t="s">
        <v>166</v>
      </c>
      <c r="G45">
        <v>0.15</v>
      </c>
    </row>
    <row r="46" spans="1:7" x14ac:dyDescent="0.2">
      <c r="A46">
        <v>1964</v>
      </c>
      <c r="B46" s="106" t="s">
        <v>964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1969</v>
      </c>
      <c r="B47" s="106" t="s">
        <v>965</v>
      </c>
      <c r="C47">
        <v>0</v>
      </c>
      <c r="D47">
        <v>0.05</v>
      </c>
      <c r="E47" s="106">
        <v>0.05</v>
      </c>
      <c r="F47">
        <v>0</v>
      </c>
      <c r="G47">
        <v>0</v>
      </c>
    </row>
    <row r="48" spans="1:7" x14ac:dyDescent="0.2">
      <c r="A48">
        <v>1975</v>
      </c>
      <c r="B48" s="106" t="s">
        <v>2269</v>
      </c>
      <c r="C48">
        <v>0</v>
      </c>
      <c r="D48" s="106">
        <v>0</v>
      </c>
      <c r="E48" s="106">
        <v>0</v>
      </c>
      <c r="F48" s="106" t="s">
        <v>166</v>
      </c>
      <c r="G48" t="s">
        <v>166</v>
      </c>
    </row>
    <row r="49" spans="1:7" x14ac:dyDescent="0.2">
      <c r="A49">
        <v>1976</v>
      </c>
      <c r="B49" s="106" t="s">
        <v>966</v>
      </c>
      <c r="C49">
        <v>0.05</v>
      </c>
      <c r="D49">
        <v>0.05</v>
      </c>
      <c r="E49">
        <v>0.05</v>
      </c>
      <c r="F49">
        <v>0.05</v>
      </c>
      <c r="G49">
        <v>0.15</v>
      </c>
    </row>
    <row r="50" spans="1:7" x14ac:dyDescent="0.2">
      <c r="A50">
        <v>1979</v>
      </c>
      <c r="B50" s="106" t="s">
        <v>967</v>
      </c>
      <c r="C50">
        <v>0.1</v>
      </c>
      <c r="D50" s="106">
        <v>0.1</v>
      </c>
      <c r="E50" s="106">
        <v>0.1</v>
      </c>
      <c r="F50" s="106">
        <v>0.1</v>
      </c>
      <c r="G50" s="106">
        <v>0.3</v>
      </c>
    </row>
    <row r="51" spans="1:7" x14ac:dyDescent="0.2">
      <c r="A51">
        <v>1980</v>
      </c>
      <c r="B51" s="106" t="s">
        <v>968</v>
      </c>
      <c r="C51">
        <v>0.05</v>
      </c>
      <c r="D51" s="106" t="s">
        <v>166</v>
      </c>
      <c r="E51" s="106">
        <v>0.05</v>
      </c>
      <c r="F51" s="106">
        <v>0.05</v>
      </c>
      <c r="G51" s="106">
        <v>0.15</v>
      </c>
    </row>
    <row r="52" spans="1:7" x14ac:dyDescent="0.2">
      <c r="A52">
        <v>1983</v>
      </c>
      <c r="B52" s="106" t="s">
        <v>969</v>
      </c>
      <c r="C52">
        <v>0</v>
      </c>
      <c r="D52" s="106">
        <v>0</v>
      </c>
      <c r="E52">
        <v>0.05</v>
      </c>
      <c r="F52" s="106">
        <v>0.05</v>
      </c>
      <c r="G52" s="106">
        <v>0.15</v>
      </c>
    </row>
    <row r="53" spans="1:7" x14ac:dyDescent="0.2">
      <c r="A53">
        <v>2004</v>
      </c>
      <c r="B53" s="106" t="s">
        <v>970</v>
      </c>
      <c r="C53">
        <v>0.1</v>
      </c>
      <c r="D53" s="106">
        <v>0.05</v>
      </c>
      <c r="E53" s="106">
        <v>0.1</v>
      </c>
      <c r="F53" s="106">
        <v>0.05</v>
      </c>
      <c r="G53" s="106">
        <v>0.15</v>
      </c>
    </row>
    <row r="54" spans="1:7" x14ac:dyDescent="0.2">
      <c r="A54">
        <v>2130</v>
      </c>
      <c r="B54" s="106" t="s">
        <v>971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2139</v>
      </c>
      <c r="B55" s="106" t="s">
        <v>972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2146</v>
      </c>
      <c r="B56" s="106" t="s">
        <v>973</v>
      </c>
      <c r="C56">
        <v>0.1</v>
      </c>
      <c r="D56" s="106">
        <v>0.1</v>
      </c>
      <c r="E56" s="106">
        <v>0.05</v>
      </c>
      <c r="F56" s="106">
        <v>0</v>
      </c>
      <c r="G56">
        <v>0</v>
      </c>
    </row>
    <row r="57" spans="1:7" x14ac:dyDescent="0.2">
      <c r="A57">
        <v>2168</v>
      </c>
      <c r="B57" s="106" t="s">
        <v>2529</v>
      </c>
      <c r="C57">
        <v>0</v>
      </c>
      <c r="D57" t="s">
        <v>166</v>
      </c>
      <c r="E57" t="s">
        <v>166</v>
      </c>
      <c r="F57" s="106" t="s">
        <v>166</v>
      </c>
      <c r="G57" t="s">
        <v>166</v>
      </c>
    </row>
    <row r="58" spans="1:7" x14ac:dyDescent="0.2">
      <c r="A58">
        <v>2169</v>
      </c>
      <c r="B58" s="106" t="s">
        <v>2530</v>
      </c>
      <c r="C58">
        <v>0</v>
      </c>
      <c r="D58">
        <v>0</v>
      </c>
      <c r="E58" t="s">
        <v>166</v>
      </c>
      <c r="F58" s="106">
        <v>0</v>
      </c>
      <c r="G58">
        <v>0</v>
      </c>
    </row>
    <row r="59" spans="1:7" x14ac:dyDescent="0.2">
      <c r="A59">
        <v>2170</v>
      </c>
      <c r="B59" s="106" t="s">
        <v>974</v>
      </c>
      <c r="C59">
        <v>0.05</v>
      </c>
      <c r="D59">
        <v>0.05</v>
      </c>
      <c r="E59">
        <v>0</v>
      </c>
      <c r="F59">
        <v>0.05</v>
      </c>
      <c r="G59">
        <v>0</v>
      </c>
    </row>
    <row r="60" spans="1:7" x14ac:dyDescent="0.2">
      <c r="A60">
        <v>2175</v>
      </c>
      <c r="B60" s="106" t="s">
        <v>248</v>
      </c>
      <c r="C60">
        <v>0.05</v>
      </c>
      <c r="D60">
        <v>0.05</v>
      </c>
      <c r="E60">
        <v>0.05</v>
      </c>
      <c r="F60" s="106">
        <v>0.05</v>
      </c>
      <c r="G60" s="106">
        <v>0.15</v>
      </c>
    </row>
    <row r="61" spans="1:7" x14ac:dyDescent="0.2">
      <c r="A61">
        <v>2193</v>
      </c>
      <c r="B61" s="106" t="s">
        <v>975</v>
      </c>
      <c r="C61">
        <v>0.05</v>
      </c>
      <c r="D61">
        <v>0</v>
      </c>
      <c r="E61">
        <v>0.05</v>
      </c>
      <c r="F61" s="106">
        <v>0</v>
      </c>
      <c r="G61" s="106">
        <v>0</v>
      </c>
    </row>
    <row r="62" spans="1:7" x14ac:dyDescent="0.2">
      <c r="A62">
        <v>2198</v>
      </c>
      <c r="B62" s="106" t="s">
        <v>976</v>
      </c>
      <c r="C62">
        <v>0.05</v>
      </c>
      <c r="D62" s="106">
        <v>0.05</v>
      </c>
      <c r="E62">
        <v>0</v>
      </c>
      <c r="F62" s="106">
        <v>0</v>
      </c>
      <c r="G62">
        <v>0</v>
      </c>
    </row>
    <row r="63" spans="1:7" x14ac:dyDescent="0.2">
      <c r="A63">
        <v>2201</v>
      </c>
      <c r="B63" s="106" t="s">
        <v>977</v>
      </c>
      <c r="C63">
        <v>0.1</v>
      </c>
      <c r="D63">
        <v>0.1</v>
      </c>
      <c r="E63">
        <v>0.1</v>
      </c>
      <c r="F63">
        <v>0.1</v>
      </c>
      <c r="G63">
        <v>0.3</v>
      </c>
    </row>
    <row r="64" spans="1:7" x14ac:dyDescent="0.2">
      <c r="A64">
        <v>2204</v>
      </c>
      <c r="B64" s="106" t="s">
        <v>978</v>
      </c>
      <c r="C64">
        <v>0.1</v>
      </c>
      <c r="D64">
        <v>0.1</v>
      </c>
      <c r="E64">
        <v>0.1</v>
      </c>
      <c r="F64">
        <v>0.1</v>
      </c>
      <c r="G64">
        <v>0.3</v>
      </c>
    </row>
    <row r="65" spans="1:7" x14ac:dyDescent="0.2">
      <c r="A65">
        <v>2206</v>
      </c>
      <c r="B65" s="106" t="s">
        <v>979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">
      <c r="A66">
        <v>2211</v>
      </c>
      <c r="B66" s="106" t="s">
        <v>2270</v>
      </c>
      <c r="C66">
        <v>0.05</v>
      </c>
      <c r="D66" s="106">
        <v>0.05</v>
      </c>
      <c r="E66">
        <v>0.05</v>
      </c>
      <c r="F66" s="106" t="s">
        <v>166</v>
      </c>
      <c r="G66">
        <v>0.15</v>
      </c>
    </row>
    <row r="67" spans="1:7" x14ac:dyDescent="0.2">
      <c r="A67">
        <v>2212</v>
      </c>
      <c r="B67" s="106" t="s">
        <v>980</v>
      </c>
      <c r="C67">
        <v>0.05</v>
      </c>
      <c r="D67" s="106">
        <v>0.05</v>
      </c>
      <c r="E67">
        <v>0.05</v>
      </c>
      <c r="F67" s="106">
        <v>0.05</v>
      </c>
      <c r="G67">
        <v>0.15</v>
      </c>
    </row>
    <row r="68" spans="1:7" x14ac:dyDescent="0.2">
      <c r="A68">
        <v>2215</v>
      </c>
      <c r="B68" s="106" t="s">
        <v>981</v>
      </c>
      <c r="C68">
        <v>0.05</v>
      </c>
      <c r="D68">
        <v>0.05</v>
      </c>
      <c r="E68">
        <v>0.05</v>
      </c>
      <c r="F68">
        <v>0.05</v>
      </c>
      <c r="G68">
        <v>0.15</v>
      </c>
    </row>
    <row r="69" spans="1:7" x14ac:dyDescent="0.2">
      <c r="A69">
        <v>2217</v>
      </c>
      <c r="B69" s="106" t="s">
        <v>982</v>
      </c>
      <c r="C69">
        <v>0.1</v>
      </c>
      <c r="D69">
        <v>0.1</v>
      </c>
      <c r="E69">
        <v>0.1</v>
      </c>
      <c r="F69">
        <v>0.1</v>
      </c>
      <c r="G69">
        <v>0.3</v>
      </c>
    </row>
    <row r="70" spans="1:7" x14ac:dyDescent="0.2">
      <c r="A70">
        <v>2222</v>
      </c>
      <c r="B70" s="106" t="s">
        <v>983</v>
      </c>
      <c r="C70">
        <v>0.15</v>
      </c>
      <c r="D70">
        <v>0.15</v>
      </c>
      <c r="E70">
        <v>0.15</v>
      </c>
      <c r="F70" s="106">
        <v>0.15</v>
      </c>
      <c r="G70" s="106">
        <v>0.45</v>
      </c>
    </row>
    <row r="71" spans="1:7" x14ac:dyDescent="0.2">
      <c r="A71">
        <v>2229</v>
      </c>
      <c r="B71" s="106" t="s">
        <v>984</v>
      </c>
      <c r="C71">
        <v>0.1</v>
      </c>
      <c r="D71" s="106">
        <v>0.1</v>
      </c>
      <c r="E71">
        <v>0.1</v>
      </c>
      <c r="F71" s="106">
        <v>0.1</v>
      </c>
      <c r="G71" s="106">
        <v>0.3</v>
      </c>
    </row>
    <row r="72" spans="1:7" x14ac:dyDescent="0.2">
      <c r="A72">
        <v>2266</v>
      </c>
      <c r="B72" s="106" t="s">
        <v>985</v>
      </c>
      <c r="C72">
        <v>0.05</v>
      </c>
      <c r="D72">
        <v>0.05</v>
      </c>
      <c r="E72">
        <v>0.05</v>
      </c>
      <c r="F72" s="106">
        <v>0.05</v>
      </c>
      <c r="G72">
        <v>0.15</v>
      </c>
    </row>
    <row r="73" spans="1:7" x14ac:dyDescent="0.2">
      <c r="A73">
        <v>2281</v>
      </c>
      <c r="B73" s="106" t="s">
        <v>2531</v>
      </c>
      <c r="C73">
        <v>0.05</v>
      </c>
      <c r="D73" t="s">
        <v>166</v>
      </c>
      <c r="E73" s="106" t="s">
        <v>166</v>
      </c>
      <c r="F73" s="106">
        <v>0.05</v>
      </c>
      <c r="G73" t="s">
        <v>166</v>
      </c>
    </row>
    <row r="74" spans="1:7" x14ac:dyDescent="0.2">
      <c r="A74">
        <v>2282</v>
      </c>
      <c r="B74" s="106" t="s">
        <v>986</v>
      </c>
      <c r="C74">
        <v>0.1</v>
      </c>
      <c r="D74" s="106">
        <v>0.1</v>
      </c>
      <c r="E74" s="106">
        <v>0.1</v>
      </c>
      <c r="F74" s="106">
        <v>0.1</v>
      </c>
      <c r="G74">
        <v>0.3</v>
      </c>
    </row>
    <row r="75" spans="1:7" x14ac:dyDescent="0.2">
      <c r="A75">
        <v>2288</v>
      </c>
      <c r="B75" s="106" t="s">
        <v>2271</v>
      </c>
      <c r="C75">
        <v>0.05</v>
      </c>
      <c r="D75" s="106" t="s">
        <v>166</v>
      </c>
      <c r="E75" s="106">
        <v>0.05</v>
      </c>
      <c r="F75" s="106" t="s">
        <v>166</v>
      </c>
      <c r="G75">
        <v>0.15</v>
      </c>
    </row>
    <row r="76" spans="1:7" x14ac:dyDescent="0.2">
      <c r="A76">
        <v>2294</v>
      </c>
      <c r="B76" s="106" t="s">
        <v>987</v>
      </c>
      <c r="C76">
        <v>0.1</v>
      </c>
      <c r="D76" s="106">
        <v>0.1</v>
      </c>
      <c r="E76" s="106">
        <v>0.05</v>
      </c>
      <c r="F76" s="106">
        <v>0.05</v>
      </c>
      <c r="G76" s="106">
        <v>0.15</v>
      </c>
    </row>
    <row r="77" spans="1:7" x14ac:dyDescent="0.2">
      <c r="A77">
        <v>2301</v>
      </c>
      <c r="B77" s="106" t="s">
        <v>988</v>
      </c>
      <c r="C77">
        <v>0.05</v>
      </c>
      <c r="D77" s="106">
        <v>0.05</v>
      </c>
      <c r="E77">
        <v>0.05</v>
      </c>
      <c r="F77" s="106">
        <v>0.05</v>
      </c>
      <c r="G77">
        <v>0.15</v>
      </c>
    </row>
    <row r="78" spans="1:7" x14ac:dyDescent="0.2">
      <c r="A78">
        <v>2305</v>
      </c>
      <c r="B78" s="106" t="s">
        <v>989</v>
      </c>
      <c r="C78">
        <v>0.05</v>
      </c>
      <c r="D78" s="106">
        <v>0.05</v>
      </c>
      <c r="E78">
        <v>0.05</v>
      </c>
      <c r="F78" s="106">
        <v>0.05</v>
      </c>
      <c r="G78">
        <v>0.15</v>
      </c>
    </row>
    <row r="79" spans="1:7" x14ac:dyDescent="0.2">
      <c r="A79">
        <v>2325</v>
      </c>
      <c r="B79" s="106" t="s">
        <v>2272</v>
      </c>
      <c r="C79">
        <v>0</v>
      </c>
      <c r="D79">
        <v>0</v>
      </c>
      <c r="E79">
        <v>0</v>
      </c>
      <c r="F79" t="s">
        <v>166</v>
      </c>
      <c r="G79" t="s">
        <v>166</v>
      </c>
    </row>
    <row r="80" spans="1:7" x14ac:dyDescent="0.2">
      <c r="A80">
        <v>2337</v>
      </c>
      <c r="B80" s="106" t="s">
        <v>990</v>
      </c>
      <c r="C80">
        <v>0.05</v>
      </c>
      <c r="D80">
        <v>0.05</v>
      </c>
      <c r="E80">
        <v>0.05</v>
      </c>
      <c r="F80">
        <v>0.05</v>
      </c>
      <c r="G80">
        <v>0.15</v>
      </c>
    </row>
    <row r="81" spans="1:7" x14ac:dyDescent="0.2">
      <c r="A81">
        <v>2371</v>
      </c>
      <c r="B81" s="106" t="s">
        <v>991</v>
      </c>
      <c r="C81">
        <v>0.05</v>
      </c>
      <c r="D81">
        <v>0.05</v>
      </c>
      <c r="E81">
        <v>0.05</v>
      </c>
      <c r="F81">
        <v>0.05</v>
      </c>
      <c r="G81">
        <v>0.15</v>
      </c>
    </row>
    <row r="82" spans="1:7" x14ac:dyDescent="0.2">
      <c r="A82">
        <v>2379</v>
      </c>
      <c r="B82" s="106" t="s">
        <v>757</v>
      </c>
      <c r="C82">
        <v>0.1</v>
      </c>
      <c r="D82" s="106">
        <v>0.1</v>
      </c>
      <c r="E82" s="106">
        <v>0.1</v>
      </c>
      <c r="F82" s="106">
        <v>0.1</v>
      </c>
      <c r="G82" s="106">
        <v>0.3</v>
      </c>
    </row>
    <row r="83" spans="1:7" x14ac:dyDescent="0.2">
      <c r="A83">
        <v>2384</v>
      </c>
      <c r="B83" s="106" t="s">
        <v>992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2389</v>
      </c>
      <c r="B84" s="106" t="s">
        <v>2273</v>
      </c>
      <c r="C84">
        <v>0</v>
      </c>
      <c r="D84" s="106">
        <v>0</v>
      </c>
      <c r="E84">
        <v>0</v>
      </c>
      <c r="F84" s="106" t="s">
        <v>166</v>
      </c>
      <c r="G84">
        <v>0</v>
      </c>
    </row>
    <row r="85" spans="1:7" x14ac:dyDescent="0.2">
      <c r="A85">
        <v>2398</v>
      </c>
      <c r="B85" s="106" t="s">
        <v>2085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2410</v>
      </c>
      <c r="B86" s="106" t="s">
        <v>2274</v>
      </c>
      <c r="C86">
        <v>0</v>
      </c>
      <c r="D86" t="s">
        <v>166</v>
      </c>
      <c r="E86">
        <v>0</v>
      </c>
      <c r="F86" t="s">
        <v>166</v>
      </c>
      <c r="G86" s="106">
        <v>0</v>
      </c>
    </row>
    <row r="87" spans="1:7" x14ac:dyDescent="0.2">
      <c r="A87">
        <v>2413</v>
      </c>
      <c r="B87" s="106" t="s">
        <v>891</v>
      </c>
      <c r="C87">
        <v>0.1</v>
      </c>
      <c r="D87" s="106">
        <v>0.1</v>
      </c>
      <c r="E87">
        <v>0.1</v>
      </c>
      <c r="F87" s="106">
        <v>0.1</v>
      </c>
      <c r="G87">
        <v>0.3</v>
      </c>
    </row>
    <row r="88" spans="1:7" x14ac:dyDescent="0.2">
      <c r="A88">
        <v>2418</v>
      </c>
      <c r="B88" s="106" t="s">
        <v>2275</v>
      </c>
      <c r="C88">
        <v>0</v>
      </c>
      <c r="D88" s="106" t="s">
        <v>166</v>
      </c>
      <c r="E88">
        <v>0</v>
      </c>
      <c r="F88" s="106" t="s">
        <v>166</v>
      </c>
      <c r="G88" t="s">
        <v>166</v>
      </c>
    </row>
    <row r="89" spans="1:7" x14ac:dyDescent="0.2">
      <c r="A89">
        <v>2427</v>
      </c>
      <c r="B89" s="106" t="s">
        <v>2086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2428</v>
      </c>
      <c r="B90" s="106" t="s">
        <v>993</v>
      </c>
      <c r="C90">
        <v>0.05</v>
      </c>
      <c r="D90">
        <v>0</v>
      </c>
      <c r="E90">
        <v>0.05</v>
      </c>
      <c r="F90">
        <v>0.05</v>
      </c>
      <c r="G90">
        <v>0</v>
      </c>
    </row>
    <row r="91" spans="1:7" x14ac:dyDescent="0.2">
      <c r="A91">
        <v>2433</v>
      </c>
      <c r="B91" s="106" t="s">
        <v>994</v>
      </c>
      <c r="C91">
        <v>0.05</v>
      </c>
      <c r="D91">
        <v>0.05</v>
      </c>
      <c r="E91">
        <v>0.05</v>
      </c>
      <c r="F91">
        <v>0.05</v>
      </c>
      <c r="G91">
        <v>0.15</v>
      </c>
    </row>
    <row r="92" spans="1:7" x14ac:dyDescent="0.2">
      <c r="A92">
        <v>2440</v>
      </c>
      <c r="B92" s="106" t="s">
        <v>995</v>
      </c>
      <c r="C92">
        <v>0.05</v>
      </c>
      <c r="D92">
        <v>0.05</v>
      </c>
      <c r="E92">
        <v>0.05</v>
      </c>
      <c r="F92">
        <v>0.05</v>
      </c>
      <c r="G92">
        <v>0.15</v>
      </c>
    </row>
    <row r="93" spans="1:7" x14ac:dyDescent="0.2">
      <c r="A93">
        <v>2462</v>
      </c>
      <c r="B93" s="106" t="s">
        <v>996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2471</v>
      </c>
      <c r="B94" s="106" t="s">
        <v>997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">
      <c r="A95">
        <v>2475</v>
      </c>
      <c r="B95" s="106" t="s">
        <v>2532</v>
      </c>
      <c r="C95">
        <v>0</v>
      </c>
      <c r="D95" s="106" t="s">
        <v>166</v>
      </c>
      <c r="E95" s="106" t="s">
        <v>166</v>
      </c>
      <c r="F95" t="s">
        <v>166</v>
      </c>
      <c r="G95" t="s">
        <v>166</v>
      </c>
    </row>
    <row r="96" spans="1:7" x14ac:dyDescent="0.2">
      <c r="A96">
        <v>2487</v>
      </c>
      <c r="B96" s="106" t="s">
        <v>998</v>
      </c>
      <c r="C96">
        <v>0.05</v>
      </c>
      <c r="D96">
        <v>0.05</v>
      </c>
      <c r="E96">
        <v>0.05</v>
      </c>
      <c r="F96">
        <v>0.05</v>
      </c>
      <c r="G96">
        <v>0.15</v>
      </c>
    </row>
    <row r="97" spans="1:7" x14ac:dyDescent="0.2">
      <c r="A97">
        <v>2492</v>
      </c>
      <c r="B97" s="106" t="s">
        <v>999</v>
      </c>
      <c r="C97">
        <v>0.05</v>
      </c>
      <c r="D97">
        <v>0.05</v>
      </c>
      <c r="E97">
        <v>0.05</v>
      </c>
      <c r="F97">
        <v>0.05</v>
      </c>
      <c r="G97">
        <v>0.15</v>
      </c>
    </row>
    <row r="98" spans="1:7" x14ac:dyDescent="0.2">
      <c r="A98">
        <v>2501</v>
      </c>
      <c r="B98" s="106" t="s">
        <v>1000</v>
      </c>
      <c r="C98">
        <v>0.05</v>
      </c>
      <c r="D98">
        <v>0.05</v>
      </c>
      <c r="E98">
        <v>0.05</v>
      </c>
      <c r="F98">
        <v>0.05</v>
      </c>
      <c r="G98">
        <v>0.15</v>
      </c>
    </row>
    <row r="99" spans="1:7" x14ac:dyDescent="0.2">
      <c r="A99">
        <v>2590</v>
      </c>
      <c r="B99" s="106" t="s">
        <v>2533</v>
      </c>
      <c r="C99">
        <v>0</v>
      </c>
      <c r="D99" t="s">
        <v>166</v>
      </c>
      <c r="E99" t="s">
        <v>166</v>
      </c>
      <c r="F99" t="s">
        <v>166</v>
      </c>
      <c r="G99">
        <v>0</v>
      </c>
    </row>
    <row r="100" spans="1:7" x14ac:dyDescent="0.2">
      <c r="A100">
        <v>2593</v>
      </c>
      <c r="B100" s="106" t="s">
        <v>1001</v>
      </c>
      <c r="C100">
        <v>0.1</v>
      </c>
      <c r="D100">
        <v>0.1</v>
      </c>
      <c r="E100">
        <v>0.1</v>
      </c>
      <c r="F100">
        <v>0.1</v>
      </c>
      <c r="G100">
        <v>0.3</v>
      </c>
    </row>
    <row r="101" spans="1:7" x14ac:dyDescent="0.2">
      <c r="A101">
        <v>2594</v>
      </c>
      <c r="B101" s="106" t="s">
        <v>1002</v>
      </c>
      <c r="C101">
        <v>0.05</v>
      </c>
      <c r="D101">
        <v>0.05</v>
      </c>
      <c r="E101">
        <v>0.05</v>
      </c>
      <c r="F101">
        <v>0.05</v>
      </c>
      <c r="G101">
        <v>0.15</v>
      </c>
    </row>
    <row r="102" spans="1:7" x14ac:dyDescent="0.2">
      <c r="A102">
        <v>2599</v>
      </c>
      <c r="B102" s="106" t="s">
        <v>1003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2602</v>
      </c>
      <c r="B103" s="106" t="s">
        <v>922</v>
      </c>
      <c r="C103">
        <v>0.1</v>
      </c>
      <c r="D103">
        <v>0.1</v>
      </c>
      <c r="E103">
        <v>0.1</v>
      </c>
      <c r="F103">
        <v>0.1</v>
      </c>
      <c r="G103">
        <v>0.3</v>
      </c>
    </row>
    <row r="104" spans="1:7" x14ac:dyDescent="0.2">
      <c r="A104">
        <v>2651</v>
      </c>
      <c r="B104" s="106" t="s">
        <v>1004</v>
      </c>
      <c r="C104">
        <v>0.15</v>
      </c>
      <c r="D104">
        <v>0.15</v>
      </c>
      <c r="E104">
        <v>0.15</v>
      </c>
      <c r="F104">
        <v>0.15</v>
      </c>
      <c r="G104">
        <v>0.45</v>
      </c>
    </row>
    <row r="105" spans="1:7" x14ac:dyDescent="0.2">
      <c r="A105">
        <v>2659</v>
      </c>
      <c r="B105" s="106" t="s">
        <v>1005</v>
      </c>
      <c r="C105">
        <v>0.1</v>
      </c>
      <c r="D105">
        <v>0.1</v>
      </c>
      <c r="E105" s="106">
        <v>0.1</v>
      </c>
      <c r="F105" s="106">
        <v>0.1</v>
      </c>
      <c r="G105" s="106">
        <v>0.3</v>
      </c>
    </row>
    <row r="106" spans="1:7" x14ac:dyDescent="0.2">
      <c r="A106">
        <v>2664</v>
      </c>
      <c r="B106" s="106" t="s">
        <v>1006</v>
      </c>
      <c r="C106">
        <v>0</v>
      </c>
      <c r="D106">
        <v>0.05</v>
      </c>
      <c r="E106">
        <v>0</v>
      </c>
      <c r="F106">
        <v>0</v>
      </c>
      <c r="G106">
        <v>0</v>
      </c>
    </row>
    <row r="107" spans="1:7" x14ac:dyDescent="0.2">
      <c r="A107">
        <v>2670</v>
      </c>
      <c r="B107" s="106" t="s">
        <v>1007</v>
      </c>
      <c r="C107">
        <v>0.15</v>
      </c>
      <c r="D107">
        <v>0.15</v>
      </c>
      <c r="E107">
        <v>0.15</v>
      </c>
      <c r="F107">
        <v>0.15</v>
      </c>
      <c r="G107">
        <v>0.45</v>
      </c>
    </row>
    <row r="108" spans="1:7" x14ac:dyDescent="0.2">
      <c r="A108">
        <v>2674</v>
      </c>
      <c r="B108" s="106" t="s">
        <v>2276</v>
      </c>
      <c r="C108">
        <v>0</v>
      </c>
      <c r="D108">
        <v>0</v>
      </c>
      <c r="E108">
        <v>0</v>
      </c>
      <c r="F108" t="s">
        <v>166</v>
      </c>
      <c r="G108" t="s">
        <v>166</v>
      </c>
    </row>
    <row r="109" spans="1:7" x14ac:dyDescent="0.2">
      <c r="A109">
        <v>2678</v>
      </c>
      <c r="B109" s="106" t="s">
        <v>1008</v>
      </c>
      <c r="C109">
        <v>0.1</v>
      </c>
      <c r="D109">
        <v>0.1</v>
      </c>
      <c r="E109">
        <v>0.1</v>
      </c>
      <c r="F109">
        <v>0.05</v>
      </c>
      <c r="G109">
        <v>0.15</v>
      </c>
    </row>
    <row r="110" spans="1:7" x14ac:dyDescent="0.2">
      <c r="A110">
        <v>2681</v>
      </c>
      <c r="B110" s="106" t="s">
        <v>2277</v>
      </c>
      <c r="C110">
        <v>0</v>
      </c>
      <c r="D110" s="106" t="s">
        <v>166</v>
      </c>
      <c r="E110" s="106">
        <v>0</v>
      </c>
      <c r="F110" t="s">
        <v>166</v>
      </c>
      <c r="G110" t="s">
        <v>166</v>
      </c>
    </row>
    <row r="111" spans="1:7" x14ac:dyDescent="0.2">
      <c r="A111">
        <v>2685</v>
      </c>
      <c r="B111" s="106" t="s">
        <v>1009</v>
      </c>
      <c r="C111">
        <v>0</v>
      </c>
      <c r="D111" s="106">
        <v>0</v>
      </c>
      <c r="E111" s="106">
        <v>0</v>
      </c>
      <c r="F111">
        <v>0.05</v>
      </c>
      <c r="G111">
        <v>0</v>
      </c>
    </row>
    <row r="112" spans="1:7" x14ac:dyDescent="0.2">
      <c r="A112">
        <v>2687</v>
      </c>
      <c r="B112" s="106" t="s">
        <v>1010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2692</v>
      </c>
      <c r="B113" s="106" t="s">
        <v>1011</v>
      </c>
      <c r="C113">
        <v>0.1</v>
      </c>
      <c r="D113">
        <v>0.1</v>
      </c>
      <c r="E113">
        <v>0.1</v>
      </c>
      <c r="F113">
        <v>0.1</v>
      </c>
      <c r="G113">
        <v>0.3</v>
      </c>
    </row>
    <row r="114" spans="1:7" x14ac:dyDescent="0.2">
      <c r="A114">
        <v>2695</v>
      </c>
      <c r="B114" s="106" t="s">
        <v>1012</v>
      </c>
      <c r="C114">
        <v>0.1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2698</v>
      </c>
      <c r="B115" s="106" t="s">
        <v>1013</v>
      </c>
      <c r="C115">
        <v>0.05</v>
      </c>
      <c r="D115">
        <v>0.05</v>
      </c>
      <c r="E115">
        <v>0.05</v>
      </c>
      <c r="F115" s="106">
        <v>0.05</v>
      </c>
      <c r="G115" s="106">
        <v>0.15</v>
      </c>
    </row>
    <row r="116" spans="1:7" x14ac:dyDescent="0.2">
      <c r="A116">
        <v>2715</v>
      </c>
      <c r="B116" s="106" t="s">
        <v>2182</v>
      </c>
      <c r="C116">
        <v>0.05</v>
      </c>
      <c r="D116">
        <v>0.05</v>
      </c>
      <c r="E116" s="106">
        <v>0.05</v>
      </c>
      <c r="F116" s="106">
        <v>0</v>
      </c>
      <c r="G116" s="106" t="s">
        <v>166</v>
      </c>
    </row>
    <row r="117" spans="1:7" x14ac:dyDescent="0.2">
      <c r="A117">
        <v>2730</v>
      </c>
      <c r="B117" s="106" t="s">
        <v>1014</v>
      </c>
      <c r="C117">
        <v>0.05</v>
      </c>
      <c r="D117">
        <v>0.05</v>
      </c>
      <c r="E117">
        <v>0.05</v>
      </c>
      <c r="F117">
        <v>0.05</v>
      </c>
      <c r="G117">
        <v>0.15</v>
      </c>
    </row>
    <row r="118" spans="1:7" x14ac:dyDescent="0.2">
      <c r="A118">
        <v>2733</v>
      </c>
      <c r="B118" s="106" t="s">
        <v>2087</v>
      </c>
      <c r="C118">
        <v>0.1</v>
      </c>
      <c r="D118">
        <v>0</v>
      </c>
      <c r="E118">
        <v>0.05</v>
      </c>
      <c r="F118">
        <v>0</v>
      </c>
      <c r="G118">
        <v>0.3</v>
      </c>
    </row>
    <row r="119" spans="1:7" x14ac:dyDescent="0.2">
      <c r="A119">
        <v>2749</v>
      </c>
      <c r="B119" s="106" t="s">
        <v>2088</v>
      </c>
      <c r="C119">
        <v>0</v>
      </c>
      <c r="D119">
        <v>0</v>
      </c>
      <c r="E119" s="106">
        <v>0</v>
      </c>
      <c r="F119">
        <v>0</v>
      </c>
      <c r="G119">
        <v>0</v>
      </c>
    </row>
    <row r="120" spans="1:7" x14ac:dyDescent="0.2">
      <c r="A120">
        <v>2784</v>
      </c>
      <c r="B120" s="106" t="s">
        <v>2089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2792</v>
      </c>
      <c r="B121" s="106" t="s">
        <v>1015</v>
      </c>
      <c r="C121">
        <v>0.05</v>
      </c>
      <c r="D121">
        <v>0.05</v>
      </c>
      <c r="E121">
        <v>0.05</v>
      </c>
      <c r="F121">
        <v>0.05</v>
      </c>
      <c r="G121" s="106">
        <v>0.15</v>
      </c>
    </row>
    <row r="122" spans="1:7" x14ac:dyDescent="0.2">
      <c r="A122">
        <v>2796</v>
      </c>
      <c r="B122" s="106" t="s">
        <v>2183</v>
      </c>
      <c r="C122">
        <v>0.05</v>
      </c>
      <c r="D122">
        <v>0.05</v>
      </c>
      <c r="E122">
        <v>0.05</v>
      </c>
      <c r="F122">
        <v>0.05</v>
      </c>
      <c r="G122" t="s">
        <v>166</v>
      </c>
    </row>
    <row r="123" spans="1:7" x14ac:dyDescent="0.2">
      <c r="A123">
        <v>2801</v>
      </c>
      <c r="B123" s="106" t="s">
        <v>1016</v>
      </c>
      <c r="C123">
        <v>0.1</v>
      </c>
      <c r="D123">
        <v>0</v>
      </c>
      <c r="E123">
        <v>0</v>
      </c>
      <c r="F123">
        <v>0.1</v>
      </c>
      <c r="G123">
        <v>0.3</v>
      </c>
    </row>
    <row r="124" spans="1:7" x14ac:dyDescent="0.2">
      <c r="A124">
        <v>2815</v>
      </c>
      <c r="B124" s="106" t="s">
        <v>1017</v>
      </c>
      <c r="C124">
        <v>0.15</v>
      </c>
      <c r="D124">
        <v>0.15</v>
      </c>
      <c r="E124">
        <v>0</v>
      </c>
      <c r="F124">
        <v>0</v>
      </c>
      <c r="G124">
        <v>0</v>
      </c>
    </row>
    <row r="125" spans="1:7" x14ac:dyDescent="0.2">
      <c r="A125">
        <v>2819</v>
      </c>
      <c r="B125" s="106" t="s">
        <v>1018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2875</v>
      </c>
      <c r="B126" s="106" t="s">
        <v>1019</v>
      </c>
      <c r="C126">
        <v>0.1</v>
      </c>
      <c r="D126">
        <v>0.1</v>
      </c>
      <c r="E126">
        <v>0.1</v>
      </c>
      <c r="F126">
        <v>0.1</v>
      </c>
      <c r="G126">
        <v>0.3</v>
      </c>
    </row>
    <row r="127" spans="1:7" x14ac:dyDescent="0.2">
      <c r="A127">
        <v>2882</v>
      </c>
      <c r="B127" s="106" t="s">
        <v>1020</v>
      </c>
      <c r="C127">
        <v>0.05</v>
      </c>
      <c r="D127">
        <v>0.05</v>
      </c>
      <c r="E127">
        <v>0.05</v>
      </c>
      <c r="F127">
        <v>0.05</v>
      </c>
      <c r="G127">
        <v>0.15</v>
      </c>
    </row>
    <row r="128" spans="1:7" x14ac:dyDescent="0.2">
      <c r="A128">
        <v>2884</v>
      </c>
      <c r="B128" s="106" t="s">
        <v>1021</v>
      </c>
      <c r="C128">
        <v>0.05</v>
      </c>
      <c r="D128">
        <v>0.05</v>
      </c>
      <c r="E128">
        <v>0</v>
      </c>
      <c r="F128">
        <v>0</v>
      </c>
      <c r="G128">
        <v>0</v>
      </c>
    </row>
    <row r="129" spans="1:7" x14ac:dyDescent="0.2">
      <c r="A129">
        <v>2897</v>
      </c>
      <c r="B129" s="106" t="s">
        <v>1022</v>
      </c>
      <c r="C129">
        <v>0.15</v>
      </c>
      <c r="D129" s="106">
        <v>0.15</v>
      </c>
      <c r="E129">
        <v>0.15</v>
      </c>
      <c r="F129" s="106">
        <v>0.15</v>
      </c>
      <c r="G129">
        <v>0.45</v>
      </c>
    </row>
    <row r="130" spans="1:7" x14ac:dyDescent="0.2">
      <c r="A130">
        <v>2904</v>
      </c>
      <c r="B130" s="106" t="s">
        <v>1023</v>
      </c>
      <c r="C130">
        <v>0</v>
      </c>
      <c r="D130">
        <v>0</v>
      </c>
      <c r="E130">
        <v>0.05</v>
      </c>
      <c r="F130">
        <v>0.05</v>
      </c>
      <c r="G130">
        <v>0.15</v>
      </c>
    </row>
    <row r="131" spans="1:7" x14ac:dyDescent="0.2">
      <c r="A131">
        <v>2908</v>
      </c>
      <c r="B131" s="106" t="s">
        <v>1024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2910</v>
      </c>
      <c r="B132" s="106" t="s">
        <v>1025</v>
      </c>
      <c r="C132">
        <v>0.05</v>
      </c>
      <c r="D132" s="106">
        <v>0.05</v>
      </c>
      <c r="E132">
        <v>0.05</v>
      </c>
      <c r="F132" s="106">
        <v>0.05</v>
      </c>
      <c r="G132" s="106">
        <v>0.15</v>
      </c>
    </row>
    <row r="133" spans="1:7" x14ac:dyDescent="0.2">
      <c r="A133">
        <v>2914</v>
      </c>
      <c r="B133" s="106" t="s">
        <v>54</v>
      </c>
      <c r="C133">
        <v>0</v>
      </c>
      <c r="D133" t="s">
        <v>166</v>
      </c>
      <c r="E133">
        <v>0</v>
      </c>
      <c r="F133" t="s">
        <v>166</v>
      </c>
      <c r="G133">
        <v>0</v>
      </c>
    </row>
    <row r="134" spans="1:7" x14ac:dyDescent="0.2">
      <c r="A134">
        <v>2915</v>
      </c>
      <c r="B134" s="106" t="s">
        <v>1026</v>
      </c>
      <c r="C134">
        <v>0.05</v>
      </c>
      <c r="D134">
        <v>0.05</v>
      </c>
      <c r="E134">
        <v>0.05</v>
      </c>
      <c r="F134">
        <v>0.05</v>
      </c>
      <c r="G134">
        <v>0.15</v>
      </c>
    </row>
    <row r="135" spans="1:7" x14ac:dyDescent="0.2">
      <c r="A135">
        <v>2922</v>
      </c>
      <c r="B135" s="106" t="s">
        <v>1027</v>
      </c>
      <c r="C135">
        <v>0.05</v>
      </c>
      <c r="D135" s="106">
        <v>0.05</v>
      </c>
      <c r="E135">
        <v>0.05</v>
      </c>
      <c r="F135">
        <v>0.05</v>
      </c>
      <c r="G135" s="106">
        <v>0.15</v>
      </c>
    </row>
    <row r="136" spans="1:7" x14ac:dyDescent="0.2">
      <c r="A136">
        <v>2924</v>
      </c>
      <c r="B136" s="106" t="s">
        <v>1028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2930</v>
      </c>
      <c r="B137" s="106" t="s">
        <v>1029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2931</v>
      </c>
      <c r="B138" s="106" t="s">
        <v>1030</v>
      </c>
      <c r="C138">
        <v>0.05</v>
      </c>
      <c r="D138">
        <v>0.05</v>
      </c>
      <c r="E138">
        <v>0.05</v>
      </c>
      <c r="F138">
        <v>0.05</v>
      </c>
      <c r="G138">
        <v>0.15</v>
      </c>
    </row>
    <row r="139" spans="1:7" x14ac:dyDescent="0.2">
      <c r="A139">
        <v>2975</v>
      </c>
      <c r="B139" s="106" t="s">
        <v>1031</v>
      </c>
      <c r="C139">
        <v>0.05</v>
      </c>
      <c r="D139" s="106">
        <v>0.05</v>
      </c>
      <c r="E139">
        <v>0.05</v>
      </c>
      <c r="F139">
        <v>0.05</v>
      </c>
      <c r="G139" s="106">
        <v>0.15</v>
      </c>
    </row>
    <row r="140" spans="1:7" x14ac:dyDescent="0.2">
      <c r="A140">
        <v>3001</v>
      </c>
      <c r="B140" s="106" t="s">
        <v>2534</v>
      </c>
      <c r="C140">
        <v>0</v>
      </c>
      <c r="D140" s="106" t="s">
        <v>166</v>
      </c>
      <c r="E140" t="s">
        <v>166</v>
      </c>
      <c r="F140" t="s">
        <v>166</v>
      </c>
      <c r="G140" s="106">
        <v>0</v>
      </c>
    </row>
    <row r="141" spans="1:7" x14ac:dyDescent="0.2">
      <c r="A141">
        <v>3003</v>
      </c>
      <c r="B141" s="106" t="s">
        <v>920</v>
      </c>
      <c r="C141">
        <v>0.05</v>
      </c>
      <c r="D141">
        <v>0.05</v>
      </c>
      <c r="E141">
        <v>0.05</v>
      </c>
      <c r="F141" s="106">
        <v>0.05</v>
      </c>
      <c r="G141">
        <v>0.15</v>
      </c>
    </row>
    <row r="142" spans="1:7" x14ac:dyDescent="0.2">
      <c r="A142">
        <v>3004</v>
      </c>
      <c r="B142" s="106" t="s">
        <v>1032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3028</v>
      </c>
      <c r="B143" s="106" t="s">
        <v>2184</v>
      </c>
      <c r="C143">
        <v>0.05</v>
      </c>
      <c r="D143" t="s">
        <v>166</v>
      </c>
      <c r="E143" s="106">
        <v>0</v>
      </c>
      <c r="F143" s="106">
        <v>0</v>
      </c>
      <c r="G143" s="106" t="s">
        <v>166</v>
      </c>
    </row>
    <row r="144" spans="1:7" x14ac:dyDescent="0.2">
      <c r="A144">
        <v>3038</v>
      </c>
      <c r="B144" s="106" t="s">
        <v>2329</v>
      </c>
      <c r="C144">
        <v>0</v>
      </c>
      <c r="D144">
        <v>0</v>
      </c>
      <c r="E144" s="106" t="s">
        <v>166</v>
      </c>
      <c r="F144" s="106">
        <v>0</v>
      </c>
      <c r="G144" s="106" t="s">
        <v>166</v>
      </c>
    </row>
    <row r="145" spans="1:7" x14ac:dyDescent="0.2">
      <c r="A145">
        <v>3046</v>
      </c>
      <c r="B145" s="106" t="s">
        <v>1033</v>
      </c>
      <c r="C145">
        <v>0.15</v>
      </c>
      <c r="D145">
        <v>0.15</v>
      </c>
      <c r="E145">
        <v>0.15</v>
      </c>
      <c r="F145">
        <v>0.15</v>
      </c>
      <c r="G145">
        <v>0.45</v>
      </c>
    </row>
    <row r="146" spans="1:7" x14ac:dyDescent="0.2">
      <c r="A146">
        <v>3048</v>
      </c>
      <c r="B146" s="106" t="s">
        <v>1034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3050</v>
      </c>
      <c r="B147" s="106" t="s">
        <v>2535</v>
      </c>
      <c r="C147">
        <v>0</v>
      </c>
      <c r="D147" s="106" t="s">
        <v>166</v>
      </c>
      <c r="E147" s="106" t="s">
        <v>166</v>
      </c>
      <c r="F147" s="106" t="s">
        <v>166</v>
      </c>
      <c r="G147" s="106" t="s">
        <v>166</v>
      </c>
    </row>
    <row r="148" spans="1:7" x14ac:dyDescent="0.2">
      <c r="A148">
        <v>3067</v>
      </c>
      <c r="B148" s="106" t="s">
        <v>1035</v>
      </c>
      <c r="C148">
        <v>0.05</v>
      </c>
      <c r="D148">
        <v>0.05</v>
      </c>
      <c r="E148">
        <v>0.05</v>
      </c>
      <c r="F148">
        <v>0.05</v>
      </c>
      <c r="G148">
        <v>0.15</v>
      </c>
    </row>
    <row r="149" spans="1:7" x14ac:dyDescent="0.2">
      <c r="A149">
        <v>3079</v>
      </c>
      <c r="B149" s="106" t="s">
        <v>2185</v>
      </c>
      <c r="C149">
        <v>0</v>
      </c>
      <c r="D149">
        <v>0</v>
      </c>
      <c r="E149">
        <v>0</v>
      </c>
      <c r="F149">
        <v>0</v>
      </c>
      <c r="G149" t="s">
        <v>166</v>
      </c>
    </row>
    <row r="150" spans="1:7" x14ac:dyDescent="0.2">
      <c r="A150">
        <v>3082</v>
      </c>
      <c r="B150" s="106" t="s">
        <v>1036</v>
      </c>
      <c r="C150">
        <v>0.05</v>
      </c>
      <c r="D150">
        <v>0.05</v>
      </c>
      <c r="E150">
        <v>0.05</v>
      </c>
      <c r="F150">
        <v>0</v>
      </c>
      <c r="G150">
        <v>0.15</v>
      </c>
    </row>
    <row r="151" spans="1:7" x14ac:dyDescent="0.2">
      <c r="A151">
        <v>3086</v>
      </c>
      <c r="B151" s="106" t="s">
        <v>1037</v>
      </c>
      <c r="C151">
        <v>0.05</v>
      </c>
      <c r="D151">
        <v>0.05</v>
      </c>
      <c r="E151">
        <v>0.05</v>
      </c>
      <c r="F151">
        <v>0.05</v>
      </c>
      <c r="G151">
        <v>0.15</v>
      </c>
    </row>
    <row r="152" spans="1:7" x14ac:dyDescent="0.2">
      <c r="A152">
        <v>3088</v>
      </c>
      <c r="B152" s="106" t="s">
        <v>1038</v>
      </c>
      <c r="C152">
        <v>0.1</v>
      </c>
      <c r="D152">
        <v>0.1</v>
      </c>
      <c r="E152">
        <v>0.1</v>
      </c>
      <c r="F152">
        <v>0.1</v>
      </c>
      <c r="G152">
        <v>0.3</v>
      </c>
    </row>
    <row r="153" spans="1:7" x14ac:dyDescent="0.2">
      <c r="A153">
        <v>3092</v>
      </c>
      <c r="B153" s="106" t="s">
        <v>1039</v>
      </c>
      <c r="C153">
        <v>0</v>
      </c>
      <c r="D153">
        <v>0.05</v>
      </c>
      <c r="E153">
        <v>0.05</v>
      </c>
      <c r="F153">
        <v>0.05</v>
      </c>
      <c r="G153">
        <v>0.15</v>
      </c>
    </row>
    <row r="154" spans="1:7" x14ac:dyDescent="0.2">
      <c r="A154">
        <v>3098</v>
      </c>
      <c r="B154" s="106" t="s">
        <v>2090</v>
      </c>
      <c r="C154">
        <v>0.15</v>
      </c>
      <c r="D154" s="106" t="s">
        <v>166</v>
      </c>
      <c r="E154">
        <v>0.15</v>
      </c>
      <c r="F154" s="106">
        <v>0.15</v>
      </c>
      <c r="G154" s="106">
        <v>0.45</v>
      </c>
    </row>
    <row r="155" spans="1:7" x14ac:dyDescent="0.2">
      <c r="A155">
        <v>3099</v>
      </c>
      <c r="B155" s="106" t="s">
        <v>37</v>
      </c>
      <c r="C155">
        <v>0</v>
      </c>
      <c r="D155">
        <v>0.05</v>
      </c>
      <c r="E155" s="106">
        <v>0.05</v>
      </c>
      <c r="F155" s="106">
        <v>0.05</v>
      </c>
      <c r="G155">
        <v>0</v>
      </c>
    </row>
    <row r="156" spans="1:7" x14ac:dyDescent="0.2">
      <c r="A156">
        <v>3101</v>
      </c>
      <c r="B156" s="106" t="s">
        <v>919</v>
      </c>
      <c r="C156">
        <v>0</v>
      </c>
      <c r="D156">
        <v>0</v>
      </c>
      <c r="E156" s="106">
        <v>0.05</v>
      </c>
      <c r="F156" s="106">
        <v>0.05</v>
      </c>
      <c r="G156">
        <v>0</v>
      </c>
    </row>
    <row r="157" spans="1:7" x14ac:dyDescent="0.2">
      <c r="A157">
        <v>3103</v>
      </c>
      <c r="B157" s="106" t="s">
        <v>1040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3104</v>
      </c>
      <c r="B158" s="106" t="s">
        <v>1041</v>
      </c>
      <c r="C158">
        <v>0.1</v>
      </c>
      <c r="D158" s="106">
        <v>0.1</v>
      </c>
      <c r="E158" s="106">
        <v>0.1</v>
      </c>
      <c r="F158" s="106">
        <v>0.1</v>
      </c>
      <c r="G158" s="106">
        <v>0.3</v>
      </c>
    </row>
    <row r="159" spans="1:7" x14ac:dyDescent="0.2">
      <c r="A159">
        <v>3106</v>
      </c>
      <c r="B159" s="106" t="s">
        <v>1042</v>
      </c>
      <c r="C159">
        <v>0.05</v>
      </c>
      <c r="D159">
        <v>0.05</v>
      </c>
      <c r="E159">
        <v>0.05</v>
      </c>
      <c r="F159">
        <v>0.05</v>
      </c>
      <c r="G159">
        <v>0.15</v>
      </c>
    </row>
    <row r="160" spans="1:7" x14ac:dyDescent="0.2">
      <c r="A160">
        <v>3110</v>
      </c>
      <c r="B160" s="106" t="s">
        <v>908</v>
      </c>
      <c r="C160">
        <v>0.1</v>
      </c>
      <c r="D160">
        <v>0.55000000000000004</v>
      </c>
      <c r="E160">
        <v>0.1</v>
      </c>
      <c r="F160">
        <v>0.15</v>
      </c>
      <c r="G160">
        <v>0.3</v>
      </c>
    </row>
    <row r="161" spans="1:7" x14ac:dyDescent="0.2">
      <c r="A161">
        <v>3116</v>
      </c>
      <c r="B161" s="106" t="s">
        <v>69</v>
      </c>
      <c r="C161">
        <v>0.05</v>
      </c>
      <c r="D161">
        <v>0.05</v>
      </c>
      <c r="E161">
        <v>0.05</v>
      </c>
      <c r="F161">
        <v>0.05</v>
      </c>
      <c r="G161">
        <v>0.15</v>
      </c>
    </row>
    <row r="162" spans="1:7" x14ac:dyDescent="0.2">
      <c r="A162">
        <v>3132</v>
      </c>
      <c r="B162" s="106" t="s">
        <v>1043</v>
      </c>
      <c r="C162">
        <v>0.05</v>
      </c>
      <c r="D162">
        <v>0.05</v>
      </c>
      <c r="E162">
        <v>0.05</v>
      </c>
      <c r="F162">
        <v>0.05</v>
      </c>
      <c r="G162">
        <v>0.15</v>
      </c>
    </row>
    <row r="163" spans="1:7" x14ac:dyDescent="0.2">
      <c r="A163">
        <v>3134</v>
      </c>
      <c r="B163" s="106" t="s">
        <v>2091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3141</v>
      </c>
      <c r="B164" s="106" t="s">
        <v>1044</v>
      </c>
      <c r="C164">
        <v>0.15</v>
      </c>
      <c r="D164" s="106">
        <v>0.15</v>
      </c>
      <c r="E164">
        <v>0.15</v>
      </c>
      <c r="F164">
        <v>0.15</v>
      </c>
      <c r="G164">
        <v>0.45</v>
      </c>
    </row>
    <row r="165" spans="1:7" x14ac:dyDescent="0.2">
      <c r="A165">
        <v>3148</v>
      </c>
      <c r="B165" s="106" t="s">
        <v>1045</v>
      </c>
      <c r="C165">
        <v>0.05</v>
      </c>
      <c r="D165">
        <v>0.05</v>
      </c>
      <c r="E165">
        <v>0.05</v>
      </c>
      <c r="F165">
        <v>0.05</v>
      </c>
      <c r="G165">
        <v>0.15</v>
      </c>
    </row>
    <row r="166" spans="1:7" x14ac:dyDescent="0.2">
      <c r="A166">
        <v>3151</v>
      </c>
      <c r="B166" s="106" t="s">
        <v>1046</v>
      </c>
      <c r="C166">
        <v>0.05</v>
      </c>
      <c r="D166">
        <v>0.05</v>
      </c>
      <c r="E166">
        <v>0.05</v>
      </c>
      <c r="F166">
        <v>0.05</v>
      </c>
      <c r="G166">
        <v>0.15</v>
      </c>
    </row>
    <row r="167" spans="1:7" x14ac:dyDescent="0.2">
      <c r="A167">
        <v>3154</v>
      </c>
      <c r="B167" s="106" t="s">
        <v>1047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">
      <c r="A168">
        <v>3159</v>
      </c>
      <c r="B168" s="106" t="s">
        <v>1048</v>
      </c>
      <c r="C168">
        <v>0.05</v>
      </c>
      <c r="D168">
        <v>0.05</v>
      </c>
      <c r="E168">
        <v>0</v>
      </c>
      <c r="F168">
        <v>0.05</v>
      </c>
      <c r="G168">
        <v>0</v>
      </c>
    </row>
    <row r="169" spans="1:7" x14ac:dyDescent="0.2">
      <c r="A169">
        <v>3160</v>
      </c>
      <c r="B169" s="106" t="s">
        <v>1049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3166</v>
      </c>
      <c r="B170" s="106" t="s">
        <v>1050</v>
      </c>
      <c r="C170">
        <v>0.05</v>
      </c>
      <c r="D170" s="106">
        <v>0.05</v>
      </c>
      <c r="E170">
        <v>0.05</v>
      </c>
      <c r="F170" s="106">
        <v>0.05</v>
      </c>
      <c r="G170" s="106">
        <v>0.15</v>
      </c>
    </row>
    <row r="171" spans="1:7" x14ac:dyDescent="0.2">
      <c r="A171">
        <v>3168</v>
      </c>
      <c r="B171" s="106" t="s">
        <v>1051</v>
      </c>
      <c r="C171">
        <v>0</v>
      </c>
      <c r="D171">
        <v>0</v>
      </c>
      <c r="E171">
        <v>0.05</v>
      </c>
      <c r="F171">
        <v>0.05</v>
      </c>
      <c r="G171" s="106">
        <v>0.15</v>
      </c>
    </row>
    <row r="172" spans="1:7" x14ac:dyDescent="0.2">
      <c r="A172">
        <v>3178</v>
      </c>
      <c r="B172" s="106" t="s">
        <v>1052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3179</v>
      </c>
      <c r="B173" s="106" t="s">
        <v>1053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3180</v>
      </c>
      <c r="B174" s="106" t="s">
        <v>1054</v>
      </c>
      <c r="C174">
        <v>0.05</v>
      </c>
      <c r="D174">
        <v>0.05</v>
      </c>
      <c r="E174">
        <v>0.05</v>
      </c>
      <c r="F174">
        <v>0.05</v>
      </c>
      <c r="G174">
        <v>0</v>
      </c>
    </row>
    <row r="175" spans="1:7" x14ac:dyDescent="0.2">
      <c r="A175">
        <v>3183</v>
      </c>
      <c r="B175" s="106" t="s">
        <v>1055</v>
      </c>
      <c r="C175">
        <v>0.05</v>
      </c>
      <c r="D175" s="106">
        <v>0.05</v>
      </c>
      <c r="E175" s="106">
        <v>0.05</v>
      </c>
      <c r="F175" s="106">
        <v>0.05</v>
      </c>
      <c r="G175" s="106">
        <v>0.15</v>
      </c>
    </row>
    <row r="176" spans="1:7" x14ac:dyDescent="0.2">
      <c r="A176">
        <v>3186</v>
      </c>
      <c r="B176" s="106" t="s">
        <v>1056</v>
      </c>
      <c r="C176">
        <v>0.05</v>
      </c>
      <c r="D176">
        <v>0.05</v>
      </c>
      <c r="E176">
        <v>0.05</v>
      </c>
      <c r="F176">
        <v>0</v>
      </c>
      <c r="G176">
        <v>0.15</v>
      </c>
    </row>
    <row r="177" spans="1:7" x14ac:dyDescent="0.2">
      <c r="A177">
        <v>3193</v>
      </c>
      <c r="B177" s="106" t="s">
        <v>1057</v>
      </c>
      <c r="C177">
        <v>0.05</v>
      </c>
      <c r="D177">
        <v>0.05</v>
      </c>
      <c r="E177">
        <v>0.05</v>
      </c>
      <c r="F177">
        <v>0.05</v>
      </c>
      <c r="G177">
        <v>0.15</v>
      </c>
    </row>
    <row r="178" spans="1:7" x14ac:dyDescent="0.2">
      <c r="A178">
        <v>3196</v>
      </c>
      <c r="B178" s="106" t="s">
        <v>2092</v>
      </c>
      <c r="C178">
        <v>0.05</v>
      </c>
      <c r="D178">
        <v>0.05</v>
      </c>
      <c r="E178" s="106">
        <v>0.05</v>
      </c>
      <c r="F178">
        <v>0.05</v>
      </c>
      <c r="G178">
        <v>0.15</v>
      </c>
    </row>
    <row r="179" spans="1:7" x14ac:dyDescent="0.2">
      <c r="A179">
        <v>3197</v>
      </c>
      <c r="B179" s="106" t="s">
        <v>1058</v>
      </c>
      <c r="C179">
        <v>0.05</v>
      </c>
      <c r="D179">
        <v>0.05</v>
      </c>
      <c r="E179">
        <v>0.05</v>
      </c>
      <c r="F179">
        <v>0.05</v>
      </c>
      <c r="G179">
        <v>0.15</v>
      </c>
    </row>
    <row r="180" spans="1:7" x14ac:dyDescent="0.2">
      <c r="A180">
        <v>3201</v>
      </c>
      <c r="B180" s="106" t="s">
        <v>1059</v>
      </c>
      <c r="C180">
        <v>0.05</v>
      </c>
      <c r="D180">
        <v>0.05</v>
      </c>
      <c r="E180">
        <v>0.05</v>
      </c>
      <c r="F180">
        <v>0.05</v>
      </c>
      <c r="G180">
        <v>0.15</v>
      </c>
    </row>
    <row r="181" spans="1:7" x14ac:dyDescent="0.2">
      <c r="A181">
        <v>3204</v>
      </c>
      <c r="B181" s="106" t="s">
        <v>1060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3205</v>
      </c>
      <c r="B182" s="106" t="s">
        <v>1061</v>
      </c>
      <c r="C182">
        <v>0.05</v>
      </c>
      <c r="D182">
        <v>0</v>
      </c>
      <c r="E182">
        <v>0.05</v>
      </c>
      <c r="F182">
        <v>0.05</v>
      </c>
      <c r="G182">
        <v>0.15</v>
      </c>
    </row>
    <row r="183" spans="1:7" x14ac:dyDescent="0.2">
      <c r="A183">
        <v>3222</v>
      </c>
      <c r="B183" s="106" t="s">
        <v>1062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3231</v>
      </c>
      <c r="B184" s="106" t="s">
        <v>709</v>
      </c>
      <c r="C184">
        <v>0.05</v>
      </c>
      <c r="D184" s="106">
        <v>0.05</v>
      </c>
      <c r="E184">
        <v>0.05</v>
      </c>
      <c r="F184">
        <v>0.05</v>
      </c>
      <c r="G184">
        <v>0.15</v>
      </c>
    </row>
    <row r="185" spans="1:7" x14ac:dyDescent="0.2">
      <c r="A185">
        <v>3232</v>
      </c>
      <c r="B185" s="106" t="s">
        <v>1063</v>
      </c>
      <c r="C185">
        <v>0.05</v>
      </c>
      <c r="D185" s="106">
        <v>0.05</v>
      </c>
      <c r="E185">
        <v>0.05</v>
      </c>
      <c r="F185">
        <v>0.05</v>
      </c>
      <c r="G185">
        <v>0.15</v>
      </c>
    </row>
    <row r="186" spans="1:7" x14ac:dyDescent="0.2">
      <c r="A186">
        <v>3250</v>
      </c>
      <c r="B186" s="106" t="s">
        <v>2536</v>
      </c>
      <c r="C186">
        <v>0</v>
      </c>
      <c r="D186">
        <v>0</v>
      </c>
      <c r="E186" t="s">
        <v>166</v>
      </c>
      <c r="F186" t="s">
        <v>166</v>
      </c>
      <c r="G186" t="s">
        <v>166</v>
      </c>
    </row>
    <row r="187" spans="1:7" x14ac:dyDescent="0.2">
      <c r="A187">
        <v>3271</v>
      </c>
      <c r="B187" s="106" t="s">
        <v>1064</v>
      </c>
      <c r="C187">
        <v>0</v>
      </c>
      <c r="D187">
        <v>0</v>
      </c>
      <c r="E187">
        <v>0</v>
      </c>
      <c r="F187">
        <v>0</v>
      </c>
      <c r="G187" s="106">
        <v>0</v>
      </c>
    </row>
    <row r="188" spans="1:7" x14ac:dyDescent="0.2">
      <c r="A188">
        <v>3276</v>
      </c>
      <c r="B188" s="106" t="s">
        <v>1065</v>
      </c>
      <c r="C188">
        <v>0.05</v>
      </c>
      <c r="D188">
        <v>0.05</v>
      </c>
      <c r="E188">
        <v>0.05</v>
      </c>
      <c r="F188">
        <v>0.05</v>
      </c>
      <c r="G188">
        <v>0.15</v>
      </c>
    </row>
    <row r="189" spans="1:7" x14ac:dyDescent="0.2">
      <c r="A189">
        <v>3284</v>
      </c>
      <c r="B189" s="106" t="s">
        <v>1066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3288</v>
      </c>
      <c r="B190" s="106" t="s">
        <v>2093</v>
      </c>
      <c r="C190">
        <v>0.05</v>
      </c>
      <c r="D190">
        <v>0.05</v>
      </c>
      <c r="E190">
        <v>0.05</v>
      </c>
      <c r="F190">
        <v>0</v>
      </c>
      <c r="G190">
        <v>0.15</v>
      </c>
    </row>
    <row r="191" spans="1:7" x14ac:dyDescent="0.2">
      <c r="A191">
        <v>3289</v>
      </c>
      <c r="B191" s="106" t="s">
        <v>1067</v>
      </c>
      <c r="C191">
        <v>0.05</v>
      </c>
      <c r="D191" s="106">
        <v>0.05</v>
      </c>
      <c r="E191" s="106">
        <v>0.05</v>
      </c>
      <c r="F191" s="106">
        <v>0.05</v>
      </c>
      <c r="G191" s="106">
        <v>0.15</v>
      </c>
    </row>
    <row r="192" spans="1:7" x14ac:dyDescent="0.2">
      <c r="A192">
        <v>3291</v>
      </c>
      <c r="B192" s="106" t="s">
        <v>65</v>
      </c>
      <c r="C192">
        <v>0.05</v>
      </c>
      <c r="D192" s="106">
        <v>0.05</v>
      </c>
      <c r="E192">
        <v>0.05</v>
      </c>
      <c r="F192" s="106">
        <v>0.05</v>
      </c>
      <c r="G192">
        <v>0.15</v>
      </c>
    </row>
    <row r="193" spans="1:7" x14ac:dyDescent="0.2">
      <c r="A193">
        <v>3299</v>
      </c>
      <c r="B193" s="106" t="s">
        <v>1068</v>
      </c>
      <c r="C193">
        <v>0.05</v>
      </c>
      <c r="D193" s="106">
        <v>0.05</v>
      </c>
      <c r="E193" s="106">
        <v>0.05</v>
      </c>
      <c r="F193" s="106">
        <v>0.05</v>
      </c>
      <c r="G193" s="106">
        <v>0.15</v>
      </c>
    </row>
    <row r="194" spans="1:7" x14ac:dyDescent="0.2">
      <c r="A194">
        <v>3349</v>
      </c>
      <c r="B194" s="106" t="s">
        <v>1069</v>
      </c>
      <c r="C194">
        <v>0.4</v>
      </c>
      <c r="D194" s="106">
        <v>0.4</v>
      </c>
      <c r="E194" s="106">
        <v>0.4</v>
      </c>
      <c r="F194">
        <v>0.4</v>
      </c>
      <c r="G194" s="106">
        <v>1.5</v>
      </c>
    </row>
    <row r="195" spans="1:7" x14ac:dyDescent="0.2">
      <c r="A195">
        <v>3360</v>
      </c>
      <c r="B195" s="106" t="s">
        <v>2094</v>
      </c>
      <c r="C195">
        <v>0.1</v>
      </c>
      <c r="D195">
        <v>0.1</v>
      </c>
      <c r="E195" s="106">
        <v>0.1</v>
      </c>
      <c r="F195">
        <v>0.1</v>
      </c>
      <c r="G195" s="106">
        <v>0.3</v>
      </c>
    </row>
    <row r="196" spans="1:7" x14ac:dyDescent="0.2">
      <c r="A196">
        <v>3371</v>
      </c>
      <c r="B196" s="106" t="s">
        <v>2278</v>
      </c>
      <c r="C196">
        <v>0</v>
      </c>
      <c r="D196" t="s">
        <v>166</v>
      </c>
      <c r="E196" s="106">
        <v>0</v>
      </c>
      <c r="F196" s="106" t="s">
        <v>166</v>
      </c>
      <c r="G196" s="106" t="s">
        <v>166</v>
      </c>
    </row>
    <row r="197" spans="1:7" x14ac:dyDescent="0.2">
      <c r="A197">
        <v>3382</v>
      </c>
      <c r="B197" s="106" t="s">
        <v>1070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3387</v>
      </c>
      <c r="B198" s="106" t="s">
        <v>1071</v>
      </c>
      <c r="C198">
        <v>0.05</v>
      </c>
      <c r="D198" s="106">
        <v>0.05</v>
      </c>
      <c r="E198" s="106">
        <v>0.05</v>
      </c>
      <c r="F198" s="106">
        <v>0.05</v>
      </c>
      <c r="G198" s="106">
        <v>0.15</v>
      </c>
    </row>
    <row r="199" spans="1:7" x14ac:dyDescent="0.2">
      <c r="A199">
        <v>3388</v>
      </c>
      <c r="B199" s="106" t="s">
        <v>2095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3391</v>
      </c>
      <c r="B200" s="106" t="s">
        <v>1072</v>
      </c>
      <c r="C200">
        <v>0.25</v>
      </c>
      <c r="D200">
        <v>0.25</v>
      </c>
      <c r="E200">
        <v>0.25</v>
      </c>
      <c r="F200">
        <v>0.25</v>
      </c>
      <c r="G200">
        <v>0.75</v>
      </c>
    </row>
    <row r="201" spans="1:7" x14ac:dyDescent="0.2">
      <c r="A201">
        <v>3393</v>
      </c>
      <c r="B201" s="106" t="s">
        <v>1073</v>
      </c>
      <c r="C201">
        <v>0</v>
      </c>
      <c r="D201">
        <v>0</v>
      </c>
      <c r="E201">
        <v>0</v>
      </c>
      <c r="F201">
        <v>0</v>
      </c>
      <c r="G201" s="106">
        <v>0</v>
      </c>
    </row>
    <row r="202" spans="1:7" x14ac:dyDescent="0.2">
      <c r="A202">
        <v>3397</v>
      </c>
      <c r="B202" s="106" t="s">
        <v>1074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3401</v>
      </c>
      <c r="B203" s="106" t="s">
        <v>1075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3407</v>
      </c>
      <c r="B204" s="106" t="s">
        <v>929</v>
      </c>
      <c r="C204">
        <v>0</v>
      </c>
      <c r="D204">
        <v>0.05</v>
      </c>
      <c r="E204" s="106">
        <v>0.05</v>
      </c>
      <c r="F204">
        <v>0.05</v>
      </c>
      <c r="G204" s="106">
        <v>0</v>
      </c>
    </row>
    <row r="205" spans="1:7" x14ac:dyDescent="0.2">
      <c r="A205">
        <v>3433</v>
      </c>
      <c r="B205" s="106" t="s">
        <v>1076</v>
      </c>
      <c r="C205">
        <v>0</v>
      </c>
      <c r="D205">
        <v>0</v>
      </c>
      <c r="E205" s="106">
        <v>0</v>
      </c>
      <c r="F205">
        <v>0</v>
      </c>
      <c r="G205" s="106">
        <v>0.15</v>
      </c>
    </row>
    <row r="206" spans="1:7" x14ac:dyDescent="0.2">
      <c r="A206">
        <v>3436</v>
      </c>
      <c r="B206" s="106" t="s">
        <v>2186</v>
      </c>
      <c r="C206">
        <v>0</v>
      </c>
      <c r="D206" s="106">
        <v>0</v>
      </c>
      <c r="E206" s="106">
        <v>0</v>
      </c>
      <c r="F206" s="106">
        <v>0</v>
      </c>
      <c r="G206" s="106" t="s">
        <v>166</v>
      </c>
    </row>
    <row r="207" spans="1:7" x14ac:dyDescent="0.2">
      <c r="A207">
        <v>3454</v>
      </c>
      <c r="B207" s="106" t="s">
        <v>1077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3457</v>
      </c>
      <c r="B208" s="106" t="s">
        <v>1078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3465</v>
      </c>
      <c r="B209" s="106" t="s">
        <v>2096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3475</v>
      </c>
      <c r="B210" s="106" t="s">
        <v>2097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3480</v>
      </c>
      <c r="B211" s="106" t="s">
        <v>2537</v>
      </c>
      <c r="C211">
        <v>0</v>
      </c>
      <c r="D211">
        <v>0</v>
      </c>
      <c r="E211" s="106" t="s">
        <v>166</v>
      </c>
      <c r="F211">
        <v>0</v>
      </c>
      <c r="G211" t="s">
        <v>166</v>
      </c>
    </row>
    <row r="212" spans="1:7" x14ac:dyDescent="0.2">
      <c r="A212">
        <v>3484</v>
      </c>
      <c r="B212" s="106" t="s">
        <v>1079</v>
      </c>
      <c r="C212">
        <v>0.05</v>
      </c>
      <c r="D212">
        <v>0.05</v>
      </c>
      <c r="E212">
        <v>0.05</v>
      </c>
      <c r="F212">
        <v>0.05</v>
      </c>
      <c r="G212">
        <v>0.15</v>
      </c>
    </row>
    <row r="213" spans="1:7" x14ac:dyDescent="0.2">
      <c r="A213">
        <v>3501</v>
      </c>
      <c r="B213" s="106" t="s">
        <v>1080</v>
      </c>
      <c r="C213">
        <v>0.05</v>
      </c>
      <c r="D213">
        <v>0.05</v>
      </c>
      <c r="E213">
        <v>0.05</v>
      </c>
      <c r="F213">
        <v>0.05</v>
      </c>
      <c r="G213">
        <v>0.15</v>
      </c>
    </row>
    <row r="214" spans="1:7" x14ac:dyDescent="0.2">
      <c r="A214">
        <v>3529</v>
      </c>
      <c r="B214" s="106" t="s">
        <v>1081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3538</v>
      </c>
      <c r="B215" s="106" t="s">
        <v>1082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3539</v>
      </c>
      <c r="B216" s="106" t="s">
        <v>1083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">
      <c r="A217">
        <v>3544</v>
      </c>
      <c r="B217" s="106" t="s">
        <v>1084</v>
      </c>
      <c r="C217">
        <v>0.05</v>
      </c>
      <c r="D217">
        <v>0.05</v>
      </c>
      <c r="E217">
        <v>0.05</v>
      </c>
      <c r="F217">
        <v>0.05</v>
      </c>
      <c r="G217">
        <v>0.15</v>
      </c>
    </row>
    <row r="218" spans="1:7" x14ac:dyDescent="0.2">
      <c r="A218">
        <v>3547</v>
      </c>
      <c r="B218" s="106" t="s">
        <v>1085</v>
      </c>
      <c r="C218">
        <v>0.05</v>
      </c>
      <c r="D218">
        <v>0.05</v>
      </c>
      <c r="E218">
        <v>0.05</v>
      </c>
      <c r="F218">
        <v>0.05</v>
      </c>
      <c r="G218">
        <v>0.15</v>
      </c>
    </row>
    <row r="219" spans="1:7" x14ac:dyDescent="0.2">
      <c r="A219">
        <v>3563</v>
      </c>
      <c r="B219" s="106" t="s">
        <v>2279</v>
      </c>
      <c r="C219">
        <v>0</v>
      </c>
      <c r="D219">
        <v>0</v>
      </c>
      <c r="E219">
        <v>0</v>
      </c>
      <c r="F219" t="s">
        <v>166</v>
      </c>
      <c r="G219" t="s">
        <v>166</v>
      </c>
    </row>
    <row r="220" spans="1:7" x14ac:dyDescent="0.2">
      <c r="A220">
        <v>3569</v>
      </c>
      <c r="B220" s="106" t="s">
        <v>2280</v>
      </c>
      <c r="C220">
        <v>0.05</v>
      </c>
      <c r="D220">
        <v>0.05</v>
      </c>
      <c r="E220">
        <v>0.05</v>
      </c>
      <c r="F220" t="s">
        <v>166</v>
      </c>
      <c r="G220" s="106">
        <v>0</v>
      </c>
    </row>
    <row r="221" spans="1:7" x14ac:dyDescent="0.2">
      <c r="A221">
        <v>3571</v>
      </c>
      <c r="B221" s="106" t="s">
        <v>1086</v>
      </c>
      <c r="C221">
        <v>0.05</v>
      </c>
      <c r="D221">
        <v>0.05</v>
      </c>
      <c r="E221">
        <v>0.05</v>
      </c>
      <c r="F221">
        <v>0.05</v>
      </c>
      <c r="G221" s="106">
        <v>0.15</v>
      </c>
    </row>
    <row r="222" spans="1:7" x14ac:dyDescent="0.2">
      <c r="A222">
        <v>3580</v>
      </c>
      <c r="B222" s="106" t="s">
        <v>1087</v>
      </c>
      <c r="C222">
        <v>0.05</v>
      </c>
      <c r="D222">
        <v>0.05</v>
      </c>
      <c r="E222">
        <v>0.05</v>
      </c>
      <c r="F222">
        <v>0.05</v>
      </c>
      <c r="G222" s="106">
        <v>0.15</v>
      </c>
    </row>
    <row r="223" spans="1:7" x14ac:dyDescent="0.2">
      <c r="A223">
        <v>3591</v>
      </c>
      <c r="B223" s="106" t="s">
        <v>1088</v>
      </c>
      <c r="C223">
        <v>0.05</v>
      </c>
      <c r="D223">
        <v>0.05</v>
      </c>
      <c r="E223">
        <v>0.05</v>
      </c>
      <c r="F223">
        <v>0.05</v>
      </c>
      <c r="G223">
        <v>0.15</v>
      </c>
    </row>
    <row r="224" spans="1:7" x14ac:dyDescent="0.2">
      <c r="A224">
        <v>3593</v>
      </c>
      <c r="B224" s="106" t="s">
        <v>1089</v>
      </c>
      <c r="C224">
        <v>0.1</v>
      </c>
      <c r="D224">
        <v>0.1</v>
      </c>
      <c r="E224">
        <v>0.1</v>
      </c>
      <c r="F224">
        <v>0.1</v>
      </c>
      <c r="G224" s="106">
        <v>0.3</v>
      </c>
    </row>
    <row r="225" spans="1:7" x14ac:dyDescent="0.2">
      <c r="A225">
        <v>3606</v>
      </c>
      <c r="B225" s="106" t="s">
        <v>1090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3611</v>
      </c>
      <c r="B226" s="106" t="s">
        <v>2098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3612</v>
      </c>
      <c r="B227" s="106" t="s">
        <v>1091</v>
      </c>
      <c r="C227">
        <v>0</v>
      </c>
      <c r="D227">
        <v>0</v>
      </c>
      <c r="E227">
        <v>0.05</v>
      </c>
      <c r="F227">
        <v>0.05</v>
      </c>
      <c r="G227">
        <v>0</v>
      </c>
    </row>
    <row r="228" spans="1:7" x14ac:dyDescent="0.2">
      <c r="A228">
        <v>3627</v>
      </c>
      <c r="B228" s="106" t="s">
        <v>1092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3635</v>
      </c>
      <c r="B229" s="106" t="s">
        <v>49</v>
      </c>
      <c r="C229">
        <v>0.05</v>
      </c>
      <c r="D229">
        <v>0.05</v>
      </c>
      <c r="E229">
        <v>0.05</v>
      </c>
      <c r="F229">
        <v>0.05</v>
      </c>
      <c r="G229">
        <v>0.15</v>
      </c>
    </row>
    <row r="230" spans="1:7" x14ac:dyDescent="0.2">
      <c r="A230">
        <v>3639</v>
      </c>
      <c r="B230" s="106" t="s">
        <v>1093</v>
      </c>
      <c r="C230">
        <v>0</v>
      </c>
      <c r="D230" t="s">
        <v>166</v>
      </c>
      <c r="E230">
        <v>0</v>
      </c>
      <c r="F230">
        <v>0.05</v>
      </c>
      <c r="G230">
        <v>0</v>
      </c>
    </row>
    <row r="231" spans="1:7" x14ac:dyDescent="0.2">
      <c r="A231">
        <v>3640</v>
      </c>
      <c r="B231" s="106" t="s">
        <v>1094</v>
      </c>
      <c r="C231">
        <v>0.05</v>
      </c>
      <c r="D231">
        <v>0.05</v>
      </c>
      <c r="E231">
        <v>0.05</v>
      </c>
      <c r="F231">
        <v>0.05</v>
      </c>
      <c r="G231">
        <v>0.15</v>
      </c>
    </row>
    <row r="232" spans="1:7" x14ac:dyDescent="0.2">
      <c r="A232">
        <v>3648</v>
      </c>
      <c r="B232" s="106" t="s">
        <v>1095</v>
      </c>
      <c r="C232">
        <v>0.05</v>
      </c>
      <c r="D232">
        <v>0.05</v>
      </c>
      <c r="E232">
        <v>0.05</v>
      </c>
      <c r="F232">
        <v>0.05</v>
      </c>
      <c r="G232">
        <v>0</v>
      </c>
    </row>
    <row r="233" spans="1:7" x14ac:dyDescent="0.2">
      <c r="A233">
        <v>3655</v>
      </c>
      <c r="B233" s="106" t="s">
        <v>1096</v>
      </c>
      <c r="C233">
        <v>0</v>
      </c>
      <c r="D233" s="106">
        <v>0.1</v>
      </c>
      <c r="E233">
        <v>0.1</v>
      </c>
      <c r="F233">
        <v>0.1</v>
      </c>
      <c r="G233">
        <v>0</v>
      </c>
    </row>
    <row r="234" spans="1:7" x14ac:dyDescent="0.2">
      <c r="A234">
        <v>3656</v>
      </c>
      <c r="B234" s="106" t="s">
        <v>1097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3659</v>
      </c>
      <c r="B235" s="106" t="s">
        <v>1098</v>
      </c>
      <c r="C235">
        <v>0.05</v>
      </c>
      <c r="D235">
        <v>0.05</v>
      </c>
      <c r="E235">
        <v>0</v>
      </c>
      <c r="F235">
        <v>0</v>
      </c>
      <c r="G235">
        <v>0</v>
      </c>
    </row>
    <row r="236" spans="1:7" x14ac:dyDescent="0.2">
      <c r="A236">
        <v>3660</v>
      </c>
      <c r="B236" s="106" t="s">
        <v>1099</v>
      </c>
      <c r="C236">
        <v>0.05</v>
      </c>
      <c r="D236" s="106">
        <v>0.05</v>
      </c>
      <c r="E236" s="106">
        <v>0.05</v>
      </c>
      <c r="F236" s="106">
        <v>0.05</v>
      </c>
      <c r="G236" s="106">
        <v>0.15</v>
      </c>
    </row>
    <row r="237" spans="1:7" x14ac:dyDescent="0.2">
      <c r="A237">
        <v>3661</v>
      </c>
      <c r="B237" s="106" t="s">
        <v>1100</v>
      </c>
      <c r="C237">
        <v>0.05</v>
      </c>
      <c r="D237" s="106">
        <v>0.05</v>
      </c>
      <c r="E237">
        <v>0.05</v>
      </c>
      <c r="F237" s="106">
        <v>0.05</v>
      </c>
      <c r="G237" s="106">
        <v>0.15</v>
      </c>
    </row>
    <row r="238" spans="1:7" x14ac:dyDescent="0.2">
      <c r="A238">
        <v>3662</v>
      </c>
      <c r="B238" s="106" t="s">
        <v>1101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3667</v>
      </c>
      <c r="B239" s="106" t="s">
        <v>2099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3668</v>
      </c>
      <c r="B240" s="106" t="s">
        <v>1102</v>
      </c>
      <c r="C240">
        <v>0.05</v>
      </c>
      <c r="D240" s="106">
        <v>0.05</v>
      </c>
      <c r="E240">
        <v>0.05</v>
      </c>
      <c r="F240" s="106">
        <v>0.05</v>
      </c>
      <c r="G240">
        <v>0.15</v>
      </c>
    </row>
    <row r="241" spans="1:7" x14ac:dyDescent="0.2">
      <c r="A241">
        <v>3678</v>
      </c>
      <c r="B241" s="106" t="s">
        <v>1103</v>
      </c>
      <c r="C241">
        <v>0.1</v>
      </c>
      <c r="D241">
        <v>0.1</v>
      </c>
      <c r="E241">
        <v>0.1</v>
      </c>
      <c r="F241">
        <v>0.1</v>
      </c>
      <c r="G241">
        <v>0.3</v>
      </c>
    </row>
    <row r="242" spans="1:7" x14ac:dyDescent="0.2">
      <c r="A242">
        <v>3681</v>
      </c>
      <c r="B242" s="106" t="s">
        <v>1104</v>
      </c>
      <c r="C242">
        <v>0.05</v>
      </c>
      <c r="D242">
        <v>0.05</v>
      </c>
      <c r="E242">
        <v>0.05</v>
      </c>
      <c r="F242">
        <v>0.05</v>
      </c>
      <c r="G242">
        <v>0.15</v>
      </c>
    </row>
    <row r="243" spans="1:7" x14ac:dyDescent="0.2">
      <c r="A243">
        <v>3683</v>
      </c>
      <c r="B243" s="106" t="s">
        <v>2281</v>
      </c>
      <c r="C243">
        <v>0</v>
      </c>
      <c r="D243" t="s">
        <v>166</v>
      </c>
      <c r="E243">
        <v>0</v>
      </c>
      <c r="F243" t="s">
        <v>166</v>
      </c>
      <c r="G243">
        <v>0</v>
      </c>
    </row>
    <row r="244" spans="1:7" x14ac:dyDescent="0.2">
      <c r="A244">
        <v>3694</v>
      </c>
      <c r="B244" s="106" t="s">
        <v>1105</v>
      </c>
      <c r="C244">
        <v>0.05</v>
      </c>
      <c r="D244">
        <v>0.05</v>
      </c>
      <c r="E244">
        <v>0.05</v>
      </c>
      <c r="F244">
        <v>0.05</v>
      </c>
      <c r="G244">
        <v>0.15</v>
      </c>
    </row>
    <row r="245" spans="1:7" x14ac:dyDescent="0.2">
      <c r="A245">
        <v>3697</v>
      </c>
      <c r="B245" s="106" t="s">
        <v>1106</v>
      </c>
      <c r="C245">
        <v>0.15</v>
      </c>
      <c r="D245" s="106">
        <v>0.15</v>
      </c>
      <c r="E245" s="106">
        <v>0.05</v>
      </c>
      <c r="F245" s="106">
        <v>0.15</v>
      </c>
      <c r="G245" s="106">
        <v>0.45</v>
      </c>
    </row>
    <row r="246" spans="1:7" x14ac:dyDescent="0.2">
      <c r="A246">
        <v>3708</v>
      </c>
      <c r="B246" s="106" t="s">
        <v>1107</v>
      </c>
      <c r="C246">
        <v>0.1</v>
      </c>
      <c r="D246" s="106">
        <v>0.1</v>
      </c>
      <c r="E246" s="106">
        <v>0.1</v>
      </c>
      <c r="F246" s="106">
        <v>0.1</v>
      </c>
      <c r="G246" s="106">
        <v>0.3</v>
      </c>
    </row>
    <row r="247" spans="1:7" x14ac:dyDescent="0.2">
      <c r="A247">
        <v>3738</v>
      </c>
      <c r="B247" s="106" t="s">
        <v>1108</v>
      </c>
      <c r="C247">
        <v>0.05</v>
      </c>
      <c r="D247">
        <v>0.05</v>
      </c>
      <c r="E247">
        <v>0.05</v>
      </c>
      <c r="F247">
        <v>0.05</v>
      </c>
      <c r="G247" s="106">
        <v>0.15</v>
      </c>
    </row>
    <row r="248" spans="1:7" x14ac:dyDescent="0.2">
      <c r="A248">
        <v>3774</v>
      </c>
      <c r="B248" s="106" t="s">
        <v>1109</v>
      </c>
      <c r="C248">
        <v>0.05</v>
      </c>
      <c r="D248">
        <v>0.05</v>
      </c>
      <c r="E248">
        <v>0.05</v>
      </c>
      <c r="F248">
        <v>0.05</v>
      </c>
      <c r="G248" s="106">
        <v>0.15</v>
      </c>
    </row>
    <row r="249" spans="1:7" x14ac:dyDescent="0.2">
      <c r="A249">
        <v>3778</v>
      </c>
      <c r="B249" s="106" t="s">
        <v>1110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3822</v>
      </c>
      <c r="B250" s="106" t="s">
        <v>1111</v>
      </c>
      <c r="C250">
        <v>0.05</v>
      </c>
      <c r="D250" s="106">
        <v>0.05</v>
      </c>
      <c r="E250" s="106">
        <v>0.05</v>
      </c>
      <c r="F250" s="106">
        <v>0.05</v>
      </c>
      <c r="G250" s="106">
        <v>0.15</v>
      </c>
    </row>
    <row r="251" spans="1:7" x14ac:dyDescent="0.2">
      <c r="A251">
        <v>3843</v>
      </c>
      <c r="B251" s="106" t="s">
        <v>2100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3865</v>
      </c>
      <c r="B252" s="106" t="s">
        <v>1112</v>
      </c>
      <c r="C252">
        <v>0.05</v>
      </c>
      <c r="D252">
        <v>0.05</v>
      </c>
      <c r="E252" s="106">
        <v>0</v>
      </c>
      <c r="F252">
        <v>0</v>
      </c>
      <c r="G252" s="106">
        <v>0.15</v>
      </c>
    </row>
    <row r="253" spans="1:7" x14ac:dyDescent="0.2">
      <c r="A253">
        <v>3877</v>
      </c>
      <c r="B253" s="106" t="s">
        <v>1113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3878</v>
      </c>
      <c r="B254" s="106" t="s">
        <v>1114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3912</v>
      </c>
      <c r="B255" s="106" t="s">
        <v>2538</v>
      </c>
      <c r="C255">
        <v>0</v>
      </c>
      <c r="D255" s="106" t="s">
        <v>166</v>
      </c>
      <c r="E255" t="s">
        <v>166</v>
      </c>
      <c r="F255" s="106">
        <v>0</v>
      </c>
      <c r="G255" t="s">
        <v>166</v>
      </c>
    </row>
    <row r="256" spans="1:7" x14ac:dyDescent="0.2">
      <c r="A256">
        <v>3916</v>
      </c>
      <c r="B256" s="106" t="s">
        <v>2539</v>
      </c>
      <c r="C256">
        <v>0</v>
      </c>
      <c r="D256">
        <v>0</v>
      </c>
      <c r="E256" t="s">
        <v>166</v>
      </c>
      <c r="F256" s="106" t="s">
        <v>166</v>
      </c>
      <c r="G256" s="106" t="s">
        <v>166</v>
      </c>
    </row>
    <row r="257" spans="1:7" x14ac:dyDescent="0.2">
      <c r="A257">
        <v>3928</v>
      </c>
      <c r="B257" s="106" t="s">
        <v>2101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3946</v>
      </c>
      <c r="B258" s="106" t="s">
        <v>2282</v>
      </c>
      <c r="C258">
        <v>0</v>
      </c>
      <c r="D258" t="s">
        <v>166</v>
      </c>
      <c r="E258">
        <v>0</v>
      </c>
      <c r="F258" t="s">
        <v>166</v>
      </c>
      <c r="G258">
        <v>0</v>
      </c>
    </row>
    <row r="259" spans="1:7" x14ac:dyDescent="0.2">
      <c r="A259">
        <v>3950</v>
      </c>
      <c r="B259" s="106" t="s">
        <v>2102</v>
      </c>
      <c r="C259">
        <v>0.1</v>
      </c>
      <c r="D259">
        <v>0.1</v>
      </c>
      <c r="E259" s="106">
        <v>0.1</v>
      </c>
      <c r="F259" s="106">
        <v>0.1</v>
      </c>
      <c r="G259" s="106">
        <v>0</v>
      </c>
    </row>
    <row r="260" spans="1:7" x14ac:dyDescent="0.2">
      <c r="A260">
        <v>3963</v>
      </c>
      <c r="B260" s="106" t="s">
        <v>2103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3964</v>
      </c>
      <c r="B261" s="106" t="s">
        <v>1115</v>
      </c>
      <c r="C261">
        <v>0.05</v>
      </c>
      <c r="D261">
        <v>0.05</v>
      </c>
      <c r="E261">
        <v>0.05</v>
      </c>
      <c r="F261">
        <v>0.05</v>
      </c>
      <c r="G261">
        <v>0.15</v>
      </c>
    </row>
    <row r="262" spans="1:7" x14ac:dyDescent="0.2">
      <c r="A262">
        <v>3968</v>
      </c>
      <c r="B262" s="106" t="s">
        <v>1116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3983</v>
      </c>
      <c r="B263" s="106" t="s">
        <v>1117</v>
      </c>
      <c r="C263">
        <v>0.05</v>
      </c>
      <c r="D263" s="106">
        <v>0.1</v>
      </c>
      <c r="E263" s="106">
        <v>0.1</v>
      </c>
      <c r="F263" s="106">
        <v>0.1</v>
      </c>
      <c r="G263" s="106">
        <v>0.3</v>
      </c>
    </row>
    <row r="264" spans="1:7" x14ac:dyDescent="0.2">
      <c r="A264">
        <v>3996</v>
      </c>
      <c r="B264" s="106" t="s">
        <v>1118</v>
      </c>
      <c r="C264">
        <v>0.05</v>
      </c>
      <c r="D264">
        <v>0.05</v>
      </c>
      <c r="E264" s="106">
        <v>0.05</v>
      </c>
      <c r="F264" s="106">
        <v>0.05</v>
      </c>
      <c r="G264" s="106">
        <v>0.15</v>
      </c>
    </row>
    <row r="265" spans="1:7" x14ac:dyDescent="0.2">
      <c r="A265">
        <v>4004</v>
      </c>
      <c r="B265" s="106" t="s">
        <v>2104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4021</v>
      </c>
      <c r="B266" s="106" t="s">
        <v>2105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4022</v>
      </c>
      <c r="B267" s="106" t="s">
        <v>2540</v>
      </c>
      <c r="C267">
        <v>0</v>
      </c>
      <c r="D267" t="s">
        <v>166</v>
      </c>
      <c r="E267" t="s">
        <v>166</v>
      </c>
      <c r="F267">
        <v>0</v>
      </c>
      <c r="G267">
        <v>0</v>
      </c>
    </row>
    <row r="268" spans="1:7" x14ac:dyDescent="0.2">
      <c r="A268">
        <v>4025</v>
      </c>
      <c r="B268" s="106" t="s">
        <v>1119</v>
      </c>
      <c r="C268">
        <v>0.1</v>
      </c>
      <c r="D268">
        <v>0.1</v>
      </c>
      <c r="E268">
        <v>0.1</v>
      </c>
      <c r="F268">
        <v>0.1</v>
      </c>
      <c r="G268">
        <v>0.3</v>
      </c>
    </row>
    <row r="269" spans="1:7" x14ac:dyDescent="0.2">
      <c r="A269">
        <v>4041</v>
      </c>
      <c r="B269" s="106" t="s">
        <v>1120</v>
      </c>
      <c r="C269">
        <v>0</v>
      </c>
      <c r="D269">
        <v>0.05</v>
      </c>
      <c r="E269" s="106">
        <v>0.05</v>
      </c>
      <c r="F269">
        <v>0.05</v>
      </c>
      <c r="G269">
        <v>0.15</v>
      </c>
    </row>
    <row r="270" spans="1:7" x14ac:dyDescent="0.2">
      <c r="A270">
        <v>4042</v>
      </c>
      <c r="B270" s="106" t="s">
        <v>912</v>
      </c>
      <c r="C270">
        <v>0.05</v>
      </c>
      <c r="D270" s="106">
        <v>0.05</v>
      </c>
      <c r="E270" s="106">
        <v>0</v>
      </c>
      <c r="F270" s="106">
        <v>0</v>
      </c>
      <c r="G270" s="106">
        <v>0</v>
      </c>
    </row>
    <row r="271" spans="1:7" x14ac:dyDescent="0.2">
      <c r="A271">
        <v>4043</v>
      </c>
      <c r="B271" s="106" t="s">
        <v>1121</v>
      </c>
      <c r="C271">
        <v>0.05</v>
      </c>
      <c r="D271" s="106">
        <v>0.05</v>
      </c>
      <c r="E271" s="106">
        <v>0.05</v>
      </c>
      <c r="F271" s="106">
        <v>0.05</v>
      </c>
      <c r="G271" s="106">
        <v>0.15</v>
      </c>
    </row>
    <row r="272" spans="1:7" x14ac:dyDescent="0.2">
      <c r="A272">
        <v>4045</v>
      </c>
      <c r="B272" s="106" t="s">
        <v>1122</v>
      </c>
      <c r="C272">
        <v>0.05</v>
      </c>
      <c r="D272">
        <v>0.05</v>
      </c>
      <c r="E272">
        <v>0.05</v>
      </c>
      <c r="F272">
        <v>0.05</v>
      </c>
      <c r="G272">
        <v>0.15</v>
      </c>
    </row>
    <row r="273" spans="1:7" x14ac:dyDescent="0.2">
      <c r="A273">
        <v>4046</v>
      </c>
      <c r="B273" s="106" t="s">
        <v>2541</v>
      </c>
      <c r="C273">
        <v>0</v>
      </c>
      <c r="D273" t="s">
        <v>166</v>
      </c>
      <c r="E273" t="s">
        <v>166</v>
      </c>
      <c r="F273">
        <v>0.05</v>
      </c>
      <c r="G273" s="106">
        <v>0.15</v>
      </c>
    </row>
    <row r="274" spans="1:7" x14ac:dyDescent="0.2">
      <c r="A274">
        <v>4047</v>
      </c>
      <c r="B274" s="106" t="s">
        <v>1123</v>
      </c>
      <c r="C274">
        <v>0.05</v>
      </c>
      <c r="D274" s="106">
        <v>0.05</v>
      </c>
      <c r="E274">
        <v>0.05</v>
      </c>
      <c r="F274" s="106">
        <v>0.05</v>
      </c>
      <c r="G274" s="106">
        <v>0.15</v>
      </c>
    </row>
    <row r="275" spans="1:7" x14ac:dyDescent="0.2">
      <c r="A275">
        <v>4062</v>
      </c>
      <c r="B275" s="106" t="s">
        <v>247</v>
      </c>
      <c r="C275">
        <v>0.05</v>
      </c>
      <c r="D275">
        <v>0.05</v>
      </c>
      <c r="E275">
        <v>0.05</v>
      </c>
      <c r="F275">
        <v>0.05</v>
      </c>
      <c r="G275">
        <v>0.15</v>
      </c>
    </row>
    <row r="276" spans="1:7" x14ac:dyDescent="0.2">
      <c r="A276">
        <v>4064</v>
      </c>
      <c r="B276" s="106" t="s">
        <v>2542</v>
      </c>
      <c r="C276">
        <v>0</v>
      </c>
      <c r="D276">
        <v>0</v>
      </c>
      <c r="E276" t="s">
        <v>166</v>
      </c>
      <c r="F276" t="s">
        <v>166</v>
      </c>
      <c r="G276">
        <v>0</v>
      </c>
    </row>
    <row r="277" spans="1:7" x14ac:dyDescent="0.2">
      <c r="A277">
        <v>4091</v>
      </c>
      <c r="B277" s="106" t="s">
        <v>1124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4092</v>
      </c>
      <c r="B278" s="106" t="s">
        <v>1125</v>
      </c>
      <c r="C278">
        <v>0.05</v>
      </c>
      <c r="D278">
        <v>0</v>
      </c>
      <c r="E278">
        <v>0.1</v>
      </c>
      <c r="F278">
        <v>0.1</v>
      </c>
      <c r="G278">
        <v>0.3</v>
      </c>
    </row>
    <row r="279" spans="1:7" x14ac:dyDescent="0.2">
      <c r="A279">
        <v>4099</v>
      </c>
      <c r="B279" s="106" t="s">
        <v>2106</v>
      </c>
      <c r="C279">
        <v>0.05</v>
      </c>
      <c r="D279">
        <v>0.05</v>
      </c>
      <c r="E279">
        <v>0.05</v>
      </c>
      <c r="F279">
        <v>0.05</v>
      </c>
      <c r="G279" s="106">
        <v>0.15</v>
      </c>
    </row>
    <row r="280" spans="1:7" x14ac:dyDescent="0.2">
      <c r="A280">
        <v>4100</v>
      </c>
      <c r="B280" s="106" t="s">
        <v>1126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4112</v>
      </c>
      <c r="B281" s="106" t="s">
        <v>1127</v>
      </c>
      <c r="C281">
        <v>0.1</v>
      </c>
      <c r="D281" s="106">
        <v>0.1</v>
      </c>
      <c r="E281">
        <v>0.1</v>
      </c>
      <c r="F281">
        <v>0.1</v>
      </c>
      <c r="G281" s="106">
        <v>0.3</v>
      </c>
    </row>
    <row r="282" spans="1:7" x14ac:dyDescent="0.2">
      <c r="A282">
        <v>4114</v>
      </c>
      <c r="B282" s="106" t="s">
        <v>1128</v>
      </c>
      <c r="C282">
        <v>0.15</v>
      </c>
      <c r="D282">
        <v>0.15</v>
      </c>
      <c r="E282">
        <v>0.15</v>
      </c>
      <c r="F282">
        <v>0.15</v>
      </c>
      <c r="G282">
        <v>0.45</v>
      </c>
    </row>
    <row r="283" spans="1:7" x14ac:dyDescent="0.2">
      <c r="A283">
        <v>4151</v>
      </c>
      <c r="B283" s="106" t="s">
        <v>1129</v>
      </c>
      <c r="C283">
        <v>0.05</v>
      </c>
      <c r="D283">
        <v>0.05</v>
      </c>
      <c r="E283">
        <v>0.05</v>
      </c>
      <c r="F283">
        <v>0.05</v>
      </c>
      <c r="G283">
        <v>0.15</v>
      </c>
    </row>
    <row r="284" spans="1:7" x14ac:dyDescent="0.2">
      <c r="A284">
        <v>4182</v>
      </c>
      <c r="B284" s="106" t="s">
        <v>50</v>
      </c>
      <c r="C284">
        <v>0.05</v>
      </c>
      <c r="D284">
        <v>0</v>
      </c>
      <c r="E284">
        <v>0.05</v>
      </c>
      <c r="F284">
        <v>0</v>
      </c>
      <c r="G284">
        <v>0</v>
      </c>
    </row>
    <row r="285" spans="1:7" x14ac:dyDescent="0.2">
      <c r="A285">
        <v>4183</v>
      </c>
      <c r="B285" s="106" t="s">
        <v>229</v>
      </c>
      <c r="C285">
        <v>0.05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4186</v>
      </c>
      <c r="B286" s="106" t="s">
        <v>1130</v>
      </c>
      <c r="C286">
        <v>0.05</v>
      </c>
      <c r="D286">
        <v>0</v>
      </c>
      <c r="E286">
        <v>0.1</v>
      </c>
      <c r="F286">
        <v>0.05</v>
      </c>
      <c r="G286">
        <v>0</v>
      </c>
    </row>
    <row r="287" spans="1:7" x14ac:dyDescent="0.2">
      <c r="A287">
        <v>4187</v>
      </c>
      <c r="B287" s="106" t="s">
        <v>2107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4202</v>
      </c>
      <c r="B288" s="106" t="s">
        <v>51</v>
      </c>
      <c r="C288">
        <v>0.05</v>
      </c>
      <c r="D288">
        <v>0.05</v>
      </c>
      <c r="E288">
        <v>0.05</v>
      </c>
      <c r="F288">
        <v>0.05</v>
      </c>
      <c r="G288">
        <v>0</v>
      </c>
    </row>
    <row r="289" spans="1:7" x14ac:dyDescent="0.2">
      <c r="A289">
        <v>4203</v>
      </c>
      <c r="B289" s="106" t="s">
        <v>1131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4204</v>
      </c>
      <c r="B290" s="106" t="s">
        <v>245</v>
      </c>
      <c r="C290">
        <v>0</v>
      </c>
      <c r="D290">
        <v>0</v>
      </c>
      <c r="E290">
        <v>0</v>
      </c>
      <c r="F290">
        <v>0.05</v>
      </c>
      <c r="G290">
        <v>0.15</v>
      </c>
    </row>
    <row r="291" spans="1:7" x14ac:dyDescent="0.2">
      <c r="A291">
        <v>4205</v>
      </c>
      <c r="B291" s="106" t="s">
        <v>1132</v>
      </c>
      <c r="C291">
        <v>0</v>
      </c>
      <c r="D291" s="106">
        <v>0</v>
      </c>
      <c r="E291" s="106">
        <v>0.05</v>
      </c>
      <c r="F291" s="106">
        <v>0.05</v>
      </c>
      <c r="G291" s="106">
        <v>0.15</v>
      </c>
    </row>
    <row r="292" spans="1:7" x14ac:dyDescent="0.2">
      <c r="A292">
        <v>4208</v>
      </c>
      <c r="B292" s="106" t="s">
        <v>55</v>
      </c>
      <c r="C292">
        <v>0.05</v>
      </c>
      <c r="D292">
        <v>0.05</v>
      </c>
      <c r="E292">
        <v>0.05</v>
      </c>
      <c r="F292">
        <v>0.05</v>
      </c>
      <c r="G292">
        <v>0.15</v>
      </c>
    </row>
    <row r="293" spans="1:7" x14ac:dyDescent="0.2">
      <c r="A293">
        <v>4212</v>
      </c>
      <c r="B293" s="106" t="s">
        <v>1133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4216</v>
      </c>
      <c r="B294" s="106" t="s">
        <v>1134</v>
      </c>
      <c r="C294">
        <v>0.05</v>
      </c>
      <c r="D294">
        <v>0.05</v>
      </c>
      <c r="E294">
        <v>0.05</v>
      </c>
      <c r="F294">
        <v>0.05</v>
      </c>
      <c r="G294">
        <v>0.15</v>
      </c>
    </row>
    <row r="295" spans="1:7" x14ac:dyDescent="0.2">
      <c r="A295">
        <v>4218</v>
      </c>
      <c r="B295" s="106" t="s">
        <v>1135</v>
      </c>
      <c r="C295">
        <v>0</v>
      </c>
      <c r="D295">
        <v>0</v>
      </c>
      <c r="E295">
        <v>0</v>
      </c>
      <c r="F295">
        <v>0.05</v>
      </c>
      <c r="G295">
        <v>0</v>
      </c>
    </row>
    <row r="296" spans="1:7" x14ac:dyDescent="0.2">
      <c r="A296">
        <v>4221</v>
      </c>
      <c r="B296" s="106" t="s">
        <v>2543</v>
      </c>
      <c r="C296">
        <v>0.05</v>
      </c>
      <c r="D296">
        <v>0.05</v>
      </c>
      <c r="E296" t="s">
        <v>166</v>
      </c>
      <c r="F296">
        <v>0.05</v>
      </c>
      <c r="G296">
        <v>0</v>
      </c>
    </row>
    <row r="297" spans="1:7" x14ac:dyDescent="0.2">
      <c r="A297">
        <v>4245</v>
      </c>
      <c r="B297" s="106" t="s">
        <v>2283</v>
      </c>
      <c r="C297">
        <v>0</v>
      </c>
      <c r="D297">
        <v>0</v>
      </c>
      <c r="E297">
        <v>0</v>
      </c>
      <c r="F297" t="s">
        <v>166</v>
      </c>
      <c r="G297">
        <v>0</v>
      </c>
    </row>
    <row r="298" spans="1:7" x14ac:dyDescent="0.2">
      <c r="A298">
        <v>4246</v>
      </c>
      <c r="B298" s="106" t="s">
        <v>2284</v>
      </c>
      <c r="C298">
        <v>0</v>
      </c>
      <c r="D298" t="s">
        <v>166</v>
      </c>
      <c r="E298">
        <v>0</v>
      </c>
      <c r="F298" s="106" t="s">
        <v>166</v>
      </c>
      <c r="G298" s="106">
        <v>0</v>
      </c>
    </row>
    <row r="299" spans="1:7" x14ac:dyDescent="0.2">
      <c r="A299">
        <v>4272</v>
      </c>
      <c r="B299" s="106" t="s">
        <v>1136</v>
      </c>
      <c r="C299">
        <v>0.05</v>
      </c>
      <c r="D299" t="s">
        <v>166</v>
      </c>
      <c r="E299">
        <v>0.05</v>
      </c>
      <c r="F299">
        <v>0.05</v>
      </c>
      <c r="G299" s="106">
        <v>0</v>
      </c>
    </row>
    <row r="300" spans="1:7" x14ac:dyDescent="0.2">
      <c r="A300">
        <v>4286</v>
      </c>
      <c r="B300" s="106" t="s">
        <v>1137</v>
      </c>
      <c r="C300">
        <v>0.05</v>
      </c>
      <c r="D300">
        <v>0</v>
      </c>
      <c r="E300">
        <v>0.05</v>
      </c>
      <c r="F300">
        <v>0</v>
      </c>
      <c r="G300" s="106">
        <v>0.15</v>
      </c>
    </row>
    <row r="301" spans="1:7" x14ac:dyDescent="0.2">
      <c r="A301">
        <v>4290</v>
      </c>
      <c r="B301" s="106" t="s">
        <v>1138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4299</v>
      </c>
      <c r="B302" s="106" t="s">
        <v>1139</v>
      </c>
      <c r="C302">
        <v>0.05</v>
      </c>
      <c r="D302">
        <v>0.05</v>
      </c>
      <c r="E302" s="106">
        <v>0.05</v>
      </c>
      <c r="F302">
        <v>0.05</v>
      </c>
      <c r="G302" s="106">
        <v>0.15</v>
      </c>
    </row>
    <row r="303" spans="1:7" x14ac:dyDescent="0.2">
      <c r="A303">
        <v>4307</v>
      </c>
      <c r="B303" s="106" t="s">
        <v>1140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4310</v>
      </c>
      <c r="B304" s="106" t="s">
        <v>1141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4321</v>
      </c>
      <c r="B305" s="106" t="s">
        <v>1142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4337</v>
      </c>
      <c r="B306" s="106" t="s">
        <v>1143</v>
      </c>
      <c r="C306">
        <v>0.1</v>
      </c>
      <c r="D306" s="106">
        <v>0.1</v>
      </c>
      <c r="E306">
        <v>0.1</v>
      </c>
      <c r="F306">
        <v>0.1</v>
      </c>
      <c r="G306">
        <v>0.3</v>
      </c>
    </row>
    <row r="307" spans="1:7" x14ac:dyDescent="0.2">
      <c r="A307">
        <v>4344</v>
      </c>
      <c r="B307" s="106" t="s">
        <v>1144</v>
      </c>
      <c r="C307">
        <v>0</v>
      </c>
      <c r="D307">
        <v>0</v>
      </c>
      <c r="E307">
        <v>0</v>
      </c>
      <c r="F307">
        <v>0.05</v>
      </c>
      <c r="G307">
        <v>0</v>
      </c>
    </row>
    <row r="308" spans="1:7" x14ac:dyDescent="0.2">
      <c r="A308">
        <v>4345</v>
      </c>
      <c r="B308" s="106" t="s">
        <v>1145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4362</v>
      </c>
      <c r="B309" s="106" t="s">
        <v>2544</v>
      </c>
      <c r="C309">
        <v>0.05</v>
      </c>
      <c r="D309" t="s">
        <v>166</v>
      </c>
      <c r="E309" t="s">
        <v>166</v>
      </c>
      <c r="F309">
        <v>0</v>
      </c>
      <c r="G309">
        <v>0</v>
      </c>
    </row>
    <row r="310" spans="1:7" x14ac:dyDescent="0.2">
      <c r="A310">
        <v>4368</v>
      </c>
      <c r="B310" s="106" t="s">
        <v>1146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4401</v>
      </c>
      <c r="B311" s="106" t="s">
        <v>241</v>
      </c>
      <c r="C311">
        <v>0.05</v>
      </c>
      <c r="D311">
        <v>0.05</v>
      </c>
      <c r="E311">
        <v>0.05</v>
      </c>
      <c r="F311">
        <v>0.05</v>
      </c>
      <c r="G311">
        <v>0.15</v>
      </c>
    </row>
    <row r="312" spans="1:7" x14ac:dyDescent="0.2">
      <c r="A312">
        <v>4403</v>
      </c>
      <c r="B312" s="106" t="s">
        <v>1147</v>
      </c>
      <c r="C312">
        <v>0.05</v>
      </c>
      <c r="D312">
        <v>0.05</v>
      </c>
      <c r="E312">
        <v>0</v>
      </c>
      <c r="F312">
        <v>0</v>
      </c>
      <c r="G312">
        <v>0</v>
      </c>
    </row>
    <row r="313" spans="1:7" x14ac:dyDescent="0.2">
      <c r="A313">
        <v>4404</v>
      </c>
      <c r="B313" s="106" t="s">
        <v>2285</v>
      </c>
      <c r="C313">
        <v>0</v>
      </c>
      <c r="D313">
        <v>0</v>
      </c>
      <c r="E313">
        <v>0</v>
      </c>
      <c r="F313" t="s">
        <v>166</v>
      </c>
      <c r="G313">
        <v>0</v>
      </c>
    </row>
    <row r="314" spans="1:7" x14ac:dyDescent="0.2">
      <c r="A314">
        <v>4410</v>
      </c>
      <c r="B314" s="106" t="s">
        <v>1148</v>
      </c>
      <c r="C314">
        <v>0.05</v>
      </c>
      <c r="D314">
        <v>0.05</v>
      </c>
      <c r="E314" s="106">
        <v>0.05</v>
      </c>
      <c r="F314">
        <v>0.05</v>
      </c>
      <c r="G314" s="106">
        <v>0.15</v>
      </c>
    </row>
    <row r="315" spans="1:7" x14ac:dyDescent="0.2">
      <c r="A315">
        <v>4452</v>
      </c>
      <c r="B315" s="106" t="s">
        <v>1149</v>
      </c>
      <c r="C315">
        <v>0.15</v>
      </c>
      <c r="D315">
        <v>0.15</v>
      </c>
      <c r="E315">
        <v>0.15</v>
      </c>
      <c r="F315">
        <v>0.15</v>
      </c>
      <c r="G315">
        <v>0.45</v>
      </c>
    </row>
    <row r="316" spans="1:7" x14ac:dyDescent="0.2">
      <c r="A316">
        <v>4461</v>
      </c>
      <c r="B316" s="106" t="s">
        <v>1150</v>
      </c>
      <c r="C316">
        <v>0.1</v>
      </c>
      <c r="D316">
        <v>0.1</v>
      </c>
      <c r="E316">
        <v>0.1</v>
      </c>
      <c r="F316">
        <v>0.1</v>
      </c>
      <c r="G316">
        <v>0.3</v>
      </c>
    </row>
    <row r="317" spans="1:7" x14ac:dyDescent="0.2">
      <c r="A317">
        <v>4462</v>
      </c>
      <c r="B317" s="106" t="s">
        <v>2187</v>
      </c>
      <c r="C317">
        <v>0</v>
      </c>
      <c r="D317" t="s">
        <v>166</v>
      </c>
      <c r="E317" s="106">
        <v>0.05</v>
      </c>
      <c r="F317" s="106">
        <v>0</v>
      </c>
      <c r="G317" t="s">
        <v>166</v>
      </c>
    </row>
    <row r="318" spans="1:7" x14ac:dyDescent="0.2">
      <c r="A318">
        <v>4503</v>
      </c>
      <c r="B318" s="106" t="s">
        <v>1151</v>
      </c>
      <c r="C318">
        <v>0</v>
      </c>
      <c r="D318">
        <v>0</v>
      </c>
      <c r="E318">
        <v>0</v>
      </c>
      <c r="F318">
        <v>0.05</v>
      </c>
      <c r="G318">
        <v>0</v>
      </c>
    </row>
    <row r="319" spans="1:7" x14ac:dyDescent="0.2">
      <c r="A319">
        <v>4507</v>
      </c>
      <c r="B319" s="106" t="s">
        <v>2188</v>
      </c>
      <c r="C319">
        <v>0</v>
      </c>
      <c r="D319">
        <v>0</v>
      </c>
      <c r="E319">
        <v>0</v>
      </c>
      <c r="F319" s="106">
        <v>0</v>
      </c>
      <c r="G319" t="s">
        <v>166</v>
      </c>
    </row>
    <row r="320" spans="1:7" x14ac:dyDescent="0.2">
      <c r="A320">
        <v>4512</v>
      </c>
      <c r="B320" s="106" t="s">
        <v>1152</v>
      </c>
      <c r="C320">
        <v>0.05</v>
      </c>
      <c r="D320">
        <v>0.05</v>
      </c>
      <c r="E320">
        <v>0.05</v>
      </c>
      <c r="F320" s="106">
        <v>0</v>
      </c>
      <c r="G320">
        <v>0</v>
      </c>
    </row>
    <row r="321" spans="1:7" x14ac:dyDescent="0.2">
      <c r="A321">
        <v>4519</v>
      </c>
      <c r="B321" s="106" t="s">
        <v>702</v>
      </c>
      <c r="C321">
        <v>0.2</v>
      </c>
      <c r="D321">
        <v>0.2</v>
      </c>
      <c r="E321">
        <v>0.2</v>
      </c>
      <c r="F321" s="106">
        <v>0.2</v>
      </c>
      <c r="G321">
        <v>0.6</v>
      </c>
    </row>
    <row r="322" spans="1:7" x14ac:dyDescent="0.2">
      <c r="A322">
        <v>4521</v>
      </c>
      <c r="B322" s="106" t="s">
        <v>1153</v>
      </c>
      <c r="C322">
        <v>0.1</v>
      </c>
      <c r="D322">
        <v>0.1</v>
      </c>
      <c r="E322">
        <v>0.1</v>
      </c>
      <c r="F322">
        <v>0.1</v>
      </c>
      <c r="G322">
        <v>0.3</v>
      </c>
    </row>
    <row r="323" spans="1:7" x14ac:dyDescent="0.2">
      <c r="A323">
        <v>4523</v>
      </c>
      <c r="B323" s="106" t="s">
        <v>2545</v>
      </c>
      <c r="C323">
        <v>0</v>
      </c>
      <c r="D323">
        <v>0</v>
      </c>
      <c r="E323" t="s">
        <v>166</v>
      </c>
      <c r="F323">
        <v>0</v>
      </c>
      <c r="G323" t="s">
        <v>166</v>
      </c>
    </row>
    <row r="324" spans="1:7" x14ac:dyDescent="0.2">
      <c r="A324">
        <v>4527</v>
      </c>
      <c r="B324" s="106" t="s">
        <v>1154</v>
      </c>
      <c r="C324">
        <v>0</v>
      </c>
      <c r="D324">
        <v>0</v>
      </c>
      <c r="E324">
        <v>0</v>
      </c>
      <c r="F324">
        <v>0</v>
      </c>
      <c r="G324">
        <v>0.15</v>
      </c>
    </row>
    <row r="325" spans="1:7" x14ac:dyDescent="0.2">
      <c r="A325">
        <v>4528</v>
      </c>
      <c r="B325" s="106" t="s">
        <v>1155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">
      <c r="A326">
        <v>4530</v>
      </c>
      <c r="B326" s="106" t="s">
        <v>2108</v>
      </c>
      <c r="C326">
        <v>0.1</v>
      </c>
      <c r="D326">
        <v>0.1</v>
      </c>
      <c r="E326">
        <v>0.1</v>
      </c>
      <c r="F326" s="106">
        <v>0</v>
      </c>
      <c r="G326">
        <v>0</v>
      </c>
    </row>
    <row r="327" spans="1:7" x14ac:dyDescent="0.2">
      <c r="A327">
        <v>4534</v>
      </c>
      <c r="B327" s="106" t="s">
        <v>1156</v>
      </c>
      <c r="C327">
        <v>0.1</v>
      </c>
      <c r="D327">
        <v>0.1</v>
      </c>
      <c r="E327">
        <v>0.1</v>
      </c>
      <c r="F327" s="106">
        <v>0.1</v>
      </c>
      <c r="G327">
        <v>0.3</v>
      </c>
    </row>
    <row r="328" spans="1:7" x14ac:dyDescent="0.2">
      <c r="A328">
        <v>4536</v>
      </c>
      <c r="B328" s="106" t="s">
        <v>1157</v>
      </c>
      <c r="C328">
        <v>0.05</v>
      </c>
      <c r="D328">
        <v>0.05</v>
      </c>
      <c r="E328">
        <v>0.05</v>
      </c>
      <c r="F328">
        <v>0.05</v>
      </c>
      <c r="G328">
        <v>0.15</v>
      </c>
    </row>
    <row r="329" spans="1:7" x14ac:dyDescent="0.2">
      <c r="A329">
        <v>4538</v>
      </c>
      <c r="B329" s="106" t="s">
        <v>1158</v>
      </c>
      <c r="C329">
        <v>0</v>
      </c>
      <c r="D329">
        <v>0</v>
      </c>
      <c r="E329">
        <v>0.05</v>
      </c>
      <c r="F329">
        <v>0</v>
      </c>
      <c r="G329" s="106">
        <v>0</v>
      </c>
    </row>
    <row r="330" spans="1:7" x14ac:dyDescent="0.2">
      <c r="A330">
        <v>4540</v>
      </c>
      <c r="B330" s="106" t="s">
        <v>1159</v>
      </c>
      <c r="C330">
        <v>0</v>
      </c>
      <c r="D330">
        <v>0</v>
      </c>
      <c r="E330">
        <v>0</v>
      </c>
      <c r="F330">
        <v>0.05</v>
      </c>
      <c r="G330">
        <v>0</v>
      </c>
    </row>
    <row r="331" spans="1:7" x14ac:dyDescent="0.2">
      <c r="A331">
        <v>4541</v>
      </c>
      <c r="B331" s="106" t="s">
        <v>2109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4543</v>
      </c>
      <c r="B332" s="106" t="s">
        <v>1160</v>
      </c>
      <c r="C332">
        <v>0</v>
      </c>
      <c r="D332">
        <v>0.1</v>
      </c>
      <c r="E332">
        <v>0.05</v>
      </c>
      <c r="F332">
        <v>0.1</v>
      </c>
      <c r="G332">
        <v>0.3</v>
      </c>
    </row>
    <row r="333" spans="1:7" x14ac:dyDescent="0.2">
      <c r="A333">
        <v>4547</v>
      </c>
      <c r="B333" s="106" t="s">
        <v>1161</v>
      </c>
      <c r="C333">
        <v>0</v>
      </c>
      <c r="D333">
        <v>0</v>
      </c>
      <c r="E333">
        <v>0.05</v>
      </c>
      <c r="F333">
        <v>0.05</v>
      </c>
      <c r="G333">
        <v>0.15</v>
      </c>
    </row>
    <row r="334" spans="1:7" x14ac:dyDescent="0.2">
      <c r="A334">
        <v>4554</v>
      </c>
      <c r="B334" s="106" t="s">
        <v>1162</v>
      </c>
      <c r="C334">
        <v>0.05</v>
      </c>
      <c r="D334">
        <v>0.05</v>
      </c>
      <c r="E334">
        <v>0.05</v>
      </c>
      <c r="F334">
        <v>0.05</v>
      </c>
      <c r="G334">
        <v>0.15</v>
      </c>
    </row>
    <row r="335" spans="1:7" x14ac:dyDescent="0.2">
      <c r="A335">
        <v>4555</v>
      </c>
      <c r="B335" s="106" t="s">
        <v>1163</v>
      </c>
      <c r="C335">
        <v>0.15</v>
      </c>
      <c r="D335">
        <v>0.15</v>
      </c>
      <c r="E335">
        <v>0.15</v>
      </c>
      <c r="F335">
        <v>0.15</v>
      </c>
      <c r="G335" s="106">
        <v>0.45</v>
      </c>
    </row>
    <row r="336" spans="1:7" x14ac:dyDescent="0.2">
      <c r="A336">
        <v>4559</v>
      </c>
      <c r="B336" s="106" t="s">
        <v>1164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4568</v>
      </c>
      <c r="B337" s="106" t="s">
        <v>2546</v>
      </c>
      <c r="C337">
        <v>0</v>
      </c>
      <c r="D337">
        <v>0</v>
      </c>
      <c r="E337" t="s">
        <v>166</v>
      </c>
      <c r="F337" t="s">
        <v>166</v>
      </c>
      <c r="G337" t="s">
        <v>166</v>
      </c>
    </row>
    <row r="338" spans="1:7" x14ac:dyDescent="0.2">
      <c r="A338">
        <v>4574</v>
      </c>
      <c r="B338" s="106" t="s">
        <v>1165</v>
      </c>
      <c r="C338">
        <v>0.1</v>
      </c>
      <c r="D338">
        <v>0.1</v>
      </c>
      <c r="E338">
        <v>0.1</v>
      </c>
      <c r="F338" s="106">
        <v>0.05</v>
      </c>
      <c r="G338" s="106">
        <v>0.3</v>
      </c>
    </row>
    <row r="339" spans="1:7" x14ac:dyDescent="0.2">
      <c r="A339">
        <v>4578</v>
      </c>
      <c r="B339" s="106" t="s">
        <v>2286</v>
      </c>
      <c r="C339">
        <v>0</v>
      </c>
      <c r="D339">
        <v>0</v>
      </c>
      <c r="E339">
        <v>0</v>
      </c>
      <c r="F339" t="s">
        <v>166</v>
      </c>
      <c r="G339" t="s">
        <v>166</v>
      </c>
    </row>
    <row r="340" spans="1:7" x14ac:dyDescent="0.2">
      <c r="A340">
        <v>4612</v>
      </c>
      <c r="B340" s="106" t="s">
        <v>1166</v>
      </c>
      <c r="C340">
        <v>0.1</v>
      </c>
      <c r="D340">
        <v>0.1</v>
      </c>
      <c r="E340">
        <v>0.1</v>
      </c>
      <c r="F340">
        <v>0.1</v>
      </c>
      <c r="G340">
        <v>0.3</v>
      </c>
    </row>
    <row r="341" spans="1:7" x14ac:dyDescent="0.2">
      <c r="A341">
        <v>4613</v>
      </c>
      <c r="B341" s="106" t="s">
        <v>242</v>
      </c>
      <c r="C341">
        <v>0.05</v>
      </c>
      <c r="D341">
        <v>0.05</v>
      </c>
      <c r="E341">
        <v>0.05</v>
      </c>
      <c r="F341">
        <v>0.05</v>
      </c>
      <c r="G341">
        <v>0.15</v>
      </c>
    </row>
    <row r="342" spans="1:7" x14ac:dyDescent="0.2">
      <c r="A342">
        <v>4617</v>
      </c>
      <c r="B342" s="106" t="s">
        <v>1167</v>
      </c>
      <c r="C342">
        <v>0.05</v>
      </c>
      <c r="D342" s="106">
        <v>0</v>
      </c>
      <c r="E342">
        <v>0</v>
      </c>
      <c r="F342" s="106">
        <v>0</v>
      </c>
      <c r="G342">
        <v>0.15</v>
      </c>
    </row>
    <row r="343" spans="1:7" x14ac:dyDescent="0.2">
      <c r="A343">
        <v>4619</v>
      </c>
      <c r="B343" s="106" t="s">
        <v>2189</v>
      </c>
      <c r="C343">
        <v>0</v>
      </c>
      <c r="D343" s="106">
        <v>0</v>
      </c>
      <c r="E343">
        <v>0</v>
      </c>
      <c r="F343" s="106">
        <v>0</v>
      </c>
      <c r="G343" t="s">
        <v>166</v>
      </c>
    </row>
    <row r="344" spans="1:7" x14ac:dyDescent="0.2">
      <c r="A344">
        <v>4633</v>
      </c>
      <c r="B344" s="106" t="s">
        <v>1168</v>
      </c>
      <c r="C344">
        <v>0.05</v>
      </c>
      <c r="D344">
        <v>0.05</v>
      </c>
      <c r="E344">
        <v>0.05</v>
      </c>
      <c r="F344">
        <v>0.05</v>
      </c>
      <c r="G344">
        <v>0.15</v>
      </c>
    </row>
    <row r="345" spans="1:7" x14ac:dyDescent="0.2">
      <c r="A345">
        <v>4634</v>
      </c>
      <c r="B345" s="106" t="s">
        <v>74</v>
      </c>
      <c r="C345">
        <v>0.05</v>
      </c>
      <c r="D345">
        <v>0.05</v>
      </c>
      <c r="E345">
        <v>0.05</v>
      </c>
      <c r="F345">
        <v>0.05</v>
      </c>
      <c r="G345">
        <v>0.15</v>
      </c>
    </row>
    <row r="346" spans="1:7" x14ac:dyDescent="0.2">
      <c r="A346">
        <v>4658</v>
      </c>
      <c r="B346" s="106" t="s">
        <v>1169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4665</v>
      </c>
      <c r="B347" s="106" t="s">
        <v>1170</v>
      </c>
      <c r="C347">
        <v>0.05</v>
      </c>
      <c r="D347">
        <v>0.05</v>
      </c>
      <c r="E347">
        <v>0.05</v>
      </c>
      <c r="F347">
        <v>0.05</v>
      </c>
      <c r="G347" s="106">
        <v>0.15</v>
      </c>
    </row>
    <row r="348" spans="1:7" x14ac:dyDescent="0.2">
      <c r="A348">
        <v>4666</v>
      </c>
      <c r="B348" s="106" t="s">
        <v>2287</v>
      </c>
      <c r="C348">
        <v>0</v>
      </c>
      <c r="D348">
        <v>0</v>
      </c>
      <c r="E348">
        <v>0</v>
      </c>
      <c r="F348" t="s">
        <v>166</v>
      </c>
      <c r="G348">
        <v>0</v>
      </c>
    </row>
    <row r="349" spans="1:7" x14ac:dyDescent="0.2">
      <c r="A349">
        <v>4668</v>
      </c>
      <c r="B349" s="106" t="s">
        <v>1171</v>
      </c>
      <c r="C349">
        <v>0.05</v>
      </c>
      <c r="D349">
        <v>0.05</v>
      </c>
      <c r="E349">
        <v>0.05</v>
      </c>
      <c r="F349">
        <v>0.05</v>
      </c>
      <c r="G349">
        <v>0</v>
      </c>
    </row>
    <row r="350" spans="1:7" x14ac:dyDescent="0.2">
      <c r="A350">
        <v>4671</v>
      </c>
      <c r="B350" s="106" t="s">
        <v>1172</v>
      </c>
      <c r="C350">
        <v>0</v>
      </c>
      <c r="D350">
        <v>0</v>
      </c>
      <c r="E350">
        <v>0</v>
      </c>
      <c r="F350">
        <v>0.05</v>
      </c>
      <c r="G350">
        <v>0</v>
      </c>
    </row>
    <row r="351" spans="1:7" x14ac:dyDescent="0.2">
      <c r="A351">
        <v>4676</v>
      </c>
      <c r="B351" s="106" t="s">
        <v>1173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4678</v>
      </c>
      <c r="B352" s="106" t="s">
        <v>2110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4681</v>
      </c>
      <c r="B353" s="106" t="s">
        <v>2190</v>
      </c>
      <c r="C353">
        <v>0</v>
      </c>
      <c r="D353" s="106">
        <v>0</v>
      </c>
      <c r="E353" s="106">
        <v>0</v>
      </c>
      <c r="F353">
        <v>0.05</v>
      </c>
      <c r="G353" t="s">
        <v>166</v>
      </c>
    </row>
    <row r="354" spans="1:7" x14ac:dyDescent="0.2">
      <c r="A354">
        <v>4694</v>
      </c>
      <c r="B354" s="106" t="s">
        <v>2111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">
      <c r="A355">
        <v>4696</v>
      </c>
      <c r="B355" s="106" t="s">
        <v>1174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4704</v>
      </c>
      <c r="B356" s="106" t="s">
        <v>2112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4716</v>
      </c>
      <c r="B357" s="106" t="s">
        <v>1175</v>
      </c>
      <c r="C357">
        <v>0.2</v>
      </c>
      <c r="D357">
        <v>0.2</v>
      </c>
      <c r="E357">
        <v>0.2</v>
      </c>
      <c r="F357">
        <v>0.2</v>
      </c>
      <c r="G357">
        <v>0.6</v>
      </c>
    </row>
    <row r="358" spans="1:7" x14ac:dyDescent="0.2">
      <c r="A358">
        <v>4719</v>
      </c>
      <c r="B358" s="106" t="s">
        <v>1176</v>
      </c>
      <c r="C358">
        <v>0</v>
      </c>
      <c r="D358" s="106">
        <v>0</v>
      </c>
      <c r="E358" s="106">
        <v>0.05</v>
      </c>
      <c r="F358" s="106">
        <v>0.05</v>
      </c>
      <c r="G358" s="106">
        <v>0</v>
      </c>
    </row>
    <row r="359" spans="1:7" x14ac:dyDescent="0.2">
      <c r="A359">
        <v>4725</v>
      </c>
      <c r="B359" s="106" t="s">
        <v>1177</v>
      </c>
      <c r="C359">
        <v>0.05</v>
      </c>
      <c r="D359" s="106">
        <v>0.05</v>
      </c>
      <c r="E359" s="106">
        <v>0.05</v>
      </c>
      <c r="F359" s="106">
        <v>0.05</v>
      </c>
      <c r="G359">
        <v>0.15</v>
      </c>
    </row>
    <row r="360" spans="1:7" x14ac:dyDescent="0.2">
      <c r="A360">
        <v>4726</v>
      </c>
      <c r="B360" s="106" t="s">
        <v>2113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4732</v>
      </c>
      <c r="B361" s="106" t="s">
        <v>1178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4812</v>
      </c>
      <c r="B362" s="106" t="s">
        <v>1179</v>
      </c>
      <c r="C362">
        <v>0.1</v>
      </c>
      <c r="D362">
        <v>0.1</v>
      </c>
      <c r="E362">
        <v>0.1</v>
      </c>
      <c r="F362">
        <v>0</v>
      </c>
      <c r="G362" s="106">
        <v>0.3</v>
      </c>
    </row>
    <row r="363" spans="1:7" x14ac:dyDescent="0.2">
      <c r="A363">
        <v>4820</v>
      </c>
      <c r="B363" s="106" t="s">
        <v>1180</v>
      </c>
      <c r="C363">
        <v>0.05</v>
      </c>
      <c r="D363" s="106">
        <v>0.05</v>
      </c>
      <c r="E363">
        <v>0.05</v>
      </c>
      <c r="F363" s="106">
        <v>0.05</v>
      </c>
      <c r="G363">
        <v>0.6</v>
      </c>
    </row>
    <row r="364" spans="1:7" x14ac:dyDescent="0.2">
      <c r="A364">
        <v>4825</v>
      </c>
      <c r="B364" s="106" t="s">
        <v>1181</v>
      </c>
      <c r="C364">
        <v>0.1</v>
      </c>
      <c r="D364" s="106">
        <v>0.1</v>
      </c>
      <c r="E364">
        <v>0.1</v>
      </c>
      <c r="F364" s="106">
        <v>0.1</v>
      </c>
      <c r="G364">
        <v>0.3</v>
      </c>
    </row>
    <row r="365" spans="1:7" x14ac:dyDescent="0.2">
      <c r="A365">
        <v>4826</v>
      </c>
      <c r="B365" s="106" t="s">
        <v>1182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4828</v>
      </c>
      <c r="B366" s="106" t="s">
        <v>1183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4839</v>
      </c>
      <c r="B367" s="106" t="s">
        <v>1184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4848</v>
      </c>
      <c r="B368" s="106" t="s">
        <v>1185</v>
      </c>
      <c r="C368">
        <v>0.05</v>
      </c>
      <c r="D368" s="106">
        <v>0.05</v>
      </c>
      <c r="E368" s="106">
        <v>0.05</v>
      </c>
      <c r="F368" s="106">
        <v>0.05</v>
      </c>
      <c r="G368" s="106">
        <v>0.15</v>
      </c>
    </row>
    <row r="369" spans="1:7" x14ac:dyDescent="0.2">
      <c r="A369">
        <v>4849</v>
      </c>
      <c r="B369" s="106" t="s">
        <v>915</v>
      </c>
      <c r="C369">
        <v>0.1</v>
      </c>
      <c r="D369" s="106">
        <v>0.1</v>
      </c>
      <c r="E369" s="106">
        <v>0.1</v>
      </c>
      <c r="F369" s="106">
        <v>0.1</v>
      </c>
      <c r="G369" s="106">
        <v>0.3</v>
      </c>
    </row>
    <row r="370" spans="1:7" x14ac:dyDescent="0.2">
      <c r="A370">
        <v>4912</v>
      </c>
      <c r="B370" s="106" t="s">
        <v>2547</v>
      </c>
      <c r="C370">
        <v>0</v>
      </c>
      <c r="D370" s="106">
        <v>0</v>
      </c>
      <c r="E370" t="s">
        <v>166</v>
      </c>
      <c r="F370" s="106" t="s">
        <v>166</v>
      </c>
      <c r="G370" s="106" t="s">
        <v>166</v>
      </c>
    </row>
    <row r="371" spans="1:7" x14ac:dyDescent="0.2">
      <c r="A371">
        <v>4917</v>
      </c>
      <c r="B371" s="106" t="s">
        <v>1186</v>
      </c>
      <c r="C371">
        <v>0.05</v>
      </c>
      <c r="D371" s="106">
        <v>0.05</v>
      </c>
      <c r="E371">
        <v>0</v>
      </c>
      <c r="F371" s="106">
        <v>0</v>
      </c>
      <c r="G371" s="106">
        <v>0</v>
      </c>
    </row>
    <row r="372" spans="1:7" x14ac:dyDescent="0.2">
      <c r="A372">
        <v>4919</v>
      </c>
      <c r="B372" s="106" t="s">
        <v>1187</v>
      </c>
      <c r="C372">
        <v>0.15</v>
      </c>
      <c r="D372">
        <v>0.15</v>
      </c>
      <c r="E372">
        <v>0.1</v>
      </c>
      <c r="F372">
        <v>0.1</v>
      </c>
      <c r="G372">
        <v>0.3</v>
      </c>
    </row>
    <row r="373" spans="1:7" x14ac:dyDescent="0.2">
      <c r="A373">
        <v>4923</v>
      </c>
      <c r="B373" s="106" t="s">
        <v>2548</v>
      </c>
      <c r="C373">
        <v>0</v>
      </c>
      <c r="D373" t="s">
        <v>166</v>
      </c>
      <c r="E373" s="106" t="s">
        <v>166</v>
      </c>
      <c r="F373" t="s">
        <v>166</v>
      </c>
      <c r="G373" s="106" t="s">
        <v>166</v>
      </c>
    </row>
    <row r="374" spans="1:7" x14ac:dyDescent="0.2">
      <c r="A374">
        <v>4928</v>
      </c>
      <c r="B374" s="106" t="s">
        <v>2549</v>
      </c>
      <c r="C374">
        <v>0</v>
      </c>
      <c r="D374" t="s">
        <v>166</v>
      </c>
      <c r="E374" s="106" t="s">
        <v>166</v>
      </c>
      <c r="F374" s="106" t="s">
        <v>166</v>
      </c>
      <c r="G374" s="106">
        <v>0</v>
      </c>
    </row>
    <row r="375" spans="1:7" x14ac:dyDescent="0.2">
      <c r="A375">
        <v>4929</v>
      </c>
      <c r="B375" s="106" t="s">
        <v>1188</v>
      </c>
      <c r="C375">
        <v>0.05</v>
      </c>
      <c r="D375">
        <v>0.05</v>
      </c>
      <c r="E375" s="106">
        <v>0.05</v>
      </c>
      <c r="F375">
        <v>0.05</v>
      </c>
      <c r="G375">
        <v>0.15</v>
      </c>
    </row>
    <row r="376" spans="1:7" x14ac:dyDescent="0.2">
      <c r="A376">
        <v>4951</v>
      </c>
      <c r="B376" s="106" t="s">
        <v>1189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4955</v>
      </c>
      <c r="B377" s="106" t="s">
        <v>1190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4958</v>
      </c>
      <c r="B378" s="106" t="s">
        <v>1191</v>
      </c>
      <c r="C378">
        <v>0.05</v>
      </c>
      <c r="D378">
        <v>0.05</v>
      </c>
      <c r="E378">
        <v>0.05</v>
      </c>
      <c r="F378" s="106">
        <v>0.05</v>
      </c>
      <c r="G378" s="106">
        <v>0.15</v>
      </c>
    </row>
    <row r="379" spans="1:7" x14ac:dyDescent="0.2">
      <c r="A379">
        <v>4967</v>
      </c>
      <c r="B379" s="106" t="s">
        <v>1192</v>
      </c>
      <c r="C379">
        <v>0.2</v>
      </c>
      <c r="D379" s="106">
        <v>0.2</v>
      </c>
      <c r="E379" s="106">
        <v>0.2</v>
      </c>
      <c r="F379" s="106">
        <v>0.15</v>
      </c>
      <c r="G379">
        <v>0.45</v>
      </c>
    </row>
    <row r="380" spans="1:7" x14ac:dyDescent="0.2">
      <c r="A380">
        <v>4968</v>
      </c>
      <c r="B380" s="106" t="s">
        <v>1193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4971</v>
      </c>
      <c r="B381" s="106" t="s">
        <v>2550</v>
      </c>
      <c r="C381">
        <v>0.05</v>
      </c>
      <c r="D381" s="106">
        <v>0.05</v>
      </c>
      <c r="E381" t="s">
        <v>166</v>
      </c>
      <c r="F381" s="106">
        <v>0.05</v>
      </c>
      <c r="G381" t="s">
        <v>166</v>
      </c>
    </row>
    <row r="382" spans="1:7" x14ac:dyDescent="0.2">
      <c r="A382">
        <v>4975</v>
      </c>
      <c r="B382" s="106" t="s">
        <v>1194</v>
      </c>
      <c r="C382">
        <v>0.05</v>
      </c>
      <c r="D382">
        <v>0.05</v>
      </c>
      <c r="E382">
        <v>0.05</v>
      </c>
      <c r="F382">
        <v>0.05</v>
      </c>
      <c r="G382">
        <v>0.15</v>
      </c>
    </row>
    <row r="383" spans="1:7" x14ac:dyDescent="0.2">
      <c r="A383">
        <v>4985</v>
      </c>
      <c r="B383" s="106" t="s">
        <v>1195</v>
      </c>
      <c r="C383">
        <v>0.1</v>
      </c>
      <c r="D383">
        <v>0.1</v>
      </c>
      <c r="E383">
        <v>0.1</v>
      </c>
      <c r="F383">
        <v>0.1</v>
      </c>
      <c r="G383">
        <v>0.3</v>
      </c>
    </row>
    <row r="384" spans="1:7" x14ac:dyDescent="0.2">
      <c r="A384">
        <v>4994</v>
      </c>
      <c r="B384" s="106" t="s">
        <v>2288</v>
      </c>
      <c r="C384">
        <v>0</v>
      </c>
      <c r="D384">
        <v>0</v>
      </c>
      <c r="E384">
        <v>0.05</v>
      </c>
      <c r="F384" s="106" t="s">
        <v>166</v>
      </c>
      <c r="G384">
        <v>0.15</v>
      </c>
    </row>
    <row r="385" spans="1:7" x14ac:dyDescent="0.2">
      <c r="A385">
        <v>4996</v>
      </c>
      <c r="B385" s="106" t="s">
        <v>249</v>
      </c>
      <c r="C385">
        <v>0.05</v>
      </c>
      <c r="D385" s="106">
        <v>0.05</v>
      </c>
      <c r="E385" s="106">
        <v>0.05</v>
      </c>
      <c r="F385">
        <v>0.05</v>
      </c>
      <c r="G385">
        <v>0</v>
      </c>
    </row>
    <row r="386" spans="1:7" x14ac:dyDescent="0.2">
      <c r="A386">
        <v>4997</v>
      </c>
      <c r="B386" s="106" t="s">
        <v>1196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5009</v>
      </c>
      <c r="B387" s="106" t="s">
        <v>2191</v>
      </c>
      <c r="C387">
        <v>0</v>
      </c>
      <c r="D387" t="s">
        <v>166</v>
      </c>
      <c r="E387">
        <v>0</v>
      </c>
      <c r="F387" s="106">
        <v>0</v>
      </c>
      <c r="G387" t="s">
        <v>166</v>
      </c>
    </row>
    <row r="388" spans="1:7" x14ac:dyDescent="0.2">
      <c r="A388">
        <v>5018</v>
      </c>
      <c r="B388" s="106" t="s">
        <v>1197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5101</v>
      </c>
      <c r="B389" s="106" t="s">
        <v>2114</v>
      </c>
      <c r="C389">
        <v>0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5105</v>
      </c>
      <c r="B390" s="106" t="s">
        <v>1198</v>
      </c>
      <c r="C390">
        <v>0.05</v>
      </c>
      <c r="D390">
        <v>0.05</v>
      </c>
      <c r="E390" s="106">
        <v>0.05</v>
      </c>
      <c r="F390" s="106">
        <v>0.05</v>
      </c>
      <c r="G390" s="106">
        <v>0.15</v>
      </c>
    </row>
    <row r="391" spans="1:7" x14ac:dyDescent="0.2">
      <c r="A391">
        <v>5121</v>
      </c>
      <c r="B391" s="106" t="s">
        <v>1199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5142</v>
      </c>
      <c r="B392" s="106" t="s">
        <v>2289</v>
      </c>
      <c r="C392">
        <v>0.05</v>
      </c>
      <c r="D392" t="s">
        <v>166</v>
      </c>
      <c r="E392">
        <v>0.05</v>
      </c>
      <c r="F392" t="s">
        <v>166</v>
      </c>
      <c r="G392">
        <v>0.15</v>
      </c>
    </row>
    <row r="393" spans="1:7" x14ac:dyDescent="0.2">
      <c r="A393">
        <v>5185</v>
      </c>
      <c r="B393" s="106" t="s">
        <v>1200</v>
      </c>
      <c r="C393">
        <v>0</v>
      </c>
      <c r="D393">
        <v>0</v>
      </c>
      <c r="E393">
        <v>0</v>
      </c>
      <c r="F393">
        <v>0.05</v>
      </c>
      <c r="G393">
        <v>0.15</v>
      </c>
    </row>
    <row r="394" spans="1:7" x14ac:dyDescent="0.2">
      <c r="A394">
        <v>5186</v>
      </c>
      <c r="B394" s="106" t="s">
        <v>1201</v>
      </c>
      <c r="C394">
        <v>0.05</v>
      </c>
      <c r="D394" s="106">
        <v>0.05</v>
      </c>
      <c r="E394">
        <v>0.05</v>
      </c>
      <c r="F394" s="106">
        <v>0.05</v>
      </c>
      <c r="G394">
        <v>0.3</v>
      </c>
    </row>
    <row r="395" spans="1:7" x14ac:dyDescent="0.2">
      <c r="A395">
        <v>5191</v>
      </c>
      <c r="B395" s="106" t="s">
        <v>1202</v>
      </c>
      <c r="C395">
        <v>0.05</v>
      </c>
      <c r="D395">
        <v>0.05</v>
      </c>
      <c r="E395">
        <v>0.05</v>
      </c>
      <c r="F395">
        <v>0.05</v>
      </c>
      <c r="G395">
        <v>0.15</v>
      </c>
    </row>
    <row r="396" spans="1:7" x14ac:dyDescent="0.2">
      <c r="A396">
        <v>5192</v>
      </c>
      <c r="B396" s="106" t="s">
        <v>1203</v>
      </c>
      <c r="C396">
        <v>0.05</v>
      </c>
      <c r="D396">
        <v>0.05</v>
      </c>
      <c r="E396">
        <v>0.05</v>
      </c>
      <c r="F396">
        <v>0</v>
      </c>
      <c r="G396" s="106">
        <v>0.15</v>
      </c>
    </row>
    <row r="397" spans="1:7" x14ac:dyDescent="0.2">
      <c r="A397">
        <v>5195</v>
      </c>
      <c r="B397" s="106" t="s">
        <v>2290</v>
      </c>
      <c r="C397">
        <v>0</v>
      </c>
      <c r="D397" t="s">
        <v>166</v>
      </c>
      <c r="E397">
        <v>0</v>
      </c>
      <c r="F397" t="s">
        <v>166</v>
      </c>
      <c r="G397" s="106">
        <v>0</v>
      </c>
    </row>
    <row r="398" spans="1:7" x14ac:dyDescent="0.2">
      <c r="A398">
        <v>5201</v>
      </c>
      <c r="B398" s="106" t="s">
        <v>1204</v>
      </c>
      <c r="C398">
        <v>0.1</v>
      </c>
      <c r="D398">
        <v>0.1</v>
      </c>
      <c r="E398">
        <v>0.1</v>
      </c>
      <c r="F398">
        <v>0.1</v>
      </c>
      <c r="G398">
        <v>0.15</v>
      </c>
    </row>
    <row r="399" spans="1:7" x14ac:dyDescent="0.2">
      <c r="A399">
        <v>5202</v>
      </c>
      <c r="B399" s="106" t="s">
        <v>2192</v>
      </c>
      <c r="C399">
        <v>0</v>
      </c>
      <c r="D399" t="s">
        <v>166</v>
      </c>
      <c r="E399" s="106">
        <v>0</v>
      </c>
      <c r="F399">
        <v>0</v>
      </c>
      <c r="G399" t="s">
        <v>166</v>
      </c>
    </row>
    <row r="400" spans="1:7" x14ac:dyDescent="0.2">
      <c r="A400">
        <v>5210</v>
      </c>
      <c r="B400" s="106" t="s">
        <v>1205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5214</v>
      </c>
      <c r="B401" s="106" t="s">
        <v>2551</v>
      </c>
      <c r="C401">
        <v>0</v>
      </c>
      <c r="D401" t="s">
        <v>166</v>
      </c>
      <c r="E401" t="s">
        <v>166</v>
      </c>
      <c r="F401" t="s">
        <v>166</v>
      </c>
      <c r="G401">
        <v>0</v>
      </c>
    </row>
    <row r="402" spans="1:7" x14ac:dyDescent="0.2">
      <c r="A402">
        <v>5218</v>
      </c>
      <c r="B402" s="106" t="s">
        <v>1206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5232</v>
      </c>
      <c r="B403" s="106" t="s">
        <v>1207</v>
      </c>
      <c r="C403">
        <v>0.1</v>
      </c>
      <c r="D403">
        <v>0.1</v>
      </c>
      <c r="E403">
        <v>0.1</v>
      </c>
      <c r="F403">
        <v>0.1</v>
      </c>
      <c r="G403">
        <v>0.3</v>
      </c>
    </row>
    <row r="404" spans="1:7" x14ac:dyDescent="0.2">
      <c r="A404">
        <v>5269</v>
      </c>
      <c r="B404" s="106" t="s">
        <v>2291</v>
      </c>
      <c r="C404">
        <v>0</v>
      </c>
      <c r="D404" s="106">
        <v>0</v>
      </c>
      <c r="E404">
        <v>0</v>
      </c>
      <c r="F404" t="s">
        <v>166</v>
      </c>
      <c r="G404">
        <v>0</v>
      </c>
    </row>
    <row r="405" spans="1:7" x14ac:dyDescent="0.2">
      <c r="A405">
        <v>5273</v>
      </c>
      <c r="B405" s="106" t="s">
        <v>1208</v>
      </c>
      <c r="C405">
        <v>0.1</v>
      </c>
      <c r="D405" s="106">
        <v>0.1</v>
      </c>
      <c r="E405">
        <v>0.1</v>
      </c>
      <c r="F405">
        <v>0.1</v>
      </c>
      <c r="G405" s="106">
        <v>0.3</v>
      </c>
    </row>
    <row r="406" spans="1:7" x14ac:dyDescent="0.2">
      <c r="A406">
        <v>5301</v>
      </c>
      <c r="B406" s="106" t="s">
        <v>1209</v>
      </c>
      <c r="C406">
        <v>0.05</v>
      </c>
      <c r="D406">
        <v>0.05</v>
      </c>
      <c r="E406">
        <v>0.05</v>
      </c>
      <c r="F406" s="106">
        <v>0.05</v>
      </c>
      <c r="G406" s="106">
        <v>0.15</v>
      </c>
    </row>
    <row r="407" spans="1:7" x14ac:dyDescent="0.2">
      <c r="A407">
        <v>5302</v>
      </c>
      <c r="B407" s="106" t="s">
        <v>1210</v>
      </c>
      <c r="C407">
        <v>0.05</v>
      </c>
      <c r="D407">
        <v>0.1</v>
      </c>
      <c r="E407">
        <v>0.1</v>
      </c>
      <c r="F407" s="106">
        <v>0.1</v>
      </c>
      <c r="G407" s="106">
        <v>0.3</v>
      </c>
    </row>
    <row r="408" spans="1:7" x14ac:dyDescent="0.2">
      <c r="A408">
        <v>5310</v>
      </c>
      <c r="B408" s="106" t="s">
        <v>1211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5332</v>
      </c>
      <c r="B409" s="106" t="s">
        <v>1212</v>
      </c>
      <c r="C409">
        <v>0.1</v>
      </c>
      <c r="D409">
        <v>0.1</v>
      </c>
      <c r="E409" s="106">
        <v>0.1</v>
      </c>
      <c r="F409">
        <v>0.1</v>
      </c>
      <c r="G409">
        <v>0.3</v>
      </c>
    </row>
    <row r="410" spans="1:7" x14ac:dyDescent="0.2">
      <c r="A410">
        <v>5333</v>
      </c>
      <c r="B410" s="106" t="s">
        <v>255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5334</v>
      </c>
      <c r="B411" s="106" t="s">
        <v>2193</v>
      </c>
      <c r="C411">
        <v>0</v>
      </c>
      <c r="D411">
        <v>0</v>
      </c>
      <c r="E411">
        <v>0</v>
      </c>
      <c r="F411">
        <v>0</v>
      </c>
      <c r="G411" s="106" t="s">
        <v>166</v>
      </c>
    </row>
    <row r="412" spans="1:7" x14ac:dyDescent="0.2">
      <c r="A412">
        <v>5344</v>
      </c>
      <c r="B412" s="106" t="s">
        <v>1213</v>
      </c>
      <c r="C412">
        <v>0.15</v>
      </c>
      <c r="D412">
        <v>0.15</v>
      </c>
      <c r="E412">
        <v>0.15</v>
      </c>
      <c r="F412">
        <v>0.15</v>
      </c>
      <c r="G412">
        <v>0.45</v>
      </c>
    </row>
    <row r="413" spans="1:7" x14ac:dyDescent="0.2">
      <c r="A413">
        <v>5352</v>
      </c>
      <c r="B413" s="106" t="s">
        <v>1214</v>
      </c>
      <c r="C413">
        <v>0.15</v>
      </c>
      <c r="D413">
        <v>0.15</v>
      </c>
      <c r="E413">
        <v>0.15</v>
      </c>
      <c r="F413">
        <v>0.15</v>
      </c>
      <c r="G413">
        <v>0.45</v>
      </c>
    </row>
    <row r="414" spans="1:7" x14ac:dyDescent="0.2">
      <c r="A414">
        <v>5358</v>
      </c>
      <c r="B414" s="106" t="s">
        <v>1215</v>
      </c>
      <c r="C414">
        <v>0.05</v>
      </c>
      <c r="D414" t="s">
        <v>166</v>
      </c>
      <c r="E414">
        <v>0.05</v>
      </c>
      <c r="F414">
        <v>0</v>
      </c>
      <c r="G414">
        <v>0.15</v>
      </c>
    </row>
    <row r="415" spans="1:7" x14ac:dyDescent="0.2">
      <c r="A415">
        <v>5384</v>
      </c>
      <c r="B415" s="106" t="s">
        <v>2292</v>
      </c>
      <c r="C415">
        <v>0.05</v>
      </c>
      <c r="D415" s="106" t="s">
        <v>166</v>
      </c>
      <c r="E415">
        <v>0.05</v>
      </c>
      <c r="F415" s="106" t="s">
        <v>166</v>
      </c>
      <c r="G415">
        <v>0.15</v>
      </c>
    </row>
    <row r="416" spans="1:7" x14ac:dyDescent="0.2">
      <c r="A416">
        <v>5393</v>
      </c>
      <c r="B416" s="106" t="s">
        <v>254</v>
      </c>
      <c r="C416">
        <v>0.05</v>
      </c>
      <c r="D416">
        <v>0.05</v>
      </c>
      <c r="E416">
        <v>0.05</v>
      </c>
      <c r="F416" s="106">
        <v>0.05</v>
      </c>
      <c r="G416" s="106">
        <v>0.15</v>
      </c>
    </row>
    <row r="417" spans="1:7" x14ac:dyDescent="0.2">
      <c r="A417">
        <v>5401</v>
      </c>
      <c r="B417" s="106" t="s">
        <v>1216</v>
      </c>
      <c r="C417">
        <v>0</v>
      </c>
      <c r="D417" s="106" t="s">
        <v>166</v>
      </c>
      <c r="E417" s="106">
        <v>0</v>
      </c>
      <c r="F417">
        <v>0</v>
      </c>
      <c r="G417" s="106">
        <v>0</v>
      </c>
    </row>
    <row r="418" spans="1:7" x14ac:dyDescent="0.2">
      <c r="A418">
        <v>5408</v>
      </c>
      <c r="B418" s="106" t="s">
        <v>2552</v>
      </c>
      <c r="C418">
        <v>0</v>
      </c>
      <c r="D418">
        <v>0</v>
      </c>
      <c r="E418" t="s">
        <v>166</v>
      </c>
      <c r="F418">
        <v>0</v>
      </c>
      <c r="G418">
        <v>0</v>
      </c>
    </row>
    <row r="419" spans="1:7" x14ac:dyDescent="0.2">
      <c r="A419">
        <v>5410</v>
      </c>
      <c r="B419" s="106" t="s">
        <v>1217</v>
      </c>
      <c r="C419">
        <v>0.05</v>
      </c>
      <c r="D419">
        <v>0.05</v>
      </c>
      <c r="E419">
        <v>0.05</v>
      </c>
      <c r="F419">
        <v>0.05</v>
      </c>
      <c r="G419">
        <v>0.15</v>
      </c>
    </row>
    <row r="420" spans="1:7" x14ac:dyDescent="0.2">
      <c r="A420">
        <v>5440</v>
      </c>
      <c r="B420" s="106" t="s">
        <v>1218</v>
      </c>
      <c r="C420">
        <v>0.05</v>
      </c>
      <c r="D420">
        <v>0</v>
      </c>
      <c r="E420">
        <v>0.05</v>
      </c>
      <c r="F420" s="106">
        <v>0</v>
      </c>
      <c r="G420">
        <v>0.15</v>
      </c>
    </row>
    <row r="421" spans="1:7" x14ac:dyDescent="0.2">
      <c r="A421">
        <v>5451</v>
      </c>
      <c r="B421" s="106" t="s">
        <v>1219</v>
      </c>
      <c r="C421">
        <v>0.05</v>
      </c>
      <c r="D421">
        <v>0</v>
      </c>
      <c r="E421">
        <v>0.05</v>
      </c>
      <c r="F421">
        <v>0.05</v>
      </c>
      <c r="G421">
        <v>0.15</v>
      </c>
    </row>
    <row r="422" spans="1:7" x14ac:dyDescent="0.2">
      <c r="A422">
        <v>5463</v>
      </c>
      <c r="B422" s="106" t="s">
        <v>75</v>
      </c>
      <c r="C422">
        <v>0.05</v>
      </c>
      <c r="D422">
        <v>0.05</v>
      </c>
      <c r="E422">
        <v>0.05</v>
      </c>
      <c r="F422">
        <v>0.05</v>
      </c>
      <c r="G422">
        <v>0.15</v>
      </c>
    </row>
    <row r="423" spans="1:7" x14ac:dyDescent="0.2">
      <c r="A423">
        <v>5464</v>
      </c>
      <c r="B423" s="106" t="s">
        <v>2194</v>
      </c>
      <c r="C423">
        <v>0</v>
      </c>
      <c r="D423">
        <v>0</v>
      </c>
      <c r="E423">
        <v>0</v>
      </c>
      <c r="F423">
        <v>0</v>
      </c>
      <c r="G423" t="s">
        <v>166</v>
      </c>
    </row>
    <row r="424" spans="1:7" x14ac:dyDescent="0.2">
      <c r="A424">
        <v>5471</v>
      </c>
      <c r="B424" s="106" t="s">
        <v>231</v>
      </c>
      <c r="C424">
        <v>0.1</v>
      </c>
      <c r="D424">
        <v>0.1</v>
      </c>
      <c r="E424">
        <v>0.1</v>
      </c>
      <c r="F424">
        <v>0.1</v>
      </c>
      <c r="G424" s="106">
        <v>0.3</v>
      </c>
    </row>
    <row r="425" spans="1:7" x14ac:dyDescent="0.2">
      <c r="A425">
        <v>5476</v>
      </c>
      <c r="B425" s="106" t="s">
        <v>1220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5480</v>
      </c>
      <c r="B426" s="106" t="s">
        <v>1221</v>
      </c>
      <c r="C426">
        <v>0.05</v>
      </c>
      <c r="D426" s="106">
        <v>0</v>
      </c>
      <c r="E426">
        <v>0.05</v>
      </c>
      <c r="F426" s="106">
        <v>0</v>
      </c>
      <c r="G426">
        <v>0.15</v>
      </c>
    </row>
    <row r="427" spans="1:7" x14ac:dyDescent="0.2">
      <c r="A427">
        <v>5481</v>
      </c>
      <c r="B427" s="106" t="s">
        <v>1222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5482</v>
      </c>
      <c r="B428" s="106" t="s">
        <v>1223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5486</v>
      </c>
      <c r="B429" s="106" t="s">
        <v>1224</v>
      </c>
      <c r="C429">
        <v>0.05</v>
      </c>
      <c r="D429">
        <v>0.05</v>
      </c>
      <c r="E429">
        <v>0.05</v>
      </c>
      <c r="F429">
        <v>0.05</v>
      </c>
      <c r="G429">
        <v>0.15</v>
      </c>
    </row>
    <row r="430" spans="1:7" x14ac:dyDescent="0.2">
      <c r="A430">
        <v>5602</v>
      </c>
      <c r="B430" s="106" t="s">
        <v>1225</v>
      </c>
      <c r="C430">
        <v>0.05</v>
      </c>
      <c r="D430">
        <v>0.05</v>
      </c>
      <c r="E430">
        <v>0.05</v>
      </c>
      <c r="F430">
        <v>0.05</v>
      </c>
      <c r="G430">
        <v>0.15</v>
      </c>
    </row>
    <row r="431" spans="1:7" x14ac:dyDescent="0.2">
      <c r="A431">
        <v>5603</v>
      </c>
      <c r="B431" s="106" t="s">
        <v>1226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5631</v>
      </c>
      <c r="B432" s="106" t="s">
        <v>1227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5632</v>
      </c>
      <c r="B433" s="106" t="s">
        <v>1228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5659</v>
      </c>
      <c r="B434" s="106" t="s">
        <v>1229</v>
      </c>
      <c r="C434">
        <v>0.05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5706</v>
      </c>
      <c r="B435" s="106" t="s">
        <v>2293</v>
      </c>
      <c r="C435">
        <v>0</v>
      </c>
      <c r="D435" t="s">
        <v>166</v>
      </c>
      <c r="E435">
        <v>0</v>
      </c>
      <c r="F435" t="s">
        <v>166</v>
      </c>
      <c r="G435" t="s">
        <v>166</v>
      </c>
    </row>
    <row r="436" spans="1:7" x14ac:dyDescent="0.2">
      <c r="A436">
        <v>5711</v>
      </c>
      <c r="B436" s="106" t="s">
        <v>1230</v>
      </c>
      <c r="C436">
        <v>0.05</v>
      </c>
      <c r="D436">
        <v>0</v>
      </c>
      <c r="E436">
        <v>0.05</v>
      </c>
      <c r="F436">
        <v>0.05</v>
      </c>
      <c r="G436" s="106">
        <v>0.15</v>
      </c>
    </row>
    <row r="437" spans="1:7" x14ac:dyDescent="0.2">
      <c r="A437">
        <v>5713</v>
      </c>
      <c r="B437" s="106" t="s">
        <v>2115</v>
      </c>
      <c r="C437">
        <v>0</v>
      </c>
      <c r="D437" s="106" t="s">
        <v>166</v>
      </c>
      <c r="E437" s="106">
        <v>0</v>
      </c>
      <c r="F437" s="106">
        <v>0</v>
      </c>
      <c r="G437" s="106">
        <v>0.3</v>
      </c>
    </row>
    <row r="438" spans="1:7" x14ac:dyDescent="0.2">
      <c r="A438">
        <v>5714</v>
      </c>
      <c r="B438" s="106" t="s">
        <v>1231</v>
      </c>
      <c r="C438">
        <v>0.1</v>
      </c>
      <c r="D438" s="106">
        <v>0.1</v>
      </c>
      <c r="E438" s="106">
        <v>0.1</v>
      </c>
      <c r="F438" s="106">
        <v>0.1</v>
      </c>
      <c r="G438" s="106">
        <v>0.3</v>
      </c>
    </row>
    <row r="439" spans="1:7" x14ac:dyDescent="0.2">
      <c r="A439">
        <v>5741</v>
      </c>
      <c r="B439" s="106" t="s">
        <v>1232</v>
      </c>
      <c r="C439">
        <v>0.05</v>
      </c>
      <c r="D439" s="106">
        <v>0.05</v>
      </c>
      <c r="E439" s="106">
        <v>0.05</v>
      </c>
      <c r="F439">
        <v>0.05</v>
      </c>
      <c r="G439" s="106">
        <v>0.15</v>
      </c>
    </row>
    <row r="440" spans="1:7" x14ac:dyDescent="0.2">
      <c r="A440">
        <v>5803</v>
      </c>
      <c r="B440" s="106" t="s">
        <v>27</v>
      </c>
      <c r="C440">
        <v>0</v>
      </c>
      <c r="D440" s="106">
        <v>0</v>
      </c>
      <c r="E440">
        <v>0</v>
      </c>
      <c r="F440" s="106" t="s">
        <v>166</v>
      </c>
      <c r="G440" t="s">
        <v>166</v>
      </c>
    </row>
    <row r="441" spans="1:7" x14ac:dyDescent="0.2">
      <c r="A441">
        <v>5805</v>
      </c>
      <c r="B441" s="106" t="s">
        <v>2294</v>
      </c>
      <c r="C441">
        <v>0.05</v>
      </c>
      <c r="D441">
        <v>0.05</v>
      </c>
      <c r="E441">
        <v>0.05</v>
      </c>
      <c r="F441" t="s">
        <v>166</v>
      </c>
      <c r="G441">
        <v>0</v>
      </c>
    </row>
    <row r="442" spans="1:7" x14ac:dyDescent="0.2">
      <c r="A442">
        <v>5807</v>
      </c>
      <c r="B442" s="106" t="s">
        <v>1233</v>
      </c>
      <c r="C442">
        <v>0.05</v>
      </c>
      <c r="D442">
        <v>0.05</v>
      </c>
      <c r="E442" s="106">
        <v>0.05</v>
      </c>
      <c r="F442">
        <v>0.05</v>
      </c>
      <c r="G442">
        <v>0.15</v>
      </c>
    </row>
    <row r="443" spans="1:7" x14ac:dyDescent="0.2">
      <c r="A443">
        <v>5809</v>
      </c>
      <c r="B443" s="106" t="s">
        <v>1234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5852</v>
      </c>
      <c r="B444" s="106" t="s">
        <v>2553</v>
      </c>
      <c r="C444">
        <v>0</v>
      </c>
      <c r="D444">
        <v>0</v>
      </c>
      <c r="E444" t="s">
        <v>166</v>
      </c>
      <c r="F444">
        <v>0</v>
      </c>
      <c r="G444" s="106">
        <v>0</v>
      </c>
    </row>
    <row r="445" spans="1:7" x14ac:dyDescent="0.2">
      <c r="A445">
        <v>5901</v>
      </c>
      <c r="B445" s="106" t="s">
        <v>243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5902</v>
      </c>
      <c r="B446" s="106" t="s">
        <v>1235</v>
      </c>
      <c r="C446">
        <v>0.05</v>
      </c>
      <c r="D446">
        <v>0.05</v>
      </c>
      <c r="E446">
        <v>0.05</v>
      </c>
      <c r="F446">
        <v>0.05</v>
      </c>
      <c r="G446" s="106">
        <v>0.15</v>
      </c>
    </row>
    <row r="447" spans="1:7" x14ac:dyDescent="0.2">
      <c r="A447">
        <v>5911</v>
      </c>
      <c r="B447" s="106" t="s">
        <v>1236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5932</v>
      </c>
      <c r="B448" s="106" t="s">
        <v>1237</v>
      </c>
      <c r="C448">
        <v>0.05</v>
      </c>
      <c r="D448" s="106">
        <v>0.05</v>
      </c>
      <c r="E448" s="106">
        <v>0.05</v>
      </c>
      <c r="F448">
        <v>0.05</v>
      </c>
      <c r="G448">
        <v>0.15</v>
      </c>
    </row>
    <row r="449" spans="1:7" x14ac:dyDescent="0.2">
      <c r="A449">
        <v>5938</v>
      </c>
      <c r="B449" s="106" t="s">
        <v>2554</v>
      </c>
      <c r="C449">
        <v>0</v>
      </c>
      <c r="D449">
        <v>0.05</v>
      </c>
      <c r="E449" t="s">
        <v>166</v>
      </c>
      <c r="F449">
        <v>0.05</v>
      </c>
      <c r="G449" t="s">
        <v>166</v>
      </c>
    </row>
    <row r="450" spans="1:7" x14ac:dyDescent="0.2">
      <c r="A450">
        <v>5943</v>
      </c>
      <c r="B450" s="106" t="s">
        <v>1238</v>
      </c>
      <c r="C450">
        <v>0.05</v>
      </c>
      <c r="D450">
        <v>0</v>
      </c>
      <c r="E450">
        <v>0.05</v>
      </c>
      <c r="F450">
        <v>0</v>
      </c>
      <c r="G450">
        <v>0.15</v>
      </c>
    </row>
    <row r="451" spans="1:7" x14ac:dyDescent="0.2">
      <c r="A451">
        <v>5946</v>
      </c>
      <c r="B451" s="106" t="s">
        <v>1239</v>
      </c>
      <c r="C451">
        <v>0</v>
      </c>
      <c r="D451">
        <v>0.05</v>
      </c>
      <c r="E451">
        <v>0.05</v>
      </c>
      <c r="F451">
        <v>0</v>
      </c>
      <c r="G451">
        <v>0</v>
      </c>
    </row>
    <row r="452" spans="1:7" x14ac:dyDescent="0.2">
      <c r="A452">
        <v>5947</v>
      </c>
      <c r="B452" s="106" t="s">
        <v>246</v>
      </c>
      <c r="C452">
        <v>0.15</v>
      </c>
      <c r="D452">
        <v>0.15</v>
      </c>
      <c r="E452">
        <v>0.15</v>
      </c>
      <c r="F452">
        <v>0.15</v>
      </c>
      <c r="G452">
        <v>0.45</v>
      </c>
    </row>
    <row r="453" spans="1:7" x14ac:dyDescent="0.2">
      <c r="A453">
        <v>5949</v>
      </c>
      <c r="B453" s="106" t="s">
        <v>1240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5951</v>
      </c>
      <c r="B454" s="106" t="s">
        <v>1241</v>
      </c>
      <c r="C454">
        <v>0.05</v>
      </c>
      <c r="D454">
        <v>0.05</v>
      </c>
      <c r="E454">
        <v>0.05</v>
      </c>
      <c r="F454">
        <v>0.05</v>
      </c>
      <c r="G454">
        <v>0.15</v>
      </c>
    </row>
    <row r="455" spans="1:7" x14ac:dyDescent="0.2">
      <c r="A455">
        <v>5957</v>
      </c>
      <c r="B455" s="106" t="s">
        <v>1242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5976</v>
      </c>
      <c r="B456" s="106" t="s">
        <v>1243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5981</v>
      </c>
      <c r="B457" s="106" t="s">
        <v>1244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5985</v>
      </c>
      <c r="B458" s="106" t="s">
        <v>2555</v>
      </c>
      <c r="C458">
        <v>0</v>
      </c>
      <c r="D458" s="106" t="s">
        <v>166</v>
      </c>
      <c r="E458" t="s">
        <v>166</v>
      </c>
      <c r="F458">
        <v>0</v>
      </c>
      <c r="G458" s="106" t="s">
        <v>166</v>
      </c>
    </row>
    <row r="459" spans="1:7" x14ac:dyDescent="0.2">
      <c r="A459">
        <v>5991</v>
      </c>
      <c r="B459" s="106" t="s">
        <v>1245</v>
      </c>
      <c r="C459">
        <v>0.05</v>
      </c>
      <c r="D459">
        <v>0.05</v>
      </c>
      <c r="E459">
        <v>0.05</v>
      </c>
      <c r="F459">
        <v>0.05</v>
      </c>
      <c r="G459">
        <v>0.15</v>
      </c>
    </row>
    <row r="460" spans="1:7" x14ac:dyDescent="0.2">
      <c r="A460">
        <v>5998</v>
      </c>
      <c r="B460" s="106" t="s">
        <v>1246</v>
      </c>
      <c r="C460">
        <v>0.05</v>
      </c>
      <c r="D460">
        <v>0.05</v>
      </c>
      <c r="E460">
        <v>0.05</v>
      </c>
      <c r="F460">
        <v>0.05</v>
      </c>
      <c r="G460">
        <v>0.15</v>
      </c>
    </row>
    <row r="461" spans="1:7" x14ac:dyDescent="0.2">
      <c r="A461">
        <v>6005</v>
      </c>
      <c r="B461" s="106" t="s">
        <v>1247</v>
      </c>
      <c r="C461">
        <v>0.1</v>
      </c>
      <c r="D461" s="106">
        <v>0.1</v>
      </c>
      <c r="E461">
        <v>0.1</v>
      </c>
      <c r="F461">
        <v>0.1</v>
      </c>
      <c r="G461">
        <v>0.3</v>
      </c>
    </row>
    <row r="462" spans="1:7" x14ac:dyDescent="0.2">
      <c r="A462">
        <v>6028</v>
      </c>
      <c r="B462" s="106" t="s">
        <v>923</v>
      </c>
      <c r="C462">
        <v>0.15</v>
      </c>
      <c r="D462">
        <v>0.15</v>
      </c>
      <c r="E462">
        <v>0.15</v>
      </c>
      <c r="F462">
        <v>0.15</v>
      </c>
      <c r="G462">
        <v>0.45</v>
      </c>
    </row>
    <row r="463" spans="1:7" x14ac:dyDescent="0.2">
      <c r="A463">
        <v>6037</v>
      </c>
      <c r="B463" s="106" t="s">
        <v>1248</v>
      </c>
      <c r="C463">
        <v>0</v>
      </c>
      <c r="D463" t="s">
        <v>166</v>
      </c>
      <c r="E463">
        <v>0</v>
      </c>
      <c r="F463">
        <v>0</v>
      </c>
      <c r="G463">
        <v>0</v>
      </c>
    </row>
    <row r="464" spans="1:7" x14ac:dyDescent="0.2">
      <c r="A464">
        <v>6047</v>
      </c>
      <c r="B464" s="106" t="s">
        <v>1249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6048</v>
      </c>
      <c r="B465" s="106" t="s">
        <v>1250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6054</v>
      </c>
      <c r="B466" s="106" t="s">
        <v>1251</v>
      </c>
      <c r="C466">
        <v>0.05</v>
      </c>
      <c r="D466">
        <v>0</v>
      </c>
      <c r="E466">
        <v>0.05</v>
      </c>
      <c r="F466">
        <v>0.05</v>
      </c>
      <c r="G466">
        <v>0.15</v>
      </c>
    </row>
    <row r="467" spans="1:7" x14ac:dyDescent="0.2">
      <c r="A467">
        <v>6055</v>
      </c>
      <c r="B467" s="106" t="s">
        <v>1252</v>
      </c>
      <c r="C467">
        <v>0.05</v>
      </c>
      <c r="D467" s="106">
        <v>0.05</v>
      </c>
      <c r="E467" s="106">
        <v>0.05</v>
      </c>
      <c r="F467" s="106">
        <v>0.05</v>
      </c>
      <c r="G467" s="106">
        <v>0.15</v>
      </c>
    </row>
    <row r="468" spans="1:7" x14ac:dyDescent="0.2">
      <c r="A468">
        <v>6058</v>
      </c>
      <c r="B468" s="106" t="s">
        <v>1253</v>
      </c>
      <c r="C468">
        <v>0.05</v>
      </c>
      <c r="D468" s="106">
        <v>0.05</v>
      </c>
      <c r="E468" s="106">
        <v>0.05</v>
      </c>
      <c r="F468" s="106">
        <v>0.05</v>
      </c>
      <c r="G468" s="106">
        <v>0.15</v>
      </c>
    </row>
    <row r="469" spans="1:7" x14ac:dyDescent="0.2">
      <c r="A469">
        <v>6088</v>
      </c>
      <c r="B469" s="106" t="s">
        <v>1254</v>
      </c>
      <c r="C469">
        <v>0</v>
      </c>
      <c r="D469">
        <v>0.05</v>
      </c>
      <c r="E469">
        <v>0.05</v>
      </c>
      <c r="F469" s="106">
        <v>0.05</v>
      </c>
      <c r="G469" s="106">
        <v>0.6</v>
      </c>
    </row>
    <row r="470" spans="1:7" x14ac:dyDescent="0.2">
      <c r="A470">
        <v>6093</v>
      </c>
      <c r="B470" s="106" t="s">
        <v>1255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6098</v>
      </c>
      <c r="B471" s="106" t="s">
        <v>258</v>
      </c>
      <c r="C471">
        <v>0.1</v>
      </c>
      <c r="D471">
        <v>0.1</v>
      </c>
      <c r="E471">
        <v>0.1</v>
      </c>
      <c r="F471">
        <v>0.1</v>
      </c>
      <c r="G471">
        <v>0.3</v>
      </c>
    </row>
    <row r="472" spans="1:7" x14ac:dyDescent="0.2">
      <c r="A472">
        <v>6099</v>
      </c>
      <c r="B472" s="106" t="s">
        <v>1256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6101</v>
      </c>
      <c r="B473" s="106" t="s">
        <v>1257</v>
      </c>
      <c r="C473">
        <v>0.05</v>
      </c>
      <c r="D473">
        <v>0.05</v>
      </c>
      <c r="E473">
        <v>0.05</v>
      </c>
      <c r="F473">
        <v>0.05</v>
      </c>
      <c r="G473">
        <v>0.15</v>
      </c>
    </row>
    <row r="474" spans="1:7" x14ac:dyDescent="0.2">
      <c r="A474">
        <v>6103</v>
      </c>
      <c r="B474" s="106" t="s">
        <v>1258</v>
      </c>
      <c r="C474">
        <v>0.1</v>
      </c>
      <c r="D474" s="106">
        <v>0.1</v>
      </c>
      <c r="E474" s="106">
        <v>0.1</v>
      </c>
      <c r="F474">
        <v>0.05</v>
      </c>
      <c r="G474" s="106">
        <v>0.3</v>
      </c>
    </row>
    <row r="475" spans="1:7" x14ac:dyDescent="0.2">
      <c r="A475">
        <v>6104</v>
      </c>
      <c r="B475" s="106" t="s">
        <v>1259</v>
      </c>
      <c r="C475">
        <v>0</v>
      </c>
      <c r="D475">
        <v>0</v>
      </c>
      <c r="E475">
        <v>0.05</v>
      </c>
      <c r="F475">
        <v>0</v>
      </c>
      <c r="G475">
        <v>0.15</v>
      </c>
    </row>
    <row r="476" spans="1:7" x14ac:dyDescent="0.2">
      <c r="A476">
        <v>6113</v>
      </c>
      <c r="B476" s="106" t="s">
        <v>2116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6118</v>
      </c>
      <c r="B477" s="106" t="s">
        <v>1260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6134</v>
      </c>
      <c r="B478" s="106" t="s">
        <v>698</v>
      </c>
      <c r="C478">
        <v>0.05</v>
      </c>
      <c r="D478">
        <v>0.05</v>
      </c>
      <c r="E478">
        <v>0.05</v>
      </c>
      <c r="F478">
        <v>0.05</v>
      </c>
      <c r="G478">
        <v>0.15</v>
      </c>
    </row>
    <row r="479" spans="1:7" x14ac:dyDescent="0.2">
      <c r="A479">
        <v>6135</v>
      </c>
      <c r="B479" s="106" t="s">
        <v>235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6136</v>
      </c>
      <c r="B480" s="106" t="s">
        <v>1261</v>
      </c>
      <c r="C480">
        <v>0.05</v>
      </c>
      <c r="D480">
        <v>0.05</v>
      </c>
      <c r="E480">
        <v>0.05</v>
      </c>
      <c r="F480">
        <v>0.05</v>
      </c>
      <c r="G480">
        <v>0.15</v>
      </c>
    </row>
    <row r="481" spans="1:7" x14ac:dyDescent="0.2">
      <c r="A481">
        <v>6141</v>
      </c>
      <c r="B481" s="106" t="s">
        <v>2195</v>
      </c>
      <c r="C481">
        <v>0</v>
      </c>
      <c r="D481">
        <v>0</v>
      </c>
      <c r="E481">
        <v>0</v>
      </c>
      <c r="F481">
        <v>0</v>
      </c>
      <c r="G481" t="s">
        <v>166</v>
      </c>
    </row>
    <row r="482" spans="1:7" x14ac:dyDescent="0.2">
      <c r="A482">
        <v>6143</v>
      </c>
      <c r="B482" s="106" t="s">
        <v>1262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6146</v>
      </c>
      <c r="B483" s="106" t="s">
        <v>1263</v>
      </c>
      <c r="C483">
        <v>0.45</v>
      </c>
      <c r="D483">
        <v>0.45</v>
      </c>
      <c r="E483">
        <v>0.45</v>
      </c>
      <c r="F483">
        <v>0.45</v>
      </c>
      <c r="G483" s="106">
        <v>1.35</v>
      </c>
    </row>
    <row r="484" spans="1:7" x14ac:dyDescent="0.2">
      <c r="A484">
        <v>6151</v>
      </c>
      <c r="B484" s="106" t="s">
        <v>1264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6157</v>
      </c>
      <c r="B485" s="106" t="s">
        <v>1265</v>
      </c>
      <c r="C485">
        <v>0.05</v>
      </c>
      <c r="D485">
        <v>0.05</v>
      </c>
      <c r="E485">
        <v>0.05</v>
      </c>
      <c r="F485">
        <v>0.05</v>
      </c>
      <c r="G485">
        <v>0.15</v>
      </c>
    </row>
    <row r="486" spans="1:7" x14ac:dyDescent="0.2">
      <c r="A486">
        <v>6165</v>
      </c>
      <c r="B486" s="106" t="s">
        <v>1266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6184</v>
      </c>
      <c r="B487" s="106" t="s">
        <v>1267</v>
      </c>
      <c r="C487">
        <v>0.05</v>
      </c>
      <c r="D487">
        <v>0.05</v>
      </c>
      <c r="E487">
        <v>0.05</v>
      </c>
      <c r="F487">
        <v>0.05</v>
      </c>
      <c r="G487">
        <v>0.15</v>
      </c>
    </row>
    <row r="488" spans="1:7" x14ac:dyDescent="0.2">
      <c r="A488">
        <v>6194</v>
      </c>
      <c r="B488" s="106" t="s">
        <v>1268</v>
      </c>
      <c r="C488">
        <v>0.1</v>
      </c>
      <c r="D488">
        <v>0.1</v>
      </c>
      <c r="E488">
        <v>0.1</v>
      </c>
      <c r="F488">
        <v>0.1</v>
      </c>
      <c r="G488">
        <v>0.3</v>
      </c>
    </row>
    <row r="489" spans="1:7" x14ac:dyDescent="0.2">
      <c r="A489">
        <v>6196</v>
      </c>
      <c r="B489" s="106" t="s">
        <v>1269</v>
      </c>
      <c r="C489">
        <v>0.1</v>
      </c>
      <c r="D489" s="106">
        <v>0.1</v>
      </c>
      <c r="E489">
        <v>0.1</v>
      </c>
      <c r="F489" s="106">
        <v>0.1</v>
      </c>
      <c r="G489">
        <v>0.3</v>
      </c>
    </row>
    <row r="490" spans="1:7" x14ac:dyDescent="0.2">
      <c r="A490">
        <v>6197</v>
      </c>
      <c r="B490" s="106" t="s">
        <v>2556</v>
      </c>
      <c r="C490">
        <v>0</v>
      </c>
      <c r="D490" s="106" t="s">
        <v>166</v>
      </c>
      <c r="E490" s="106" t="s">
        <v>166</v>
      </c>
      <c r="F490" s="106" t="s">
        <v>166</v>
      </c>
      <c r="G490" s="106" t="s">
        <v>166</v>
      </c>
    </row>
    <row r="491" spans="1:7" x14ac:dyDescent="0.2">
      <c r="A491">
        <v>6200</v>
      </c>
      <c r="B491" s="106" t="s">
        <v>1270</v>
      </c>
      <c r="C491">
        <v>0.1</v>
      </c>
      <c r="D491">
        <v>0.1</v>
      </c>
      <c r="E491" s="106">
        <v>0.1</v>
      </c>
      <c r="F491" s="106">
        <v>0.1</v>
      </c>
      <c r="G491">
        <v>0.3</v>
      </c>
    </row>
    <row r="492" spans="1:7" x14ac:dyDescent="0.2">
      <c r="A492">
        <v>6201</v>
      </c>
      <c r="B492" s="106" t="s">
        <v>2196</v>
      </c>
      <c r="C492">
        <v>0</v>
      </c>
      <c r="D492">
        <v>0.05</v>
      </c>
      <c r="E492">
        <v>0.15</v>
      </c>
      <c r="F492">
        <v>0.15</v>
      </c>
      <c r="G492" t="s">
        <v>166</v>
      </c>
    </row>
    <row r="493" spans="1:7" x14ac:dyDescent="0.2">
      <c r="A493">
        <v>6217</v>
      </c>
      <c r="B493" s="106" t="s">
        <v>1271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6218</v>
      </c>
      <c r="B494" s="106" t="s">
        <v>1272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6237</v>
      </c>
      <c r="B495" s="106" t="s">
        <v>1273</v>
      </c>
      <c r="C495">
        <v>0.05</v>
      </c>
      <c r="D495">
        <v>0.05</v>
      </c>
      <c r="E495" s="106">
        <v>0.05</v>
      </c>
      <c r="F495" s="106">
        <v>0.05</v>
      </c>
      <c r="G495" s="106">
        <v>0.15</v>
      </c>
    </row>
    <row r="496" spans="1:7" x14ac:dyDescent="0.2">
      <c r="A496">
        <v>6240</v>
      </c>
      <c r="B496" s="106" t="s">
        <v>1274</v>
      </c>
      <c r="C496">
        <v>0.05</v>
      </c>
      <c r="D496">
        <v>0.55000000000000004</v>
      </c>
      <c r="E496">
        <v>0.55000000000000004</v>
      </c>
      <c r="F496" s="106">
        <v>3.2</v>
      </c>
      <c r="G496">
        <v>0.15</v>
      </c>
    </row>
    <row r="497" spans="1:7" x14ac:dyDescent="0.2">
      <c r="A497">
        <v>6247</v>
      </c>
      <c r="B497" s="106" t="s">
        <v>1275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6250</v>
      </c>
      <c r="B498" s="106" t="s">
        <v>2557</v>
      </c>
      <c r="C498">
        <v>0</v>
      </c>
      <c r="D498" s="106">
        <v>0</v>
      </c>
      <c r="E498" t="s">
        <v>166</v>
      </c>
      <c r="F498" t="s">
        <v>166</v>
      </c>
      <c r="G498">
        <v>0</v>
      </c>
    </row>
    <row r="499" spans="1:7" x14ac:dyDescent="0.2">
      <c r="A499">
        <v>6258</v>
      </c>
      <c r="B499" s="106" t="s">
        <v>1276</v>
      </c>
      <c r="C499">
        <v>0.15</v>
      </c>
      <c r="D499">
        <v>0.15</v>
      </c>
      <c r="E499">
        <v>0.15</v>
      </c>
      <c r="F499">
        <v>0.15</v>
      </c>
      <c r="G499">
        <v>0.45</v>
      </c>
    </row>
    <row r="500" spans="1:7" x14ac:dyDescent="0.2">
      <c r="A500">
        <v>6262</v>
      </c>
      <c r="B500" s="106" t="s">
        <v>1277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6264</v>
      </c>
      <c r="B501" s="106" t="s">
        <v>2197</v>
      </c>
      <c r="C501">
        <v>0</v>
      </c>
      <c r="D501" t="s">
        <v>166</v>
      </c>
      <c r="E501">
        <v>0</v>
      </c>
      <c r="F501">
        <v>0</v>
      </c>
      <c r="G501" s="106" t="s">
        <v>166</v>
      </c>
    </row>
    <row r="502" spans="1:7" x14ac:dyDescent="0.2">
      <c r="A502">
        <v>6266</v>
      </c>
      <c r="B502" s="106" t="s">
        <v>2117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6269</v>
      </c>
      <c r="B503" s="106" t="s">
        <v>1278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6273</v>
      </c>
      <c r="B504" s="106" t="s">
        <v>1279</v>
      </c>
      <c r="C504">
        <v>0.85</v>
      </c>
      <c r="D504">
        <v>0.85</v>
      </c>
      <c r="E504">
        <v>0.85</v>
      </c>
      <c r="F504">
        <v>0.9</v>
      </c>
      <c r="G504">
        <v>2.5499999999999998</v>
      </c>
    </row>
    <row r="505" spans="1:7" x14ac:dyDescent="0.2">
      <c r="A505">
        <v>6274</v>
      </c>
      <c r="B505" s="106" t="s">
        <v>1280</v>
      </c>
      <c r="C505">
        <v>0.05</v>
      </c>
      <c r="D505">
        <v>0.05</v>
      </c>
      <c r="E505">
        <v>0.05</v>
      </c>
      <c r="F505">
        <v>0</v>
      </c>
      <c r="G505">
        <v>0</v>
      </c>
    </row>
    <row r="506" spans="1:7" x14ac:dyDescent="0.2">
      <c r="A506">
        <v>6278</v>
      </c>
      <c r="B506" s="106" t="s">
        <v>1281</v>
      </c>
      <c r="C506">
        <v>0.05</v>
      </c>
      <c r="D506" s="106">
        <v>0.05</v>
      </c>
      <c r="E506" s="106">
        <v>0.05</v>
      </c>
      <c r="F506" s="106">
        <v>0.05</v>
      </c>
      <c r="G506" s="106">
        <v>0.15</v>
      </c>
    </row>
    <row r="507" spans="1:7" x14ac:dyDescent="0.2">
      <c r="A507">
        <v>6284</v>
      </c>
      <c r="B507" s="106" t="s">
        <v>1282</v>
      </c>
      <c r="C507">
        <v>0.1</v>
      </c>
      <c r="D507" s="106">
        <v>0.1</v>
      </c>
      <c r="E507" s="106">
        <v>0.1</v>
      </c>
      <c r="F507" s="106">
        <v>0.1</v>
      </c>
      <c r="G507" s="106">
        <v>0.3</v>
      </c>
    </row>
    <row r="508" spans="1:7" x14ac:dyDescent="0.2">
      <c r="A508">
        <v>6287</v>
      </c>
      <c r="B508" s="106" t="s">
        <v>699</v>
      </c>
      <c r="C508">
        <v>0</v>
      </c>
      <c r="D508">
        <v>0.05</v>
      </c>
      <c r="E508" s="106">
        <v>0.05</v>
      </c>
      <c r="F508" s="106">
        <v>0.1</v>
      </c>
      <c r="G508" s="106">
        <v>0.3</v>
      </c>
    </row>
    <row r="509" spans="1:7" x14ac:dyDescent="0.2">
      <c r="A509">
        <v>6298</v>
      </c>
      <c r="B509" s="106" t="s">
        <v>2118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6301</v>
      </c>
      <c r="B510" s="106" t="s">
        <v>62</v>
      </c>
      <c r="C510">
        <v>0</v>
      </c>
      <c r="D510">
        <v>0</v>
      </c>
      <c r="E510">
        <v>0</v>
      </c>
      <c r="F510">
        <v>0</v>
      </c>
      <c r="G510" s="106">
        <v>0.15</v>
      </c>
    </row>
    <row r="511" spans="1:7" x14ac:dyDescent="0.2">
      <c r="A511">
        <v>6302</v>
      </c>
      <c r="B511" s="106" t="s">
        <v>924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6305</v>
      </c>
      <c r="B512" s="106" t="s">
        <v>32</v>
      </c>
      <c r="C512">
        <v>0.05</v>
      </c>
      <c r="D512">
        <v>0.05</v>
      </c>
      <c r="E512">
        <v>0.05</v>
      </c>
      <c r="F512">
        <v>0.05</v>
      </c>
      <c r="G512">
        <v>0.15</v>
      </c>
    </row>
    <row r="513" spans="1:7" x14ac:dyDescent="0.2">
      <c r="A513">
        <v>6306</v>
      </c>
      <c r="B513" s="106" t="s">
        <v>2295</v>
      </c>
      <c r="C513">
        <v>0</v>
      </c>
      <c r="D513" t="s">
        <v>166</v>
      </c>
      <c r="E513">
        <v>0</v>
      </c>
      <c r="F513" t="s">
        <v>166</v>
      </c>
      <c r="G513" t="s">
        <v>166</v>
      </c>
    </row>
    <row r="514" spans="1:7" x14ac:dyDescent="0.2">
      <c r="A514">
        <v>6310</v>
      </c>
      <c r="B514" s="106" t="s">
        <v>1283</v>
      </c>
      <c r="C514">
        <v>0</v>
      </c>
      <c r="D514" t="s">
        <v>166</v>
      </c>
      <c r="E514">
        <v>0</v>
      </c>
      <c r="F514">
        <v>0</v>
      </c>
      <c r="G514">
        <v>0</v>
      </c>
    </row>
    <row r="515" spans="1:7" x14ac:dyDescent="0.2">
      <c r="A515">
        <v>6315</v>
      </c>
      <c r="B515" s="106" t="s">
        <v>1284</v>
      </c>
      <c r="C515">
        <v>0.05</v>
      </c>
      <c r="D515">
        <v>0.05</v>
      </c>
      <c r="E515">
        <v>0.05</v>
      </c>
      <c r="F515">
        <v>0.05</v>
      </c>
      <c r="G515">
        <v>0.15</v>
      </c>
    </row>
    <row r="516" spans="1:7" x14ac:dyDescent="0.2">
      <c r="A516">
        <v>6316</v>
      </c>
      <c r="B516" s="106" t="s">
        <v>1285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6325</v>
      </c>
      <c r="B517" s="106" t="s">
        <v>1286</v>
      </c>
      <c r="C517">
        <v>0</v>
      </c>
      <c r="D517">
        <v>0</v>
      </c>
      <c r="E517">
        <v>0</v>
      </c>
      <c r="F517">
        <v>0.05</v>
      </c>
      <c r="G517">
        <v>0</v>
      </c>
    </row>
    <row r="518" spans="1:7" x14ac:dyDescent="0.2">
      <c r="A518">
        <v>6326</v>
      </c>
      <c r="B518" s="106" t="s">
        <v>1287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6330</v>
      </c>
      <c r="B519" s="106" t="s">
        <v>1288</v>
      </c>
      <c r="C519">
        <v>0.05</v>
      </c>
      <c r="D519" s="106">
        <v>0.05</v>
      </c>
      <c r="E519" s="106">
        <v>0.05</v>
      </c>
      <c r="F519">
        <v>0</v>
      </c>
      <c r="G519">
        <v>0.15</v>
      </c>
    </row>
    <row r="520" spans="1:7" x14ac:dyDescent="0.2">
      <c r="A520">
        <v>6331</v>
      </c>
      <c r="B520" s="106" t="s">
        <v>1289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6332</v>
      </c>
      <c r="B521" s="106" t="s">
        <v>1290</v>
      </c>
      <c r="C521">
        <v>0.05</v>
      </c>
      <c r="D521" s="106">
        <v>0.05</v>
      </c>
      <c r="E521" s="106">
        <v>0.05</v>
      </c>
      <c r="F521">
        <v>0.05</v>
      </c>
      <c r="G521">
        <v>0.15</v>
      </c>
    </row>
    <row r="522" spans="1:7" x14ac:dyDescent="0.2">
      <c r="A522">
        <v>6339</v>
      </c>
      <c r="B522" s="106" t="s">
        <v>2119</v>
      </c>
      <c r="C522">
        <v>0.05</v>
      </c>
      <c r="D522">
        <v>0.05</v>
      </c>
      <c r="E522">
        <v>0.05</v>
      </c>
      <c r="F522">
        <v>0.05</v>
      </c>
      <c r="G522">
        <v>0.15</v>
      </c>
    </row>
    <row r="523" spans="1:7" x14ac:dyDescent="0.2">
      <c r="A523">
        <v>6349</v>
      </c>
      <c r="B523" s="106" t="s">
        <v>1291</v>
      </c>
      <c r="C523">
        <v>0.05</v>
      </c>
      <c r="D523">
        <v>0.05</v>
      </c>
      <c r="E523">
        <v>0.05</v>
      </c>
      <c r="F523">
        <v>0.05</v>
      </c>
      <c r="G523">
        <v>0.15</v>
      </c>
    </row>
    <row r="524" spans="1:7" x14ac:dyDescent="0.2">
      <c r="A524">
        <v>6351</v>
      </c>
      <c r="B524" s="106" t="s">
        <v>1292</v>
      </c>
      <c r="C524">
        <v>0.05</v>
      </c>
      <c r="D524">
        <v>0.05</v>
      </c>
      <c r="E524">
        <v>0.05</v>
      </c>
      <c r="F524">
        <v>0.05</v>
      </c>
      <c r="G524">
        <v>0.15</v>
      </c>
    </row>
    <row r="525" spans="1:7" x14ac:dyDescent="0.2">
      <c r="A525">
        <v>6358</v>
      </c>
      <c r="B525" s="106" t="s">
        <v>1293</v>
      </c>
      <c r="C525">
        <v>0.05</v>
      </c>
      <c r="D525">
        <v>0.05</v>
      </c>
      <c r="E525">
        <v>0.05</v>
      </c>
      <c r="F525">
        <v>0.05</v>
      </c>
      <c r="G525">
        <v>0.15</v>
      </c>
    </row>
    <row r="526" spans="1:7" x14ac:dyDescent="0.2">
      <c r="A526">
        <v>6361</v>
      </c>
      <c r="B526" s="106" t="s">
        <v>1294</v>
      </c>
      <c r="C526">
        <v>0.05</v>
      </c>
      <c r="D526">
        <v>0.1</v>
      </c>
      <c r="E526">
        <v>0.1</v>
      </c>
      <c r="F526">
        <v>0.1</v>
      </c>
      <c r="G526">
        <v>0.15</v>
      </c>
    </row>
    <row r="527" spans="1:7" x14ac:dyDescent="0.2">
      <c r="A527">
        <v>6362</v>
      </c>
      <c r="B527" s="106" t="s">
        <v>1295</v>
      </c>
      <c r="C527">
        <v>0.05</v>
      </c>
      <c r="D527" s="106">
        <v>0.05</v>
      </c>
      <c r="E527">
        <v>0.05</v>
      </c>
      <c r="F527">
        <v>0.05</v>
      </c>
      <c r="G527">
        <v>0.15</v>
      </c>
    </row>
    <row r="528" spans="1:7" x14ac:dyDescent="0.2">
      <c r="A528">
        <v>6363</v>
      </c>
      <c r="B528" s="106" t="s">
        <v>1296</v>
      </c>
      <c r="C528">
        <v>0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6367</v>
      </c>
      <c r="B529" s="106" t="s">
        <v>1297</v>
      </c>
      <c r="C529">
        <v>0.3</v>
      </c>
      <c r="D529" s="106">
        <v>0.3</v>
      </c>
      <c r="E529">
        <v>0</v>
      </c>
      <c r="F529">
        <v>0.05</v>
      </c>
      <c r="G529">
        <v>0.9</v>
      </c>
    </row>
    <row r="530" spans="1:7" x14ac:dyDescent="0.2">
      <c r="A530">
        <v>6368</v>
      </c>
      <c r="B530" s="106" t="s">
        <v>1298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6371</v>
      </c>
      <c r="B531" s="106" t="s">
        <v>61</v>
      </c>
      <c r="C531">
        <v>0.1</v>
      </c>
      <c r="D531">
        <v>0.1</v>
      </c>
      <c r="E531">
        <v>0.1</v>
      </c>
      <c r="F531" s="106">
        <v>0.1</v>
      </c>
      <c r="G531">
        <v>0.3</v>
      </c>
    </row>
    <row r="532" spans="1:7" x14ac:dyDescent="0.2">
      <c r="A532">
        <v>6379</v>
      </c>
      <c r="B532" s="106" t="s">
        <v>2120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6381</v>
      </c>
      <c r="B533" s="106" t="s">
        <v>1299</v>
      </c>
      <c r="C533">
        <v>0.05</v>
      </c>
      <c r="D533">
        <v>0.05</v>
      </c>
      <c r="E533">
        <v>0.05</v>
      </c>
      <c r="F533">
        <v>0.05</v>
      </c>
      <c r="G533">
        <v>0.15</v>
      </c>
    </row>
    <row r="534" spans="1:7" x14ac:dyDescent="0.2">
      <c r="A534">
        <v>6383</v>
      </c>
      <c r="B534" s="106" t="s">
        <v>931</v>
      </c>
      <c r="C534">
        <v>0.15</v>
      </c>
      <c r="D534">
        <v>0.15</v>
      </c>
      <c r="E534">
        <v>0.15</v>
      </c>
      <c r="F534">
        <v>0.2</v>
      </c>
      <c r="G534">
        <v>0.45</v>
      </c>
    </row>
    <row r="535" spans="1:7" x14ac:dyDescent="0.2">
      <c r="A535">
        <v>6395</v>
      </c>
      <c r="B535" s="106" t="s">
        <v>2558</v>
      </c>
      <c r="C535">
        <v>0</v>
      </c>
      <c r="D535" t="s">
        <v>166</v>
      </c>
      <c r="E535" t="s">
        <v>166</v>
      </c>
      <c r="F535">
        <v>0</v>
      </c>
      <c r="G535" t="s">
        <v>166</v>
      </c>
    </row>
    <row r="536" spans="1:7" x14ac:dyDescent="0.2">
      <c r="A536">
        <v>6407</v>
      </c>
      <c r="B536" s="106" t="s">
        <v>1300</v>
      </c>
      <c r="C536">
        <v>0.05</v>
      </c>
      <c r="D536">
        <v>0.05</v>
      </c>
      <c r="E536" s="106">
        <v>0.05</v>
      </c>
      <c r="F536">
        <v>0.05</v>
      </c>
      <c r="G536" s="106">
        <v>0.15</v>
      </c>
    </row>
    <row r="537" spans="1:7" x14ac:dyDescent="0.2">
      <c r="A537">
        <v>6412</v>
      </c>
      <c r="B537" s="106" t="s">
        <v>1301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6413</v>
      </c>
      <c r="B538" s="106" t="s">
        <v>1302</v>
      </c>
      <c r="C538">
        <v>0.05</v>
      </c>
      <c r="D538">
        <v>0.05</v>
      </c>
      <c r="E538">
        <v>0.05</v>
      </c>
      <c r="F538">
        <v>0.05</v>
      </c>
      <c r="G538">
        <v>0.15</v>
      </c>
    </row>
    <row r="539" spans="1:7" x14ac:dyDescent="0.2">
      <c r="A539">
        <v>6428</v>
      </c>
      <c r="B539" s="106" t="s">
        <v>1303</v>
      </c>
      <c r="C539">
        <v>0.05</v>
      </c>
      <c r="D539">
        <v>0.05</v>
      </c>
      <c r="E539">
        <v>0.05</v>
      </c>
      <c r="F539">
        <v>0.05</v>
      </c>
      <c r="G539" s="106">
        <v>0.15</v>
      </c>
    </row>
    <row r="540" spans="1:7" x14ac:dyDescent="0.2">
      <c r="A540">
        <v>6430</v>
      </c>
      <c r="B540" s="106" t="s">
        <v>1304</v>
      </c>
      <c r="C540">
        <v>0.05</v>
      </c>
      <c r="D540">
        <v>0.05</v>
      </c>
      <c r="E540">
        <v>0.05</v>
      </c>
      <c r="F540">
        <v>0.05</v>
      </c>
      <c r="G540">
        <v>0.15</v>
      </c>
    </row>
    <row r="541" spans="1:7" x14ac:dyDescent="0.2">
      <c r="A541">
        <v>6436</v>
      </c>
      <c r="B541" s="106" t="s">
        <v>1305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6444</v>
      </c>
      <c r="B542" s="106" t="s">
        <v>1306</v>
      </c>
      <c r="C542">
        <v>0.05</v>
      </c>
      <c r="D542">
        <v>0.05</v>
      </c>
      <c r="E542">
        <v>0.05</v>
      </c>
      <c r="F542">
        <v>0.05</v>
      </c>
      <c r="G542">
        <v>0.15</v>
      </c>
    </row>
    <row r="543" spans="1:7" x14ac:dyDescent="0.2">
      <c r="A543">
        <v>6448</v>
      </c>
      <c r="B543" s="106" t="s">
        <v>707</v>
      </c>
      <c r="C543">
        <v>0.05</v>
      </c>
      <c r="D543">
        <v>0.05</v>
      </c>
      <c r="E543">
        <v>0.05</v>
      </c>
      <c r="F543">
        <v>0.05</v>
      </c>
      <c r="G543">
        <v>0.15</v>
      </c>
    </row>
    <row r="544" spans="1:7" x14ac:dyDescent="0.2">
      <c r="A544">
        <v>6454</v>
      </c>
      <c r="B544" s="106" t="s">
        <v>1307</v>
      </c>
      <c r="C544">
        <v>0.05</v>
      </c>
      <c r="D544">
        <v>0.05</v>
      </c>
      <c r="E544">
        <v>0.05</v>
      </c>
      <c r="F544">
        <v>0.05</v>
      </c>
      <c r="G544">
        <v>0.15</v>
      </c>
    </row>
    <row r="545" spans="1:7" x14ac:dyDescent="0.2">
      <c r="A545">
        <v>6457</v>
      </c>
      <c r="B545" s="106" t="s">
        <v>239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6463</v>
      </c>
      <c r="B546" s="106" t="s">
        <v>1308</v>
      </c>
      <c r="C546">
        <v>0.05</v>
      </c>
      <c r="D546">
        <v>0.05</v>
      </c>
      <c r="E546">
        <v>0.05</v>
      </c>
      <c r="F546">
        <v>0.05</v>
      </c>
      <c r="G546">
        <v>0.15</v>
      </c>
    </row>
    <row r="547" spans="1:7" x14ac:dyDescent="0.2">
      <c r="A547">
        <v>6465</v>
      </c>
      <c r="B547" s="106" t="s">
        <v>700</v>
      </c>
      <c r="C547">
        <v>0.2</v>
      </c>
      <c r="D547">
        <v>0.2</v>
      </c>
      <c r="E547" s="106">
        <v>0.2</v>
      </c>
      <c r="F547" s="106">
        <v>0.2</v>
      </c>
      <c r="G547">
        <v>0.6</v>
      </c>
    </row>
    <row r="548" spans="1:7" x14ac:dyDescent="0.2">
      <c r="A548">
        <v>6472</v>
      </c>
      <c r="B548" s="106" t="s">
        <v>70</v>
      </c>
      <c r="C548">
        <v>0</v>
      </c>
      <c r="D548">
        <v>0.05</v>
      </c>
      <c r="E548">
        <v>0</v>
      </c>
      <c r="F548">
        <v>0.05</v>
      </c>
      <c r="G548">
        <v>0</v>
      </c>
    </row>
    <row r="549" spans="1:7" x14ac:dyDescent="0.2">
      <c r="A549">
        <v>6474</v>
      </c>
      <c r="B549" s="106" t="s">
        <v>240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6479</v>
      </c>
      <c r="B550" s="106" t="s">
        <v>918</v>
      </c>
      <c r="C550">
        <v>0.05</v>
      </c>
      <c r="D550" s="106">
        <v>0.05</v>
      </c>
      <c r="E550">
        <v>0.05</v>
      </c>
      <c r="F550" s="106">
        <v>0.05</v>
      </c>
      <c r="G550" s="106">
        <v>0.15</v>
      </c>
    </row>
    <row r="551" spans="1:7" x14ac:dyDescent="0.2">
      <c r="A551">
        <v>6481</v>
      </c>
      <c r="B551" s="106" t="s">
        <v>2296</v>
      </c>
      <c r="C551">
        <v>0</v>
      </c>
      <c r="D551">
        <v>0</v>
      </c>
      <c r="E551">
        <v>0</v>
      </c>
      <c r="F551" t="s">
        <v>166</v>
      </c>
      <c r="G551" t="s">
        <v>166</v>
      </c>
    </row>
    <row r="552" spans="1:7" x14ac:dyDescent="0.2">
      <c r="A552">
        <v>6482</v>
      </c>
      <c r="B552" s="106" t="s">
        <v>1309</v>
      </c>
      <c r="C552">
        <v>0.05</v>
      </c>
      <c r="D552">
        <v>0.05</v>
      </c>
      <c r="E552">
        <v>0</v>
      </c>
      <c r="F552">
        <v>0.05</v>
      </c>
      <c r="G552">
        <v>0.15</v>
      </c>
    </row>
    <row r="553" spans="1:7" x14ac:dyDescent="0.2">
      <c r="A553">
        <v>6490</v>
      </c>
      <c r="B553" s="106" t="s">
        <v>1310</v>
      </c>
      <c r="C553">
        <v>0.05</v>
      </c>
      <c r="D553">
        <v>0.05</v>
      </c>
      <c r="E553">
        <v>0.05</v>
      </c>
      <c r="F553">
        <v>0.05</v>
      </c>
      <c r="G553">
        <v>0.15</v>
      </c>
    </row>
    <row r="554" spans="1:7" x14ac:dyDescent="0.2">
      <c r="A554">
        <v>6501</v>
      </c>
      <c r="B554" s="106" t="s">
        <v>2121</v>
      </c>
      <c r="C554">
        <v>0</v>
      </c>
      <c r="D554">
        <v>0</v>
      </c>
      <c r="E554">
        <v>0.1</v>
      </c>
      <c r="F554">
        <v>0</v>
      </c>
      <c r="G554">
        <v>0</v>
      </c>
    </row>
    <row r="555" spans="1:7" x14ac:dyDescent="0.2">
      <c r="A555">
        <v>6503</v>
      </c>
      <c r="B555" s="106" t="s">
        <v>2297</v>
      </c>
      <c r="C555">
        <v>0</v>
      </c>
      <c r="D555" s="106" t="s">
        <v>166</v>
      </c>
      <c r="E555" s="106">
        <v>0</v>
      </c>
      <c r="F555" t="s">
        <v>166</v>
      </c>
      <c r="G555" s="106" t="s">
        <v>166</v>
      </c>
    </row>
    <row r="556" spans="1:7" x14ac:dyDescent="0.2">
      <c r="A556">
        <v>6505</v>
      </c>
      <c r="B556" s="106" t="s">
        <v>1311</v>
      </c>
      <c r="C556">
        <v>0</v>
      </c>
      <c r="D556">
        <v>0</v>
      </c>
      <c r="E556" s="106">
        <v>0</v>
      </c>
      <c r="F556">
        <v>0.05</v>
      </c>
      <c r="G556">
        <v>0</v>
      </c>
    </row>
    <row r="557" spans="1:7" x14ac:dyDescent="0.2">
      <c r="A557">
        <v>6506</v>
      </c>
      <c r="B557" s="106" t="s">
        <v>1312</v>
      </c>
      <c r="C557">
        <v>0.1</v>
      </c>
      <c r="D557" s="106">
        <v>0.1</v>
      </c>
      <c r="E557" s="106">
        <v>0.1</v>
      </c>
      <c r="F557" s="106">
        <v>0.1</v>
      </c>
      <c r="G557" s="106">
        <v>0.3</v>
      </c>
    </row>
    <row r="558" spans="1:7" x14ac:dyDescent="0.2">
      <c r="A558">
        <v>6508</v>
      </c>
      <c r="B558" s="106" t="s">
        <v>1313</v>
      </c>
      <c r="C558">
        <v>0.05</v>
      </c>
      <c r="D558" s="106">
        <v>0.05</v>
      </c>
      <c r="E558">
        <v>0.05</v>
      </c>
      <c r="F558" s="106">
        <v>0.05</v>
      </c>
      <c r="G558">
        <v>0.15</v>
      </c>
    </row>
    <row r="559" spans="1:7" x14ac:dyDescent="0.2">
      <c r="A559">
        <v>6535</v>
      </c>
      <c r="B559" s="106" t="s">
        <v>1314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6540</v>
      </c>
      <c r="B560" s="106" t="s">
        <v>2559</v>
      </c>
      <c r="C560">
        <v>0</v>
      </c>
      <c r="D560">
        <v>0</v>
      </c>
      <c r="E560" t="s">
        <v>166</v>
      </c>
      <c r="F560" s="106" t="s">
        <v>166</v>
      </c>
      <c r="G560" s="106" t="s">
        <v>166</v>
      </c>
    </row>
    <row r="561" spans="1:7" x14ac:dyDescent="0.2">
      <c r="A561">
        <v>6546</v>
      </c>
      <c r="B561" s="106" t="s">
        <v>2560</v>
      </c>
      <c r="C561">
        <v>0</v>
      </c>
      <c r="D561">
        <v>0</v>
      </c>
      <c r="E561" t="s">
        <v>166</v>
      </c>
      <c r="F561" s="106" t="s">
        <v>166</v>
      </c>
      <c r="G561" s="106" t="s">
        <v>166</v>
      </c>
    </row>
    <row r="562" spans="1:7" x14ac:dyDescent="0.2">
      <c r="A562">
        <v>6547</v>
      </c>
      <c r="B562" s="106" t="s">
        <v>1315</v>
      </c>
      <c r="C562">
        <v>0.05</v>
      </c>
      <c r="D562">
        <v>0.05</v>
      </c>
      <c r="E562">
        <v>0.05</v>
      </c>
      <c r="F562">
        <v>0.05</v>
      </c>
      <c r="G562">
        <v>0.15</v>
      </c>
    </row>
    <row r="563" spans="1:7" x14ac:dyDescent="0.2">
      <c r="A563">
        <v>6551</v>
      </c>
      <c r="B563" s="106" t="s">
        <v>1316</v>
      </c>
      <c r="C563">
        <v>0.05</v>
      </c>
      <c r="D563">
        <v>0.05</v>
      </c>
      <c r="E563">
        <v>0.05</v>
      </c>
      <c r="F563">
        <v>0</v>
      </c>
      <c r="G563">
        <v>0</v>
      </c>
    </row>
    <row r="564" spans="1:7" x14ac:dyDescent="0.2">
      <c r="A564">
        <v>6586</v>
      </c>
      <c r="B564" s="106" t="s">
        <v>1317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">
      <c r="A565">
        <v>6588</v>
      </c>
      <c r="B565" s="106" t="s">
        <v>703</v>
      </c>
      <c r="C565">
        <v>0.1</v>
      </c>
      <c r="D565">
        <v>0.1</v>
      </c>
      <c r="E565">
        <v>0.05</v>
      </c>
      <c r="F565">
        <v>0.1</v>
      </c>
      <c r="G565">
        <v>0.3</v>
      </c>
    </row>
    <row r="566" spans="1:7" x14ac:dyDescent="0.2">
      <c r="A566">
        <v>6617</v>
      </c>
      <c r="B566" s="106" t="s">
        <v>2298</v>
      </c>
      <c r="C566">
        <v>0.05</v>
      </c>
      <c r="D566" t="s">
        <v>166</v>
      </c>
      <c r="E566">
        <v>0.05</v>
      </c>
      <c r="F566" t="s">
        <v>166</v>
      </c>
      <c r="G566">
        <v>0.15</v>
      </c>
    </row>
    <row r="567" spans="1:7" x14ac:dyDescent="0.2">
      <c r="A567">
        <v>6619</v>
      </c>
      <c r="B567" s="106" t="s">
        <v>2198</v>
      </c>
      <c r="C567">
        <v>0</v>
      </c>
      <c r="D567" s="106">
        <v>0</v>
      </c>
      <c r="E567">
        <v>0</v>
      </c>
      <c r="F567" s="106">
        <v>0</v>
      </c>
      <c r="G567" t="s">
        <v>166</v>
      </c>
    </row>
    <row r="568" spans="1:7" x14ac:dyDescent="0.2">
      <c r="A568">
        <v>6622</v>
      </c>
      <c r="B568" s="106" t="s">
        <v>1318</v>
      </c>
      <c r="C568">
        <v>0.1</v>
      </c>
      <c r="D568">
        <v>0.1</v>
      </c>
      <c r="E568">
        <v>0.1</v>
      </c>
      <c r="F568">
        <v>0.1</v>
      </c>
      <c r="G568">
        <v>0.3</v>
      </c>
    </row>
    <row r="569" spans="1:7" x14ac:dyDescent="0.2">
      <c r="A569">
        <v>6638</v>
      </c>
      <c r="B569" s="106" t="s">
        <v>2122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6640</v>
      </c>
      <c r="B570" s="106" t="s">
        <v>1319</v>
      </c>
      <c r="C570">
        <v>0.05</v>
      </c>
      <c r="D570">
        <v>0.05</v>
      </c>
      <c r="E570" s="106">
        <v>0.15</v>
      </c>
      <c r="F570" s="106">
        <v>0.1</v>
      </c>
      <c r="G570" s="106">
        <v>0.6</v>
      </c>
    </row>
    <row r="571" spans="1:7" x14ac:dyDescent="0.2">
      <c r="A571">
        <v>6641</v>
      </c>
      <c r="B571" s="106" t="s">
        <v>1320</v>
      </c>
      <c r="C571">
        <v>0.05</v>
      </c>
      <c r="D571">
        <v>0.05</v>
      </c>
      <c r="E571" s="106">
        <v>0.05</v>
      </c>
      <c r="F571" s="106">
        <v>0.05</v>
      </c>
      <c r="G571" s="106">
        <v>0.15</v>
      </c>
    </row>
    <row r="572" spans="1:7" x14ac:dyDescent="0.2">
      <c r="A572">
        <v>6645</v>
      </c>
      <c r="B572" s="106" t="s">
        <v>1321</v>
      </c>
      <c r="C572">
        <v>0.15</v>
      </c>
      <c r="D572">
        <v>0.15</v>
      </c>
      <c r="E572" s="106">
        <v>0.15</v>
      </c>
      <c r="F572">
        <v>0.15</v>
      </c>
      <c r="G572">
        <v>0.45</v>
      </c>
    </row>
    <row r="573" spans="1:7" x14ac:dyDescent="0.2">
      <c r="A573">
        <v>6652</v>
      </c>
      <c r="B573" s="106" t="s">
        <v>1322</v>
      </c>
      <c r="C573">
        <v>0.05</v>
      </c>
      <c r="D573">
        <v>0.05</v>
      </c>
      <c r="E573" s="106">
        <v>0.05</v>
      </c>
      <c r="F573">
        <v>0.05</v>
      </c>
      <c r="G573">
        <v>0.15</v>
      </c>
    </row>
    <row r="574" spans="1:7" x14ac:dyDescent="0.2">
      <c r="A574">
        <v>6653</v>
      </c>
      <c r="B574" s="106" t="s">
        <v>1323</v>
      </c>
      <c r="C574">
        <v>0</v>
      </c>
      <c r="D574" t="s">
        <v>166</v>
      </c>
      <c r="E574">
        <v>0</v>
      </c>
      <c r="F574">
        <v>0</v>
      </c>
      <c r="G574">
        <v>0</v>
      </c>
    </row>
    <row r="575" spans="1:7" x14ac:dyDescent="0.2">
      <c r="A575">
        <v>6654</v>
      </c>
      <c r="B575" s="106" t="s">
        <v>2299</v>
      </c>
      <c r="C575">
        <v>0</v>
      </c>
      <c r="D575" s="106" t="s">
        <v>166</v>
      </c>
      <c r="E575" s="106">
        <v>0</v>
      </c>
      <c r="F575" t="s">
        <v>166</v>
      </c>
      <c r="G575">
        <v>0</v>
      </c>
    </row>
    <row r="576" spans="1:7" x14ac:dyDescent="0.2">
      <c r="A576">
        <v>6674</v>
      </c>
      <c r="B576" s="106" t="s">
        <v>251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6676</v>
      </c>
      <c r="B577" s="106" t="s">
        <v>1324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6702</v>
      </c>
      <c r="B578" s="106" t="s">
        <v>253</v>
      </c>
      <c r="C578">
        <v>0.2</v>
      </c>
      <c r="D578">
        <v>0.2</v>
      </c>
      <c r="E578" s="106">
        <v>0.2</v>
      </c>
      <c r="F578">
        <v>0.2</v>
      </c>
      <c r="G578" s="106">
        <v>0.6</v>
      </c>
    </row>
    <row r="579" spans="1:7" x14ac:dyDescent="0.2">
      <c r="A579">
        <v>6704</v>
      </c>
      <c r="B579" s="106" t="s">
        <v>1325</v>
      </c>
      <c r="C579">
        <v>0</v>
      </c>
      <c r="D579">
        <v>0</v>
      </c>
      <c r="E579">
        <v>0</v>
      </c>
      <c r="F579" s="106">
        <v>0</v>
      </c>
      <c r="G579">
        <v>0.15</v>
      </c>
    </row>
    <row r="580" spans="1:7" x14ac:dyDescent="0.2">
      <c r="A580">
        <v>6706</v>
      </c>
      <c r="B580" s="106" t="s">
        <v>1326</v>
      </c>
      <c r="C580">
        <v>0</v>
      </c>
      <c r="D580">
        <v>0</v>
      </c>
      <c r="E580">
        <v>0</v>
      </c>
      <c r="F580">
        <v>0.05</v>
      </c>
      <c r="G580">
        <v>0</v>
      </c>
    </row>
    <row r="581" spans="1:7" x14ac:dyDescent="0.2">
      <c r="A581">
        <v>6715</v>
      </c>
      <c r="B581" s="106" t="s">
        <v>1327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6723</v>
      </c>
      <c r="B582" s="106" t="s">
        <v>1328</v>
      </c>
      <c r="C582">
        <v>0.05</v>
      </c>
      <c r="D582">
        <v>0.05</v>
      </c>
      <c r="E582">
        <v>0.05</v>
      </c>
      <c r="F582">
        <v>0.05</v>
      </c>
      <c r="G582">
        <v>0.15</v>
      </c>
    </row>
    <row r="583" spans="1:7" x14ac:dyDescent="0.2">
      <c r="A583">
        <v>6724</v>
      </c>
      <c r="B583" s="106" t="s">
        <v>1329</v>
      </c>
      <c r="C583">
        <v>0.05</v>
      </c>
      <c r="D583">
        <v>0.05</v>
      </c>
      <c r="E583">
        <v>0.05</v>
      </c>
      <c r="F583">
        <v>0.05</v>
      </c>
      <c r="G583">
        <v>0.15</v>
      </c>
    </row>
    <row r="584" spans="1:7" x14ac:dyDescent="0.2">
      <c r="A584">
        <v>6748</v>
      </c>
      <c r="B584" s="106" t="s">
        <v>1330</v>
      </c>
      <c r="C584">
        <v>0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6750</v>
      </c>
      <c r="B585" s="106" t="s">
        <v>1331</v>
      </c>
      <c r="C585">
        <v>0.05</v>
      </c>
      <c r="D585">
        <v>0.1</v>
      </c>
      <c r="E585" s="106">
        <v>0</v>
      </c>
      <c r="F585" s="106">
        <v>0</v>
      </c>
      <c r="G585" s="106">
        <v>0</v>
      </c>
    </row>
    <row r="586" spans="1:7" x14ac:dyDescent="0.2">
      <c r="A586">
        <v>6754</v>
      </c>
      <c r="B586" s="106" t="s">
        <v>1332</v>
      </c>
      <c r="C586">
        <v>0</v>
      </c>
      <c r="D586">
        <v>0.05</v>
      </c>
      <c r="E586">
        <v>0.05</v>
      </c>
      <c r="F586">
        <v>0</v>
      </c>
      <c r="G586">
        <v>0.15</v>
      </c>
    </row>
    <row r="587" spans="1:7" x14ac:dyDescent="0.2">
      <c r="A587">
        <v>6755</v>
      </c>
      <c r="B587" s="106" t="s">
        <v>893</v>
      </c>
      <c r="C587">
        <v>0.05</v>
      </c>
      <c r="D587">
        <v>0.05</v>
      </c>
      <c r="E587">
        <v>0.05</v>
      </c>
      <c r="F587">
        <v>0.05</v>
      </c>
      <c r="G587">
        <v>0.15</v>
      </c>
    </row>
    <row r="588" spans="1:7" x14ac:dyDescent="0.2">
      <c r="A588">
        <v>6762</v>
      </c>
      <c r="B588" s="106" t="s">
        <v>1333</v>
      </c>
      <c r="C588">
        <v>0.2</v>
      </c>
      <c r="D588">
        <v>0.2</v>
      </c>
      <c r="E588">
        <v>0.2</v>
      </c>
      <c r="F588">
        <v>0.2</v>
      </c>
      <c r="G588">
        <v>0.6</v>
      </c>
    </row>
    <row r="589" spans="1:7" x14ac:dyDescent="0.2">
      <c r="A589">
        <v>6763</v>
      </c>
      <c r="B589" s="106" t="s">
        <v>1334</v>
      </c>
      <c r="C589">
        <v>0.05</v>
      </c>
      <c r="D589">
        <v>0.05</v>
      </c>
      <c r="E589">
        <v>0.05</v>
      </c>
      <c r="F589">
        <v>0.05</v>
      </c>
      <c r="G589">
        <v>0.15</v>
      </c>
    </row>
    <row r="590" spans="1:7" x14ac:dyDescent="0.2">
      <c r="A590">
        <v>6770</v>
      </c>
      <c r="B590" s="106" t="s">
        <v>25</v>
      </c>
      <c r="C590">
        <v>0.05</v>
      </c>
      <c r="D590" s="106">
        <v>0.05</v>
      </c>
      <c r="E590">
        <v>0.05</v>
      </c>
      <c r="F590">
        <v>0.05</v>
      </c>
      <c r="G590">
        <v>0.15</v>
      </c>
    </row>
    <row r="591" spans="1:7" x14ac:dyDescent="0.2">
      <c r="A591">
        <v>6785</v>
      </c>
      <c r="B591" s="106" t="s">
        <v>1335</v>
      </c>
      <c r="C591">
        <v>0.05</v>
      </c>
      <c r="D591" s="106">
        <v>0</v>
      </c>
      <c r="E591">
        <v>0.05</v>
      </c>
      <c r="F591">
        <v>0</v>
      </c>
      <c r="G591">
        <v>0.15</v>
      </c>
    </row>
    <row r="592" spans="1:7" x14ac:dyDescent="0.2">
      <c r="A592">
        <v>6789</v>
      </c>
      <c r="B592" s="106" t="s">
        <v>2300</v>
      </c>
      <c r="C592">
        <v>0.05</v>
      </c>
      <c r="D592">
        <v>0</v>
      </c>
      <c r="E592">
        <v>0</v>
      </c>
      <c r="F592" t="s">
        <v>166</v>
      </c>
      <c r="G592" t="s">
        <v>166</v>
      </c>
    </row>
    <row r="593" spans="1:7" x14ac:dyDescent="0.2">
      <c r="A593">
        <v>6794</v>
      </c>
      <c r="B593" s="106" t="s">
        <v>1336</v>
      </c>
      <c r="C593">
        <v>0.05</v>
      </c>
      <c r="D593">
        <v>0.05</v>
      </c>
      <c r="E593">
        <v>0.05</v>
      </c>
      <c r="F593">
        <v>0.05</v>
      </c>
      <c r="G593">
        <v>0.15</v>
      </c>
    </row>
    <row r="594" spans="1:7" x14ac:dyDescent="0.2">
      <c r="A594">
        <v>6798</v>
      </c>
      <c r="B594" s="106" t="s">
        <v>1337</v>
      </c>
      <c r="C594">
        <v>0.05</v>
      </c>
      <c r="D594">
        <v>0.05</v>
      </c>
      <c r="E594">
        <v>0.05</v>
      </c>
      <c r="F594">
        <v>0.05</v>
      </c>
      <c r="G594">
        <v>0.15</v>
      </c>
    </row>
    <row r="595" spans="1:7" x14ac:dyDescent="0.2">
      <c r="A595">
        <v>6804</v>
      </c>
      <c r="B595" s="106" t="s">
        <v>1338</v>
      </c>
      <c r="C595">
        <v>0.05</v>
      </c>
      <c r="D595">
        <v>0.05</v>
      </c>
      <c r="E595">
        <v>0.05</v>
      </c>
      <c r="F595" s="106">
        <v>0.05</v>
      </c>
      <c r="G595">
        <v>0.15</v>
      </c>
    </row>
    <row r="596" spans="1:7" x14ac:dyDescent="0.2">
      <c r="A596">
        <v>6806</v>
      </c>
      <c r="B596" s="106" t="s">
        <v>1339</v>
      </c>
      <c r="C596">
        <v>0.25</v>
      </c>
      <c r="D596">
        <v>0.25</v>
      </c>
      <c r="E596">
        <v>0.25</v>
      </c>
      <c r="F596">
        <v>0.25</v>
      </c>
      <c r="G596">
        <v>0.75</v>
      </c>
    </row>
    <row r="597" spans="1:7" x14ac:dyDescent="0.2">
      <c r="A597">
        <v>6807</v>
      </c>
      <c r="B597" s="106" t="s">
        <v>256</v>
      </c>
      <c r="C597">
        <v>0.05</v>
      </c>
      <c r="D597">
        <v>0.05</v>
      </c>
      <c r="E597">
        <v>0.05</v>
      </c>
      <c r="F597">
        <v>0.05</v>
      </c>
      <c r="G597">
        <v>0.15</v>
      </c>
    </row>
    <row r="598" spans="1:7" x14ac:dyDescent="0.2">
      <c r="A598">
        <v>6814</v>
      </c>
      <c r="B598" s="106" t="s">
        <v>1340</v>
      </c>
      <c r="C598">
        <v>0.05</v>
      </c>
      <c r="D598">
        <v>0</v>
      </c>
      <c r="E598" s="106">
        <v>0.05</v>
      </c>
      <c r="F598" s="106">
        <v>0.05</v>
      </c>
      <c r="G598" s="106">
        <v>0.15</v>
      </c>
    </row>
    <row r="599" spans="1:7" x14ac:dyDescent="0.2">
      <c r="A599">
        <v>6817</v>
      </c>
      <c r="B599" s="106" t="s">
        <v>1341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6823</v>
      </c>
      <c r="B600" s="106" t="s">
        <v>1342</v>
      </c>
      <c r="C600">
        <v>0.05</v>
      </c>
      <c r="D600">
        <v>0.05</v>
      </c>
      <c r="E600">
        <v>0.05</v>
      </c>
      <c r="F600">
        <v>0.05</v>
      </c>
      <c r="G600">
        <v>0.15</v>
      </c>
    </row>
    <row r="601" spans="1:7" x14ac:dyDescent="0.2">
      <c r="A601">
        <v>6839</v>
      </c>
      <c r="B601" s="106" t="s">
        <v>1343</v>
      </c>
      <c r="C601">
        <v>0.05</v>
      </c>
      <c r="D601">
        <v>0.05</v>
      </c>
      <c r="E601">
        <v>0.05</v>
      </c>
      <c r="F601">
        <v>0.05</v>
      </c>
      <c r="G601">
        <v>0.15</v>
      </c>
    </row>
    <row r="602" spans="1:7" x14ac:dyDescent="0.2">
      <c r="A602">
        <v>6845</v>
      </c>
      <c r="B602" s="106" t="s">
        <v>234</v>
      </c>
      <c r="C602">
        <v>0</v>
      </c>
      <c r="D602" s="106">
        <v>0</v>
      </c>
      <c r="E602">
        <v>0.1</v>
      </c>
      <c r="F602" s="106">
        <v>0.05</v>
      </c>
      <c r="G602">
        <v>0.15</v>
      </c>
    </row>
    <row r="603" spans="1:7" x14ac:dyDescent="0.2">
      <c r="A603">
        <v>6848</v>
      </c>
      <c r="B603" s="106" t="s">
        <v>1344</v>
      </c>
      <c r="C603">
        <v>0.05</v>
      </c>
      <c r="D603" s="106">
        <v>0.05</v>
      </c>
      <c r="E603" s="106">
        <v>0.05</v>
      </c>
      <c r="F603" s="106">
        <v>0.05</v>
      </c>
      <c r="G603" s="106">
        <v>0.15</v>
      </c>
    </row>
    <row r="604" spans="1:7" x14ac:dyDescent="0.2">
      <c r="A604">
        <v>6850</v>
      </c>
      <c r="B604" s="106" t="s">
        <v>2123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6853</v>
      </c>
      <c r="B605" s="106" t="s">
        <v>2301</v>
      </c>
      <c r="C605">
        <v>0</v>
      </c>
      <c r="D605">
        <v>0</v>
      </c>
      <c r="E605">
        <v>0</v>
      </c>
      <c r="F605" t="s">
        <v>166</v>
      </c>
      <c r="G605">
        <v>0.15</v>
      </c>
    </row>
    <row r="606" spans="1:7" x14ac:dyDescent="0.2">
      <c r="A606">
        <v>6856</v>
      </c>
      <c r="B606" s="106" t="s">
        <v>252</v>
      </c>
      <c r="C606">
        <v>0.15</v>
      </c>
      <c r="D606">
        <v>0.15</v>
      </c>
      <c r="E606">
        <v>0.15</v>
      </c>
      <c r="F606">
        <v>0.15</v>
      </c>
      <c r="G606">
        <v>0.45</v>
      </c>
    </row>
    <row r="607" spans="1:7" x14ac:dyDescent="0.2">
      <c r="A607">
        <v>6857</v>
      </c>
      <c r="B607" s="106" t="s">
        <v>1345</v>
      </c>
      <c r="C607">
        <v>0.15</v>
      </c>
      <c r="D607">
        <v>0.1</v>
      </c>
      <c r="E607" s="106">
        <v>0.1</v>
      </c>
      <c r="F607" s="106">
        <v>0.1</v>
      </c>
      <c r="G607">
        <v>0.3</v>
      </c>
    </row>
    <row r="608" spans="1:7" x14ac:dyDescent="0.2">
      <c r="A608">
        <v>6861</v>
      </c>
      <c r="B608" s="106" t="s">
        <v>1346</v>
      </c>
      <c r="C608">
        <v>0.65</v>
      </c>
      <c r="D608">
        <v>0.65</v>
      </c>
      <c r="E608" s="106">
        <v>0.65</v>
      </c>
      <c r="F608" s="106">
        <v>0.65</v>
      </c>
      <c r="G608" s="106">
        <v>1.95</v>
      </c>
    </row>
    <row r="609" spans="1:7" x14ac:dyDescent="0.2">
      <c r="A609">
        <v>6871</v>
      </c>
      <c r="B609" s="106" t="s">
        <v>1347</v>
      </c>
      <c r="C609">
        <v>0.05</v>
      </c>
      <c r="D609">
        <v>0.05</v>
      </c>
      <c r="E609">
        <v>0.05</v>
      </c>
      <c r="F609">
        <v>0.05</v>
      </c>
      <c r="G609">
        <v>0.15</v>
      </c>
    </row>
    <row r="610" spans="1:7" x14ac:dyDescent="0.2">
      <c r="A610">
        <v>6875</v>
      </c>
      <c r="B610" s="106" t="s">
        <v>1348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6879</v>
      </c>
      <c r="B611" s="106" t="s">
        <v>1349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6902</v>
      </c>
      <c r="B612" s="106" t="s">
        <v>1350</v>
      </c>
      <c r="C612">
        <v>0</v>
      </c>
      <c r="D612">
        <v>0</v>
      </c>
      <c r="E612">
        <v>0</v>
      </c>
      <c r="F612">
        <v>0</v>
      </c>
      <c r="G612">
        <v>0.3</v>
      </c>
    </row>
    <row r="613" spans="1:7" x14ac:dyDescent="0.2">
      <c r="A613">
        <v>6908</v>
      </c>
      <c r="B613" s="106" t="s">
        <v>2561</v>
      </c>
      <c r="C613">
        <v>0</v>
      </c>
      <c r="D613">
        <v>0</v>
      </c>
      <c r="E613" t="s">
        <v>166</v>
      </c>
      <c r="F613">
        <v>0</v>
      </c>
      <c r="G613">
        <v>0</v>
      </c>
    </row>
    <row r="614" spans="1:7" x14ac:dyDescent="0.2">
      <c r="A614">
        <v>6915</v>
      </c>
      <c r="B614" s="106" t="s">
        <v>1351</v>
      </c>
      <c r="C614">
        <v>0.05</v>
      </c>
      <c r="D614">
        <v>0.05</v>
      </c>
      <c r="E614">
        <v>0.05</v>
      </c>
      <c r="F614">
        <v>0.05</v>
      </c>
      <c r="G614">
        <v>0</v>
      </c>
    </row>
    <row r="615" spans="1:7" x14ac:dyDescent="0.2">
      <c r="A615">
        <v>6916</v>
      </c>
      <c r="B615" s="106" t="s">
        <v>1352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6923</v>
      </c>
      <c r="B616" s="106" t="s">
        <v>64</v>
      </c>
      <c r="C616">
        <v>0.05</v>
      </c>
      <c r="D616">
        <v>0.05</v>
      </c>
      <c r="E616">
        <v>0.05</v>
      </c>
      <c r="F616">
        <v>0.05</v>
      </c>
      <c r="G616">
        <v>0.15</v>
      </c>
    </row>
    <row r="617" spans="1:7" x14ac:dyDescent="0.2">
      <c r="A617">
        <v>6926</v>
      </c>
      <c r="B617" s="106" t="s">
        <v>1353</v>
      </c>
      <c r="C617">
        <v>0.05</v>
      </c>
      <c r="D617">
        <v>0.05</v>
      </c>
      <c r="E617">
        <v>0.05</v>
      </c>
      <c r="F617">
        <v>0.05</v>
      </c>
      <c r="G617">
        <v>0.15</v>
      </c>
    </row>
    <row r="618" spans="1:7" x14ac:dyDescent="0.2">
      <c r="A618">
        <v>6941</v>
      </c>
      <c r="B618" s="106" t="s">
        <v>1354</v>
      </c>
      <c r="C618">
        <v>0.05</v>
      </c>
      <c r="D618" s="106">
        <v>0.05</v>
      </c>
      <c r="E618">
        <v>0.05</v>
      </c>
      <c r="F618" s="106">
        <v>0.05</v>
      </c>
      <c r="G618" s="106">
        <v>0.15</v>
      </c>
    </row>
    <row r="619" spans="1:7" x14ac:dyDescent="0.2">
      <c r="A619">
        <v>6947</v>
      </c>
      <c r="B619" s="106" t="s">
        <v>1355</v>
      </c>
      <c r="C619">
        <v>0.05</v>
      </c>
      <c r="D619">
        <v>0.05</v>
      </c>
      <c r="E619">
        <v>0.05</v>
      </c>
      <c r="F619">
        <v>0.05</v>
      </c>
      <c r="G619">
        <v>0.15</v>
      </c>
    </row>
    <row r="620" spans="1:7" x14ac:dyDescent="0.2">
      <c r="A620">
        <v>6951</v>
      </c>
      <c r="B620" s="106" t="s">
        <v>244</v>
      </c>
      <c r="C620">
        <v>0.05</v>
      </c>
      <c r="D620">
        <v>0.1</v>
      </c>
      <c r="E620">
        <v>0.1</v>
      </c>
      <c r="F620">
        <v>0.1</v>
      </c>
      <c r="G620">
        <v>0.3</v>
      </c>
    </row>
    <row r="621" spans="1:7" x14ac:dyDescent="0.2">
      <c r="A621">
        <v>6952</v>
      </c>
      <c r="B621" s="106" t="s">
        <v>705</v>
      </c>
      <c r="C621">
        <v>0.05</v>
      </c>
      <c r="D621" s="106">
        <v>0.05</v>
      </c>
      <c r="E621">
        <v>0.05</v>
      </c>
      <c r="F621">
        <v>0.05</v>
      </c>
      <c r="G621">
        <v>0.15</v>
      </c>
    </row>
    <row r="622" spans="1:7" x14ac:dyDescent="0.2">
      <c r="A622">
        <v>6958</v>
      </c>
      <c r="B622" s="106" t="s">
        <v>1356</v>
      </c>
      <c r="C622">
        <v>0.05</v>
      </c>
      <c r="D622">
        <v>0.05</v>
      </c>
      <c r="E622">
        <v>0.05</v>
      </c>
      <c r="F622">
        <v>0.05</v>
      </c>
      <c r="G622">
        <v>0.15</v>
      </c>
    </row>
    <row r="623" spans="1:7" x14ac:dyDescent="0.2">
      <c r="A623">
        <v>6961</v>
      </c>
      <c r="B623" s="106" t="s">
        <v>1357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6962</v>
      </c>
      <c r="B624" s="106" t="s">
        <v>1358</v>
      </c>
      <c r="C624">
        <v>0.5</v>
      </c>
      <c r="D624">
        <v>0.5</v>
      </c>
      <c r="E624">
        <v>0.5</v>
      </c>
      <c r="F624">
        <v>0.5</v>
      </c>
      <c r="G624">
        <v>1.5</v>
      </c>
    </row>
    <row r="625" spans="1:7" x14ac:dyDescent="0.2">
      <c r="A625">
        <v>6965</v>
      </c>
      <c r="B625" s="106" t="s">
        <v>708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6966</v>
      </c>
      <c r="B626" s="106" t="s">
        <v>2302</v>
      </c>
      <c r="C626">
        <v>0</v>
      </c>
      <c r="D626">
        <v>0</v>
      </c>
      <c r="E626">
        <v>0</v>
      </c>
      <c r="F626" s="106" t="s">
        <v>166</v>
      </c>
      <c r="G626" s="106" t="s">
        <v>166</v>
      </c>
    </row>
    <row r="627" spans="1:7" x14ac:dyDescent="0.2">
      <c r="A627">
        <v>6967</v>
      </c>
      <c r="B627" s="106" t="s">
        <v>1359</v>
      </c>
      <c r="C627">
        <v>0.05</v>
      </c>
      <c r="D627">
        <v>0.05</v>
      </c>
      <c r="E627">
        <v>0.05</v>
      </c>
      <c r="F627">
        <v>0.05</v>
      </c>
      <c r="G627">
        <v>0.15</v>
      </c>
    </row>
    <row r="628" spans="1:7" x14ac:dyDescent="0.2">
      <c r="A628">
        <v>6971</v>
      </c>
      <c r="B628" s="106" t="s">
        <v>1360</v>
      </c>
      <c r="C628">
        <v>0.15</v>
      </c>
      <c r="D628">
        <v>0.15</v>
      </c>
      <c r="E628">
        <v>0.15</v>
      </c>
      <c r="F628">
        <v>0.15</v>
      </c>
      <c r="G628">
        <v>0.45</v>
      </c>
    </row>
    <row r="629" spans="1:7" x14ac:dyDescent="0.2">
      <c r="A629">
        <v>6976</v>
      </c>
      <c r="B629" s="106" t="s">
        <v>1361</v>
      </c>
      <c r="C629">
        <v>0.55000000000000004</v>
      </c>
      <c r="D629">
        <v>0.1</v>
      </c>
      <c r="E629">
        <v>0.1</v>
      </c>
      <c r="F629">
        <v>0.1</v>
      </c>
      <c r="G629">
        <v>0.3</v>
      </c>
    </row>
    <row r="630" spans="1:7" x14ac:dyDescent="0.2">
      <c r="A630">
        <v>6981</v>
      </c>
      <c r="B630" s="106" t="s">
        <v>2124</v>
      </c>
      <c r="C630">
        <v>0</v>
      </c>
      <c r="D630" s="106" t="s">
        <v>166</v>
      </c>
      <c r="E630">
        <v>0</v>
      </c>
      <c r="F630">
        <v>0</v>
      </c>
      <c r="G630">
        <v>0</v>
      </c>
    </row>
    <row r="631" spans="1:7" x14ac:dyDescent="0.2">
      <c r="A631">
        <v>6988</v>
      </c>
      <c r="B631" s="106" t="s">
        <v>73</v>
      </c>
      <c r="C631">
        <v>0.1</v>
      </c>
      <c r="D631" s="106">
        <v>0.1</v>
      </c>
      <c r="E631" s="106">
        <v>0.1</v>
      </c>
      <c r="F631" s="106">
        <v>0.1</v>
      </c>
      <c r="G631" s="106">
        <v>0.3</v>
      </c>
    </row>
    <row r="632" spans="1:7" x14ac:dyDescent="0.2">
      <c r="A632">
        <v>6989</v>
      </c>
      <c r="B632" s="106" t="s">
        <v>1362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6995</v>
      </c>
      <c r="B633" s="106" t="s">
        <v>53</v>
      </c>
      <c r="C633">
        <v>0.05</v>
      </c>
      <c r="D633">
        <v>0.05</v>
      </c>
      <c r="E633" s="106">
        <v>0.05</v>
      </c>
      <c r="F633">
        <v>0.05</v>
      </c>
      <c r="G633" s="106">
        <v>0.15</v>
      </c>
    </row>
    <row r="634" spans="1:7" x14ac:dyDescent="0.2">
      <c r="A634">
        <v>6997</v>
      </c>
      <c r="B634" s="106" t="s">
        <v>2303</v>
      </c>
      <c r="C634">
        <v>0</v>
      </c>
      <c r="D634">
        <v>0</v>
      </c>
      <c r="E634">
        <v>0</v>
      </c>
      <c r="F634" t="s">
        <v>166</v>
      </c>
      <c r="G634" t="s">
        <v>166</v>
      </c>
    </row>
    <row r="635" spans="1:7" x14ac:dyDescent="0.2">
      <c r="A635">
        <v>7003</v>
      </c>
      <c r="B635" s="106" t="s">
        <v>1363</v>
      </c>
      <c r="C635">
        <v>0.05</v>
      </c>
      <c r="D635">
        <v>0.05</v>
      </c>
      <c r="E635">
        <v>0.05</v>
      </c>
      <c r="F635">
        <v>0.05</v>
      </c>
      <c r="G635">
        <v>0.15</v>
      </c>
    </row>
    <row r="636" spans="1:7" x14ac:dyDescent="0.2">
      <c r="A636">
        <v>7011</v>
      </c>
      <c r="B636" s="106" t="s">
        <v>2562</v>
      </c>
      <c r="C636">
        <v>0</v>
      </c>
      <c r="D636" s="106" t="s">
        <v>166</v>
      </c>
      <c r="E636" s="106" t="s">
        <v>166</v>
      </c>
      <c r="F636" s="106" t="s">
        <v>166</v>
      </c>
      <c r="G636" s="106" t="s">
        <v>166</v>
      </c>
    </row>
    <row r="637" spans="1:7" x14ac:dyDescent="0.2">
      <c r="A637">
        <v>7012</v>
      </c>
      <c r="B637" s="106" t="s">
        <v>1364</v>
      </c>
      <c r="C637">
        <v>0</v>
      </c>
      <c r="D637" s="106" t="s">
        <v>166</v>
      </c>
      <c r="E637" s="106">
        <v>0</v>
      </c>
      <c r="F637" s="106">
        <v>0.05</v>
      </c>
      <c r="G637" s="106">
        <v>0.15</v>
      </c>
    </row>
    <row r="638" spans="1:7" x14ac:dyDescent="0.2">
      <c r="A638">
        <v>7014</v>
      </c>
      <c r="B638" s="106" t="s">
        <v>1365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7030</v>
      </c>
      <c r="B639" s="106" t="s">
        <v>1366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7102</v>
      </c>
      <c r="B640" s="106" t="s">
        <v>1367</v>
      </c>
      <c r="C640">
        <v>0.1</v>
      </c>
      <c r="D640">
        <v>0.1</v>
      </c>
      <c r="E640">
        <v>0.1</v>
      </c>
      <c r="F640">
        <v>0.05</v>
      </c>
      <c r="G640">
        <v>0.15</v>
      </c>
    </row>
    <row r="641" spans="1:7" x14ac:dyDescent="0.2">
      <c r="A641">
        <v>7105</v>
      </c>
      <c r="B641" s="106" t="s">
        <v>1368</v>
      </c>
      <c r="C641">
        <v>0.05</v>
      </c>
      <c r="D641">
        <v>0.05</v>
      </c>
      <c r="E641">
        <v>0.25</v>
      </c>
      <c r="F641">
        <v>0.05</v>
      </c>
      <c r="G641">
        <v>0.15</v>
      </c>
    </row>
    <row r="642" spans="1:7" x14ac:dyDescent="0.2">
      <c r="A642">
        <v>7150</v>
      </c>
      <c r="B642" s="106" t="s">
        <v>1369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7164</v>
      </c>
      <c r="B643" s="106" t="s">
        <v>1370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7173</v>
      </c>
      <c r="B644" s="106" t="s">
        <v>1371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7180</v>
      </c>
      <c r="B645" s="106" t="s">
        <v>2304</v>
      </c>
      <c r="C645">
        <v>0</v>
      </c>
      <c r="D645" s="106">
        <v>0.05</v>
      </c>
      <c r="E645">
        <v>0</v>
      </c>
      <c r="F645" t="s">
        <v>166</v>
      </c>
      <c r="G645">
        <v>0</v>
      </c>
    </row>
    <row r="646" spans="1:7" x14ac:dyDescent="0.2">
      <c r="A646">
        <v>7181</v>
      </c>
      <c r="B646" s="106" t="s">
        <v>72</v>
      </c>
      <c r="C646">
        <v>0.05</v>
      </c>
      <c r="D646" s="106">
        <v>0.05</v>
      </c>
      <c r="E646">
        <v>0.05</v>
      </c>
      <c r="F646">
        <v>0.05</v>
      </c>
      <c r="G646">
        <v>0.15</v>
      </c>
    </row>
    <row r="647" spans="1:7" x14ac:dyDescent="0.2">
      <c r="A647">
        <v>7184</v>
      </c>
      <c r="B647" s="106" t="s">
        <v>1372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7186</v>
      </c>
      <c r="B648" s="106" t="s">
        <v>911</v>
      </c>
      <c r="C648">
        <v>0.05</v>
      </c>
      <c r="D648">
        <v>0.05</v>
      </c>
      <c r="E648">
        <v>0.05</v>
      </c>
      <c r="F648">
        <v>0</v>
      </c>
      <c r="G648">
        <v>0.15</v>
      </c>
    </row>
    <row r="649" spans="1:7" x14ac:dyDescent="0.2">
      <c r="A649">
        <v>7187</v>
      </c>
      <c r="B649" s="106" t="s">
        <v>2305</v>
      </c>
      <c r="C649">
        <v>0</v>
      </c>
      <c r="D649">
        <v>0</v>
      </c>
      <c r="E649">
        <v>0</v>
      </c>
      <c r="F649" t="s">
        <v>166</v>
      </c>
      <c r="G649">
        <v>0</v>
      </c>
    </row>
    <row r="650" spans="1:7" x14ac:dyDescent="0.2">
      <c r="A650">
        <v>7189</v>
      </c>
      <c r="B650" s="106" t="s">
        <v>47</v>
      </c>
      <c r="C650">
        <v>0.05</v>
      </c>
      <c r="D650">
        <v>0.05</v>
      </c>
      <c r="E650">
        <v>0.05</v>
      </c>
      <c r="F650">
        <v>0.05</v>
      </c>
      <c r="G650">
        <v>0.15</v>
      </c>
    </row>
    <row r="651" spans="1:7" x14ac:dyDescent="0.2">
      <c r="A651">
        <v>7190</v>
      </c>
      <c r="B651" s="106" t="s">
        <v>1373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7191</v>
      </c>
      <c r="B652" s="106" t="s">
        <v>2563</v>
      </c>
      <c r="C652">
        <v>0</v>
      </c>
      <c r="D652" t="s">
        <v>166</v>
      </c>
      <c r="E652" t="s">
        <v>166</v>
      </c>
      <c r="F652" t="s">
        <v>166</v>
      </c>
      <c r="G652">
        <v>0</v>
      </c>
    </row>
    <row r="653" spans="1:7" x14ac:dyDescent="0.2">
      <c r="A653">
        <v>7202</v>
      </c>
      <c r="B653" s="106" t="s">
        <v>1374</v>
      </c>
      <c r="C653">
        <v>0.05</v>
      </c>
      <c r="D653">
        <v>0.05</v>
      </c>
      <c r="E653">
        <v>0.05</v>
      </c>
      <c r="F653">
        <v>0</v>
      </c>
      <c r="G653">
        <v>0.15</v>
      </c>
    </row>
    <row r="654" spans="1:7" x14ac:dyDescent="0.2">
      <c r="A654">
        <v>7203</v>
      </c>
      <c r="B654" s="106" t="s">
        <v>250</v>
      </c>
      <c r="C654">
        <v>0.15</v>
      </c>
      <c r="D654">
        <v>0.15</v>
      </c>
      <c r="E654">
        <v>0.15</v>
      </c>
      <c r="F654">
        <v>0.15</v>
      </c>
      <c r="G654" s="106">
        <v>0.45</v>
      </c>
    </row>
    <row r="655" spans="1:7" x14ac:dyDescent="0.2">
      <c r="A655">
        <v>7205</v>
      </c>
      <c r="B655" s="106" t="s">
        <v>66</v>
      </c>
      <c r="C655">
        <v>0.05</v>
      </c>
      <c r="D655">
        <v>0.05</v>
      </c>
      <c r="E655" s="106">
        <v>0.05</v>
      </c>
      <c r="F655">
        <v>0.05</v>
      </c>
      <c r="G655">
        <v>0.15</v>
      </c>
    </row>
    <row r="656" spans="1:7" x14ac:dyDescent="0.2">
      <c r="A656">
        <v>7212</v>
      </c>
      <c r="B656" s="106" t="s">
        <v>2125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7220</v>
      </c>
      <c r="B657" s="106" t="s">
        <v>1375</v>
      </c>
      <c r="C657">
        <v>0.05</v>
      </c>
      <c r="D657">
        <v>0.05</v>
      </c>
      <c r="E657">
        <v>0.05</v>
      </c>
      <c r="F657">
        <v>0.05</v>
      </c>
      <c r="G657">
        <v>0.15</v>
      </c>
    </row>
    <row r="658" spans="1:7" x14ac:dyDescent="0.2">
      <c r="A658">
        <v>7222</v>
      </c>
      <c r="B658" s="106" t="s">
        <v>1376</v>
      </c>
      <c r="C658">
        <v>0.05</v>
      </c>
      <c r="D658">
        <v>0.05</v>
      </c>
      <c r="E658">
        <v>0.05</v>
      </c>
      <c r="F658">
        <v>0.05</v>
      </c>
      <c r="G658">
        <v>0.15</v>
      </c>
    </row>
    <row r="659" spans="1:7" x14ac:dyDescent="0.2">
      <c r="A659">
        <v>7224</v>
      </c>
      <c r="B659" s="106" t="s">
        <v>1377</v>
      </c>
      <c r="C659">
        <v>0.05</v>
      </c>
      <c r="D659">
        <v>0.05</v>
      </c>
      <c r="E659">
        <v>0.05</v>
      </c>
      <c r="F659">
        <v>0.05</v>
      </c>
      <c r="G659">
        <v>0</v>
      </c>
    </row>
    <row r="660" spans="1:7" x14ac:dyDescent="0.2">
      <c r="A660">
        <v>7226</v>
      </c>
      <c r="B660" s="106" t="s">
        <v>1378</v>
      </c>
      <c r="C660">
        <v>0</v>
      </c>
      <c r="D660" s="106" t="s">
        <v>166</v>
      </c>
      <c r="E660">
        <v>0</v>
      </c>
      <c r="F660" s="106">
        <v>0</v>
      </c>
      <c r="G660">
        <v>0</v>
      </c>
    </row>
    <row r="661" spans="1:7" x14ac:dyDescent="0.2">
      <c r="A661">
        <v>7231</v>
      </c>
      <c r="B661" s="106" t="s">
        <v>1379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7236</v>
      </c>
      <c r="B662" s="106" t="s">
        <v>1380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7239</v>
      </c>
      <c r="B663" s="106" t="s">
        <v>1381</v>
      </c>
      <c r="C663">
        <v>0.05</v>
      </c>
      <c r="D663">
        <v>0.05</v>
      </c>
      <c r="E663">
        <v>0.05</v>
      </c>
      <c r="F663">
        <v>0.05</v>
      </c>
      <c r="G663">
        <v>0.15</v>
      </c>
    </row>
    <row r="664" spans="1:7" x14ac:dyDescent="0.2">
      <c r="A664">
        <v>7240</v>
      </c>
      <c r="B664" s="106" t="s">
        <v>1382</v>
      </c>
      <c r="C664">
        <v>0.05</v>
      </c>
      <c r="D664">
        <v>0.05</v>
      </c>
      <c r="E664">
        <v>0.05</v>
      </c>
      <c r="F664">
        <v>0.05</v>
      </c>
      <c r="G664">
        <v>0.15</v>
      </c>
    </row>
    <row r="665" spans="1:7" x14ac:dyDescent="0.2">
      <c r="A665">
        <v>7244</v>
      </c>
      <c r="B665" s="106" t="s">
        <v>1383</v>
      </c>
      <c r="C665">
        <v>0</v>
      </c>
      <c r="D665" s="106" t="s">
        <v>166</v>
      </c>
      <c r="E665">
        <v>0</v>
      </c>
      <c r="F665" s="106">
        <v>0.05</v>
      </c>
      <c r="G665" s="106">
        <v>0.15</v>
      </c>
    </row>
    <row r="666" spans="1:7" x14ac:dyDescent="0.2">
      <c r="A666">
        <v>7261</v>
      </c>
      <c r="B666" s="106" t="s">
        <v>925</v>
      </c>
      <c r="C666">
        <v>0</v>
      </c>
      <c r="D666" s="106" t="s">
        <v>166</v>
      </c>
      <c r="E666" s="106">
        <v>0</v>
      </c>
      <c r="F666" s="106">
        <v>0</v>
      </c>
      <c r="G666" s="106">
        <v>0</v>
      </c>
    </row>
    <row r="667" spans="1:7" x14ac:dyDescent="0.2">
      <c r="A667">
        <v>7277</v>
      </c>
      <c r="B667" s="106" t="s">
        <v>1384</v>
      </c>
      <c r="C667">
        <v>0.05</v>
      </c>
      <c r="D667">
        <v>0.05</v>
      </c>
      <c r="E667" s="106">
        <v>0.05</v>
      </c>
      <c r="F667">
        <v>0.05</v>
      </c>
      <c r="G667" s="106">
        <v>0.15</v>
      </c>
    </row>
    <row r="668" spans="1:7" x14ac:dyDescent="0.2">
      <c r="A668">
        <v>7278</v>
      </c>
      <c r="B668" s="106" t="s">
        <v>48</v>
      </c>
      <c r="C668">
        <v>0</v>
      </c>
      <c r="D668">
        <v>0.05</v>
      </c>
      <c r="E668">
        <v>0</v>
      </c>
      <c r="F668">
        <v>0.05</v>
      </c>
      <c r="G668">
        <v>0.15</v>
      </c>
    </row>
    <row r="669" spans="1:7" x14ac:dyDescent="0.2">
      <c r="A669">
        <v>7280</v>
      </c>
      <c r="B669" s="106" t="s">
        <v>1385</v>
      </c>
      <c r="C669">
        <v>0.05</v>
      </c>
      <c r="D669">
        <v>0.05</v>
      </c>
      <c r="E669">
        <v>0.05</v>
      </c>
      <c r="F669">
        <v>0.05</v>
      </c>
      <c r="G669">
        <v>0.15</v>
      </c>
    </row>
    <row r="670" spans="1:7" x14ac:dyDescent="0.2">
      <c r="A670">
        <v>7282</v>
      </c>
      <c r="B670" s="106" t="s">
        <v>701</v>
      </c>
      <c r="C670">
        <v>0.05</v>
      </c>
      <c r="D670">
        <v>0.05</v>
      </c>
      <c r="E670">
        <v>0.05</v>
      </c>
      <c r="F670">
        <v>0.05</v>
      </c>
      <c r="G670">
        <v>0.15</v>
      </c>
    </row>
    <row r="671" spans="1:7" x14ac:dyDescent="0.2">
      <c r="A671">
        <v>7283</v>
      </c>
      <c r="B671" s="106" t="s">
        <v>1386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7294</v>
      </c>
      <c r="B672" s="106" t="s">
        <v>2126</v>
      </c>
      <c r="C672">
        <v>0.05</v>
      </c>
      <c r="D672">
        <v>0.05</v>
      </c>
      <c r="E672">
        <v>0.05</v>
      </c>
      <c r="F672">
        <v>0.05</v>
      </c>
      <c r="G672">
        <v>0.15</v>
      </c>
    </row>
    <row r="673" spans="1:7" x14ac:dyDescent="0.2">
      <c r="A673">
        <v>7296</v>
      </c>
      <c r="B673" s="106" t="s">
        <v>1387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7309</v>
      </c>
      <c r="B674" s="106" t="s">
        <v>1388</v>
      </c>
      <c r="C674">
        <v>0.3</v>
      </c>
      <c r="D674">
        <v>0.3</v>
      </c>
      <c r="E674">
        <v>0.3</v>
      </c>
      <c r="F674">
        <v>0.3</v>
      </c>
      <c r="G674">
        <v>0.9</v>
      </c>
    </row>
    <row r="675" spans="1:7" x14ac:dyDescent="0.2">
      <c r="A675">
        <v>7313</v>
      </c>
      <c r="B675" s="106" t="s">
        <v>1389</v>
      </c>
      <c r="C675">
        <v>0.1</v>
      </c>
      <c r="D675" s="106">
        <v>0.1</v>
      </c>
      <c r="E675">
        <v>0.1</v>
      </c>
      <c r="F675" s="106">
        <v>0.05</v>
      </c>
      <c r="G675" s="106">
        <v>0.3</v>
      </c>
    </row>
    <row r="676" spans="1:7" x14ac:dyDescent="0.2">
      <c r="A676">
        <v>7321</v>
      </c>
      <c r="B676" s="106" t="s">
        <v>1390</v>
      </c>
      <c r="C676">
        <v>0.05</v>
      </c>
      <c r="D676">
        <v>0.05</v>
      </c>
      <c r="E676">
        <v>0.05</v>
      </c>
      <c r="F676">
        <v>0.05</v>
      </c>
      <c r="G676">
        <v>0.15</v>
      </c>
    </row>
    <row r="677" spans="1:7" x14ac:dyDescent="0.2">
      <c r="A677">
        <v>7322</v>
      </c>
      <c r="B677" s="106" t="s">
        <v>2127</v>
      </c>
      <c r="C677">
        <v>0.05</v>
      </c>
      <c r="D677">
        <v>0.05</v>
      </c>
      <c r="E677">
        <v>0.05</v>
      </c>
      <c r="F677">
        <v>0.05</v>
      </c>
      <c r="G677" s="106">
        <v>0.15</v>
      </c>
    </row>
    <row r="678" spans="1:7" x14ac:dyDescent="0.2">
      <c r="A678">
        <v>7416</v>
      </c>
      <c r="B678" s="106" t="s">
        <v>1391</v>
      </c>
      <c r="C678">
        <v>0.05</v>
      </c>
      <c r="D678" s="106">
        <v>0.05</v>
      </c>
      <c r="E678">
        <v>0.05</v>
      </c>
      <c r="F678">
        <v>0.05</v>
      </c>
      <c r="G678" s="106">
        <v>0.15</v>
      </c>
    </row>
    <row r="679" spans="1:7" x14ac:dyDescent="0.2">
      <c r="A679">
        <v>7420</v>
      </c>
      <c r="B679" s="106" t="s">
        <v>1392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7421</v>
      </c>
      <c r="B680" s="106" t="s">
        <v>2564</v>
      </c>
      <c r="C680">
        <v>0</v>
      </c>
      <c r="D680" t="s">
        <v>166</v>
      </c>
      <c r="E680" t="s">
        <v>166</v>
      </c>
      <c r="F680">
        <v>0</v>
      </c>
      <c r="G680" t="s">
        <v>166</v>
      </c>
    </row>
    <row r="681" spans="1:7" x14ac:dyDescent="0.2">
      <c r="A681">
        <v>7427</v>
      </c>
      <c r="B681" s="106" t="s">
        <v>1393</v>
      </c>
      <c r="C681">
        <v>0</v>
      </c>
      <c r="D681">
        <v>0</v>
      </c>
      <c r="E681">
        <v>0.05</v>
      </c>
      <c r="F681">
        <v>0.05</v>
      </c>
      <c r="G681">
        <v>0.15</v>
      </c>
    </row>
    <row r="682" spans="1:7" x14ac:dyDescent="0.2">
      <c r="A682">
        <v>7442</v>
      </c>
      <c r="B682" s="106" t="s">
        <v>1394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7445</v>
      </c>
      <c r="B683" s="106" t="s">
        <v>1395</v>
      </c>
      <c r="C683">
        <v>0.05</v>
      </c>
      <c r="D683">
        <v>0.05</v>
      </c>
      <c r="E683">
        <v>0.05</v>
      </c>
      <c r="F683">
        <v>0.05</v>
      </c>
      <c r="G683">
        <v>0.15</v>
      </c>
    </row>
    <row r="684" spans="1:7" x14ac:dyDescent="0.2">
      <c r="A684">
        <v>7447</v>
      </c>
      <c r="B684" s="106" t="s">
        <v>2565</v>
      </c>
      <c r="C684">
        <v>0</v>
      </c>
      <c r="D684" t="s">
        <v>166</v>
      </c>
      <c r="E684" s="106" t="s">
        <v>166</v>
      </c>
      <c r="F684" t="s">
        <v>166</v>
      </c>
      <c r="G684" t="s">
        <v>166</v>
      </c>
    </row>
    <row r="685" spans="1:7" x14ac:dyDescent="0.2">
      <c r="A685">
        <v>7451</v>
      </c>
      <c r="B685" s="106" t="s">
        <v>1396</v>
      </c>
      <c r="C685">
        <v>0.05</v>
      </c>
      <c r="D685">
        <v>0.05</v>
      </c>
      <c r="E685">
        <v>0.05</v>
      </c>
      <c r="F685">
        <v>0.05</v>
      </c>
      <c r="G685" s="106">
        <v>0</v>
      </c>
    </row>
    <row r="686" spans="1:7" x14ac:dyDescent="0.2">
      <c r="A686">
        <v>7453</v>
      </c>
      <c r="B686" s="106" t="s">
        <v>58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7455</v>
      </c>
      <c r="B687" s="106" t="s">
        <v>2199</v>
      </c>
      <c r="C687">
        <v>0</v>
      </c>
      <c r="D687">
        <v>0</v>
      </c>
      <c r="E687">
        <v>0</v>
      </c>
      <c r="F687">
        <v>0</v>
      </c>
      <c r="G687" t="s">
        <v>166</v>
      </c>
    </row>
    <row r="688" spans="1:7" x14ac:dyDescent="0.2">
      <c r="A688">
        <v>7458</v>
      </c>
      <c r="B688" s="106" t="s">
        <v>1397</v>
      </c>
      <c r="C688">
        <v>0.1</v>
      </c>
      <c r="D688">
        <v>0.1</v>
      </c>
      <c r="E688">
        <v>0.1</v>
      </c>
      <c r="F688">
        <v>0.1</v>
      </c>
      <c r="G688">
        <v>0.3</v>
      </c>
    </row>
    <row r="689" spans="1:7" x14ac:dyDescent="0.2">
      <c r="A689">
        <v>7459</v>
      </c>
      <c r="B689" s="106" t="s">
        <v>1398</v>
      </c>
      <c r="C689">
        <v>0.05</v>
      </c>
      <c r="D689">
        <v>0.05</v>
      </c>
      <c r="E689">
        <v>0.05</v>
      </c>
      <c r="F689">
        <v>0.05</v>
      </c>
      <c r="G689" s="106">
        <v>0.15</v>
      </c>
    </row>
    <row r="690" spans="1:7" x14ac:dyDescent="0.2">
      <c r="A690">
        <v>7463</v>
      </c>
      <c r="B690" s="106" t="s">
        <v>1399</v>
      </c>
      <c r="C690">
        <v>0.05</v>
      </c>
      <c r="D690">
        <v>0.05</v>
      </c>
      <c r="E690">
        <v>0.05</v>
      </c>
      <c r="F690" s="106">
        <v>0.05</v>
      </c>
      <c r="G690" s="106">
        <v>0.15</v>
      </c>
    </row>
    <row r="691" spans="1:7" x14ac:dyDescent="0.2">
      <c r="A691">
        <v>7475</v>
      </c>
      <c r="B691" s="106" t="s">
        <v>1400</v>
      </c>
      <c r="C691">
        <v>0.05</v>
      </c>
      <c r="D691">
        <v>0.05</v>
      </c>
      <c r="E691">
        <v>0.05</v>
      </c>
      <c r="F691">
        <v>0.05</v>
      </c>
      <c r="G691">
        <v>0.15</v>
      </c>
    </row>
    <row r="692" spans="1:7" x14ac:dyDescent="0.2">
      <c r="A692">
        <v>7476</v>
      </c>
      <c r="B692" s="106" t="s">
        <v>1401</v>
      </c>
      <c r="C692">
        <v>0.2</v>
      </c>
      <c r="D692">
        <v>0.2</v>
      </c>
      <c r="E692">
        <v>0</v>
      </c>
      <c r="F692">
        <v>0.2</v>
      </c>
      <c r="G692">
        <v>0</v>
      </c>
    </row>
    <row r="693" spans="1:7" x14ac:dyDescent="0.2">
      <c r="A693">
        <v>7480</v>
      </c>
      <c r="B693" s="106" t="s">
        <v>1402</v>
      </c>
      <c r="C693">
        <v>0</v>
      </c>
      <c r="D693">
        <v>0</v>
      </c>
      <c r="E693">
        <v>0.05</v>
      </c>
      <c r="F693">
        <v>0.05</v>
      </c>
      <c r="G693">
        <v>0.15</v>
      </c>
    </row>
    <row r="694" spans="1:7" x14ac:dyDescent="0.2">
      <c r="A694">
        <v>7482</v>
      </c>
      <c r="B694" s="106" t="s">
        <v>1403</v>
      </c>
      <c r="C694">
        <v>0.05</v>
      </c>
      <c r="D694">
        <v>0.05</v>
      </c>
      <c r="E694">
        <v>0.05</v>
      </c>
      <c r="F694">
        <v>0.05</v>
      </c>
      <c r="G694">
        <v>0.15</v>
      </c>
    </row>
    <row r="695" spans="1:7" x14ac:dyDescent="0.2">
      <c r="A695">
        <v>7487</v>
      </c>
      <c r="B695" s="106" t="s">
        <v>1404</v>
      </c>
      <c r="C695">
        <v>0.05</v>
      </c>
      <c r="D695">
        <v>0.05</v>
      </c>
      <c r="E695">
        <v>0.05</v>
      </c>
      <c r="F695">
        <v>0.05</v>
      </c>
      <c r="G695">
        <v>0.15</v>
      </c>
    </row>
    <row r="696" spans="1:7" x14ac:dyDescent="0.2">
      <c r="A696">
        <v>7494</v>
      </c>
      <c r="B696" s="106" t="s">
        <v>1405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7506</v>
      </c>
      <c r="B697" s="106" t="s">
        <v>1406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7508</v>
      </c>
      <c r="B698" s="106" t="s">
        <v>2306</v>
      </c>
      <c r="C698">
        <v>0</v>
      </c>
      <c r="D698">
        <v>0</v>
      </c>
      <c r="E698">
        <v>0</v>
      </c>
      <c r="F698" t="s">
        <v>166</v>
      </c>
      <c r="G698">
        <v>0</v>
      </c>
    </row>
    <row r="699" spans="1:7" x14ac:dyDescent="0.2">
      <c r="A699">
        <v>7510</v>
      </c>
      <c r="B699" s="106" t="s">
        <v>1407</v>
      </c>
      <c r="C699">
        <v>0</v>
      </c>
      <c r="D699" t="s">
        <v>166</v>
      </c>
      <c r="E699">
        <v>0</v>
      </c>
      <c r="F699">
        <v>0</v>
      </c>
      <c r="G699">
        <v>0</v>
      </c>
    </row>
    <row r="700" spans="1:7" x14ac:dyDescent="0.2">
      <c r="A700">
        <v>7512</v>
      </c>
      <c r="B700" s="106" t="s">
        <v>2128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7522</v>
      </c>
      <c r="B701" s="106" t="s">
        <v>1408</v>
      </c>
      <c r="C701">
        <v>0</v>
      </c>
      <c r="D701" s="106" t="s">
        <v>166</v>
      </c>
      <c r="E701" s="106">
        <v>0</v>
      </c>
      <c r="F701" s="106">
        <v>0</v>
      </c>
      <c r="G701" s="106">
        <v>0</v>
      </c>
    </row>
    <row r="702" spans="1:7" x14ac:dyDescent="0.2">
      <c r="A702">
        <v>7524</v>
      </c>
      <c r="B702" s="106" t="s">
        <v>1409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7525</v>
      </c>
      <c r="B703" s="106" t="s">
        <v>2200</v>
      </c>
      <c r="C703">
        <v>0</v>
      </c>
      <c r="D703">
        <v>0</v>
      </c>
      <c r="E703">
        <v>0</v>
      </c>
      <c r="F703">
        <v>0</v>
      </c>
      <c r="G703" t="s">
        <v>166</v>
      </c>
    </row>
    <row r="704" spans="1:7" x14ac:dyDescent="0.2">
      <c r="A704">
        <v>7532</v>
      </c>
      <c r="B704" s="106" t="s">
        <v>1410</v>
      </c>
      <c r="C704">
        <v>0.05</v>
      </c>
      <c r="D704">
        <v>0.05</v>
      </c>
      <c r="E704">
        <v>0.05</v>
      </c>
      <c r="F704">
        <v>0.05</v>
      </c>
      <c r="G704">
        <v>0.15</v>
      </c>
    </row>
    <row r="705" spans="1:7" x14ac:dyDescent="0.2">
      <c r="A705">
        <v>7545</v>
      </c>
      <c r="B705" s="106" t="s">
        <v>1411</v>
      </c>
      <c r="C705">
        <v>0.05</v>
      </c>
      <c r="D705">
        <v>0.05</v>
      </c>
      <c r="E705">
        <v>0.05</v>
      </c>
      <c r="F705">
        <v>0.05</v>
      </c>
      <c r="G705">
        <v>0.15</v>
      </c>
    </row>
    <row r="706" spans="1:7" x14ac:dyDescent="0.2">
      <c r="A706">
        <v>7570</v>
      </c>
      <c r="B706" s="106" t="s">
        <v>1412</v>
      </c>
      <c r="C706">
        <v>0.05</v>
      </c>
      <c r="D706">
        <v>0.05</v>
      </c>
      <c r="E706">
        <v>0.05</v>
      </c>
      <c r="F706">
        <v>0</v>
      </c>
      <c r="G706">
        <v>0.15</v>
      </c>
    </row>
    <row r="707" spans="1:7" x14ac:dyDescent="0.2">
      <c r="A707">
        <v>7581</v>
      </c>
      <c r="B707" s="106" t="s">
        <v>2566</v>
      </c>
      <c r="C707">
        <v>0</v>
      </c>
      <c r="D707">
        <v>0</v>
      </c>
      <c r="E707" t="s">
        <v>166</v>
      </c>
      <c r="F707">
        <v>0</v>
      </c>
      <c r="G707" t="s">
        <v>166</v>
      </c>
    </row>
    <row r="708" spans="1:7" x14ac:dyDescent="0.2">
      <c r="A708">
        <v>7593</v>
      </c>
      <c r="B708" s="106" t="s">
        <v>1413</v>
      </c>
      <c r="C708">
        <v>0</v>
      </c>
      <c r="D708">
        <v>0</v>
      </c>
      <c r="E708" s="106">
        <v>0</v>
      </c>
      <c r="F708" s="106">
        <v>0</v>
      </c>
      <c r="G708" s="106">
        <v>0</v>
      </c>
    </row>
    <row r="709" spans="1:7" x14ac:dyDescent="0.2">
      <c r="A709">
        <v>7599</v>
      </c>
      <c r="B709" s="106" t="s">
        <v>1414</v>
      </c>
      <c r="C709">
        <v>0.05</v>
      </c>
      <c r="D709" s="106">
        <v>0.05</v>
      </c>
      <c r="E709">
        <v>0.05</v>
      </c>
      <c r="F709" s="106">
        <v>0</v>
      </c>
      <c r="G709" s="106">
        <v>0.15</v>
      </c>
    </row>
    <row r="710" spans="1:7" x14ac:dyDescent="0.2">
      <c r="A710">
        <v>7601</v>
      </c>
      <c r="B710" s="106" t="s">
        <v>1415</v>
      </c>
      <c r="C710">
        <v>0</v>
      </c>
      <c r="D710">
        <v>0</v>
      </c>
      <c r="E710">
        <v>0.05</v>
      </c>
      <c r="F710" s="106">
        <v>0.05</v>
      </c>
      <c r="G710" s="106">
        <v>0.15</v>
      </c>
    </row>
    <row r="711" spans="1:7" x14ac:dyDescent="0.2">
      <c r="A711">
        <v>7605</v>
      </c>
      <c r="B711" s="106" t="s">
        <v>2567</v>
      </c>
      <c r="C711">
        <v>0.05</v>
      </c>
      <c r="D711" t="s">
        <v>166</v>
      </c>
      <c r="E711" t="s">
        <v>166</v>
      </c>
      <c r="F711" s="106" t="s">
        <v>166</v>
      </c>
      <c r="G711" t="s">
        <v>166</v>
      </c>
    </row>
    <row r="712" spans="1:7" x14ac:dyDescent="0.2">
      <c r="A712">
        <v>7609</v>
      </c>
      <c r="B712" s="106" t="s">
        <v>2307</v>
      </c>
      <c r="C712">
        <v>0</v>
      </c>
      <c r="D712" t="s">
        <v>166</v>
      </c>
      <c r="E712">
        <v>0</v>
      </c>
      <c r="F712" s="106" t="s">
        <v>166</v>
      </c>
      <c r="G712">
        <v>0</v>
      </c>
    </row>
    <row r="713" spans="1:7" x14ac:dyDescent="0.2">
      <c r="A713">
        <v>7611</v>
      </c>
      <c r="B713" s="106" t="s">
        <v>1416</v>
      </c>
      <c r="C713">
        <v>0.05</v>
      </c>
      <c r="D713">
        <v>0.05</v>
      </c>
      <c r="E713">
        <v>0.05</v>
      </c>
      <c r="F713">
        <v>0.05</v>
      </c>
      <c r="G713">
        <v>0.15</v>
      </c>
    </row>
    <row r="714" spans="1:7" x14ac:dyDescent="0.2">
      <c r="A714">
        <v>7613</v>
      </c>
      <c r="B714" s="106" t="s">
        <v>1417</v>
      </c>
      <c r="C714">
        <v>0.05</v>
      </c>
      <c r="D714">
        <v>0.05</v>
      </c>
      <c r="E714">
        <v>0.05</v>
      </c>
      <c r="F714">
        <v>0</v>
      </c>
      <c r="G714">
        <v>0</v>
      </c>
    </row>
    <row r="715" spans="1:7" x14ac:dyDescent="0.2">
      <c r="A715">
        <v>7615</v>
      </c>
      <c r="B715" s="106" t="s">
        <v>1418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7616</v>
      </c>
      <c r="B716" s="106" t="s">
        <v>1419</v>
      </c>
      <c r="C716">
        <v>0.05</v>
      </c>
      <c r="D716">
        <v>0.05</v>
      </c>
      <c r="E716">
        <v>0.05</v>
      </c>
      <c r="F716">
        <v>0.05</v>
      </c>
      <c r="G716">
        <v>0.15</v>
      </c>
    </row>
    <row r="717" spans="1:7" x14ac:dyDescent="0.2">
      <c r="A717">
        <v>7618</v>
      </c>
      <c r="B717" s="106" t="s">
        <v>2568</v>
      </c>
      <c r="C717">
        <v>0</v>
      </c>
      <c r="D717">
        <v>0</v>
      </c>
      <c r="E717" t="s">
        <v>166</v>
      </c>
      <c r="F717">
        <v>0</v>
      </c>
      <c r="G717" t="s">
        <v>166</v>
      </c>
    </row>
    <row r="718" spans="1:7" x14ac:dyDescent="0.2">
      <c r="A718">
        <v>7628</v>
      </c>
      <c r="B718" s="106" t="s">
        <v>1420</v>
      </c>
      <c r="C718">
        <v>0.05</v>
      </c>
      <c r="D718">
        <v>0.05</v>
      </c>
      <c r="E718">
        <v>0</v>
      </c>
      <c r="F718">
        <v>0.05</v>
      </c>
      <c r="G718">
        <v>0</v>
      </c>
    </row>
    <row r="719" spans="1:7" x14ac:dyDescent="0.2">
      <c r="A719">
        <v>7630</v>
      </c>
      <c r="B719" s="106" t="s">
        <v>1421</v>
      </c>
      <c r="C719">
        <v>0.1</v>
      </c>
      <c r="D719" s="106">
        <v>0.1</v>
      </c>
      <c r="E719" s="106">
        <v>0.1</v>
      </c>
      <c r="F719" s="106">
        <v>0.1</v>
      </c>
      <c r="G719" s="106">
        <v>0.3</v>
      </c>
    </row>
    <row r="720" spans="1:7" x14ac:dyDescent="0.2">
      <c r="A720">
        <v>7637</v>
      </c>
      <c r="B720" s="106" t="s">
        <v>1422</v>
      </c>
      <c r="C720">
        <v>0</v>
      </c>
      <c r="D720">
        <v>0.05</v>
      </c>
      <c r="E720">
        <v>0</v>
      </c>
      <c r="F720" s="106">
        <v>0</v>
      </c>
      <c r="G720" s="106">
        <v>0</v>
      </c>
    </row>
    <row r="721" spans="1:7" x14ac:dyDescent="0.2">
      <c r="A721">
        <v>7640</v>
      </c>
      <c r="B721" s="106" t="s">
        <v>1423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7701</v>
      </c>
      <c r="B722" s="106" t="s">
        <v>1424</v>
      </c>
      <c r="C722">
        <v>0.1</v>
      </c>
      <c r="D722">
        <v>0.1</v>
      </c>
      <c r="E722">
        <v>0.1</v>
      </c>
      <c r="F722">
        <v>0.1</v>
      </c>
      <c r="G722">
        <v>0.3</v>
      </c>
    </row>
    <row r="723" spans="1:7" x14ac:dyDescent="0.2">
      <c r="A723">
        <v>7702</v>
      </c>
      <c r="B723" s="106" t="s">
        <v>1425</v>
      </c>
      <c r="C723">
        <v>0.05</v>
      </c>
      <c r="D723">
        <v>0.05</v>
      </c>
      <c r="E723">
        <v>0.05</v>
      </c>
      <c r="F723">
        <v>0.05</v>
      </c>
      <c r="G723">
        <v>0.15</v>
      </c>
    </row>
    <row r="724" spans="1:7" x14ac:dyDescent="0.2">
      <c r="A724">
        <v>7723</v>
      </c>
      <c r="B724" s="106" t="s">
        <v>1426</v>
      </c>
      <c r="C724">
        <v>0.05</v>
      </c>
      <c r="D724">
        <v>0.05</v>
      </c>
      <c r="E724">
        <v>0.05</v>
      </c>
      <c r="F724">
        <v>0.05</v>
      </c>
      <c r="G724">
        <v>0.15</v>
      </c>
    </row>
    <row r="725" spans="1:7" x14ac:dyDescent="0.2">
      <c r="A725">
        <v>7727</v>
      </c>
      <c r="B725" s="106" t="s">
        <v>2201</v>
      </c>
      <c r="C725">
        <v>0</v>
      </c>
      <c r="D725">
        <v>0</v>
      </c>
      <c r="E725">
        <v>0</v>
      </c>
      <c r="F725">
        <v>0</v>
      </c>
      <c r="G725" t="s">
        <v>166</v>
      </c>
    </row>
    <row r="726" spans="1:7" x14ac:dyDescent="0.2">
      <c r="A726">
        <v>7729</v>
      </c>
      <c r="B726" s="106" t="s">
        <v>913</v>
      </c>
      <c r="C726">
        <v>0.1</v>
      </c>
      <c r="D726">
        <v>0.1</v>
      </c>
      <c r="E726">
        <v>0.1</v>
      </c>
      <c r="F726">
        <v>0.1</v>
      </c>
      <c r="G726">
        <v>0.3</v>
      </c>
    </row>
    <row r="727" spans="1:7" x14ac:dyDescent="0.2">
      <c r="A727">
        <v>7730</v>
      </c>
      <c r="B727" s="106" t="s">
        <v>2569</v>
      </c>
      <c r="C727">
        <v>0.05</v>
      </c>
      <c r="D727" s="106">
        <v>0.05</v>
      </c>
      <c r="E727" t="s">
        <v>166</v>
      </c>
      <c r="F727">
        <v>0.05</v>
      </c>
      <c r="G727">
        <v>0</v>
      </c>
    </row>
    <row r="728" spans="1:7" x14ac:dyDescent="0.2">
      <c r="A728">
        <v>7733</v>
      </c>
      <c r="B728" s="106" t="s">
        <v>1427</v>
      </c>
      <c r="C728">
        <v>0.05</v>
      </c>
      <c r="D728">
        <v>0.05</v>
      </c>
      <c r="E728">
        <v>0.05</v>
      </c>
      <c r="F728">
        <v>0.05</v>
      </c>
      <c r="G728">
        <v>0.15</v>
      </c>
    </row>
    <row r="729" spans="1:7" x14ac:dyDescent="0.2">
      <c r="A729">
        <v>7735</v>
      </c>
      <c r="B729" s="106" t="s">
        <v>2308</v>
      </c>
      <c r="C729">
        <v>0.15</v>
      </c>
      <c r="D729" t="s">
        <v>166</v>
      </c>
      <c r="E729" s="106">
        <v>0.15</v>
      </c>
      <c r="F729" s="106" t="s">
        <v>166</v>
      </c>
      <c r="G729" s="106">
        <v>0.45</v>
      </c>
    </row>
    <row r="730" spans="1:7" x14ac:dyDescent="0.2">
      <c r="A730">
        <v>7740</v>
      </c>
      <c r="B730" s="106" t="s">
        <v>1428</v>
      </c>
      <c r="C730">
        <v>0.05</v>
      </c>
      <c r="D730">
        <v>0.05</v>
      </c>
      <c r="E730">
        <v>0.05</v>
      </c>
      <c r="F730" s="106">
        <v>0.05</v>
      </c>
      <c r="G730" s="106">
        <v>0.15</v>
      </c>
    </row>
    <row r="731" spans="1:7" x14ac:dyDescent="0.2">
      <c r="A731">
        <v>7741</v>
      </c>
      <c r="B731" s="106" t="s">
        <v>2129</v>
      </c>
      <c r="C731">
        <v>0.2</v>
      </c>
      <c r="D731">
        <v>0.05</v>
      </c>
      <c r="E731">
        <v>0.2</v>
      </c>
      <c r="F731" s="106">
        <v>0.2</v>
      </c>
      <c r="G731" s="106">
        <v>0.6</v>
      </c>
    </row>
    <row r="732" spans="1:7" x14ac:dyDescent="0.2">
      <c r="A732">
        <v>7743</v>
      </c>
      <c r="B732" s="106" t="s">
        <v>1429</v>
      </c>
      <c r="C732">
        <v>0</v>
      </c>
      <c r="D732" s="106">
        <v>0.05</v>
      </c>
      <c r="E732" s="106">
        <v>0</v>
      </c>
      <c r="F732" s="106">
        <v>0</v>
      </c>
      <c r="G732">
        <v>0</v>
      </c>
    </row>
    <row r="733" spans="1:7" x14ac:dyDescent="0.2">
      <c r="A733">
        <v>7747</v>
      </c>
      <c r="B733" s="106" t="s">
        <v>1430</v>
      </c>
      <c r="C733">
        <v>0.1</v>
      </c>
      <c r="D733" s="106">
        <v>0.05</v>
      </c>
      <c r="E733" s="106">
        <v>0.05</v>
      </c>
      <c r="F733" s="106">
        <v>0.1</v>
      </c>
      <c r="G733">
        <v>0.3</v>
      </c>
    </row>
    <row r="734" spans="1:7" x14ac:dyDescent="0.2">
      <c r="A734">
        <v>7752</v>
      </c>
      <c r="B734" s="106" t="s">
        <v>1431</v>
      </c>
      <c r="C734">
        <v>0.05</v>
      </c>
      <c r="D734">
        <v>0.05</v>
      </c>
      <c r="E734">
        <v>0.05</v>
      </c>
      <c r="F734">
        <v>0.05</v>
      </c>
      <c r="G734">
        <v>0.15</v>
      </c>
    </row>
    <row r="735" spans="1:7" x14ac:dyDescent="0.2">
      <c r="A735">
        <v>7762</v>
      </c>
      <c r="B735" s="106" t="s">
        <v>60</v>
      </c>
      <c r="C735">
        <v>0.05</v>
      </c>
      <c r="D735">
        <v>0.05</v>
      </c>
      <c r="E735">
        <v>0.05</v>
      </c>
      <c r="F735">
        <v>0.05</v>
      </c>
      <c r="G735">
        <v>0.15</v>
      </c>
    </row>
    <row r="736" spans="1:7" x14ac:dyDescent="0.2">
      <c r="A736">
        <v>7769</v>
      </c>
      <c r="B736" s="106" t="s">
        <v>1432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7782</v>
      </c>
      <c r="B737" s="106" t="s">
        <v>1433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7817</v>
      </c>
      <c r="B738" s="106" t="s">
        <v>927</v>
      </c>
      <c r="C738">
        <v>0</v>
      </c>
      <c r="D738">
        <v>0</v>
      </c>
      <c r="E738" s="106">
        <v>0</v>
      </c>
      <c r="F738" s="106" t="s">
        <v>166</v>
      </c>
      <c r="G738" s="106">
        <v>0</v>
      </c>
    </row>
    <row r="739" spans="1:7" x14ac:dyDescent="0.2">
      <c r="A739">
        <v>7819</v>
      </c>
      <c r="B739" s="106" t="s">
        <v>1434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7822</v>
      </c>
      <c r="B740" s="106" t="s">
        <v>1435</v>
      </c>
      <c r="C740">
        <v>0</v>
      </c>
      <c r="D740">
        <v>0</v>
      </c>
      <c r="E740" s="106">
        <v>0</v>
      </c>
      <c r="F740">
        <v>0</v>
      </c>
      <c r="G740" s="106">
        <v>0</v>
      </c>
    </row>
    <row r="741" spans="1:7" x14ac:dyDescent="0.2">
      <c r="A741">
        <v>7832</v>
      </c>
      <c r="B741" s="106" t="s">
        <v>2570</v>
      </c>
      <c r="C741">
        <v>0</v>
      </c>
      <c r="D741">
        <v>0</v>
      </c>
      <c r="E741" t="s">
        <v>166</v>
      </c>
      <c r="F741" t="s">
        <v>166</v>
      </c>
      <c r="G741" t="s">
        <v>166</v>
      </c>
    </row>
    <row r="742" spans="1:7" x14ac:dyDescent="0.2">
      <c r="A742">
        <v>7840</v>
      </c>
      <c r="B742" s="106" t="s">
        <v>1436</v>
      </c>
      <c r="C742">
        <v>0.05</v>
      </c>
      <c r="D742">
        <v>0.05</v>
      </c>
      <c r="E742">
        <v>0.05</v>
      </c>
      <c r="F742">
        <v>0.05</v>
      </c>
      <c r="G742">
        <v>0.15</v>
      </c>
    </row>
    <row r="743" spans="1:7" x14ac:dyDescent="0.2">
      <c r="A743">
        <v>7844</v>
      </c>
      <c r="B743" s="106" t="s">
        <v>1437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7846</v>
      </c>
      <c r="B744" s="106" t="s">
        <v>1438</v>
      </c>
      <c r="C744">
        <v>0.1</v>
      </c>
      <c r="D744">
        <v>0.1</v>
      </c>
      <c r="E744">
        <v>0.1</v>
      </c>
      <c r="F744">
        <v>0.1</v>
      </c>
      <c r="G744">
        <v>0.3</v>
      </c>
    </row>
    <row r="745" spans="1:7" x14ac:dyDescent="0.2">
      <c r="A745">
        <v>7856</v>
      </c>
      <c r="B745" s="106" t="s">
        <v>1439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7860</v>
      </c>
      <c r="B746" s="106" t="s">
        <v>1440</v>
      </c>
      <c r="C746">
        <v>0.05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7867</v>
      </c>
      <c r="B747" s="106" t="s">
        <v>2571</v>
      </c>
      <c r="C747">
        <v>0</v>
      </c>
      <c r="D747" t="s">
        <v>166</v>
      </c>
      <c r="E747" t="s">
        <v>166</v>
      </c>
      <c r="F747" t="s">
        <v>166</v>
      </c>
      <c r="G747" t="s">
        <v>166</v>
      </c>
    </row>
    <row r="748" spans="1:7" x14ac:dyDescent="0.2">
      <c r="A748">
        <v>7885</v>
      </c>
      <c r="B748" s="106" t="s">
        <v>1441</v>
      </c>
      <c r="C748">
        <v>0.05</v>
      </c>
      <c r="D748">
        <v>0.05</v>
      </c>
      <c r="E748">
        <v>0.05</v>
      </c>
      <c r="F748">
        <v>0.05</v>
      </c>
      <c r="G748">
        <v>0.15</v>
      </c>
    </row>
    <row r="749" spans="1:7" x14ac:dyDescent="0.2">
      <c r="A749">
        <v>7898</v>
      </c>
      <c r="B749" s="106" t="s">
        <v>1442</v>
      </c>
      <c r="C749">
        <v>0.05</v>
      </c>
      <c r="D749" s="106">
        <v>0</v>
      </c>
      <c r="E749">
        <v>0.05</v>
      </c>
      <c r="F749" s="106">
        <v>0</v>
      </c>
      <c r="G749">
        <v>0.15</v>
      </c>
    </row>
    <row r="750" spans="1:7" x14ac:dyDescent="0.2">
      <c r="A750">
        <v>7911</v>
      </c>
      <c r="B750" s="106" t="s">
        <v>1443</v>
      </c>
      <c r="C750">
        <v>0.05</v>
      </c>
      <c r="D750" s="106">
        <v>0.05</v>
      </c>
      <c r="E750">
        <v>0.05</v>
      </c>
      <c r="F750" s="106">
        <v>0.05</v>
      </c>
      <c r="G750">
        <v>0.15</v>
      </c>
    </row>
    <row r="751" spans="1:7" x14ac:dyDescent="0.2">
      <c r="A751">
        <v>7912</v>
      </c>
      <c r="B751" s="106" t="s">
        <v>1444</v>
      </c>
      <c r="C751">
        <v>0.05</v>
      </c>
      <c r="D751" s="106">
        <v>0.05</v>
      </c>
      <c r="E751">
        <v>0.05</v>
      </c>
      <c r="F751" s="106">
        <v>0</v>
      </c>
      <c r="G751">
        <v>0</v>
      </c>
    </row>
    <row r="752" spans="1:7" x14ac:dyDescent="0.2">
      <c r="A752">
        <v>7915</v>
      </c>
      <c r="B752" s="106" t="s">
        <v>2130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7916</v>
      </c>
      <c r="B753" s="106" t="s">
        <v>1445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7931</v>
      </c>
      <c r="B754" s="106" t="s">
        <v>2309</v>
      </c>
      <c r="C754">
        <v>0.05</v>
      </c>
      <c r="D754">
        <v>0</v>
      </c>
      <c r="E754">
        <v>0.05</v>
      </c>
      <c r="F754" s="106" t="s">
        <v>166</v>
      </c>
      <c r="G754" s="106">
        <v>0.15</v>
      </c>
    </row>
    <row r="755" spans="1:7" x14ac:dyDescent="0.2">
      <c r="A755">
        <v>7936</v>
      </c>
      <c r="B755" s="106" t="s">
        <v>1446</v>
      </c>
      <c r="C755">
        <v>0.05</v>
      </c>
      <c r="D755">
        <v>0.05</v>
      </c>
      <c r="E755" s="106">
        <v>0.05</v>
      </c>
      <c r="F755">
        <v>0.05</v>
      </c>
      <c r="G755" s="106">
        <v>0.15</v>
      </c>
    </row>
    <row r="756" spans="1:7" x14ac:dyDescent="0.2">
      <c r="A756">
        <v>7937</v>
      </c>
      <c r="B756" s="106" t="s">
        <v>1447</v>
      </c>
      <c r="C756">
        <v>0.05</v>
      </c>
      <c r="D756">
        <v>0.05</v>
      </c>
      <c r="E756" s="106">
        <v>0.05</v>
      </c>
      <c r="F756">
        <v>0.05</v>
      </c>
      <c r="G756" s="106">
        <v>0.15</v>
      </c>
    </row>
    <row r="757" spans="1:7" x14ac:dyDescent="0.2">
      <c r="A757">
        <v>7942</v>
      </c>
      <c r="B757" s="106" t="s">
        <v>2131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7949</v>
      </c>
      <c r="B758" s="106" t="s">
        <v>1448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7951</v>
      </c>
      <c r="B759" s="106" t="s">
        <v>1449</v>
      </c>
      <c r="C759">
        <v>0.1</v>
      </c>
      <c r="D759">
        <v>0.1</v>
      </c>
      <c r="E759">
        <v>0.1</v>
      </c>
      <c r="F759">
        <v>0.1</v>
      </c>
      <c r="G759">
        <v>0.45</v>
      </c>
    </row>
    <row r="760" spans="1:7" x14ac:dyDescent="0.2">
      <c r="A760">
        <v>7952</v>
      </c>
      <c r="B760" s="106" t="s">
        <v>1450</v>
      </c>
      <c r="C760">
        <v>0.1</v>
      </c>
      <c r="D760">
        <v>0.1</v>
      </c>
      <c r="E760">
        <v>0.1</v>
      </c>
      <c r="F760">
        <v>0.1</v>
      </c>
      <c r="G760">
        <v>0.3</v>
      </c>
    </row>
    <row r="761" spans="1:7" x14ac:dyDescent="0.2">
      <c r="A761">
        <v>7962</v>
      </c>
      <c r="B761" s="106" t="s">
        <v>1451</v>
      </c>
      <c r="C761">
        <v>0.05</v>
      </c>
      <c r="D761" s="106">
        <v>0.05</v>
      </c>
      <c r="E761" s="106">
        <v>0.05</v>
      </c>
      <c r="F761" s="106">
        <v>0.05</v>
      </c>
      <c r="G761">
        <v>0.15</v>
      </c>
    </row>
    <row r="762" spans="1:7" x14ac:dyDescent="0.2">
      <c r="A762">
        <v>7965</v>
      </c>
      <c r="B762" s="106" t="s">
        <v>1452</v>
      </c>
      <c r="C762">
        <v>0.05</v>
      </c>
      <c r="D762">
        <v>0.05</v>
      </c>
      <c r="E762">
        <v>0.05</v>
      </c>
      <c r="F762" s="106">
        <v>0.5</v>
      </c>
      <c r="G762" s="106">
        <v>1.65</v>
      </c>
    </row>
    <row r="763" spans="1:7" x14ac:dyDescent="0.2">
      <c r="A763">
        <v>7970</v>
      </c>
      <c r="B763" s="106" t="s">
        <v>1453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7979</v>
      </c>
      <c r="B764" s="106" t="s">
        <v>2310</v>
      </c>
      <c r="C764">
        <v>0</v>
      </c>
      <c r="D764" t="s">
        <v>166</v>
      </c>
      <c r="E764">
        <v>0</v>
      </c>
      <c r="F764" t="s">
        <v>166</v>
      </c>
      <c r="G764" s="106">
        <v>0</v>
      </c>
    </row>
    <row r="765" spans="1:7" x14ac:dyDescent="0.2">
      <c r="A765">
        <v>7981</v>
      </c>
      <c r="B765" s="106" t="s">
        <v>1454</v>
      </c>
      <c r="C765">
        <v>0.05</v>
      </c>
      <c r="D765">
        <v>0.05</v>
      </c>
      <c r="E765">
        <v>0.05</v>
      </c>
      <c r="F765">
        <v>0.05</v>
      </c>
      <c r="G765">
        <v>0.15</v>
      </c>
    </row>
    <row r="766" spans="1:7" x14ac:dyDescent="0.2">
      <c r="A766">
        <v>7984</v>
      </c>
      <c r="B766" s="106" t="s">
        <v>1455</v>
      </c>
      <c r="C766">
        <v>0.05</v>
      </c>
      <c r="D766">
        <v>0.05</v>
      </c>
      <c r="E766">
        <v>0.05</v>
      </c>
      <c r="F766">
        <v>0.05</v>
      </c>
      <c r="G766">
        <v>0.15</v>
      </c>
    </row>
    <row r="767" spans="1:7" x14ac:dyDescent="0.2">
      <c r="A767">
        <v>7988</v>
      </c>
      <c r="B767" s="106" t="s">
        <v>1456</v>
      </c>
      <c r="C767">
        <v>0.05</v>
      </c>
      <c r="D767">
        <v>0.05</v>
      </c>
      <c r="E767">
        <v>0.05</v>
      </c>
      <c r="F767">
        <v>0.05</v>
      </c>
      <c r="G767">
        <v>0.15</v>
      </c>
    </row>
    <row r="768" spans="1:7" x14ac:dyDescent="0.2">
      <c r="A768">
        <v>7989</v>
      </c>
      <c r="B768" s="106" t="s">
        <v>2132</v>
      </c>
      <c r="C768">
        <v>0</v>
      </c>
      <c r="D768">
        <v>0</v>
      </c>
      <c r="E768">
        <v>0.05</v>
      </c>
      <c r="F768" s="106">
        <v>0.05</v>
      </c>
      <c r="G768">
        <v>0</v>
      </c>
    </row>
    <row r="769" spans="1:7" x14ac:dyDescent="0.2">
      <c r="A769">
        <v>7990</v>
      </c>
      <c r="B769" s="106" t="s">
        <v>2311</v>
      </c>
      <c r="C769">
        <v>0</v>
      </c>
      <c r="D769">
        <v>0</v>
      </c>
      <c r="E769">
        <v>0</v>
      </c>
      <c r="F769" s="106" t="s">
        <v>166</v>
      </c>
      <c r="G769" t="s">
        <v>166</v>
      </c>
    </row>
    <row r="770" spans="1:7" x14ac:dyDescent="0.2">
      <c r="A770">
        <v>7999</v>
      </c>
      <c r="B770" s="106" t="s">
        <v>1457</v>
      </c>
      <c r="C770">
        <v>0.05</v>
      </c>
      <c r="D770">
        <v>0.05</v>
      </c>
      <c r="E770" s="106">
        <v>0.05</v>
      </c>
      <c r="F770" s="106">
        <v>0.05</v>
      </c>
      <c r="G770" s="106">
        <v>0.15</v>
      </c>
    </row>
    <row r="771" spans="1:7" x14ac:dyDescent="0.2">
      <c r="A771">
        <v>8001</v>
      </c>
      <c r="B771" s="106" t="s">
        <v>1458</v>
      </c>
      <c r="C771">
        <v>0.05</v>
      </c>
      <c r="D771">
        <v>0.05</v>
      </c>
      <c r="E771" s="106">
        <v>0.05</v>
      </c>
      <c r="F771" s="106">
        <v>0.05</v>
      </c>
      <c r="G771" s="106">
        <v>0.15</v>
      </c>
    </row>
    <row r="772" spans="1:7" x14ac:dyDescent="0.2">
      <c r="A772">
        <v>8008</v>
      </c>
      <c r="B772" s="106" t="s">
        <v>1459</v>
      </c>
      <c r="C772">
        <v>0.05</v>
      </c>
      <c r="D772" s="106">
        <v>0.05</v>
      </c>
      <c r="E772">
        <v>0.05</v>
      </c>
      <c r="F772" s="106">
        <v>0.05</v>
      </c>
      <c r="G772">
        <v>0.15</v>
      </c>
    </row>
    <row r="773" spans="1:7" x14ac:dyDescent="0.2">
      <c r="A773">
        <v>8011</v>
      </c>
      <c r="B773" s="106" t="s">
        <v>1460</v>
      </c>
      <c r="C773">
        <v>0.05</v>
      </c>
      <c r="D773">
        <v>0.05</v>
      </c>
      <c r="E773">
        <v>0.05</v>
      </c>
      <c r="F773">
        <v>0.05</v>
      </c>
      <c r="G773">
        <v>0.15</v>
      </c>
    </row>
    <row r="774" spans="1:7" x14ac:dyDescent="0.2">
      <c r="A774">
        <v>8015</v>
      </c>
      <c r="B774" s="106" t="s">
        <v>1461</v>
      </c>
      <c r="C774">
        <v>0</v>
      </c>
      <c r="D774">
        <v>0</v>
      </c>
      <c r="E774">
        <v>0</v>
      </c>
      <c r="F774">
        <v>0</v>
      </c>
      <c r="G774">
        <v>0.15</v>
      </c>
    </row>
    <row r="775" spans="1:7" x14ac:dyDescent="0.2">
      <c r="A775">
        <v>8016</v>
      </c>
      <c r="B775" s="106" t="s">
        <v>1462</v>
      </c>
      <c r="C775">
        <v>0.05</v>
      </c>
      <c r="D775">
        <v>0.05</v>
      </c>
      <c r="E775">
        <v>0.05</v>
      </c>
      <c r="F775">
        <v>0.05</v>
      </c>
      <c r="G775">
        <v>0.15</v>
      </c>
    </row>
    <row r="776" spans="1:7" x14ac:dyDescent="0.2">
      <c r="A776">
        <v>8020</v>
      </c>
      <c r="B776" s="106" t="s">
        <v>2312</v>
      </c>
      <c r="C776">
        <v>0</v>
      </c>
      <c r="D776" t="s">
        <v>166</v>
      </c>
      <c r="E776">
        <v>0</v>
      </c>
      <c r="F776" t="s">
        <v>166</v>
      </c>
      <c r="G776" s="106" t="s">
        <v>166</v>
      </c>
    </row>
    <row r="777" spans="1:7" x14ac:dyDescent="0.2">
      <c r="A777">
        <v>8028</v>
      </c>
      <c r="B777" s="106" t="s">
        <v>1463</v>
      </c>
      <c r="C777">
        <v>0.05</v>
      </c>
      <c r="D777">
        <v>0.05</v>
      </c>
      <c r="E777">
        <v>0.05</v>
      </c>
      <c r="F777">
        <v>0.05</v>
      </c>
      <c r="G777">
        <v>0.15</v>
      </c>
    </row>
    <row r="778" spans="1:7" x14ac:dyDescent="0.2">
      <c r="A778">
        <v>8029</v>
      </c>
      <c r="B778" s="106" t="s">
        <v>2572</v>
      </c>
      <c r="C778">
        <v>0</v>
      </c>
      <c r="D778" t="s">
        <v>166</v>
      </c>
      <c r="E778" t="s">
        <v>166</v>
      </c>
      <c r="F778" t="s">
        <v>166</v>
      </c>
      <c r="G778" t="s">
        <v>166</v>
      </c>
    </row>
    <row r="779" spans="1:7" x14ac:dyDescent="0.2">
      <c r="A779">
        <v>8031</v>
      </c>
      <c r="B779" s="106" t="s">
        <v>1464</v>
      </c>
      <c r="C779">
        <v>0.05</v>
      </c>
      <c r="D779">
        <v>0.05</v>
      </c>
      <c r="E779">
        <v>0.05</v>
      </c>
      <c r="F779">
        <v>0.05</v>
      </c>
      <c r="G779">
        <v>0.15</v>
      </c>
    </row>
    <row r="780" spans="1:7" x14ac:dyDescent="0.2">
      <c r="A780">
        <v>8032</v>
      </c>
      <c r="B780" s="106" t="s">
        <v>1465</v>
      </c>
      <c r="C780">
        <v>0.1</v>
      </c>
      <c r="D780">
        <v>0.1</v>
      </c>
      <c r="E780">
        <v>0.1</v>
      </c>
      <c r="F780">
        <v>0.1</v>
      </c>
      <c r="G780">
        <v>0.3</v>
      </c>
    </row>
    <row r="781" spans="1:7" x14ac:dyDescent="0.2">
      <c r="A781">
        <v>8035</v>
      </c>
      <c r="B781" s="106" t="s">
        <v>1466</v>
      </c>
      <c r="C781">
        <v>0.4</v>
      </c>
      <c r="D781">
        <v>0.4</v>
      </c>
      <c r="E781">
        <v>0.4</v>
      </c>
      <c r="F781">
        <v>0.4</v>
      </c>
      <c r="G781">
        <v>1.35</v>
      </c>
    </row>
    <row r="782" spans="1:7" x14ac:dyDescent="0.2">
      <c r="A782">
        <v>8041</v>
      </c>
      <c r="B782" s="106" t="s">
        <v>1467</v>
      </c>
      <c r="C782">
        <v>0</v>
      </c>
      <c r="D782">
        <v>0.05</v>
      </c>
      <c r="E782">
        <v>0.05</v>
      </c>
      <c r="F782" s="106">
        <v>0.05</v>
      </c>
      <c r="G782" s="106">
        <v>0.15</v>
      </c>
    </row>
    <row r="783" spans="1:7" x14ac:dyDescent="0.2">
      <c r="A783">
        <v>8043</v>
      </c>
      <c r="B783" s="106" t="s">
        <v>1468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8050</v>
      </c>
      <c r="B784" s="106" t="s">
        <v>1469</v>
      </c>
      <c r="C784">
        <v>0.05</v>
      </c>
      <c r="D784">
        <v>0.05</v>
      </c>
      <c r="E784">
        <v>0.05</v>
      </c>
      <c r="F784">
        <v>0.05</v>
      </c>
      <c r="G784">
        <v>0.15</v>
      </c>
    </row>
    <row r="785" spans="1:7" x14ac:dyDescent="0.2">
      <c r="A785">
        <v>8051</v>
      </c>
      <c r="B785" s="106" t="s">
        <v>2133</v>
      </c>
      <c r="C785">
        <v>0.05</v>
      </c>
      <c r="D785">
        <v>0.05</v>
      </c>
      <c r="E785">
        <v>0.05</v>
      </c>
      <c r="F785">
        <v>0.05</v>
      </c>
      <c r="G785">
        <v>0.15</v>
      </c>
    </row>
    <row r="786" spans="1:7" x14ac:dyDescent="0.2">
      <c r="A786">
        <v>8056</v>
      </c>
      <c r="B786" s="106" t="s">
        <v>2573</v>
      </c>
      <c r="C786">
        <v>0</v>
      </c>
      <c r="D786" t="s">
        <v>166</v>
      </c>
      <c r="E786" t="s">
        <v>166</v>
      </c>
      <c r="F786" t="s">
        <v>166</v>
      </c>
      <c r="G786" t="s">
        <v>166</v>
      </c>
    </row>
    <row r="787" spans="1:7" x14ac:dyDescent="0.2">
      <c r="A787">
        <v>8057</v>
      </c>
      <c r="B787" s="106" t="s">
        <v>1470</v>
      </c>
      <c r="C787">
        <v>0.15</v>
      </c>
      <c r="D787">
        <v>0.15</v>
      </c>
      <c r="E787">
        <v>0.15</v>
      </c>
      <c r="F787">
        <v>0.15</v>
      </c>
      <c r="G787">
        <v>0.45</v>
      </c>
    </row>
    <row r="788" spans="1:7" x14ac:dyDescent="0.2">
      <c r="A788">
        <v>8059</v>
      </c>
      <c r="B788" s="106" t="s">
        <v>1471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8060</v>
      </c>
      <c r="B789" s="106" t="s">
        <v>2202</v>
      </c>
      <c r="C789">
        <v>0</v>
      </c>
      <c r="D789">
        <v>0</v>
      </c>
      <c r="E789">
        <v>0</v>
      </c>
      <c r="F789">
        <v>0</v>
      </c>
      <c r="G789" t="s">
        <v>166</v>
      </c>
    </row>
    <row r="790" spans="1:7" x14ac:dyDescent="0.2">
      <c r="A790">
        <v>8074</v>
      </c>
      <c r="B790" s="106" t="s">
        <v>1472</v>
      </c>
      <c r="C790">
        <v>0</v>
      </c>
      <c r="D790">
        <v>0</v>
      </c>
      <c r="E790">
        <v>0</v>
      </c>
      <c r="F790">
        <v>0.1</v>
      </c>
      <c r="G790">
        <v>0</v>
      </c>
    </row>
    <row r="791" spans="1:7" x14ac:dyDescent="0.2">
      <c r="A791">
        <v>8075</v>
      </c>
      <c r="B791" s="106" t="s">
        <v>1473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8077</v>
      </c>
      <c r="B792" s="106" t="s">
        <v>1474</v>
      </c>
      <c r="C792">
        <v>0.05</v>
      </c>
      <c r="D792">
        <v>0.05</v>
      </c>
      <c r="E792">
        <v>0.05</v>
      </c>
      <c r="F792">
        <v>0</v>
      </c>
      <c r="G792" s="106">
        <v>0.15</v>
      </c>
    </row>
    <row r="793" spans="1:7" x14ac:dyDescent="0.2">
      <c r="A793">
        <v>8079</v>
      </c>
      <c r="B793" s="106" t="s">
        <v>1475</v>
      </c>
      <c r="C793">
        <v>0.1</v>
      </c>
      <c r="D793">
        <v>0.1</v>
      </c>
      <c r="E793">
        <v>0.1</v>
      </c>
      <c r="F793">
        <v>0.1</v>
      </c>
      <c r="G793">
        <v>0.3</v>
      </c>
    </row>
    <row r="794" spans="1:7" x14ac:dyDescent="0.2">
      <c r="A794">
        <v>8086</v>
      </c>
      <c r="B794" s="106" t="s">
        <v>917</v>
      </c>
      <c r="C794">
        <v>0</v>
      </c>
      <c r="D794">
        <v>0</v>
      </c>
      <c r="E794">
        <v>0</v>
      </c>
      <c r="F794">
        <v>0.05</v>
      </c>
      <c r="G794">
        <v>0</v>
      </c>
    </row>
    <row r="795" spans="1:7" x14ac:dyDescent="0.2">
      <c r="A795">
        <v>8089</v>
      </c>
      <c r="B795" s="106" t="s">
        <v>1476</v>
      </c>
      <c r="C795">
        <v>0.05</v>
      </c>
      <c r="D795">
        <v>0.05</v>
      </c>
      <c r="E795">
        <v>0.05</v>
      </c>
      <c r="F795">
        <v>0.05</v>
      </c>
      <c r="G795">
        <v>0.15</v>
      </c>
    </row>
    <row r="796" spans="1:7" x14ac:dyDescent="0.2">
      <c r="A796">
        <v>8093</v>
      </c>
      <c r="B796" s="106" t="s">
        <v>1477</v>
      </c>
      <c r="C796">
        <v>0.05</v>
      </c>
      <c r="D796">
        <v>0.05</v>
      </c>
      <c r="E796" s="106">
        <v>0.05</v>
      </c>
      <c r="F796">
        <v>0.05</v>
      </c>
      <c r="G796">
        <v>0.15</v>
      </c>
    </row>
    <row r="797" spans="1:7" x14ac:dyDescent="0.2">
      <c r="A797">
        <v>8096</v>
      </c>
      <c r="B797" s="106" t="s">
        <v>2134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8097</v>
      </c>
      <c r="B798" s="106" t="s">
        <v>1478</v>
      </c>
      <c r="C798">
        <v>0.05</v>
      </c>
      <c r="D798">
        <v>0.05</v>
      </c>
      <c r="E798">
        <v>0.05</v>
      </c>
      <c r="F798">
        <v>0.05</v>
      </c>
      <c r="G798">
        <v>0.15</v>
      </c>
    </row>
    <row r="799" spans="1:7" x14ac:dyDescent="0.2">
      <c r="A799">
        <v>8098</v>
      </c>
      <c r="B799" s="106" t="s">
        <v>1479</v>
      </c>
      <c r="C799">
        <v>0.05</v>
      </c>
      <c r="D799">
        <v>0.05</v>
      </c>
      <c r="E799">
        <v>0.05</v>
      </c>
      <c r="F799">
        <v>0.05</v>
      </c>
      <c r="G799">
        <v>0.15</v>
      </c>
    </row>
    <row r="800" spans="1:7" x14ac:dyDescent="0.2">
      <c r="A800">
        <v>8101</v>
      </c>
      <c r="B800" s="106" t="s">
        <v>1480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8103</v>
      </c>
      <c r="B801" s="106" t="s">
        <v>1481</v>
      </c>
      <c r="C801">
        <v>0.05</v>
      </c>
      <c r="D801">
        <v>0.05</v>
      </c>
      <c r="E801">
        <v>0.05</v>
      </c>
      <c r="F801">
        <v>0.05</v>
      </c>
      <c r="G801" s="106">
        <v>0.15</v>
      </c>
    </row>
    <row r="802" spans="1:7" x14ac:dyDescent="0.2">
      <c r="A802">
        <v>8111</v>
      </c>
      <c r="B802" s="106" t="s">
        <v>2574</v>
      </c>
      <c r="C802">
        <v>0</v>
      </c>
      <c r="D802">
        <v>0</v>
      </c>
      <c r="E802" t="s">
        <v>166</v>
      </c>
      <c r="F802">
        <v>0</v>
      </c>
      <c r="G802">
        <v>0</v>
      </c>
    </row>
    <row r="803" spans="1:7" x14ac:dyDescent="0.2">
      <c r="A803">
        <v>8113</v>
      </c>
      <c r="B803" s="106" t="s">
        <v>1482</v>
      </c>
      <c r="C803">
        <v>0.1</v>
      </c>
      <c r="D803">
        <v>0.1</v>
      </c>
      <c r="E803">
        <v>0.1</v>
      </c>
      <c r="F803">
        <v>0.1</v>
      </c>
      <c r="G803" s="106">
        <v>0.3</v>
      </c>
    </row>
    <row r="804" spans="1:7" x14ac:dyDescent="0.2">
      <c r="A804">
        <v>8114</v>
      </c>
      <c r="B804" s="106" t="s">
        <v>1483</v>
      </c>
      <c r="C804">
        <v>0.05</v>
      </c>
      <c r="D804">
        <v>0.05</v>
      </c>
      <c r="E804">
        <v>0.05</v>
      </c>
      <c r="F804">
        <v>0.05</v>
      </c>
      <c r="G804">
        <v>0.15</v>
      </c>
    </row>
    <row r="805" spans="1:7" x14ac:dyDescent="0.2">
      <c r="A805">
        <v>8130</v>
      </c>
      <c r="B805" s="106" t="s">
        <v>1484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8131</v>
      </c>
      <c r="B806" s="106" t="s">
        <v>1485</v>
      </c>
      <c r="C806">
        <v>0.05</v>
      </c>
      <c r="D806">
        <v>0.05</v>
      </c>
      <c r="E806">
        <v>0.05</v>
      </c>
      <c r="F806">
        <v>0.05</v>
      </c>
      <c r="G806">
        <v>0.15</v>
      </c>
    </row>
    <row r="807" spans="1:7" x14ac:dyDescent="0.2">
      <c r="A807">
        <v>8132</v>
      </c>
      <c r="B807" s="106" t="s">
        <v>1486</v>
      </c>
      <c r="C807">
        <v>0</v>
      </c>
      <c r="D807">
        <v>0.05</v>
      </c>
      <c r="E807">
        <v>0.05</v>
      </c>
      <c r="F807">
        <v>0</v>
      </c>
      <c r="G807">
        <v>0</v>
      </c>
    </row>
    <row r="808" spans="1:7" x14ac:dyDescent="0.2">
      <c r="A808">
        <v>8137</v>
      </c>
      <c r="B808" s="106" t="s">
        <v>1487</v>
      </c>
      <c r="C808">
        <v>0.05</v>
      </c>
      <c r="D808">
        <v>0.05</v>
      </c>
      <c r="E808">
        <v>0.05</v>
      </c>
      <c r="F808" s="106">
        <v>0.05</v>
      </c>
      <c r="G808" s="106">
        <v>0.15</v>
      </c>
    </row>
    <row r="809" spans="1:7" x14ac:dyDescent="0.2">
      <c r="A809">
        <v>8140</v>
      </c>
      <c r="B809" s="106" t="s">
        <v>1488</v>
      </c>
      <c r="C809">
        <v>0.05</v>
      </c>
      <c r="D809">
        <v>0.05</v>
      </c>
      <c r="E809">
        <v>0.05</v>
      </c>
      <c r="F809">
        <v>0.05</v>
      </c>
      <c r="G809">
        <v>0.15</v>
      </c>
    </row>
    <row r="810" spans="1:7" x14ac:dyDescent="0.2">
      <c r="A810">
        <v>8141</v>
      </c>
      <c r="B810" s="106" t="s">
        <v>1489</v>
      </c>
      <c r="C810">
        <v>0.05</v>
      </c>
      <c r="D810">
        <v>0.05</v>
      </c>
      <c r="E810">
        <v>0.05</v>
      </c>
      <c r="F810">
        <v>0.05</v>
      </c>
      <c r="G810">
        <v>0.15</v>
      </c>
    </row>
    <row r="811" spans="1:7" x14ac:dyDescent="0.2">
      <c r="A811">
        <v>8142</v>
      </c>
      <c r="B811" s="106" t="s">
        <v>1490</v>
      </c>
      <c r="C811">
        <v>0.05</v>
      </c>
      <c r="D811">
        <v>0.05</v>
      </c>
      <c r="E811">
        <v>0.05</v>
      </c>
      <c r="F811">
        <v>0.05</v>
      </c>
      <c r="G811">
        <v>0.15</v>
      </c>
    </row>
    <row r="812" spans="1:7" x14ac:dyDescent="0.2">
      <c r="A812">
        <v>8150</v>
      </c>
      <c r="B812" s="106" t="s">
        <v>1491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8153</v>
      </c>
      <c r="B813" s="106" t="s">
        <v>1492</v>
      </c>
      <c r="C813">
        <v>0.1</v>
      </c>
      <c r="D813">
        <v>0.05</v>
      </c>
      <c r="E813">
        <v>0.1</v>
      </c>
      <c r="F813">
        <v>0.05</v>
      </c>
      <c r="G813">
        <v>0.3</v>
      </c>
    </row>
    <row r="814" spans="1:7" x14ac:dyDescent="0.2">
      <c r="A814">
        <v>8158</v>
      </c>
      <c r="B814" s="106" t="s">
        <v>1493</v>
      </c>
      <c r="C814">
        <v>0.05</v>
      </c>
      <c r="D814">
        <v>0.05</v>
      </c>
      <c r="E814">
        <v>0.05</v>
      </c>
      <c r="F814">
        <v>0.05</v>
      </c>
      <c r="G814">
        <v>0.15</v>
      </c>
    </row>
    <row r="815" spans="1:7" x14ac:dyDescent="0.2">
      <c r="A815">
        <v>8160</v>
      </c>
      <c r="B815" s="106" t="s">
        <v>1494</v>
      </c>
      <c r="C815">
        <v>0.05</v>
      </c>
      <c r="D815">
        <v>0.05</v>
      </c>
      <c r="E815">
        <v>0.05</v>
      </c>
      <c r="F815">
        <v>0.05</v>
      </c>
      <c r="G815">
        <v>0.15</v>
      </c>
    </row>
    <row r="816" spans="1:7" x14ac:dyDescent="0.2">
      <c r="A816">
        <v>8163</v>
      </c>
      <c r="B816" s="106" t="s">
        <v>1495</v>
      </c>
      <c r="C816">
        <v>0.05</v>
      </c>
      <c r="D816">
        <v>0.05</v>
      </c>
      <c r="E816">
        <v>0.05</v>
      </c>
      <c r="F816">
        <v>0.05</v>
      </c>
      <c r="G816">
        <v>0.15</v>
      </c>
    </row>
    <row r="817" spans="1:7" x14ac:dyDescent="0.2">
      <c r="A817">
        <v>8173</v>
      </c>
      <c r="B817" s="106" t="s">
        <v>1496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">
      <c r="A818">
        <v>8174</v>
      </c>
      <c r="B818" s="106" t="s">
        <v>1497</v>
      </c>
      <c r="C818">
        <v>0.1</v>
      </c>
      <c r="D818">
        <v>0.1</v>
      </c>
      <c r="E818">
        <v>0.1</v>
      </c>
      <c r="F818">
        <v>0.1</v>
      </c>
      <c r="G818">
        <v>0.3</v>
      </c>
    </row>
    <row r="819" spans="1:7" x14ac:dyDescent="0.2">
      <c r="A819">
        <v>8179</v>
      </c>
      <c r="B819" s="106" t="s">
        <v>1498</v>
      </c>
      <c r="C819">
        <v>0.05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8182</v>
      </c>
      <c r="B820" s="106" t="s">
        <v>1499</v>
      </c>
      <c r="C820">
        <v>0.05</v>
      </c>
      <c r="D820">
        <v>0.05</v>
      </c>
      <c r="E820">
        <v>0.05</v>
      </c>
      <c r="F820" s="106">
        <v>0.05</v>
      </c>
      <c r="G820" s="106">
        <v>0.15</v>
      </c>
    </row>
    <row r="821" spans="1:7" x14ac:dyDescent="0.2">
      <c r="A821">
        <v>8184</v>
      </c>
      <c r="B821" s="106" t="s">
        <v>1500</v>
      </c>
      <c r="C821">
        <v>0.05</v>
      </c>
      <c r="D821">
        <v>0.05</v>
      </c>
      <c r="E821">
        <v>0.05</v>
      </c>
      <c r="F821">
        <v>0.05</v>
      </c>
      <c r="G821">
        <v>0.15</v>
      </c>
    </row>
    <row r="822" spans="1:7" x14ac:dyDescent="0.2">
      <c r="A822">
        <v>8185</v>
      </c>
      <c r="B822" s="106" t="s">
        <v>1501</v>
      </c>
      <c r="C822">
        <v>0.05</v>
      </c>
      <c r="D822">
        <v>0.05</v>
      </c>
      <c r="E822">
        <v>0.05</v>
      </c>
      <c r="F822">
        <v>0.05</v>
      </c>
      <c r="G822">
        <v>0.15</v>
      </c>
    </row>
    <row r="823" spans="1:7" x14ac:dyDescent="0.2">
      <c r="A823">
        <v>8194</v>
      </c>
      <c r="B823" s="106" t="s">
        <v>1502</v>
      </c>
      <c r="C823">
        <v>0.05</v>
      </c>
      <c r="D823">
        <v>0.05</v>
      </c>
      <c r="E823">
        <v>0.05</v>
      </c>
      <c r="F823">
        <v>0.05</v>
      </c>
      <c r="G823">
        <v>0.15</v>
      </c>
    </row>
    <row r="824" spans="1:7" x14ac:dyDescent="0.2">
      <c r="A824">
        <v>8200</v>
      </c>
      <c r="B824" s="106" t="s">
        <v>1503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8203</v>
      </c>
      <c r="B825" s="106" t="s">
        <v>1504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">
      <c r="A826">
        <v>8214</v>
      </c>
      <c r="B826" s="106" t="s">
        <v>1505</v>
      </c>
      <c r="C826">
        <v>0</v>
      </c>
      <c r="D826">
        <v>0.05</v>
      </c>
      <c r="E826">
        <v>0.05</v>
      </c>
      <c r="F826">
        <v>0</v>
      </c>
      <c r="G826">
        <v>0.15</v>
      </c>
    </row>
    <row r="827" spans="1:7" x14ac:dyDescent="0.2">
      <c r="A827">
        <v>8217</v>
      </c>
      <c r="B827" s="106" t="s">
        <v>1506</v>
      </c>
      <c r="C827">
        <v>0.15</v>
      </c>
      <c r="D827">
        <v>0.55000000000000004</v>
      </c>
      <c r="E827">
        <v>0.1</v>
      </c>
      <c r="F827">
        <v>0.05</v>
      </c>
      <c r="G827">
        <v>0.15</v>
      </c>
    </row>
    <row r="828" spans="1:7" x14ac:dyDescent="0.2">
      <c r="A828">
        <v>8227</v>
      </c>
      <c r="B828" s="106" t="s">
        <v>1507</v>
      </c>
      <c r="C828">
        <v>0.15</v>
      </c>
      <c r="D828">
        <v>0.2</v>
      </c>
      <c r="E828">
        <v>0.2</v>
      </c>
      <c r="F828">
        <v>0.2</v>
      </c>
      <c r="G828">
        <v>0.6</v>
      </c>
    </row>
    <row r="829" spans="1:7" x14ac:dyDescent="0.2">
      <c r="A829">
        <v>8230</v>
      </c>
      <c r="B829" s="106" t="s">
        <v>1508</v>
      </c>
      <c r="C829">
        <v>0.05</v>
      </c>
      <c r="D829">
        <v>0.05</v>
      </c>
      <c r="E829">
        <v>0.05</v>
      </c>
      <c r="F829">
        <v>0.05</v>
      </c>
      <c r="G829">
        <v>0.15</v>
      </c>
    </row>
    <row r="830" spans="1:7" x14ac:dyDescent="0.2">
      <c r="A830">
        <v>8233</v>
      </c>
      <c r="B830" s="106" t="s">
        <v>2575</v>
      </c>
      <c r="C830">
        <v>0</v>
      </c>
      <c r="D830" t="s">
        <v>166</v>
      </c>
      <c r="E830" t="s">
        <v>166</v>
      </c>
      <c r="F830" t="s">
        <v>166</v>
      </c>
      <c r="G830">
        <v>0</v>
      </c>
    </row>
    <row r="831" spans="1:7" x14ac:dyDescent="0.2">
      <c r="A831">
        <v>8237</v>
      </c>
      <c r="B831" s="106" t="s">
        <v>1509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8242</v>
      </c>
      <c r="B832" s="106" t="s">
        <v>1510</v>
      </c>
      <c r="C832">
        <v>0</v>
      </c>
      <c r="D832">
        <v>0</v>
      </c>
      <c r="E832">
        <v>0.05</v>
      </c>
      <c r="F832">
        <v>0.05</v>
      </c>
      <c r="G832">
        <v>0.15</v>
      </c>
    </row>
    <row r="833" spans="1:7" x14ac:dyDescent="0.2">
      <c r="A833">
        <v>8244</v>
      </c>
      <c r="B833" s="106" t="s">
        <v>1511</v>
      </c>
      <c r="C833">
        <v>0.1</v>
      </c>
      <c r="D833">
        <v>0.1</v>
      </c>
      <c r="E833">
        <v>0.1</v>
      </c>
      <c r="F833">
        <v>0.1</v>
      </c>
      <c r="G833">
        <v>0.3</v>
      </c>
    </row>
    <row r="834" spans="1:7" x14ac:dyDescent="0.2">
      <c r="A834">
        <v>8251</v>
      </c>
      <c r="B834" s="106" t="s">
        <v>1512</v>
      </c>
      <c r="C834">
        <v>0.05</v>
      </c>
      <c r="D834">
        <v>0.05</v>
      </c>
      <c r="E834">
        <v>0.05</v>
      </c>
      <c r="F834">
        <v>0.05</v>
      </c>
      <c r="G834">
        <v>0.15</v>
      </c>
    </row>
    <row r="835" spans="1:7" x14ac:dyDescent="0.2">
      <c r="A835">
        <v>8252</v>
      </c>
      <c r="B835" s="106" t="s">
        <v>1513</v>
      </c>
      <c r="C835">
        <v>0.05</v>
      </c>
      <c r="D835">
        <v>0.05</v>
      </c>
      <c r="E835">
        <v>0.05</v>
      </c>
      <c r="F835">
        <v>0.05</v>
      </c>
      <c r="G835">
        <v>0.15</v>
      </c>
    </row>
    <row r="836" spans="1:7" x14ac:dyDescent="0.2">
      <c r="A836">
        <v>8253</v>
      </c>
      <c r="B836" s="106" t="s">
        <v>892</v>
      </c>
      <c r="C836">
        <v>0.05</v>
      </c>
      <c r="D836">
        <v>0.05</v>
      </c>
      <c r="E836">
        <v>0.05</v>
      </c>
      <c r="F836">
        <v>0.05</v>
      </c>
      <c r="G836">
        <v>0.15</v>
      </c>
    </row>
    <row r="837" spans="1:7" x14ac:dyDescent="0.2">
      <c r="A837">
        <v>8267</v>
      </c>
      <c r="B837" s="106" t="s">
        <v>232</v>
      </c>
      <c r="C837">
        <v>0.05</v>
      </c>
      <c r="D837">
        <v>0.05</v>
      </c>
      <c r="E837">
        <v>0.05</v>
      </c>
      <c r="F837">
        <v>0.05</v>
      </c>
      <c r="G837">
        <v>0.15</v>
      </c>
    </row>
    <row r="838" spans="1:7" x14ac:dyDescent="0.2">
      <c r="A838">
        <v>8273</v>
      </c>
      <c r="B838" s="106" t="s">
        <v>2135</v>
      </c>
      <c r="C838">
        <v>0</v>
      </c>
      <c r="D838" t="s">
        <v>166</v>
      </c>
      <c r="E838" s="106">
        <v>0</v>
      </c>
      <c r="F838">
        <v>0</v>
      </c>
      <c r="G838">
        <v>0</v>
      </c>
    </row>
    <row r="839" spans="1:7" x14ac:dyDescent="0.2">
      <c r="A839">
        <v>8275</v>
      </c>
      <c r="B839" s="106" t="s">
        <v>1514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">
      <c r="A840">
        <v>8276</v>
      </c>
      <c r="B840" s="106" t="s">
        <v>1515</v>
      </c>
      <c r="C840">
        <v>0.05</v>
      </c>
      <c r="D840">
        <v>0.05</v>
      </c>
      <c r="E840">
        <v>0.05</v>
      </c>
      <c r="F840">
        <v>0.05</v>
      </c>
      <c r="G840">
        <v>0.15</v>
      </c>
    </row>
    <row r="841" spans="1:7" x14ac:dyDescent="0.2">
      <c r="A841">
        <v>8278</v>
      </c>
      <c r="B841" s="106" t="s">
        <v>1516</v>
      </c>
      <c r="C841">
        <v>0.05</v>
      </c>
      <c r="D841">
        <v>0.05</v>
      </c>
      <c r="E841">
        <v>0.05</v>
      </c>
      <c r="F841">
        <v>0.05</v>
      </c>
      <c r="G841">
        <v>0.15</v>
      </c>
    </row>
    <row r="842" spans="1:7" x14ac:dyDescent="0.2">
      <c r="A842">
        <v>8279</v>
      </c>
      <c r="B842" s="106" t="s">
        <v>1517</v>
      </c>
      <c r="C842">
        <v>0.1</v>
      </c>
      <c r="D842">
        <v>0.1</v>
      </c>
      <c r="E842">
        <v>0.1</v>
      </c>
      <c r="F842">
        <v>0.1</v>
      </c>
      <c r="G842">
        <v>0.3</v>
      </c>
    </row>
    <row r="843" spans="1:7" x14ac:dyDescent="0.2">
      <c r="A843">
        <v>8281</v>
      </c>
      <c r="B843" s="106" t="s">
        <v>1518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8282</v>
      </c>
      <c r="B844" s="106" t="s">
        <v>1519</v>
      </c>
      <c r="C844">
        <v>0.05</v>
      </c>
      <c r="D844">
        <v>0.05</v>
      </c>
      <c r="E844">
        <v>0.05</v>
      </c>
      <c r="F844">
        <v>0.05</v>
      </c>
      <c r="G844">
        <v>0.15</v>
      </c>
    </row>
    <row r="845" spans="1:7" x14ac:dyDescent="0.2">
      <c r="A845">
        <v>8283</v>
      </c>
      <c r="B845" s="106" t="s">
        <v>1520</v>
      </c>
      <c r="C845">
        <v>0.1</v>
      </c>
      <c r="D845">
        <v>0.1</v>
      </c>
      <c r="E845">
        <v>0.1</v>
      </c>
      <c r="F845">
        <v>0.1</v>
      </c>
      <c r="G845">
        <v>0.3</v>
      </c>
    </row>
    <row r="846" spans="1:7" x14ac:dyDescent="0.2">
      <c r="A846">
        <v>8289</v>
      </c>
      <c r="B846" s="106" t="s">
        <v>1521</v>
      </c>
      <c r="C846">
        <v>0</v>
      </c>
      <c r="D846">
        <v>0.05</v>
      </c>
      <c r="E846">
        <v>0.05</v>
      </c>
      <c r="F846" s="106">
        <v>0</v>
      </c>
      <c r="G846" s="106">
        <v>0</v>
      </c>
    </row>
    <row r="847" spans="1:7" x14ac:dyDescent="0.2">
      <c r="A847">
        <v>8303</v>
      </c>
      <c r="B847" s="106" t="s">
        <v>1522</v>
      </c>
      <c r="C847">
        <v>0.05</v>
      </c>
      <c r="D847">
        <v>0.05</v>
      </c>
      <c r="E847">
        <v>0.05</v>
      </c>
      <c r="F847" s="106">
        <v>0.05</v>
      </c>
      <c r="G847" s="106">
        <v>0</v>
      </c>
    </row>
    <row r="848" spans="1:7" x14ac:dyDescent="0.2">
      <c r="A848">
        <v>8308</v>
      </c>
      <c r="B848" s="106" t="s">
        <v>56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8309</v>
      </c>
      <c r="B849" s="106" t="s">
        <v>1523</v>
      </c>
      <c r="C849">
        <v>0.1</v>
      </c>
      <c r="D849">
        <v>0.1</v>
      </c>
      <c r="E849">
        <v>0.1</v>
      </c>
      <c r="F849" s="106">
        <v>0.1</v>
      </c>
      <c r="G849">
        <v>0.3</v>
      </c>
    </row>
    <row r="850" spans="1:7" x14ac:dyDescent="0.2">
      <c r="A850">
        <v>8316</v>
      </c>
      <c r="B850" s="106" t="s">
        <v>894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8331</v>
      </c>
      <c r="B851" s="106" t="s">
        <v>1524</v>
      </c>
      <c r="C851">
        <v>0.05</v>
      </c>
      <c r="D851">
        <v>0.05</v>
      </c>
      <c r="E851">
        <v>0.05</v>
      </c>
      <c r="F851">
        <v>0.05</v>
      </c>
      <c r="G851">
        <v>0.15</v>
      </c>
    </row>
    <row r="852" spans="1:7" x14ac:dyDescent="0.2">
      <c r="A852">
        <v>8337</v>
      </c>
      <c r="B852" s="106" t="s">
        <v>1525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8338</v>
      </c>
      <c r="B853" s="106" t="s">
        <v>1526</v>
      </c>
      <c r="C853">
        <v>0</v>
      </c>
      <c r="D853">
        <v>0</v>
      </c>
      <c r="E853">
        <v>0.05</v>
      </c>
      <c r="F853">
        <v>0</v>
      </c>
      <c r="G853">
        <v>0</v>
      </c>
    </row>
    <row r="854" spans="1:7" x14ac:dyDescent="0.2">
      <c r="A854">
        <v>8341</v>
      </c>
      <c r="B854" s="106" t="s">
        <v>1527</v>
      </c>
      <c r="C854">
        <v>0.05</v>
      </c>
      <c r="D854">
        <v>0.05</v>
      </c>
      <c r="E854">
        <v>0.05</v>
      </c>
      <c r="F854">
        <v>0.05</v>
      </c>
      <c r="G854">
        <v>0.15</v>
      </c>
    </row>
    <row r="855" spans="1:7" x14ac:dyDescent="0.2">
      <c r="A855">
        <v>8342</v>
      </c>
      <c r="B855" s="106" t="s">
        <v>1528</v>
      </c>
      <c r="C855">
        <v>0.05</v>
      </c>
      <c r="D855">
        <v>0.05</v>
      </c>
      <c r="E855">
        <v>0.05</v>
      </c>
      <c r="F855">
        <v>0.05</v>
      </c>
      <c r="G855">
        <v>0.15</v>
      </c>
    </row>
    <row r="856" spans="1:7" x14ac:dyDescent="0.2">
      <c r="A856">
        <v>8343</v>
      </c>
      <c r="B856" s="106" t="s">
        <v>1529</v>
      </c>
      <c r="C856">
        <v>0.05</v>
      </c>
      <c r="D856">
        <v>0.05</v>
      </c>
      <c r="E856">
        <v>0.05</v>
      </c>
      <c r="F856">
        <v>0.05</v>
      </c>
      <c r="G856">
        <v>0.15</v>
      </c>
    </row>
    <row r="857" spans="1:7" x14ac:dyDescent="0.2">
      <c r="A857">
        <v>8344</v>
      </c>
      <c r="B857" s="106" t="s">
        <v>1530</v>
      </c>
      <c r="C857">
        <v>0.05</v>
      </c>
      <c r="D857">
        <v>0.05</v>
      </c>
      <c r="E857">
        <v>0.05</v>
      </c>
      <c r="F857" s="106">
        <v>0.05</v>
      </c>
      <c r="G857">
        <v>0.15</v>
      </c>
    </row>
    <row r="858" spans="1:7" x14ac:dyDescent="0.2">
      <c r="A858">
        <v>8345</v>
      </c>
      <c r="B858" s="106" t="s">
        <v>1531</v>
      </c>
      <c r="C858">
        <v>0.05</v>
      </c>
      <c r="D858">
        <v>0.05</v>
      </c>
      <c r="E858">
        <v>0.05</v>
      </c>
      <c r="F858" s="106">
        <v>0.05</v>
      </c>
      <c r="G858">
        <v>0.15</v>
      </c>
    </row>
    <row r="859" spans="1:7" x14ac:dyDescent="0.2">
      <c r="A859">
        <v>8346</v>
      </c>
      <c r="B859" s="106" t="s">
        <v>1532</v>
      </c>
      <c r="C859">
        <v>0</v>
      </c>
      <c r="D859">
        <v>0</v>
      </c>
      <c r="E859">
        <v>0</v>
      </c>
      <c r="F859">
        <v>0.05</v>
      </c>
      <c r="G859">
        <v>0</v>
      </c>
    </row>
    <row r="860" spans="1:7" x14ac:dyDescent="0.2">
      <c r="A860">
        <v>8350</v>
      </c>
      <c r="B860" s="106" t="s">
        <v>1533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8354</v>
      </c>
      <c r="B861" s="106" t="s">
        <v>2136</v>
      </c>
      <c r="C861">
        <v>0</v>
      </c>
      <c r="D861" t="s">
        <v>166</v>
      </c>
      <c r="E861">
        <v>0.05</v>
      </c>
      <c r="F861" s="106">
        <v>0.05</v>
      </c>
      <c r="G861">
        <v>0.15</v>
      </c>
    </row>
    <row r="862" spans="1:7" x14ac:dyDescent="0.2">
      <c r="A862">
        <v>8355</v>
      </c>
      <c r="B862" s="106" t="s">
        <v>1534</v>
      </c>
      <c r="C862">
        <v>0</v>
      </c>
      <c r="D862">
        <v>0.05</v>
      </c>
      <c r="E862">
        <v>0.05</v>
      </c>
      <c r="F862">
        <v>0</v>
      </c>
      <c r="G862">
        <v>0.15</v>
      </c>
    </row>
    <row r="863" spans="1:7" x14ac:dyDescent="0.2">
      <c r="A863">
        <v>8356</v>
      </c>
      <c r="B863" s="106" t="s">
        <v>1535</v>
      </c>
      <c r="C863">
        <v>0.05</v>
      </c>
      <c r="D863">
        <v>0.05</v>
      </c>
      <c r="E863">
        <v>0.05</v>
      </c>
      <c r="F863">
        <v>0.05</v>
      </c>
      <c r="G863">
        <v>0.15</v>
      </c>
    </row>
    <row r="864" spans="1:7" x14ac:dyDescent="0.2">
      <c r="A864">
        <v>8358</v>
      </c>
      <c r="B864" s="106" t="s">
        <v>1536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8359</v>
      </c>
      <c r="B865" s="106" t="s">
        <v>930</v>
      </c>
      <c r="C865">
        <v>0.05</v>
      </c>
      <c r="D865">
        <v>0.05</v>
      </c>
      <c r="E865">
        <v>0.05</v>
      </c>
      <c r="F865">
        <v>0.05</v>
      </c>
      <c r="G865">
        <v>0.15</v>
      </c>
    </row>
    <row r="866" spans="1:7" x14ac:dyDescent="0.2">
      <c r="A866">
        <v>8361</v>
      </c>
      <c r="B866" s="106" t="s">
        <v>1537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">
      <c r="A867">
        <v>8362</v>
      </c>
      <c r="B867" s="106" t="s">
        <v>1538</v>
      </c>
      <c r="C867">
        <v>0.05</v>
      </c>
      <c r="D867">
        <v>0.05</v>
      </c>
      <c r="E867">
        <v>0.05</v>
      </c>
      <c r="F867">
        <v>0.05</v>
      </c>
      <c r="G867">
        <v>0.15</v>
      </c>
    </row>
    <row r="868" spans="1:7" x14ac:dyDescent="0.2">
      <c r="A868">
        <v>8363</v>
      </c>
      <c r="B868" s="106" t="s">
        <v>1539</v>
      </c>
      <c r="C868">
        <v>0.1</v>
      </c>
      <c r="D868" s="106">
        <v>0.1</v>
      </c>
      <c r="E868">
        <v>0.1</v>
      </c>
      <c r="F868" s="106">
        <v>0.1</v>
      </c>
      <c r="G868">
        <v>0.3</v>
      </c>
    </row>
    <row r="869" spans="1:7" x14ac:dyDescent="0.2">
      <c r="A869">
        <v>8364</v>
      </c>
      <c r="B869" s="106" t="s">
        <v>1540</v>
      </c>
      <c r="C869">
        <v>0.05</v>
      </c>
      <c r="D869" s="106">
        <v>0.05</v>
      </c>
      <c r="E869">
        <v>0.05</v>
      </c>
      <c r="F869" s="106">
        <v>0.05</v>
      </c>
      <c r="G869">
        <v>0.15</v>
      </c>
    </row>
    <row r="870" spans="1:7" x14ac:dyDescent="0.2">
      <c r="A870">
        <v>8365</v>
      </c>
      <c r="B870" s="106" t="s">
        <v>1541</v>
      </c>
      <c r="C870">
        <v>0.05</v>
      </c>
      <c r="D870" s="106">
        <v>0.05</v>
      </c>
      <c r="E870">
        <v>0.05</v>
      </c>
      <c r="F870" s="106">
        <v>0.05</v>
      </c>
      <c r="G870" s="106">
        <v>0.15</v>
      </c>
    </row>
    <row r="871" spans="1:7" x14ac:dyDescent="0.2">
      <c r="A871">
        <v>8366</v>
      </c>
      <c r="B871" s="106" t="s">
        <v>1542</v>
      </c>
      <c r="C871">
        <v>0.05</v>
      </c>
      <c r="D871">
        <v>0.05</v>
      </c>
      <c r="E871">
        <v>0.05</v>
      </c>
      <c r="F871">
        <v>0.05</v>
      </c>
      <c r="G871">
        <v>0.15</v>
      </c>
    </row>
    <row r="872" spans="1:7" x14ac:dyDescent="0.2">
      <c r="A872">
        <v>8367</v>
      </c>
      <c r="B872" s="106" t="s">
        <v>1543</v>
      </c>
      <c r="C872">
        <v>0.05</v>
      </c>
      <c r="D872">
        <v>0.05</v>
      </c>
      <c r="E872">
        <v>0.05</v>
      </c>
      <c r="F872">
        <v>0.05</v>
      </c>
      <c r="G872">
        <v>0.15</v>
      </c>
    </row>
    <row r="873" spans="1:7" x14ac:dyDescent="0.2">
      <c r="A873">
        <v>8368</v>
      </c>
      <c r="B873" s="106" t="s">
        <v>2137</v>
      </c>
      <c r="C873">
        <v>0.05</v>
      </c>
      <c r="D873">
        <v>0.05</v>
      </c>
      <c r="E873">
        <v>0.05</v>
      </c>
      <c r="F873">
        <v>0.05</v>
      </c>
      <c r="G873">
        <v>0.15</v>
      </c>
    </row>
    <row r="874" spans="1:7" x14ac:dyDescent="0.2">
      <c r="A874">
        <v>8369</v>
      </c>
      <c r="B874" s="106" t="s">
        <v>1544</v>
      </c>
      <c r="C874">
        <v>0.1</v>
      </c>
      <c r="D874">
        <v>0.1</v>
      </c>
      <c r="E874">
        <v>0.1</v>
      </c>
      <c r="F874" s="106">
        <v>0.1</v>
      </c>
      <c r="G874">
        <v>0.3</v>
      </c>
    </row>
    <row r="875" spans="1:7" x14ac:dyDescent="0.2">
      <c r="A875">
        <v>8370</v>
      </c>
      <c r="B875" s="106" t="s">
        <v>1545</v>
      </c>
      <c r="C875">
        <v>0.05</v>
      </c>
      <c r="D875">
        <v>0.05</v>
      </c>
      <c r="E875">
        <v>0.05</v>
      </c>
      <c r="F875" s="106">
        <v>0.05</v>
      </c>
      <c r="G875">
        <v>0.15</v>
      </c>
    </row>
    <row r="876" spans="1:7" x14ac:dyDescent="0.2">
      <c r="A876">
        <v>8379</v>
      </c>
      <c r="B876" s="106" t="s">
        <v>1546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8382</v>
      </c>
      <c r="B877" s="106" t="s">
        <v>1547</v>
      </c>
      <c r="C877">
        <v>0.05</v>
      </c>
      <c r="D877">
        <v>0.05</v>
      </c>
      <c r="E877">
        <v>0.05</v>
      </c>
      <c r="F877">
        <v>0.05</v>
      </c>
      <c r="G877">
        <v>0.15</v>
      </c>
    </row>
    <row r="878" spans="1:7" x14ac:dyDescent="0.2">
      <c r="A878">
        <v>8383</v>
      </c>
      <c r="B878" s="106" t="s">
        <v>1548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8385</v>
      </c>
      <c r="B879" s="106" t="s">
        <v>1549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8387</v>
      </c>
      <c r="B880" s="106" t="s">
        <v>1550</v>
      </c>
      <c r="C880">
        <v>0.05</v>
      </c>
      <c r="D880">
        <v>0.05</v>
      </c>
      <c r="E880">
        <v>0.05</v>
      </c>
      <c r="F880" s="106">
        <v>0.05</v>
      </c>
      <c r="G880" s="106">
        <v>0.15</v>
      </c>
    </row>
    <row r="881" spans="1:7" x14ac:dyDescent="0.2">
      <c r="A881">
        <v>8388</v>
      </c>
      <c r="B881" s="106" t="s">
        <v>1551</v>
      </c>
      <c r="C881">
        <v>0.05</v>
      </c>
      <c r="D881">
        <v>0.05</v>
      </c>
      <c r="E881" s="106">
        <v>0.05</v>
      </c>
      <c r="F881" s="106">
        <v>0.05</v>
      </c>
      <c r="G881" s="106">
        <v>0.15</v>
      </c>
    </row>
    <row r="882" spans="1:7" x14ac:dyDescent="0.2">
      <c r="A882">
        <v>8392</v>
      </c>
      <c r="B882" s="106" t="s">
        <v>2313</v>
      </c>
      <c r="C882">
        <v>0</v>
      </c>
      <c r="D882">
        <v>0</v>
      </c>
      <c r="E882" s="106">
        <v>0</v>
      </c>
      <c r="F882" s="106" t="s">
        <v>166</v>
      </c>
      <c r="G882" s="106" t="s">
        <v>166</v>
      </c>
    </row>
    <row r="883" spans="1:7" x14ac:dyDescent="0.2">
      <c r="A883">
        <v>8393</v>
      </c>
      <c r="B883" s="106" t="s">
        <v>1552</v>
      </c>
      <c r="C883">
        <v>0.05</v>
      </c>
      <c r="D883">
        <v>0.05</v>
      </c>
      <c r="E883">
        <v>0.05</v>
      </c>
      <c r="F883">
        <v>0.05</v>
      </c>
      <c r="G883" s="106">
        <v>0.15</v>
      </c>
    </row>
    <row r="884" spans="1:7" x14ac:dyDescent="0.2">
      <c r="A884">
        <v>8395</v>
      </c>
      <c r="B884" s="106" t="s">
        <v>1553</v>
      </c>
      <c r="C884">
        <v>0.05</v>
      </c>
      <c r="D884">
        <v>0</v>
      </c>
      <c r="E884">
        <v>0.05</v>
      </c>
      <c r="F884">
        <v>0</v>
      </c>
      <c r="G884" s="106">
        <v>0.15</v>
      </c>
    </row>
    <row r="885" spans="1:7" x14ac:dyDescent="0.2">
      <c r="A885">
        <v>8397</v>
      </c>
      <c r="B885" s="106" t="s">
        <v>1554</v>
      </c>
      <c r="C885">
        <v>0.1</v>
      </c>
      <c r="D885">
        <v>0.1</v>
      </c>
      <c r="E885">
        <v>0.1</v>
      </c>
      <c r="F885">
        <v>0.1</v>
      </c>
      <c r="G885" s="106">
        <v>0.3</v>
      </c>
    </row>
    <row r="886" spans="1:7" x14ac:dyDescent="0.2">
      <c r="A886">
        <v>8399</v>
      </c>
      <c r="B886" s="106" t="s">
        <v>1555</v>
      </c>
      <c r="C886">
        <v>0.05</v>
      </c>
      <c r="D886">
        <v>0.05</v>
      </c>
      <c r="E886">
        <v>0.05</v>
      </c>
      <c r="F886">
        <v>0.05</v>
      </c>
      <c r="G886">
        <v>0.15</v>
      </c>
    </row>
    <row r="887" spans="1:7" x14ac:dyDescent="0.2">
      <c r="A887">
        <v>8416</v>
      </c>
      <c r="B887" s="106" t="s">
        <v>1556</v>
      </c>
      <c r="C887">
        <v>0</v>
      </c>
      <c r="D887" s="106">
        <v>0.05</v>
      </c>
      <c r="E887">
        <v>0</v>
      </c>
      <c r="F887" s="106">
        <v>0</v>
      </c>
      <c r="G887" s="106">
        <v>0</v>
      </c>
    </row>
    <row r="888" spans="1:7" x14ac:dyDescent="0.2">
      <c r="A888">
        <v>8424</v>
      </c>
      <c r="B888" s="106" t="s">
        <v>1557</v>
      </c>
      <c r="C888">
        <v>0</v>
      </c>
      <c r="D888" s="106" t="s">
        <v>166</v>
      </c>
      <c r="E888">
        <v>0</v>
      </c>
      <c r="F888" s="106">
        <v>0</v>
      </c>
      <c r="G888" s="106">
        <v>0</v>
      </c>
    </row>
    <row r="889" spans="1:7" x14ac:dyDescent="0.2">
      <c r="A889">
        <v>8425</v>
      </c>
      <c r="B889" s="106" t="s">
        <v>2314</v>
      </c>
      <c r="C889">
        <v>0.1</v>
      </c>
      <c r="D889" t="s">
        <v>166</v>
      </c>
      <c r="E889">
        <v>0.1</v>
      </c>
      <c r="F889" t="s">
        <v>166</v>
      </c>
      <c r="G889">
        <v>0.3</v>
      </c>
    </row>
    <row r="890" spans="1:7" x14ac:dyDescent="0.2">
      <c r="A890">
        <v>8439</v>
      </c>
      <c r="B890" s="106" t="s">
        <v>1558</v>
      </c>
      <c r="C890">
        <v>0.1</v>
      </c>
      <c r="D890">
        <v>0.1</v>
      </c>
      <c r="E890">
        <v>0.1</v>
      </c>
      <c r="F890">
        <v>0.1</v>
      </c>
      <c r="G890">
        <v>0.3</v>
      </c>
    </row>
    <row r="891" spans="1:7" x14ac:dyDescent="0.2">
      <c r="A891">
        <v>8521</v>
      </c>
      <c r="B891" s="106" t="s">
        <v>1559</v>
      </c>
      <c r="C891">
        <v>0.05</v>
      </c>
      <c r="D891">
        <v>0.05</v>
      </c>
      <c r="E891">
        <v>0.05</v>
      </c>
      <c r="F891">
        <v>0.05</v>
      </c>
      <c r="G891">
        <v>0.15</v>
      </c>
    </row>
    <row r="892" spans="1:7" x14ac:dyDescent="0.2">
      <c r="A892">
        <v>8522</v>
      </c>
      <c r="B892" s="106" t="s">
        <v>1560</v>
      </c>
      <c r="C892">
        <v>0.1</v>
      </c>
      <c r="D892">
        <v>0.1</v>
      </c>
      <c r="E892">
        <v>0.1</v>
      </c>
      <c r="F892">
        <v>0.05</v>
      </c>
      <c r="G892">
        <v>0.3</v>
      </c>
    </row>
    <row r="893" spans="1:7" x14ac:dyDescent="0.2">
      <c r="A893">
        <v>8530</v>
      </c>
      <c r="B893" s="106" t="s">
        <v>1561</v>
      </c>
      <c r="C893">
        <v>0.05</v>
      </c>
      <c r="D893">
        <v>0.05</v>
      </c>
      <c r="E893">
        <v>0.05</v>
      </c>
      <c r="F893">
        <v>0.05</v>
      </c>
      <c r="G893">
        <v>0.15</v>
      </c>
    </row>
    <row r="894" spans="1:7" x14ac:dyDescent="0.2">
      <c r="A894">
        <v>8537</v>
      </c>
      <c r="B894" s="106" t="s">
        <v>1562</v>
      </c>
      <c r="C894">
        <v>0.05</v>
      </c>
      <c r="D894">
        <v>0.05</v>
      </c>
      <c r="E894">
        <v>0.05</v>
      </c>
      <c r="F894">
        <v>0.05</v>
      </c>
      <c r="G894">
        <v>0.15</v>
      </c>
    </row>
    <row r="895" spans="1:7" x14ac:dyDescent="0.2">
      <c r="A895">
        <v>8541</v>
      </c>
      <c r="B895" s="106" t="s">
        <v>1563</v>
      </c>
      <c r="C895">
        <v>0.05</v>
      </c>
      <c r="D895">
        <v>0.05</v>
      </c>
      <c r="E895">
        <v>0.05</v>
      </c>
      <c r="F895">
        <v>0.05</v>
      </c>
      <c r="G895">
        <v>0.15</v>
      </c>
    </row>
    <row r="896" spans="1:7" x14ac:dyDescent="0.2">
      <c r="A896">
        <v>8542</v>
      </c>
      <c r="B896" s="106" t="s">
        <v>1564</v>
      </c>
      <c r="C896">
        <v>0.05</v>
      </c>
      <c r="D896">
        <v>0.05</v>
      </c>
      <c r="E896">
        <v>0.05</v>
      </c>
      <c r="F896">
        <v>0.05</v>
      </c>
      <c r="G896">
        <v>0.15</v>
      </c>
    </row>
    <row r="897" spans="1:7" x14ac:dyDescent="0.2">
      <c r="A897">
        <v>8544</v>
      </c>
      <c r="B897" s="106" t="s">
        <v>1565</v>
      </c>
      <c r="C897">
        <v>0.05</v>
      </c>
      <c r="D897">
        <v>0.05</v>
      </c>
      <c r="E897">
        <v>0.05</v>
      </c>
      <c r="F897">
        <v>0.05</v>
      </c>
      <c r="G897">
        <v>0</v>
      </c>
    </row>
    <row r="898" spans="1:7" x14ac:dyDescent="0.2">
      <c r="A898">
        <v>8551</v>
      </c>
      <c r="B898" s="106" t="s">
        <v>1566</v>
      </c>
      <c r="C898">
        <v>0.05</v>
      </c>
      <c r="D898">
        <v>0.05</v>
      </c>
      <c r="E898" s="106">
        <v>0.05</v>
      </c>
      <c r="F898">
        <v>0.05</v>
      </c>
      <c r="G898" s="106">
        <v>0.15</v>
      </c>
    </row>
    <row r="899" spans="1:7" x14ac:dyDescent="0.2">
      <c r="A899">
        <v>8558</v>
      </c>
      <c r="B899" s="106" t="s">
        <v>1567</v>
      </c>
      <c r="C899">
        <v>0.05</v>
      </c>
      <c r="D899" s="106">
        <v>0.05</v>
      </c>
      <c r="E899">
        <v>0.05</v>
      </c>
      <c r="F899">
        <v>0.05</v>
      </c>
      <c r="G899">
        <v>0.15</v>
      </c>
    </row>
    <row r="900" spans="1:7" x14ac:dyDescent="0.2">
      <c r="A900">
        <v>8562</v>
      </c>
      <c r="B900" s="106" t="s">
        <v>2576</v>
      </c>
      <c r="C900">
        <v>0</v>
      </c>
      <c r="D900" s="106">
        <v>0</v>
      </c>
      <c r="E900" t="s">
        <v>166</v>
      </c>
      <c r="F900" s="106" t="s">
        <v>166</v>
      </c>
      <c r="G900">
        <v>0</v>
      </c>
    </row>
    <row r="901" spans="1:7" x14ac:dyDescent="0.2">
      <c r="A901">
        <v>8563</v>
      </c>
      <c r="B901" s="106" t="s">
        <v>1568</v>
      </c>
      <c r="C901">
        <v>0</v>
      </c>
      <c r="D901">
        <v>0.05</v>
      </c>
      <c r="E901">
        <v>0</v>
      </c>
      <c r="F901">
        <v>0</v>
      </c>
      <c r="G901">
        <v>0.15</v>
      </c>
    </row>
    <row r="902" spans="1:7" x14ac:dyDescent="0.2">
      <c r="A902">
        <v>8566</v>
      </c>
      <c r="B902" s="106" t="s">
        <v>1569</v>
      </c>
      <c r="C902">
        <v>0.05</v>
      </c>
      <c r="D902">
        <v>0.1</v>
      </c>
      <c r="E902" s="106">
        <v>0.1</v>
      </c>
      <c r="F902">
        <v>0.1</v>
      </c>
      <c r="G902">
        <v>0.3</v>
      </c>
    </row>
    <row r="903" spans="1:7" x14ac:dyDescent="0.2">
      <c r="A903">
        <v>8589</v>
      </c>
      <c r="B903" s="106" t="s">
        <v>1570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8593</v>
      </c>
      <c r="B904" s="106" t="s">
        <v>237</v>
      </c>
      <c r="C904">
        <v>0</v>
      </c>
      <c r="D904">
        <v>0</v>
      </c>
      <c r="E904">
        <v>0</v>
      </c>
      <c r="F904">
        <v>0</v>
      </c>
      <c r="G904" s="106">
        <v>0</v>
      </c>
    </row>
    <row r="905" spans="1:7" x14ac:dyDescent="0.2">
      <c r="A905">
        <v>8595</v>
      </c>
      <c r="B905" s="106" t="s">
        <v>1571</v>
      </c>
      <c r="C905">
        <v>0</v>
      </c>
      <c r="D905">
        <v>0</v>
      </c>
      <c r="E905">
        <v>0</v>
      </c>
      <c r="F905">
        <v>0</v>
      </c>
      <c r="G905" s="106">
        <v>0</v>
      </c>
    </row>
    <row r="906" spans="1:7" x14ac:dyDescent="0.2">
      <c r="A906">
        <v>8601</v>
      </c>
      <c r="B906" s="106" t="s">
        <v>26</v>
      </c>
      <c r="C906">
        <v>0</v>
      </c>
      <c r="D906">
        <v>0.05</v>
      </c>
      <c r="E906">
        <v>0.05</v>
      </c>
      <c r="F906" s="106">
        <v>0</v>
      </c>
      <c r="G906" s="106">
        <v>0.15</v>
      </c>
    </row>
    <row r="907" spans="1:7" x14ac:dyDescent="0.2">
      <c r="A907">
        <v>8604</v>
      </c>
      <c r="B907" s="106" t="s">
        <v>706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8613</v>
      </c>
      <c r="B908" s="106" t="s">
        <v>1572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8614</v>
      </c>
      <c r="B909" s="106" t="s">
        <v>2577</v>
      </c>
      <c r="C909">
        <v>0</v>
      </c>
      <c r="D909" s="106">
        <v>0</v>
      </c>
      <c r="E909" t="s">
        <v>166</v>
      </c>
      <c r="F909" s="106">
        <v>0</v>
      </c>
      <c r="G909" s="106">
        <v>0</v>
      </c>
    </row>
    <row r="910" spans="1:7" x14ac:dyDescent="0.2">
      <c r="A910">
        <v>8622</v>
      </c>
      <c r="B910" s="106" t="s">
        <v>1573</v>
      </c>
      <c r="C910">
        <v>0.05</v>
      </c>
      <c r="D910" s="106">
        <v>0.05</v>
      </c>
      <c r="E910">
        <v>0.05</v>
      </c>
      <c r="F910" s="106">
        <v>0.05</v>
      </c>
      <c r="G910" s="106">
        <v>0</v>
      </c>
    </row>
    <row r="911" spans="1:7" x14ac:dyDescent="0.2">
      <c r="A911">
        <v>8624</v>
      </c>
      <c r="B911" s="106" t="s">
        <v>1574</v>
      </c>
      <c r="C911">
        <v>0</v>
      </c>
      <c r="D911" s="106" t="s">
        <v>166</v>
      </c>
      <c r="E911">
        <v>0</v>
      </c>
      <c r="F911">
        <v>0</v>
      </c>
      <c r="G911">
        <v>0</v>
      </c>
    </row>
    <row r="912" spans="1:7" x14ac:dyDescent="0.2">
      <c r="A912">
        <v>8628</v>
      </c>
      <c r="B912" s="106" t="s">
        <v>1575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">
      <c r="A913">
        <v>8630</v>
      </c>
      <c r="B913" s="106" t="s">
        <v>1576</v>
      </c>
      <c r="C913">
        <v>0</v>
      </c>
      <c r="D913">
        <v>0.1</v>
      </c>
      <c r="E913">
        <v>0.1</v>
      </c>
      <c r="F913">
        <v>0.1</v>
      </c>
      <c r="G913">
        <v>0.3</v>
      </c>
    </row>
    <row r="914" spans="1:7" x14ac:dyDescent="0.2">
      <c r="A914">
        <v>8692</v>
      </c>
      <c r="B914" s="106" t="s">
        <v>1577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8697</v>
      </c>
      <c r="B915" s="106" t="s">
        <v>1578</v>
      </c>
      <c r="C915">
        <v>0.05</v>
      </c>
      <c r="D915">
        <v>0.05</v>
      </c>
      <c r="E915">
        <v>0.05</v>
      </c>
      <c r="F915">
        <v>0.05</v>
      </c>
      <c r="G915">
        <v>0.15</v>
      </c>
    </row>
    <row r="916" spans="1:7" x14ac:dyDescent="0.2">
      <c r="A916">
        <v>8698</v>
      </c>
      <c r="B916" s="106" t="s">
        <v>1579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">
      <c r="A917">
        <v>8708</v>
      </c>
      <c r="B917" s="106" t="s">
        <v>1580</v>
      </c>
      <c r="C917">
        <v>0.05</v>
      </c>
      <c r="D917">
        <v>0.05</v>
      </c>
      <c r="E917">
        <v>0.05</v>
      </c>
      <c r="F917">
        <v>0.05</v>
      </c>
      <c r="G917">
        <v>0.15</v>
      </c>
    </row>
    <row r="918" spans="1:7" x14ac:dyDescent="0.2">
      <c r="A918">
        <v>8714</v>
      </c>
      <c r="B918" s="106" t="s">
        <v>1581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8725</v>
      </c>
      <c r="B919" s="106" t="s">
        <v>1582</v>
      </c>
      <c r="C919">
        <v>0.05</v>
      </c>
      <c r="D919">
        <v>0.05</v>
      </c>
      <c r="E919" s="106">
        <v>0.1</v>
      </c>
      <c r="F919" s="106">
        <v>0.05</v>
      </c>
      <c r="G919" s="106">
        <v>0</v>
      </c>
    </row>
    <row r="920" spans="1:7" x14ac:dyDescent="0.2">
      <c r="A920">
        <v>8729</v>
      </c>
      <c r="B920" s="106" t="s">
        <v>1583</v>
      </c>
      <c r="C920">
        <v>0.05</v>
      </c>
      <c r="D920">
        <v>0.05</v>
      </c>
      <c r="E920" s="106">
        <v>0.05</v>
      </c>
      <c r="F920" s="106">
        <v>0.05</v>
      </c>
      <c r="G920" s="106">
        <v>0.15</v>
      </c>
    </row>
    <row r="921" spans="1:7" x14ac:dyDescent="0.2">
      <c r="A921">
        <v>8750</v>
      </c>
      <c r="B921" s="106" t="s">
        <v>31</v>
      </c>
      <c r="C921">
        <v>0.05</v>
      </c>
      <c r="D921" s="106">
        <v>0.05</v>
      </c>
      <c r="E921">
        <v>0.05</v>
      </c>
      <c r="F921">
        <v>0.05</v>
      </c>
      <c r="G921" s="106">
        <v>0</v>
      </c>
    </row>
    <row r="922" spans="1:7" x14ac:dyDescent="0.2">
      <c r="A922">
        <v>8766</v>
      </c>
      <c r="B922" s="106" t="s">
        <v>1584</v>
      </c>
      <c r="C922">
        <v>0.1</v>
      </c>
      <c r="D922" s="106">
        <v>0.1</v>
      </c>
      <c r="E922">
        <v>0.1</v>
      </c>
      <c r="F922">
        <v>0.1</v>
      </c>
      <c r="G922" s="106">
        <v>0.3</v>
      </c>
    </row>
    <row r="923" spans="1:7" x14ac:dyDescent="0.2">
      <c r="A923">
        <v>8769</v>
      </c>
      <c r="B923" s="106" t="s">
        <v>2578</v>
      </c>
      <c r="C923">
        <v>0</v>
      </c>
      <c r="D923">
        <v>0</v>
      </c>
      <c r="E923" t="s">
        <v>166</v>
      </c>
      <c r="F923" t="s">
        <v>166</v>
      </c>
      <c r="G923" t="s">
        <v>166</v>
      </c>
    </row>
    <row r="924" spans="1:7" x14ac:dyDescent="0.2">
      <c r="A924">
        <v>8795</v>
      </c>
      <c r="B924" s="106" t="s">
        <v>71</v>
      </c>
      <c r="C924">
        <v>0.05</v>
      </c>
      <c r="D924">
        <v>0.05</v>
      </c>
      <c r="E924">
        <v>0.05</v>
      </c>
      <c r="F924">
        <v>0.05</v>
      </c>
      <c r="G924">
        <v>0.15</v>
      </c>
    </row>
    <row r="925" spans="1:7" x14ac:dyDescent="0.2">
      <c r="A925">
        <v>8798</v>
      </c>
      <c r="B925" s="106" t="s">
        <v>1585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8801</v>
      </c>
      <c r="B926" s="106" t="s">
        <v>2203</v>
      </c>
      <c r="C926">
        <v>0.05</v>
      </c>
      <c r="D926" s="106">
        <v>0.05</v>
      </c>
      <c r="E926">
        <v>0.05</v>
      </c>
      <c r="F926">
        <v>0.05</v>
      </c>
      <c r="G926" t="s">
        <v>166</v>
      </c>
    </row>
    <row r="927" spans="1:7" x14ac:dyDescent="0.2">
      <c r="A927">
        <v>8803</v>
      </c>
      <c r="B927" s="106" t="s">
        <v>1586</v>
      </c>
      <c r="C927">
        <v>0.05</v>
      </c>
      <c r="D927">
        <v>0.05</v>
      </c>
      <c r="E927">
        <v>0.05</v>
      </c>
      <c r="F927">
        <v>0.05</v>
      </c>
      <c r="G927">
        <v>0.15</v>
      </c>
    </row>
    <row r="928" spans="1:7" x14ac:dyDescent="0.2">
      <c r="A928">
        <v>8804</v>
      </c>
      <c r="B928" s="106" t="s">
        <v>1587</v>
      </c>
      <c r="C928">
        <v>0.05</v>
      </c>
      <c r="D928">
        <v>0.05</v>
      </c>
      <c r="E928">
        <v>0.05</v>
      </c>
      <c r="F928">
        <v>0.05</v>
      </c>
      <c r="G928">
        <v>0.15</v>
      </c>
    </row>
    <row r="929" spans="1:7" x14ac:dyDescent="0.2">
      <c r="A929">
        <v>8806</v>
      </c>
      <c r="B929" s="106" t="s">
        <v>2579</v>
      </c>
      <c r="C929">
        <v>0</v>
      </c>
      <c r="D929" t="s">
        <v>166</v>
      </c>
      <c r="E929" t="s">
        <v>166</v>
      </c>
      <c r="F929" t="s">
        <v>166</v>
      </c>
      <c r="G929">
        <v>0</v>
      </c>
    </row>
    <row r="930" spans="1:7" x14ac:dyDescent="0.2">
      <c r="A930">
        <v>8841</v>
      </c>
      <c r="B930" s="106" t="s">
        <v>2580</v>
      </c>
      <c r="C930">
        <v>0</v>
      </c>
      <c r="D930" t="s">
        <v>166</v>
      </c>
      <c r="E930" t="s">
        <v>166</v>
      </c>
      <c r="F930" s="106" t="s">
        <v>166</v>
      </c>
      <c r="G930" t="s">
        <v>166</v>
      </c>
    </row>
    <row r="931" spans="1:7" x14ac:dyDescent="0.2">
      <c r="A931">
        <v>8850</v>
      </c>
      <c r="B931" s="106" t="s">
        <v>2138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8871</v>
      </c>
      <c r="B932" s="106" t="s">
        <v>1588</v>
      </c>
      <c r="C932">
        <v>0.05</v>
      </c>
      <c r="D932" t="s">
        <v>166</v>
      </c>
      <c r="E932">
        <v>0.05</v>
      </c>
      <c r="F932">
        <v>0</v>
      </c>
      <c r="G932">
        <v>0.15</v>
      </c>
    </row>
    <row r="933" spans="1:7" x14ac:dyDescent="0.2">
      <c r="A933">
        <v>8876</v>
      </c>
      <c r="B933" s="106" t="s">
        <v>1589</v>
      </c>
      <c r="C933">
        <v>0.05</v>
      </c>
      <c r="D933">
        <v>0.05</v>
      </c>
      <c r="E933">
        <v>0</v>
      </c>
      <c r="F933">
        <v>0.05</v>
      </c>
      <c r="G933">
        <v>0.15</v>
      </c>
    </row>
    <row r="934" spans="1:7" x14ac:dyDescent="0.2">
      <c r="A934">
        <v>8892</v>
      </c>
      <c r="B934" s="106" t="s">
        <v>1590</v>
      </c>
      <c r="C934">
        <v>0</v>
      </c>
      <c r="D934">
        <v>0.05</v>
      </c>
      <c r="E934" s="106">
        <v>0.05</v>
      </c>
      <c r="F934" s="106">
        <v>0</v>
      </c>
      <c r="G934" s="106">
        <v>0.15</v>
      </c>
    </row>
    <row r="935" spans="1:7" x14ac:dyDescent="0.2">
      <c r="A935">
        <v>8897</v>
      </c>
      <c r="B935" s="106" t="s">
        <v>1591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">
      <c r="A936">
        <v>8904</v>
      </c>
      <c r="B936" s="106" t="s">
        <v>1592</v>
      </c>
      <c r="C936">
        <v>0.05</v>
      </c>
      <c r="D936">
        <v>0</v>
      </c>
      <c r="E936">
        <v>0.05</v>
      </c>
      <c r="F936">
        <v>0.05</v>
      </c>
      <c r="G936">
        <v>0.15</v>
      </c>
    </row>
    <row r="937" spans="1:7" x14ac:dyDescent="0.2">
      <c r="A937">
        <v>8917</v>
      </c>
      <c r="B937" s="106" t="s">
        <v>1593</v>
      </c>
      <c r="C937">
        <v>0.05</v>
      </c>
      <c r="D937">
        <v>0.05</v>
      </c>
      <c r="E937">
        <v>0.05</v>
      </c>
      <c r="F937">
        <v>0</v>
      </c>
      <c r="G937">
        <v>0.15</v>
      </c>
    </row>
    <row r="938" spans="1:7" x14ac:dyDescent="0.2">
      <c r="A938">
        <v>8920</v>
      </c>
      <c r="B938" s="106" t="s">
        <v>2139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8923</v>
      </c>
      <c r="B939" s="106" t="s">
        <v>1594</v>
      </c>
      <c r="C939">
        <v>0</v>
      </c>
      <c r="D939">
        <v>0</v>
      </c>
      <c r="E939">
        <v>0.05</v>
      </c>
      <c r="F939">
        <v>0.05</v>
      </c>
      <c r="G939">
        <v>0.15</v>
      </c>
    </row>
    <row r="940" spans="1:7" x14ac:dyDescent="0.2">
      <c r="A940">
        <v>8928</v>
      </c>
      <c r="B940" s="106" t="s">
        <v>1595</v>
      </c>
      <c r="C940">
        <v>0.1</v>
      </c>
      <c r="D940">
        <v>0.1</v>
      </c>
      <c r="E940">
        <v>0.1</v>
      </c>
      <c r="F940">
        <v>0.1</v>
      </c>
      <c r="G940">
        <v>0.3</v>
      </c>
    </row>
    <row r="941" spans="1:7" x14ac:dyDescent="0.2">
      <c r="A941">
        <v>8940</v>
      </c>
      <c r="B941" s="106" t="s">
        <v>1596</v>
      </c>
      <c r="C941">
        <v>0.05</v>
      </c>
      <c r="D941">
        <v>0.05</v>
      </c>
      <c r="E941">
        <v>0.05</v>
      </c>
      <c r="F941">
        <v>0.05</v>
      </c>
      <c r="G941" s="106">
        <v>0.15</v>
      </c>
    </row>
    <row r="942" spans="1:7" x14ac:dyDescent="0.2">
      <c r="A942">
        <v>8999</v>
      </c>
      <c r="B942" s="106" t="s">
        <v>1597</v>
      </c>
      <c r="C942">
        <v>0</v>
      </c>
      <c r="D942" s="106">
        <v>0</v>
      </c>
      <c r="E942">
        <v>0</v>
      </c>
      <c r="F942" s="106">
        <v>0</v>
      </c>
      <c r="G942">
        <v>0</v>
      </c>
    </row>
    <row r="943" spans="1:7" x14ac:dyDescent="0.2">
      <c r="A943">
        <v>9001</v>
      </c>
      <c r="B943" s="106" t="s">
        <v>1598</v>
      </c>
      <c r="C943">
        <v>0.1</v>
      </c>
      <c r="D943">
        <v>0.1</v>
      </c>
      <c r="E943">
        <v>0.1</v>
      </c>
      <c r="F943">
        <v>0.1</v>
      </c>
      <c r="G943">
        <v>0.3</v>
      </c>
    </row>
    <row r="944" spans="1:7" x14ac:dyDescent="0.2">
      <c r="A944">
        <v>9003</v>
      </c>
      <c r="B944" s="106" t="s">
        <v>2315</v>
      </c>
      <c r="C944">
        <v>0</v>
      </c>
      <c r="D944" s="106" t="s">
        <v>166</v>
      </c>
      <c r="E944" s="106">
        <v>0</v>
      </c>
      <c r="F944" s="106" t="s">
        <v>166</v>
      </c>
      <c r="G944" s="106">
        <v>0</v>
      </c>
    </row>
    <row r="945" spans="1:7" x14ac:dyDescent="0.2">
      <c r="A945">
        <v>9005</v>
      </c>
      <c r="B945" s="106" t="s">
        <v>1599</v>
      </c>
      <c r="C945">
        <v>0.05</v>
      </c>
      <c r="D945">
        <v>0.05</v>
      </c>
      <c r="E945">
        <v>0.05</v>
      </c>
      <c r="F945">
        <v>0.05</v>
      </c>
      <c r="G945">
        <v>0.15</v>
      </c>
    </row>
    <row r="946" spans="1:7" x14ac:dyDescent="0.2">
      <c r="A946">
        <v>9006</v>
      </c>
      <c r="B946" s="106" t="s">
        <v>1600</v>
      </c>
      <c r="C946">
        <v>0.05</v>
      </c>
      <c r="D946">
        <v>0.05</v>
      </c>
      <c r="E946">
        <v>0.05</v>
      </c>
      <c r="F946">
        <v>0.05</v>
      </c>
      <c r="G946">
        <v>0.15</v>
      </c>
    </row>
    <row r="947" spans="1:7" x14ac:dyDescent="0.2">
      <c r="A947">
        <v>9007</v>
      </c>
      <c r="B947" s="106" t="s">
        <v>1601</v>
      </c>
      <c r="C947">
        <v>0.05</v>
      </c>
      <c r="D947">
        <v>0.05</v>
      </c>
      <c r="E947">
        <v>0.05</v>
      </c>
      <c r="F947">
        <v>0.05</v>
      </c>
      <c r="G947">
        <v>0.15</v>
      </c>
    </row>
    <row r="948" spans="1:7" x14ac:dyDescent="0.2">
      <c r="A948">
        <v>9008</v>
      </c>
      <c r="B948" s="106" t="s">
        <v>1602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9009</v>
      </c>
      <c r="B949" s="106" t="s">
        <v>1603</v>
      </c>
      <c r="C949">
        <v>0.1</v>
      </c>
      <c r="D949">
        <v>0.1</v>
      </c>
      <c r="E949" s="106">
        <v>0.1</v>
      </c>
      <c r="F949" s="106">
        <v>0.1</v>
      </c>
      <c r="G949" s="106">
        <v>0.3</v>
      </c>
    </row>
    <row r="950" spans="1:7" x14ac:dyDescent="0.2">
      <c r="A950">
        <v>9010</v>
      </c>
      <c r="B950" s="106" t="s">
        <v>1604</v>
      </c>
      <c r="C950">
        <v>0.1</v>
      </c>
      <c r="D950">
        <v>0.1</v>
      </c>
      <c r="E950">
        <v>0.1</v>
      </c>
      <c r="F950">
        <v>0.1</v>
      </c>
      <c r="G950">
        <v>0.3</v>
      </c>
    </row>
    <row r="951" spans="1:7" x14ac:dyDescent="0.2">
      <c r="A951">
        <v>9014</v>
      </c>
      <c r="B951" s="106" t="s">
        <v>1605</v>
      </c>
      <c r="C951">
        <v>0.05</v>
      </c>
      <c r="D951">
        <v>0.05</v>
      </c>
      <c r="E951">
        <v>0.05</v>
      </c>
      <c r="F951">
        <v>0.05</v>
      </c>
      <c r="G951">
        <v>0.15</v>
      </c>
    </row>
    <row r="952" spans="1:7" x14ac:dyDescent="0.2">
      <c r="A952">
        <v>9021</v>
      </c>
      <c r="B952" s="106" t="s">
        <v>1606</v>
      </c>
      <c r="C952">
        <v>0</v>
      </c>
      <c r="D952">
        <v>0</v>
      </c>
      <c r="E952" s="106">
        <v>0.15</v>
      </c>
      <c r="F952" s="106">
        <v>0.2</v>
      </c>
      <c r="G952" s="106">
        <v>0.6</v>
      </c>
    </row>
    <row r="953" spans="1:7" x14ac:dyDescent="0.2">
      <c r="A953">
        <v>9031</v>
      </c>
      <c r="B953" s="106" t="s">
        <v>1607</v>
      </c>
      <c r="C953">
        <v>0.05</v>
      </c>
      <c r="D953">
        <v>0.05</v>
      </c>
      <c r="E953">
        <v>0.05</v>
      </c>
      <c r="F953">
        <v>0.05</v>
      </c>
      <c r="G953">
        <v>0.15</v>
      </c>
    </row>
    <row r="954" spans="1:7" x14ac:dyDescent="0.2">
      <c r="A954">
        <v>9039</v>
      </c>
      <c r="B954" s="106" t="s">
        <v>1608</v>
      </c>
      <c r="C954">
        <v>0.15</v>
      </c>
      <c r="D954">
        <v>0.15</v>
      </c>
      <c r="E954">
        <v>0.15</v>
      </c>
      <c r="F954">
        <v>0.15</v>
      </c>
      <c r="G954">
        <v>0.45</v>
      </c>
    </row>
    <row r="955" spans="1:7" x14ac:dyDescent="0.2">
      <c r="A955">
        <v>9041</v>
      </c>
      <c r="B955" s="106" t="s">
        <v>1609</v>
      </c>
      <c r="C955">
        <v>0.1</v>
      </c>
      <c r="D955">
        <v>0.1</v>
      </c>
      <c r="E955">
        <v>0.1</v>
      </c>
      <c r="F955">
        <v>0.1</v>
      </c>
      <c r="G955">
        <v>0.3</v>
      </c>
    </row>
    <row r="956" spans="1:7" x14ac:dyDescent="0.2">
      <c r="A956">
        <v>9042</v>
      </c>
      <c r="B956" s="106" t="s">
        <v>1610</v>
      </c>
      <c r="C956">
        <v>0.1</v>
      </c>
      <c r="D956" s="106">
        <v>0.1</v>
      </c>
      <c r="E956">
        <v>0.1</v>
      </c>
      <c r="F956" s="106">
        <v>0.1</v>
      </c>
      <c r="G956">
        <v>0.3</v>
      </c>
    </row>
    <row r="957" spans="1:7" x14ac:dyDescent="0.2">
      <c r="A957">
        <v>9044</v>
      </c>
      <c r="B957" s="106" t="s">
        <v>1611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">
      <c r="A958">
        <v>9045</v>
      </c>
      <c r="B958" s="106" t="s">
        <v>1612</v>
      </c>
      <c r="C958">
        <v>0.1</v>
      </c>
      <c r="D958">
        <v>0.1</v>
      </c>
      <c r="E958">
        <v>0.1</v>
      </c>
      <c r="F958">
        <v>0.1</v>
      </c>
      <c r="G958">
        <v>0.3</v>
      </c>
    </row>
    <row r="959" spans="1:7" x14ac:dyDescent="0.2">
      <c r="A959">
        <v>9046</v>
      </c>
      <c r="B959" s="106" t="s">
        <v>1613</v>
      </c>
      <c r="C959">
        <v>0.1</v>
      </c>
      <c r="D959">
        <v>0.1</v>
      </c>
      <c r="E959">
        <v>0.1</v>
      </c>
      <c r="F959" s="106">
        <v>0.1</v>
      </c>
      <c r="G959">
        <v>0.3</v>
      </c>
    </row>
    <row r="960" spans="1:7" x14ac:dyDescent="0.2">
      <c r="A960">
        <v>9048</v>
      </c>
      <c r="B960" s="106" t="s">
        <v>1614</v>
      </c>
      <c r="C960">
        <v>0.1</v>
      </c>
      <c r="D960">
        <v>0.1</v>
      </c>
      <c r="E960">
        <v>0.1</v>
      </c>
      <c r="F960" s="106">
        <v>0.1</v>
      </c>
      <c r="G960">
        <v>0.3</v>
      </c>
    </row>
    <row r="961" spans="1:7" x14ac:dyDescent="0.2">
      <c r="A961">
        <v>9052</v>
      </c>
      <c r="B961" s="106" t="s">
        <v>1615</v>
      </c>
      <c r="C961">
        <v>0.05</v>
      </c>
      <c r="D961">
        <v>0.05</v>
      </c>
      <c r="E961">
        <v>0.05</v>
      </c>
      <c r="F961">
        <v>0.05</v>
      </c>
      <c r="G961">
        <v>0.15</v>
      </c>
    </row>
    <row r="962" spans="1:7" x14ac:dyDescent="0.2">
      <c r="A962">
        <v>9058</v>
      </c>
      <c r="B962" s="106" t="s">
        <v>1616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9062</v>
      </c>
      <c r="B963" s="106" t="s">
        <v>704</v>
      </c>
      <c r="C963">
        <v>0.15</v>
      </c>
      <c r="D963">
        <v>0.15</v>
      </c>
      <c r="E963">
        <v>0.15</v>
      </c>
      <c r="F963" s="106">
        <v>0.15</v>
      </c>
      <c r="G963">
        <v>0.45</v>
      </c>
    </row>
    <row r="964" spans="1:7" x14ac:dyDescent="0.2">
      <c r="A964">
        <v>9065</v>
      </c>
      <c r="B964" s="106" t="s">
        <v>1617</v>
      </c>
      <c r="C964">
        <v>0</v>
      </c>
      <c r="D964">
        <v>0</v>
      </c>
      <c r="E964" s="106">
        <v>0</v>
      </c>
      <c r="F964" s="106">
        <v>0</v>
      </c>
      <c r="G964" s="106">
        <v>0</v>
      </c>
    </row>
    <row r="965" spans="1:7" x14ac:dyDescent="0.2">
      <c r="A965">
        <v>9068</v>
      </c>
      <c r="B965" s="106" t="s">
        <v>2316</v>
      </c>
      <c r="C965">
        <v>0</v>
      </c>
      <c r="D965">
        <v>0</v>
      </c>
      <c r="E965" s="106">
        <v>0</v>
      </c>
      <c r="F965" t="s">
        <v>166</v>
      </c>
      <c r="G965" s="106">
        <v>0</v>
      </c>
    </row>
    <row r="966" spans="1:7" x14ac:dyDescent="0.2">
      <c r="A966">
        <v>9069</v>
      </c>
      <c r="B966" s="106" t="s">
        <v>1618</v>
      </c>
      <c r="C966">
        <v>0</v>
      </c>
      <c r="D966" s="106">
        <v>0</v>
      </c>
      <c r="E966">
        <v>0.05</v>
      </c>
      <c r="F966">
        <v>0</v>
      </c>
      <c r="G966">
        <v>0</v>
      </c>
    </row>
    <row r="967" spans="1:7" x14ac:dyDescent="0.2">
      <c r="A967">
        <v>9070</v>
      </c>
      <c r="B967" s="106" t="s">
        <v>1619</v>
      </c>
      <c r="C967">
        <v>0.1</v>
      </c>
      <c r="D967" s="106">
        <v>0.1</v>
      </c>
      <c r="E967">
        <v>0.1</v>
      </c>
      <c r="F967">
        <v>0.1</v>
      </c>
      <c r="G967">
        <v>0.3</v>
      </c>
    </row>
    <row r="968" spans="1:7" x14ac:dyDescent="0.2">
      <c r="A968">
        <v>9075</v>
      </c>
      <c r="B968" s="106" t="s">
        <v>1620</v>
      </c>
      <c r="C968">
        <v>0</v>
      </c>
      <c r="D968">
        <v>0.1</v>
      </c>
      <c r="E968">
        <v>0.1</v>
      </c>
      <c r="F968">
        <v>0.1</v>
      </c>
      <c r="G968">
        <v>0.15</v>
      </c>
    </row>
    <row r="969" spans="1:7" x14ac:dyDescent="0.2">
      <c r="A969">
        <v>9076</v>
      </c>
      <c r="B969" s="106" t="s">
        <v>1621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">
      <c r="A970">
        <v>9090</v>
      </c>
      <c r="B970" s="106" t="s">
        <v>1622</v>
      </c>
      <c r="C970">
        <v>0.05</v>
      </c>
      <c r="D970">
        <v>0.05</v>
      </c>
      <c r="E970">
        <v>0.05</v>
      </c>
      <c r="F970">
        <v>0.05</v>
      </c>
      <c r="G970">
        <v>0.15</v>
      </c>
    </row>
    <row r="971" spans="1:7" x14ac:dyDescent="0.2">
      <c r="A971">
        <v>9099</v>
      </c>
      <c r="B971" s="106" t="s">
        <v>1623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9101</v>
      </c>
      <c r="B972" s="106" t="s">
        <v>1624</v>
      </c>
      <c r="C972">
        <v>0.05</v>
      </c>
      <c r="D972">
        <v>0.05</v>
      </c>
      <c r="E972">
        <v>0.05</v>
      </c>
      <c r="F972">
        <v>0.05</v>
      </c>
      <c r="G972">
        <v>0.15</v>
      </c>
    </row>
    <row r="973" spans="1:7" x14ac:dyDescent="0.2">
      <c r="A973">
        <v>9104</v>
      </c>
      <c r="B973" s="106" t="s">
        <v>1625</v>
      </c>
      <c r="C973">
        <v>0.05</v>
      </c>
      <c r="D973">
        <v>0.05</v>
      </c>
      <c r="E973">
        <v>0.05</v>
      </c>
      <c r="F973">
        <v>0.05</v>
      </c>
      <c r="G973">
        <v>0.15</v>
      </c>
    </row>
    <row r="974" spans="1:7" x14ac:dyDescent="0.2">
      <c r="A974">
        <v>9107</v>
      </c>
      <c r="B974" s="106" t="s">
        <v>1626</v>
      </c>
      <c r="C974">
        <v>0.05</v>
      </c>
      <c r="D974">
        <v>0.05</v>
      </c>
      <c r="E974">
        <v>0.05</v>
      </c>
      <c r="F974">
        <v>0</v>
      </c>
      <c r="G974">
        <v>0</v>
      </c>
    </row>
    <row r="975" spans="1:7" x14ac:dyDescent="0.2">
      <c r="A975">
        <v>9130</v>
      </c>
      <c r="B975" s="106" t="s">
        <v>1627</v>
      </c>
      <c r="C975">
        <v>0.05</v>
      </c>
      <c r="D975">
        <v>0.05</v>
      </c>
      <c r="E975">
        <v>0.05</v>
      </c>
      <c r="F975">
        <v>0.05</v>
      </c>
      <c r="G975">
        <v>0.15</v>
      </c>
    </row>
    <row r="976" spans="1:7" x14ac:dyDescent="0.2">
      <c r="A976">
        <v>9142</v>
      </c>
      <c r="B976" s="106" t="s">
        <v>1628</v>
      </c>
      <c r="C976">
        <v>0.1</v>
      </c>
      <c r="D976" s="106">
        <v>0.1</v>
      </c>
      <c r="E976">
        <v>0.1</v>
      </c>
      <c r="F976" s="106">
        <v>0.1</v>
      </c>
      <c r="G976">
        <v>0.3</v>
      </c>
    </row>
    <row r="977" spans="1:7" x14ac:dyDescent="0.2">
      <c r="A977">
        <v>9232</v>
      </c>
      <c r="B977" s="106" t="s">
        <v>1629</v>
      </c>
      <c r="C977">
        <v>0.55000000000000004</v>
      </c>
      <c r="D977" s="106">
        <v>0.05</v>
      </c>
      <c r="E977">
        <v>0.05</v>
      </c>
      <c r="F977" s="106">
        <v>0.05</v>
      </c>
      <c r="G977">
        <v>0.15</v>
      </c>
    </row>
    <row r="978" spans="1:7" x14ac:dyDescent="0.2">
      <c r="A978">
        <v>9260</v>
      </c>
      <c r="B978" s="106" t="s">
        <v>1630</v>
      </c>
      <c r="C978">
        <v>0.05</v>
      </c>
      <c r="D978">
        <v>0.05</v>
      </c>
      <c r="E978" s="106">
        <v>0.05</v>
      </c>
      <c r="F978" s="106">
        <v>0.1</v>
      </c>
      <c r="G978" s="106">
        <v>0.3</v>
      </c>
    </row>
    <row r="979" spans="1:7" x14ac:dyDescent="0.2">
      <c r="A979">
        <v>9267</v>
      </c>
      <c r="B979" s="106" t="s">
        <v>1631</v>
      </c>
      <c r="C979">
        <v>0.05</v>
      </c>
      <c r="D979" s="106">
        <v>0.05</v>
      </c>
      <c r="E979">
        <v>0.05</v>
      </c>
      <c r="F979">
        <v>0.05</v>
      </c>
      <c r="G979">
        <v>3.6</v>
      </c>
    </row>
    <row r="980" spans="1:7" x14ac:dyDescent="0.2">
      <c r="A980">
        <v>9277</v>
      </c>
      <c r="B980" s="106" t="s">
        <v>1632</v>
      </c>
      <c r="C980">
        <v>0</v>
      </c>
      <c r="D980">
        <v>0</v>
      </c>
      <c r="E980">
        <v>0.05</v>
      </c>
      <c r="F980">
        <v>0</v>
      </c>
      <c r="G980">
        <v>0.15</v>
      </c>
    </row>
    <row r="981" spans="1:7" x14ac:dyDescent="0.2">
      <c r="A981">
        <v>9303</v>
      </c>
      <c r="B981" s="106" t="s">
        <v>1633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">
      <c r="A982">
        <v>9306</v>
      </c>
      <c r="B982" s="106" t="s">
        <v>1634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9308</v>
      </c>
      <c r="B983" s="106" t="s">
        <v>1635</v>
      </c>
      <c r="C983">
        <v>0.05</v>
      </c>
      <c r="D983">
        <v>0.05</v>
      </c>
      <c r="E983">
        <v>0.05</v>
      </c>
      <c r="F983">
        <v>0.05</v>
      </c>
      <c r="G983" s="106">
        <v>0.15</v>
      </c>
    </row>
    <row r="984" spans="1:7" x14ac:dyDescent="0.2">
      <c r="A984">
        <v>9310</v>
      </c>
      <c r="B984" s="106" t="s">
        <v>1636</v>
      </c>
      <c r="C984">
        <v>0.05</v>
      </c>
      <c r="D984">
        <v>0.05</v>
      </c>
      <c r="E984">
        <v>0.05</v>
      </c>
      <c r="F984" s="106">
        <v>0</v>
      </c>
      <c r="G984" s="106">
        <v>0</v>
      </c>
    </row>
    <row r="985" spans="1:7" x14ac:dyDescent="0.2">
      <c r="A985">
        <v>9319</v>
      </c>
      <c r="B985" s="106" t="s">
        <v>2581</v>
      </c>
      <c r="C985">
        <v>0.05</v>
      </c>
      <c r="D985">
        <v>0.05</v>
      </c>
      <c r="E985" t="s">
        <v>166</v>
      </c>
      <c r="F985" s="106">
        <v>0.05</v>
      </c>
      <c r="G985" s="106" t="s">
        <v>166</v>
      </c>
    </row>
    <row r="986" spans="1:7" x14ac:dyDescent="0.2">
      <c r="A986">
        <v>9351</v>
      </c>
      <c r="B986" s="106" t="s">
        <v>1637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">
      <c r="A987">
        <v>9366</v>
      </c>
      <c r="B987" s="106" t="s">
        <v>2582</v>
      </c>
      <c r="C987">
        <v>0</v>
      </c>
      <c r="D987" t="s">
        <v>166</v>
      </c>
      <c r="E987" t="s">
        <v>166</v>
      </c>
      <c r="F987">
        <v>0</v>
      </c>
      <c r="G987">
        <v>0</v>
      </c>
    </row>
    <row r="988" spans="1:7" x14ac:dyDescent="0.2">
      <c r="A988">
        <v>9375</v>
      </c>
      <c r="B988" s="106" t="s">
        <v>1638</v>
      </c>
      <c r="C988">
        <v>0.05</v>
      </c>
      <c r="D988" s="106">
        <v>0.05</v>
      </c>
      <c r="E988">
        <v>0.05</v>
      </c>
      <c r="F988">
        <v>0.05</v>
      </c>
      <c r="G988">
        <v>0.15</v>
      </c>
    </row>
    <row r="989" spans="1:7" x14ac:dyDescent="0.2">
      <c r="A989">
        <v>9384</v>
      </c>
      <c r="B989" s="106" t="s">
        <v>1639</v>
      </c>
      <c r="C989">
        <v>0.05</v>
      </c>
      <c r="D989" s="106">
        <v>0.05</v>
      </c>
      <c r="E989">
        <v>0.05</v>
      </c>
      <c r="F989" s="106">
        <v>0.05</v>
      </c>
      <c r="G989">
        <v>0.15</v>
      </c>
    </row>
    <row r="990" spans="1:7" x14ac:dyDescent="0.2">
      <c r="A990">
        <v>9401</v>
      </c>
      <c r="B990" s="106" t="s">
        <v>1640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9405</v>
      </c>
      <c r="B991" s="106" t="s">
        <v>2140</v>
      </c>
      <c r="C991">
        <v>0</v>
      </c>
      <c r="D991">
        <v>0</v>
      </c>
      <c r="E991" s="106">
        <v>0</v>
      </c>
      <c r="F991">
        <v>0</v>
      </c>
      <c r="G991">
        <v>0</v>
      </c>
    </row>
    <row r="992" spans="1:7" x14ac:dyDescent="0.2">
      <c r="A992">
        <v>9409</v>
      </c>
      <c r="B992" s="106" t="s">
        <v>1641</v>
      </c>
      <c r="C992">
        <v>0.05</v>
      </c>
      <c r="D992">
        <v>0.05</v>
      </c>
      <c r="E992" s="106">
        <v>0.05</v>
      </c>
      <c r="F992">
        <v>0.05</v>
      </c>
      <c r="G992">
        <v>0.15</v>
      </c>
    </row>
    <row r="993" spans="1:7" x14ac:dyDescent="0.2">
      <c r="A993">
        <v>9412</v>
      </c>
      <c r="B993" s="106" t="s">
        <v>926</v>
      </c>
      <c r="C993">
        <v>0.05</v>
      </c>
      <c r="D993">
        <v>0.05</v>
      </c>
      <c r="E993">
        <v>0.05</v>
      </c>
      <c r="F993">
        <v>0.05</v>
      </c>
      <c r="G993">
        <v>0.15</v>
      </c>
    </row>
    <row r="994" spans="1:7" x14ac:dyDescent="0.2">
      <c r="A994">
        <v>9413</v>
      </c>
      <c r="B994" s="106" t="s">
        <v>1642</v>
      </c>
      <c r="C994">
        <v>0.05</v>
      </c>
      <c r="D994">
        <v>0.05</v>
      </c>
      <c r="E994">
        <v>0.05</v>
      </c>
      <c r="F994">
        <v>0.05</v>
      </c>
      <c r="G994">
        <v>0.15</v>
      </c>
    </row>
    <row r="995" spans="1:7" x14ac:dyDescent="0.2">
      <c r="A995">
        <v>9414</v>
      </c>
      <c r="B995" s="106" t="s">
        <v>2583</v>
      </c>
      <c r="C995">
        <v>0.05</v>
      </c>
      <c r="D995">
        <v>0.05</v>
      </c>
      <c r="E995" t="s">
        <v>166</v>
      </c>
      <c r="F995" t="s">
        <v>166</v>
      </c>
      <c r="G995">
        <v>0.15</v>
      </c>
    </row>
    <row r="996" spans="1:7" x14ac:dyDescent="0.2">
      <c r="A996">
        <v>9416</v>
      </c>
      <c r="B996" s="106" t="s">
        <v>1643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">
      <c r="A997">
        <v>9417</v>
      </c>
      <c r="B997" s="106" t="s">
        <v>1644</v>
      </c>
      <c r="C997">
        <v>0</v>
      </c>
      <c r="D997">
        <v>0</v>
      </c>
      <c r="E997">
        <v>0</v>
      </c>
      <c r="F997" s="106">
        <v>0</v>
      </c>
      <c r="G997">
        <v>0</v>
      </c>
    </row>
    <row r="998" spans="1:7" x14ac:dyDescent="0.2">
      <c r="A998">
        <v>9419</v>
      </c>
      <c r="B998" s="106" t="s">
        <v>2141</v>
      </c>
      <c r="C998">
        <v>0</v>
      </c>
      <c r="D998">
        <v>0</v>
      </c>
      <c r="E998">
        <v>0</v>
      </c>
      <c r="F998" s="106">
        <v>0</v>
      </c>
      <c r="G998">
        <v>0</v>
      </c>
    </row>
    <row r="999" spans="1:7" x14ac:dyDescent="0.2">
      <c r="A999">
        <v>9422</v>
      </c>
      <c r="B999" s="106" t="s">
        <v>1645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">
      <c r="A1000">
        <v>9424</v>
      </c>
      <c r="B1000" s="106" t="s">
        <v>2584</v>
      </c>
      <c r="C1000">
        <v>0.05</v>
      </c>
      <c r="D1000" s="106" t="s">
        <v>166</v>
      </c>
      <c r="E1000" t="s">
        <v>166</v>
      </c>
      <c r="F1000" s="106" t="s">
        <v>166</v>
      </c>
      <c r="G1000" t="s">
        <v>166</v>
      </c>
    </row>
    <row r="1001" spans="1:7" x14ac:dyDescent="0.2">
      <c r="A1001">
        <v>9432</v>
      </c>
      <c r="B1001" s="106" t="s">
        <v>1646</v>
      </c>
      <c r="C1001">
        <v>0</v>
      </c>
      <c r="D1001" s="106">
        <v>0</v>
      </c>
      <c r="E1001" s="106">
        <v>0</v>
      </c>
      <c r="F1001" s="106">
        <v>0.1</v>
      </c>
      <c r="G1001" s="106">
        <v>0.3</v>
      </c>
    </row>
    <row r="1002" spans="1:7" x14ac:dyDescent="0.2">
      <c r="A1002">
        <v>9433</v>
      </c>
      <c r="B1002" s="106" t="s">
        <v>916</v>
      </c>
      <c r="C1002">
        <v>0.05</v>
      </c>
      <c r="D1002" s="106">
        <v>0.05</v>
      </c>
      <c r="E1002" s="106">
        <v>0.05</v>
      </c>
      <c r="F1002" s="106">
        <v>0.05</v>
      </c>
      <c r="G1002" s="106">
        <v>0.15</v>
      </c>
    </row>
    <row r="1003" spans="1:7" x14ac:dyDescent="0.2">
      <c r="A1003">
        <v>9435</v>
      </c>
      <c r="B1003" s="106" t="s">
        <v>2204</v>
      </c>
      <c r="C1003">
        <v>0</v>
      </c>
      <c r="D1003" t="s">
        <v>166</v>
      </c>
      <c r="E1003">
        <v>0</v>
      </c>
      <c r="F1003">
        <v>0</v>
      </c>
      <c r="G1003" t="s">
        <v>166</v>
      </c>
    </row>
    <row r="1004" spans="1:7" x14ac:dyDescent="0.2">
      <c r="A1004">
        <v>9437</v>
      </c>
      <c r="B1004" s="106" t="s">
        <v>758</v>
      </c>
      <c r="C1004">
        <v>0.05</v>
      </c>
      <c r="D1004" s="106">
        <v>0.05</v>
      </c>
      <c r="E1004">
        <v>0.05</v>
      </c>
      <c r="F1004">
        <v>0.05</v>
      </c>
      <c r="G1004" s="106">
        <v>0.15</v>
      </c>
    </row>
    <row r="1005" spans="1:7" x14ac:dyDescent="0.2">
      <c r="A1005">
        <v>9438</v>
      </c>
      <c r="B1005" s="106" t="s">
        <v>1647</v>
      </c>
      <c r="C1005">
        <v>0</v>
      </c>
      <c r="D1005" s="106">
        <v>0</v>
      </c>
      <c r="E1005">
        <v>0</v>
      </c>
      <c r="F1005">
        <v>0</v>
      </c>
      <c r="G1005">
        <v>0</v>
      </c>
    </row>
    <row r="1006" spans="1:7" x14ac:dyDescent="0.2">
      <c r="A1006">
        <v>9449</v>
      </c>
      <c r="B1006" s="106" t="s">
        <v>1648</v>
      </c>
      <c r="C1006">
        <v>0.05</v>
      </c>
      <c r="D1006">
        <v>0.05</v>
      </c>
      <c r="E1006">
        <v>0.05</v>
      </c>
      <c r="F1006">
        <v>0.05</v>
      </c>
      <c r="G1006">
        <v>0.15</v>
      </c>
    </row>
    <row r="1007" spans="1:7" x14ac:dyDescent="0.2">
      <c r="A1007">
        <v>9450</v>
      </c>
      <c r="B1007" s="106" t="s">
        <v>1649</v>
      </c>
      <c r="C1007">
        <v>0</v>
      </c>
      <c r="D1007" s="106">
        <v>0</v>
      </c>
      <c r="E1007" s="106">
        <v>0</v>
      </c>
      <c r="F1007" s="106">
        <v>0</v>
      </c>
      <c r="G1007" s="106">
        <v>0</v>
      </c>
    </row>
    <row r="1008" spans="1:7" x14ac:dyDescent="0.2">
      <c r="A1008">
        <v>9468</v>
      </c>
      <c r="B1008" s="106" t="s">
        <v>1650</v>
      </c>
      <c r="C1008">
        <v>0.05</v>
      </c>
      <c r="D1008" s="106">
        <v>0</v>
      </c>
      <c r="E1008" s="106">
        <v>0.05</v>
      </c>
      <c r="F1008" s="106">
        <v>0</v>
      </c>
      <c r="G1008" s="106">
        <v>0</v>
      </c>
    </row>
    <row r="1009" spans="1:7" x14ac:dyDescent="0.2">
      <c r="A1009">
        <v>9470</v>
      </c>
      <c r="B1009" s="106" t="s">
        <v>1651</v>
      </c>
      <c r="C1009">
        <v>0.2</v>
      </c>
      <c r="D1009">
        <v>0.2</v>
      </c>
      <c r="E1009">
        <v>0.15</v>
      </c>
      <c r="F1009">
        <v>0.2</v>
      </c>
      <c r="G1009">
        <v>0.45</v>
      </c>
    </row>
    <row r="1010" spans="1:7" x14ac:dyDescent="0.2">
      <c r="A1010">
        <v>9475</v>
      </c>
      <c r="B1010" s="106" t="s">
        <v>1652</v>
      </c>
      <c r="C1010">
        <v>0.05</v>
      </c>
      <c r="D1010">
        <v>0.05</v>
      </c>
      <c r="E1010">
        <v>0.05</v>
      </c>
      <c r="F1010">
        <v>0.05</v>
      </c>
      <c r="G1010">
        <v>0.15</v>
      </c>
    </row>
    <row r="1011" spans="1:7" x14ac:dyDescent="0.2">
      <c r="A1011">
        <v>9479</v>
      </c>
      <c r="B1011" s="106" t="s">
        <v>2317</v>
      </c>
      <c r="C1011">
        <v>0</v>
      </c>
      <c r="D1011" s="106" t="s">
        <v>166</v>
      </c>
      <c r="E1011" s="106">
        <v>0</v>
      </c>
      <c r="F1011" s="106" t="s">
        <v>166</v>
      </c>
      <c r="G1011" s="106">
        <v>0</v>
      </c>
    </row>
    <row r="1012" spans="1:7" x14ac:dyDescent="0.2">
      <c r="A1012">
        <v>9504</v>
      </c>
      <c r="B1012" s="106" t="s">
        <v>1653</v>
      </c>
      <c r="C1012">
        <v>0.05</v>
      </c>
      <c r="D1012" s="106">
        <v>0.05</v>
      </c>
      <c r="E1012" s="106">
        <v>0.05</v>
      </c>
      <c r="F1012" s="106">
        <v>0.05</v>
      </c>
      <c r="G1012" s="106">
        <v>0.15</v>
      </c>
    </row>
    <row r="1013" spans="1:7" x14ac:dyDescent="0.2">
      <c r="A1013">
        <v>9517</v>
      </c>
      <c r="B1013" s="106" t="s">
        <v>1654</v>
      </c>
      <c r="C1013">
        <v>0.05</v>
      </c>
      <c r="D1013" s="106">
        <v>0.05</v>
      </c>
      <c r="E1013" s="106">
        <v>0.05</v>
      </c>
      <c r="F1013" s="106">
        <v>0.05</v>
      </c>
      <c r="G1013" s="106">
        <v>0</v>
      </c>
    </row>
    <row r="1014" spans="1:7" x14ac:dyDescent="0.2">
      <c r="A1014">
        <v>9519</v>
      </c>
      <c r="B1014" s="106" t="s">
        <v>1655</v>
      </c>
      <c r="C1014">
        <v>0</v>
      </c>
      <c r="D1014">
        <v>0</v>
      </c>
      <c r="E1014" s="106">
        <v>0</v>
      </c>
      <c r="F1014" s="106">
        <v>0</v>
      </c>
      <c r="G1014" s="106">
        <v>0</v>
      </c>
    </row>
    <row r="1015" spans="1:7" x14ac:dyDescent="0.2">
      <c r="A1015">
        <v>9532</v>
      </c>
      <c r="B1015" s="106" t="s">
        <v>1656</v>
      </c>
      <c r="C1015">
        <v>0.05</v>
      </c>
      <c r="D1015">
        <v>0.05</v>
      </c>
      <c r="E1015" s="106">
        <v>0.05</v>
      </c>
      <c r="F1015" s="106">
        <v>0.05</v>
      </c>
      <c r="G1015" s="106">
        <v>0.15</v>
      </c>
    </row>
    <row r="1016" spans="1:7" x14ac:dyDescent="0.2">
      <c r="A1016">
        <v>9533</v>
      </c>
      <c r="B1016" s="106" t="s">
        <v>1657</v>
      </c>
      <c r="C1016">
        <v>0.1</v>
      </c>
      <c r="D1016">
        <v>0.1</v>
      </c>
      <c r="E1016">
        <v>0.1</v>
      </c>
      <c r="F1016">
        <v>0.1</v>
      </c>
      <c r="G1016">
        <v>0.3</v>
      </c>
    </row>
    <row r="1017" spans="1:7" x14ac:dyDescent="0.2">
      <c r="A1017">
        <v>9535</v>
      </c>
      <c r="B1017" s="106" t="s">
        <v>2318</v>
      </c>
      <c r="C1017">
        <v>0</v>
      </c>
      <c r="D1017">
        <v>0</v>
      </c>
      <c r="E1017">
        <v>0</v>
      </c>
      <c r="F1017" s="106" t="s">
        <v>166</v>
      </c>
      <c r="G1017">
        <v>0.15</v>
      </c>
    </row>
    <row r="1018" spans="1:7" x14ac:dyDescent="0.2">
      <c r="A1018">
        <v>9536</v>
      </c>
      <c r="B1018" s="106" t="s">
        <v>1658</v>
      </c>
      <c r="C1018">
        <v>0.05</v>
      </c>
      <c r="D1018">
        <v>0.05</v>
      </c>
      <c r="E1018">
        <v>0.05</v>
      </c>
      <c r="F1018" s="106">
        <v>0.05</v>
      </c>
      <c r="G1018">
        <v>0.15</v>
      </c>
    </row>
    <row r="1019" spans="1:7" x14ac:dyDescent="0.2">
      <c r="A1019">
        <v>9543</v>
      </c>
      <c r="B1019" s="106" t="s">
        <v>1659</v>
      </c>
      <c r="C1019">
        <v>0.05</v>
      </c>
      <c r="D1019">
        <v>0.05</v>
      </c>
      <c r="E1019">
        <v>0.05</v>
      </c>
      <c r="F1019">
        <v>0.05</v>
      </c>
      <c r="G1019">
        <v>0.15</v>
      </c>
    </row>
    <row r="1020" spans="1:7" x14ac:dyDescent="0.2">
      <c r="A1020">
        <v>9551</v>
      </c>
      <c r="B1020" s="106" t="s">
        <v>1660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">
      <c r="A1021">
        <v>9601</v>
      </c>
      <c r="B1021" s="106" t="s">
        <v>1661</v>
      </c>
      <c r="C1021">
        <v>0.3</v>
      </c>
      <c r="D1021" s="106">
        <v>0.3</v>
      </c>
      <c r="E1021">
        <v>0.3</v>
      </c>
      <c r="F1021" s="106">
        <v>0.3</v>
      </c>
      <c r="G1021">
        <v>0.9</v>
      </c>
    </row>
    <row r="1022" spans="1:7" x14ac:dyDescent="0.2">
      <c r="A1022">
        <v>9602</v>
      </c>
      <c r="B1022" s="106" t="s">
        <v>2319</v>
      </c>
      <c r="C1022">
        <v>0</v>
      </c>
      <c r="D1022" s="106" t="s">
        <v>166</v>
      </c>
      <c r="E1022">
        <v>0</v>
      </c>
      <c r="F1022" s="106" t="s">
        <v>166</v>
      </c>
      <c r="G1022">
        <v>0</v>
      </c>
    </row>
    <row r="1023" spans="1:7" x14ac:dyDescent="0.2">
      <c r="A1023">
        <v>9603</v>
      </c>
      <c r="B1023" s="106" t="s">
        <v>928</v>
      </c>
      <c r="C1023">
        <v>0</v>
      </c>
      <c r="D1023" s="106">
        <v>0</v>
      </c>
      <c r="E1023">
        <v>0</v>
      </c>
      <c r="F1023" s="106" t="s">
        <v>166</v>
      </c>
      <c r="G1023" s="106" t="s">
        <v>166</v>
      </c>
    </row>
    <row r="1024" spans="1:7" x14ac:dyDescent="0.2">
      <c r="A1024">
        <v>9605</v>
      </c>
      <c r="B1024" s="106" t="s">
        <v>1662</v>
      </c>
      <c r="C1024">
        <v>0.3</v>
      </c>
      <c r="D1024">
        <v>0.3</v>
      </c>
      <c r="E1024">
        <v>0.3</v>
      </c>
      <c r="F1024">
        <v>0.3</v>
      </c>
      <c r="G1024">
        <v>0.9</v>
      </c>
    </row>
    <row r="1025" spans="1:7" x14ac:dyDescent="0.2">
      <c r="A1025">
        <v>9613</v>
      </c>
      <c r="B1025" s="106" t="s">
        <v>2320</v>
      </c>
      <c r="C1025">
        <v>0</v>
      </c>
      <c r="D1025" t="s">
        <v>166</v>
      </c>
      <c r="E1025">
        <v>0</v>
      </c>
      <c r="F1025" t="s">
        <v>166</v>
      </c>
      <c r="G1025">
        <v>0</v>
      </c>
    </row>
    <row r="1026" spans="1:7" x14ac:dyDescent="0.2">
      <c r="A1026">
        <v>9619</v>
      </c>
      <c r="B1026" s="106" t="s">
        <v>1663</v>
      </c>
      <c r="C1026">
        <v>0</v>
      </c>
      <c r="D1026" s="106">
        <v>0</v>
      </c>
      <c r="E1026" s="106">
        <v>0</v>
      </c>
      <c r="F1026" s="106">
        <v>0</v>
      </c>
      <c r="G1026" s="106">
        <v>0</v>
      </c>
    </row>
    <row r="1027" spans="1:7" x14ac:dyDescent="0.2">
      <c r="A1027">
        <v>9622</v>
      </c>
      <c r="B1027" s="106" t="s">
        <v>1664</v>
      </c>
      <c r="C1027">
        <v>0</v>
      </c>
      <c r="D1027">
        <v>0.05</v>
      </c>
      <c r="E1027">
        <v>0</v>
      </c>
      <c r="F1027">
        <v>0</v>
      </c>
      <c r="G1027">
        <v>0</v>
      </c>
    </row>
    <row r="1028" spans="1:7" x14ac:dyDescent="0.2">
      <c r="A1028">
        <v>9627</v>
      </c>
      <c r="B1028" s="106" t="s">
        <v>1665</v>
      </c>
      <c r="C1028">
        <v>0.15</v>
      </c>
      <c r="D1028">
        <v>0.15</v>
      </c>
      <c r="E1028">
        <v>0</v>
      </c>
      <c r="F1028">
        <v>0</v>
      </c>
      <c r="G1028">
        <v>0</v>
      </c>
    </row>
    <row r="1029" spans="1:7" x14ac:dyDescent="0.2">
      <c r="A1029">
        <v>9628</v>
      </c>
      <c r="B1029" s="106" t="s">
        <v>2321</v>
      </c>
      <c r="C1029">
        <v>0</v>
      </c>
      <c r="D1029">
        <v>0</v>
      </c>
      <c r="E1029">
        <v>0</v>
      </c>
      <c r="F1029" t="s">
        <v>166</v>
      </c>
      <c r="G1029" t="s">
        <v>166</v>
      </c>
    </row>
    <row r="1030" spans="1:7" x14ac:dyDescent="0.2">
      <c r="A1030">
        <v>9663</v>
      </c>
      <c r="B1030" s="106" t="s">
        <v>1666</v>
      </c>
      <c r="C1030">
        <v>0.15</v>
      </c>
      <c r="D1030" s="106">
        <v>0.15</v>
      </c>
      <c r="E1030" s="106">
        <v>0.15</v>
      </c>
      <c r="F1030" s="106">
        <v>0.15</v>
      </c>
      <c r="G1030" s="106">
        <v>0.45</v>
      </c>
    </row>
    <row r="1031" spans="1:7" x14ac:dyDescent="0.2">
      <c r="A1031">
        <v>9675</v>
      </c>
      <c r="B1031" s="106" t="s">
        <v>1667</v>
      </c>
      <c r="C1031">
        <v>0.05</v>
      </c>
      <c r="D1031">
        <v>0.05</v>
      </c>
      <c r="E1031">
        <v>0.05</v>
      </c>
      <c r="F1031">
        <v>0.05</v>
      </c>
      <c r="G1031">
        <v>0.15</v>
      </c>
    </row>
    <row r="1032" spans="1:7" x14ac:dyDescent="0.2">
      <c r="A1032">
        <v>9681</v>
      </c>
      <c r="B1032" s="106" t="s">
        <v>1668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">
      <c r="A1033">
        <v>9697</v>
      </c>
      <c r="B1033" s="106" t="s">
        <v>1669</v>
      </c>
      <c r="C1033">
        <v>0.05</v>
      </c>
      <c r="D1033">
        <v>0.05</v>
      </c>
      <c r="E1033">
        <v>0.05</v>
      </c>
      <c r="F1033">
        <v>0.1</v>
      </c>
      <c r="G1033">
        <v>0.15</v>
      </c>
    </row>
    <row r="1034" spans="1:7" x14ac:dyDescent="0.2">
      <c r="A1034">
        <v>9706</v>
      </c>
      <c r="B1034" s="106" t="s">
        <v>257</v>
      </c>
      <c r="C1034">
        <v>0.15</v>
      </c>
      <c r="D1034">
        <v>0.1</v>
      </c>
      <c r="E1034">
        <v>0.15</v>
      </c>
      <c r="F1034">
        <v>0.15</v>
      </c>
      <c r="G1034">
        <v>0.3</v>
      </c>
    </row>
    <row r="1035" spans="1:7" x14ac:dyDescent="0.2">
      <c r="A1035">
        <v>9717</v>
      </c>
      <c r="B1035" s="106" t="s">
        <v>1670</v>
      </c>
      <c r="C1035">
        <v>0</v>
      </c>
      <c r="D1035">
        <v>0.05</v>
      </c>
      <c r="E1035">
        <v>0</v>
      </c>
      <c r="F1035">
        <v>0.05</v>
      </c>
      <c r="G1035">
        <v>0</v>
      </c>
    </row>
    <row r="1036" spans="1:7" x14ac:dyDescent="0.2">
      <c r="A1036">
        <v>9719</v>
      </c>
      <c r="B1036" s="106" t="s">
        <v>2205</v>
      </c>
      <c r="C1036">
        <v>0</v>
      </c>
      <c r="D1036">
        <v>0</v>
      </c>
      <c r="E1036">
        <v>0</v>
      </c>
      <c r="F1036">
        <v>0</v>
      </c>
      <c r="G1036" t="s">
        <v>166</v>
      </c>
    </row>
    <row r="1037" spans="1:7" x14ac:dyDescent="0.2">
      <c r="A1037">
        <v>9722</v>
      </c>
      <c r="B1037" s="106" t="s">
        <v>2322</v>
      </c>
      <c r="C1037">
        <v>0</v>
      </c>
      <c r="D1037">
        <v>0</v>
      </c>
      <c r="E1037">
        <v>0</v>
      </c>
      <c r="F1037" t="s">
        <v>166</v>
      </c>
      <c r="G1037" t="s">
        <v>166</v>
      </c>
    </row>
    <row r="1038" spans="1:7" x14ac:dyDescent="0.2">
      <c r="A1038">
        <v>9726</v>
      </c>
      <c r="B1038" s="106" t="s">
        <v>1671</v>
      </c>
      <c r="C1038">
        <v>0</v>
      </c>
      <c r="D1038" s="106">
        <v>0</v>
      </c>
      <c r="E1038" s="106">
        <v>0</v>
      </c>
      <c r="F1038" s="106">
        <v>0</v>
      </c>
      <c r="G1038" s="106">
        <v>0</v>
      </c>
    </row>
    <row r="1039" spans="1:7" x14ac:dyDescent="0.2">
      <c r="A1039">
        <v>9729</v>
      </c>
      <c r="B1039" s="106" t="s">
        <v>1672</v>
      </c>
      <c r="C1039">
        <v>0.05</v>
      </c>
      <c r="D1039">
        <v>0.05</v>
      </c>
      <c r="E1039">
        <v>0.05</v>
      </c>
      <c r="F1039">
        <v>0.05</v>
      </c>
      <c r="G1039">
        <v>0.15</v>
      </c>
    </row>
    <row r="1040" spans="1:7" x14ac:dyDescent="0.2">
      <c r="A1040">
        <v>9735</v>
      </c>
      <c r="B1040" s="106" t="s">
        <v>2142</v>
      </c>
      <c r="C1040">
        <v>0</v>
      </c>
      <c r="D1040" s="106">
        <v>0</v>
      </c>
      <c r="E1040" s="106">
        <v>0</v>
      </c>
      <c r="F1040" s="106">
        <v>0</v>
      </c>
      <c r="G1040">
        <v>0</v>
      </c>
    </row>
    <row r="1041" spans="1:7" x14ac:dyDescent="0.2">
      <c r="A1041">
        <v>9740</v>
      </c>
      <c r="B1041" s="106" t="s">
        <v>1673</v>
      </c>
      <c r="C1041">
        <v>0.15</v>
      </c>
      <c r="D1041" s="106">
        <v>0.15</v>
      </c>
      <c r="E1041" s="106">
        <v>0.15</v>
      </c>
      <c r="F1041">
        <v>0.15</v>
      </c>
      <c r="G1041">
        <v>0.45</v>
      </c>
    </row>
    <row r="1042" spans="1:7" x14ac:dyDescent="0.2">
      <c r="A1042">
        <v>9743</v>
      </c>
      <c r="B1042" s="106" t="s">
        <v>2323</v>
      </c>
      <c r="C1042">
        <v>0</v>
      </c>
      <c r="D1042">
        <v>0</v>
      </c>
      <c r="E1042">
        <v>0</v>
      </c>
      <c r="F1042" t="s">
        <v>166</v>
      </c>
      <c r="G1042">
        <v>0.15</v>
      </c>
    </row>
    <row r="1043" spans="1:7" x14ac:dyDescent="0.2">
      <c r="A1043">
        <v>9744</v>
      </c>
      <c r="B1043" s="106" t="s">
        <v>1674</v>
      </c>
      <c r="C1043">
        <v>0.1</v>
      </c>
      <c r="D1043">
        <v>0.1</v>
      </c>
      <c r="E1043">
        <v>0.1</v>
      </c>
      <c r="F1043">
        <v>0.1</v>
      </c>
      <c r="G1043">
        <v>0.3</v>
      </c>
    </row>
    <row r="1044" spans="1:7" x14ac:dyDescent="0.2">
      <c r="A1044">
        <v>9746</v>
      </c>
      <c r="B1044" s="106" t="s">
        <v>907</v>
      </c>
      <c r="C1044">
        <v>0</v>
      </c>
      <c r="D1044" t="s">
        <v>166</v>
      </c>
      <c r="E1044">
        <v>0.1</v>
      </c>
      <c r="F1044" t="s">
        <v>166</v>
      </c>
      <c r="G1044">
        <v>0.3</v>
      </c>
    </row>
    <row r="1045" spans="1:7" x14ac:dyDescent="0.2">
      <c r="A1045">
        <v>9757</v>
      </c>
      <c r="B1045" s="106" t="s">
        <v>2585</v>
      </c>
      <c r="C1045">
        <v>0</v>
      </c>
      <c r="D1045">
        <v>0.05</v>
      </c>
      <c r="E1045" t="s">
        <v>166</v>
      </c>
      <c r="F1045">
        <v>0.05</v>
      </c>
      <c r="G1045" t="s">
        <v>166</v>
      </c>
    </row>
    <row r="1046" spans="1:7" x14ac:dyDescent="0.2">
      <c r="A1046">
        <v>9759</v>
      </c>
      <c r="B1046" s="106" t="s">
        <v>756</v>
      </c>
      <c r="C1046">
        <v>0.1</v>
      </c>
      <c r="D1046">
        <v>0.1</v>
      </c>
      <c r="E1046">
        <v>0.1</v>
      </c>
      <c r="F1046">
        <v>0.1</v>
      </c>
      <c r="G1046">
        <v>0.3</v>
      </c>
    </row>
    <row r="1047" spans="1:7" x14ac:dyDescent="0.2">
      <c r="A1047">
        <v>9765</v>
      </c>
      <c r="B1047" s="106" t="s">
        <v>1675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">
      <c r="A1048">
        <v>9783</v>
      </c>
      <c r="B1048" s="106" t="s">
        <v>2143</v>
      </c>
      <c r="C1048">
        <v>0.05</v>
      </c>
      <c r="D1048">
        <v>0</v>
      </c>
      <c r="E1048">
        <v>0</v>
      </c>
      <c r="F1048">
        <v>0</v>
      </c>
      <c r="G1048">
        <v>0</v>
      </c>
    </row>
    <row r="1049" spans="1:7" x14ac:dyDescent="0.2">
      <c r="A1049">
        <v>9787</v>
      </c>
      <c r="B1049" s="106" t="s">
        <v>1676</v>
      </c>
      <c r="C1049">
        <v>0</v>
      </c>
      <c r="D1049" s="106">
        <v>0</v>
      </c>
      <c r="E1049">
        <v>0.1</v>
      </c>
      <c r="F1049" s="106">
        <v>0</v>
      </c>
      <c r="G1049">
        <v>0</v>
      </c>
    </row>
    <row r="1050" spans="1:7" x14ac:dyDescent="0.2">
      <c r="A1050">
        <v>9788</v>
      </c>
      <c r="B1050" s="106" t="s">
        <v>1677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">
      <c r="A1051">
        <v>9790</v>
      </c>
      <c r="B1051" s="106" t="s">
        <v>2586</v>
      </c>
      <c r="C1051">
        <v>0</v>
      </c>
      <c r="D1051">
        <v>0</v>
      </c>
      <c r="E1051" t="s">
        <v>166</v>
      </c>
      <c r="F1051">
        <v>0.05</v>
      </c>
      <c r="G1051">
        <v>0</v>
      </c>
    </row>
    <row r="1052" spans="1:7" x14ac:dyDescent="0.2">
      <c r="A1052">
        <v>9795</v>
      </c>
      <c r="B1052" s="106" t="s">
        <v>2324</v>
      </c>
      <c r="C1052">
        <v>0</v>
      </c>
      <c r="D1052" t="s">
        <v>166</v>
      </c>
      <c r="E1052">
        <v>0</v>
      </c>
      <c r="F1052" t="s">
        <v>166</v>
      </c>
      <c r="G1052" t="s">
        <v>166</v>
      </c>
    </row>
    <row r="1053" spans="1:7" x14ac:dyDescent="0.2">
      <c r="A1053">
        <v>9824</v>
      </c>
      <c r="B1053" s="106" t="s">
        <v>1678</v>
      </c>
      <c r="C1053">
        <v>0.1</v>
      </c>
      <c r="D1053">
        <v>0.1</v>
      </c>
      <c r="E1053">
        <v>0.1</v>
      </c>
      <c r="F1053">
        <v>0.1</v>
      </c>
      <c r="G1053" s="106">
        <v>0.15</v>
      </c>
    </row>
    <row r="1054" spans="1:7" x14ac:dyDescent="0.2">
      <c r="A1054">
        <v>9830</v>
      </c>
      <c r="B1054" s="106" t="s">
        <v>1679</v>
      </c>
      <c r="C1054">
        <v>0.05</v>
      </c>
      <c r="D1054">
        <v>0</v>
      </c>
      <c r="E1054">
        <v>0</v>
      </c>
      <c r="F1054">
        <v>0</v>
      </c>
      <c r="G1054">
        <v>0</v>
      </c>
    </row>
    <row r="1055" spans="1:7" x14ac:dyDescent="0.2">
      <c r="A1055">
        <v>9831</v>
      </c>
      <c r="B1055" s="106" t="s">
        <v>1680</v>
      </c>
      <c r="C1055">
        <v>0.05</v>
      </c>
      <c r="D1055" s="106">
        <v>0.05</v>
      </c>
      <c r="E1055">
        <v>0.05</v>
      </c>
      <c r="F1055" s="106">
        <v>0.05</v>
      </c>
      <c r="G1055">
        <v>0.15</v>
      </c>
    </row>
    <row r="1056" spans="1:7" x14ac:dyDescent="0.2">
      <c r="A1056">
        <v>9837</v>
      </c>
      <c r="B1056" s="106" t="s">
        <v>1681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">
      <c r="A1057">
        <v>9843</v>
      </c>
      <c r="B1057" s="106" t="s">
        <v>1682</v>
      </c>
      <c r="C1057">
        <v>0</v>
      </c>
      <c r="D1057">
        <v>0.3</v>
      </c>
      <c r="E1057">
        <v>0</v>
      </c>
      <c r="F1057">
        <v>0</v>
      </c>
      <c r="G1057">
        <v>0.9</v>
      </c>
    </row>
    <row r="1058" spans="1:7" x14ac:dyDescent="0.2">
      <c r="A1058">
        <v>9850</v>
      </c>
      <c r="B1058" s="106" t="s">
        <v>1683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">
      <c r="A1059">
        <v>9854</v>
      </c>
      <c r="B1059" s="106" t="s">
        <v>1684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">
      <c r="A1060">
        <v>9856</v>
      </c>
      <c r="B1060" s="106" t="s">
        <v>1685</v>
      </c>
      <c r="C1060">
        <v>0.05</v>
      </c>
      <c r="D1060">
        <v>0</v>
      </c>
      <c r="E1060" s="106">
        <v>0</v>
      </c>
      <c r="F1060" s="106">
        <v>0</v>
      </c>
      <c r="G1060" s="106">
        <v>0.15</v>
      </c>
    </row>
    <row r="1061" spans="1:7" x14ac:dyDescent="0.2">
      <c r="A1061">
        <v>9861</v>
      </c>
      <c r="B1061" s="106" t="s">
        <v>1686</v>
      </c>
      <c r="C1061">
        <v>0.05</v>
      </c>
      <c r="D1061">
        <v>0.05</v>
      </c>
      <c r="E1061">
        <v>0.05</v>
      </c>
      <c r="F1061">
        <v>0.05</v>
      </c>
      <c r="G1061">
        <v>0.15</v>
      </c>
    </row>
    <row r="1062" spans="1:7" x14ac:dyDescent="0.2">
      <c r="A1062">
        <v>9869</v>
      </c>
      <c r="B1062" s="106" t="s">
        <v>1687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">
      <c r="A1063">
        <v>9872</v>
      </c>
      <c r="B1063" s="106" t="s">
        <v>1688</v>
      </c>
      <c r="C1063">
        <v>0</v>
      </c>
      <c r="D1063">
        <v>0.05</v>
      </c>
      <c r="E1063">
        <v>0.05</v>
      </c>
      <c r="F1063">
        <v>0.05</v>
      </c>
      <c r="G1063">
        <v>0.15</v>
      </c>
    </row>
    <row r="1064" spans="1:7" x14ac:dyDescent="0.2">
      <c r="A1064">
        <v>9882</v>
      </c>
      <c r="B1064" s="106" t="s">
        <v>1689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">
      <c r="A1065">
        <v>9896</v>
      </c>
      <c r="B1065" s="106" t="s">
        <v>1690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">
      <c r="A1066">
        <v>9900</v>
      </c>
      <c r="B1066" s="106" t="s">
        <v>1691</v>
      </c>
      <c r="C1066">
        <v>0.05</v>
      </c>
      <c r="D1066">
        <v>0.05</v>
      </c>
      <c r="E1066" s="106">
        <v>0.05</v>
      </c>
      <c r="F1066">
        <v>0.05</v>
      </c>
      <c r="G1066">
        <v>0.15</v>
      </c>
    </row>
    <row r="1067" spans="1:7" x14ac:dyDescent="0.2">
      <c r="A1067">
        <v>9902</v>
      </c>
      <c r="B1067" s="106" t="s">
        <v>1692</v>
      </c>
      <c r="C1067">
        <v>0.05</v>
      </c>
      <c r="D1067">
        <v>0.05</v>
      </c>
      <c r="E1067">
        <v>0.05</v>
      </c>
      <c r="F1067">
        <v>0.05</v>
      </c>
      <c r="G1067">
        <v>0.15</v>
      </c>
    </row>
    <row r="1068" spans="1:7" x14ac:dyDescent="0.2">
      <c r="A1068">
        <v>9919</v>
      </c>
      <c r="B1068" s="106" t="s">
        <v>1693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">
      <c r="A1069">
        <v>9928</v>
      </c>
      <c r="B1069" s="106" t="s">
        <v>2206</v>
      </c>
      <c r="C1069">
        <v>0</v>
      </c>
      <c r="D1069">
        <v>0</v>
      </c>
      <c r="E1069">
        <v>0</v>
      </c>
      <c r="F1069">
        <v>0.05</v>
      </c>
      <c r="G1069" t="s">
        <v>166</v>
      </c>
    </row>
    <row r="1070" spans="1:7" x14ac:dyDescent="0.2">
      <c r="A1070">
        <v>9930</v>
      </c>
      <c r="B1070" s="106" t="s">
        <v>1694</v>
      </c>
      <c r="C1070">
        <v>0</v>
      </c>
      <c r="D1070">
        <v>0</v>
      </c>
      <c r="E1070">
        <v>0</v>
      </c>
      <c r="F1070">
        <v>0</v>
      </c>
      <c r="G1070">
        <v>0.15</v>
      </c>
    </row>
    <row r="1071" spans="1:7" x14ac:dyDescent="0.2">
      <c r="A1071">
        <v>9945</v>
      </c>
      <c r="B1071" s="106" t="s">
        <v>1695</v>
      </c>
      <c r="C1071">
        <v>0.05</v>
      </c>
      <c r="D1071">
        <v>0.05</v>
      </c>
      <c r="E1071">
        <v>0.05</v>
      </c>
      <c r="F1071">
        <v>0.05</v>
      </c>
      <c r="G1071">
        <v>0.15</v>
      </c>
    </row>
    <row r="1072" spans="1:7" x14ac:dyDescent="0.2">
      <c r="A1072">
        <v>9946</v>
      </c>
      <c r="B1072" s="106" t="s">
        <v>1696</v>
      </c>
      <c r="C1072">
        <v>0.05</v>
      </c>
      <c r="D1072">
        <v>0.05</v>
      </c>
      <c r="E1072">
        <v>0.05</v>
      </c>
      <c r="F1072">
        <v>0.05</v>
      </c>
      <c r="G1072">
        <v>0.15</v>
      </c>
    </row>
    <row r="1073" spans="1:7" x14ac:dyDescent="0.2">
      <c r="A1073">
        <v>9948</v>
      </c>
      <c r="B1073" s="106" t="s">
        <v>1697</v>
      </c>
      <c r="C1073">
        <v>0</v>
      </c>
      <c r="D1073">
        <v>0.05</v>
      </c>
      <c r="E1073">
        <v>0</v>
      </c>
      <c r="F1073">
        <v>0</v>
      </c>
      <c r="G1073">
        <v>0.15</v>
      </c>
    </row>
    <row r="1074" spans="1:7" x14ac:dyDescent="0.2">
      <c r="A1074">
        <v>9962</v>
      </c>
      <c r="B1074" s="106" t="s">
        <v>1698</v>
      </c>
      <c r="C1074">
        <v>0.05</v>
      </c>
      <c r="D1074">
        <v>0.05</v>
      </c>
      <c r="E1074">
        <v>0.05</v>
      </c>
      <c r="F1074">
        <v>0.05</v>
      </c>
      <c r="G1074">
        <v>0</v>
      </c>
    </row>
    <row r="1075" spans="1:7" x14ac:dyDescent="0.2">
      <c r="A1075">
        <v>9974</v>
      </c>
      <c r="B1075" s="106" t="s">
        <v>2325</v>
      </c>
      <c r="C1075">
        <v>0.05</v>
      </c>
      <c r="D1075">
        <v>0.1</v>
      </c>
      <c r="E1075">
        <v>0</v>
      </c>
      <c r="F1075" t="s">
        <v>166</v>
      </c>
      <c r="G1075">
        <v>0.3</v>
      </c>
    </row>
    <row r="1076" spans="1:7" x14ac:dyDescent="0.2">
      <c r="A1076">
        <v>9979</v>
      </c>
      <c r="B1076" s="106" t="s">
        <v>1699</v>
      </c>
      <c r="C1076">
        <v>0.05</v>
      </c>
      <c r="D1076">
        <v>0.05</v>
      </c>
      <c r="E1076">
        <v>0.05</v>
      </c>
      <c r="F1076">
        <v>0.05</v>
      </c>
      <c r="G1076">
        <v>0.15</v>
      </c>
    </row>
    <row r="1077" spans="1:7" x14ac:dyDescent="0.2">
      <c r="A1077">
        <v>9982</v>
      </c>
      <c r="B1077" s="106" t="s">
        <v>1700</v>
      </c>
      <c r="C1077">
        <v>0.05</v>
      </c>
      <c r="D1077">
        <v>0.05</v>
      </c>
      <c r="E1077">
        <v>0.05</v>
      </c>
      <c r="F1077">
        <v>0.05</v>
      </c>
      <c r="G1077">
        <v>0.15</v>
      </c>
    </row>
    <row r="1078" spans="1:7" x14ac:dyDescent="0.2">
      <c r="A1078">
        <v>9983</v>
      </c>
      <c r="B1078" s="106" t="s">
        <v>1701</v>
      </c>
      <c r="C1078">
        <v>1.25</v>
      </c>
      <c r="D1078">
        <v>1.1499999999999999</v>
      </c>
      <c r="E1078">
        <v>1.1000000000000001</v>
      </c>
      <c r="F1078">
        <v>1.2</v>
      </c>
      <c r="G1078">
        <v>14.55</v>
      </c>
    </row>
    <row r="1079" spans="1:7" x14ac:dyDescent="0.2">
      <c r="A1079">
        <v>9989</v>
      </c>
      <c r="B1079" s="106" t="s">
        <v>921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">
      <c r="A1080">
        <v>9991</v>
      </c>
      <c r="B1080" s="106" t="s">
        <v>2587</v>
      </c>
      <c r="C1080">
        <v>0</v>
      </c>
      <c r="D1080" t="s">
        <v>166</v>
      </c>
      <c r="E1080" t="s">
        <v>166</v>
      </c>
      <c r="F1080" t="s">
        <v>166</v>
      </c>
      <c r="G1080">
        <v>0</v>
      </c>
    </row>
    <row r="1081" spans="1:7" x14ac:dyDescent="0.2">
      <c r="A1081">
        <v>9994</v>
      </c>
      <c r="B1081" s="106" t="s">
        <v>1702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">
      <c r="B1082" s="106"/>
    </row>
    <row r="1083" spans="1:7" x14ac:dyDescent="0.2">
      <c r="B1083" s="106"/>
    </row>
    <row r="1084" spans="1:7" x14ac:dyDescent="0.2">
      <c r="B1084" s="106"/>
    </row>
    <row r="1085" spans="1:7" x14ac:dyDescent="0.2">
      <c r="B1085" s="106"/>
      <c r="G1085" s="106"/>
    </row>
    <row r="1086" spans="1:7" x14ac:dyDescent="0.2">
      <c r="B1086" s="106"/>
    </row>
    <row r="1087" spans="1:7" x14ac:dyDescent="0.2">
      <c r="B1087" s="106"/>
    </row>
    <row r="1088" spans="1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746</v>
      </c>
      <c r="D1" s="139">
        <v>0.1</v>
      </c>
    </row>
    <row r="2" spans="1:4" s="106" customFormat="1" x14ac:dyDescent="0.2">
      <c r="A2" s="13" t="s">
        <v>744</v>
      </c>
      <c r="B2" s="1" t="s">
        <v>753</v>
      </c>
      <c r="C2" s="1" t="s">
        <v>745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747</v>
      </c>
      <c r="B8" s="1" t="s">
        <v>754</v>
      </c>
    </row>
    <row r="9" spans="1:4" s="106" customFormat="1" x14ac:dyDescent="0.2">
      <c r="A9" s="140" t="s">
        <v>748</v>
      </c>
      <c r="B9" s="142">
        <v>198</v>
      </c>
    </row>
    <row r="10" spans="1:4" s="106" customFormat="1" x14ac:dyDescent="0.2">
      <c r="A10" s="140" t="s">
        <v>749</v>
      </c>
      <c r="B10" s="142">
        <v>385</v>
      </c>
    </row>
    <row r="11" spans="1:4" s="106" customFormat="1" x14ac:dyDescent="0.2">
      <c r="A11" s="1" t="s">
        <v>750</v>
      </c>
      <c r="B11" s="143">
        <v>2.8000000000000001E-2</v>
      </c>
    </row>
    <row r="12" spans="1:4" s="106" customFormat="1" x14ac:dyDescent="0.2">
      <c r="A12" s="1" t="s">
        <v>172</v>
      </c>
      <c r="B12" s="143">
        <v>1.0999999999999999E-2</v>
      </c>
    </row>
    <row r="15" spans="1:4" ht="15" x14ac:dyDescent="0.2">
      <c r="A15" s="78" t="s">
        <v>104</v>
      </c>
    </row>
    <row r="16" spans="1:4" x14ac:dyDescent="0.2">
      <c r="B16" s="1"/>
    </row>
    <row r="17" spans="1:2" ht="15.75" thickBot="1" x14ac:dyDescent="0.3">
      <c r="A17" s="69" t="s">
        <v>105</v>
      </c>
    </row>
    <row r="18" spans="1:2" ht="15.75" thickBot="1" x14ac:dyDescent="0.25">
      <c r="A18" s="71" t="s">
        <v>106</v>
      </c>
      <c r="B18" s="72" t="s">
        <v>107</v>
      </c>
    </row>
    <row r="19" spans="1:2" ht="15.75" thickBot="1" x14ac:dyDescent="0.3">
      <c r="A19" s="73" t="s">
        <v>108</v>
      </c>
      <c r="B19" s="70" t="s">
        <v>109</v>
      </c>
    </row>
    <row r="20" spans="1:2" ht="15.75" thickBot="1" x14ac:dyDescent="0.3">
      <c r="A20" s="73" t="s">
        <v>110</v>
      </c>
      <c r="B20" s="70" t="s">
        <v>111</v>
      </c>
    </row>
    <row r="21" spans="1:2" ht="15.75" thickBot="1" x14ac:dyDescent="0.3">
      <c r="A21" s="73" t="s">
        <v>112</v>
      </c>
      <c r="B21" s="70" t="s">
        <v>113</v>
      </c>
    </row>
    <row r="22" spans="1:2" ht="15.75" thickBot="1" x14ac:dyDescent="0.3">
      <c r="A22" s="73" t="s">
        <v>114</v>
      </c>
      <c r="B22" s="70" t="s">
        <v>115</v>
      </c>
    </row>
    <row r="23" spans="1:2" ht="15.75" thickBot="1" x14ac:dyDescent="0.3">
      <c r="A23" s="74" t="s">
        <v>116</v>
      </c>
      <c r="B23" s="75" t="s">
        <v>117</v>
      </c>
    </row>
    <row r="24" spans="1:2" ht="15.75" thickBot="1" x14ac:dyDescent="0.3">
      <c r="A24" s="76" t="s">
        <v>118</v>
      </c>
      <c r="B24" s="77" t="s">
        <v>119</v>
      </c>
    </row>
    <row r="25" spans="1:2" ht="15.75" thickBot="1" x14ac:dyDescent="0.3">
      <c r="A25" s="73" t="s">
        <v>120</v>
      </c>
      <c r="B25" s="70" t="s">
        <v>121</v>
      </c>
    </row>
    <row r="26" spans="1:2" ht="15.75" thickBot="1" x14ac:dyDescent="0.3">
      <c r="A26" s="73" t="s">
        <v>122</v>
      </c>
      <c r="B26" s="70" t="s">
        <v>123</v>
      </c>
    </row>
    <row r="27" spans="1:2" ht="15.75" thickBot="1" x14ac:dyDescent="0.3">
      <c r="A27" s="69" t="s">
        <v>124</v>
      </c>
    </row>
    <row r="28" spans="1:2" ht="15.75" thickBot="1" x14ac:dyDescent="0.25">
      <c r="A28" s="71" t="s">
        <v>106</v>
      </c>
      <c r="B28" s="72" t="s">
        <v>107</v>
      </c>
    </row>
    <row r="29" spans="1:2" ht="15.75" thickBot="1" x14ac:dyDescent="0.3">
      <c r="A29" s="73" t="s">
        <v>110</v>
      </c>
      <c r="B29" s="70" t="s">
        <v>111</v>
      </c>
    </row>
    <row r="30" spans="1:2" ht="15.75" thickBot="1" x14ac:dyDescent="0.3">
      <c r="A30" s="73" t="s">
        <v>112</v>
      </c>
      <c r="B30" s="70" t="s">
        <v>125</v>
      </c>
    </row>
    <row r="31" spans="1:2" ht="15.75" thickBot="1" x14ac:dyDescent="0.3">
      <c r="A31" s="73" t="s">
        <v>114</v>
      </c>
      <c r="B31" s="70" t="s">
        <v>126</v>
      </c>
    </row>
    <row r="32" spans="1:2" ht="15.75" thickBot="1" x14ac:dyDescent="0.3">
      <c r="A32" s="74" t="s">
        <v>127</v>
      </c>
      <c r="B32" s="75" t="s">
        <v>128</v>
      </c>
    </row>
    <row r="35" spans="1:8" ht="15" x14ac:dyDescent="0.2">
      <c r="A35" s="78" t="s">
        <v>129</v>
      </c>
    </row>
    <row r="36" spans="1:8" ht="15" thickBot="1" x14ac:dyDescent="0.25"/>
    <row r="37" spans="1:8" ht="15.75" thickBot="1" x14ac:dyDescent="0.25">
      <c r="A37" s="71" t="s">
        <v>130</v>
      </c>
      <c r="B37" s="72" t="s">
        <v>96</v>
      </c>
    </row>
    <row r="38" spans="1:8" ht="15.75" thickBot="1" x14ac:dyDescent="0.3">
      <c r="A38" s="73" t="s">
        <v>110</v>
      </c>
      <c r="B38" s="70" t="s">
        <v>131</v>
      </c>
    </row>
    <row r="39" spans="1:8" ht="15.75" thickBot="1" x14ac:dyDescent="0.3">
      <c r="A39" s="73" t="s">
        <v>112</v>
      </c>
      <c r="B39" s="70" t="s">
        <v>132</v>
      </c>
    </row>
    <row r="40" spans="1:8" ht="15.75" thickBot="1" x14ac:dyDescent="0.3">
      <c r="A40" s="73" t="s">
        <v>133</v>
      </c>
      <c r="B40" s="70" t="s">
        <v>134</v>
      </c>
    </row>
    <row r="41" spans="1:8" ht="15.75" thickBot="1" x14ac:dyDescent="0.3">
      <c r="A41" s="73" t="s">
        <v>114</v>
      </c>
      <c r="B41" s="70" t="s">
        <v>135</v>
      </c>
    </row>
    <row r="42" spans="1:8" ht="15.75" thickBot="1" x14ac:dyDescent="0.3">
      <c r="A42" s="73" t="s">
        <v>116</v>
      </c>
      <c r="B42" s="70" t="s">
        <v>136</v>
      </c>
    </row>
    <row r="43" spans="1:8" ht="15.75" thickBot="1" x14ac:dyDescent="0.3">
      <c r="A43" s="73" t="s">
        <v>137</v>
      </c>
      <c r="B43" s="70" t="s">
        <v>138</v>
      </c>
    </row>
    <row r="44" spans="1:8" ht="15" x14ac:dyDescent="0.25">
      <c r="A44" s="80" t="s">
        <v>139</v>
      </c>
      <c r="B44" s="366" t="s">
        <v>141</v>
      </c>
    </row>
    <row r="45" spans="1:8" ht="30.75" thickBot="1" x14ac:dyDescent="0.3">
      <c r="A45" s="73" t="s">
        <v>140</v>
      </c>
      <c r="B45" s="367"/>
    </row>
    <row r="47" spans="1:8" ht="15" thickBot="1" x14ac:dyDescent="0.25"/>
    <row r="48" spans="1:8" ht="15" thickBot="1" x14ac:dyDescent="0.25">
      <c r="A48" s="380" t="s">
        <v>90</v>
      </c>
      <c r="B48" s="381"/>
      <c r="C48" s="384" t="s">
        <v>142</v>
      </c>
      <c r="D48" s="385"/>
      <c r="E48" s="385"/>
      <c r="F48" s="385"/>
      <c r="G48" s="386"/>
      <c r="H48" s="86"/>
    </row>
    <row r="49" spans="1:8" ht="15" thickBot="1" x14ac:dyDescent="0.25">
      <c r="A49" s="382"/>
      <c r="B49" s="383"/>
      <c r="C49" s="387" t="s">
        <v>143</v>
      </c>
      <c r="D49" s="388"/>
      <c r="E49" s="81" t="s">
        <v>144</v>
      </c>
      <c r="F49" s="389" t="s">
        <v>145</v>
      </c>
      <c r="G49" s="390"/>
    </row>
    <row r="50" spans="1:8" ht="15" thickBot="1" x14ac:dyDescent="0.25">
      <c r="A50" s="87" t="s">
        <v>146</v>
      </c>
      <c r="B50" s="82" t="s">
        <v>147</v>
      </c>
      <c r="C50" s="82" t="s">
        <v>148</v>
      </c>
      <c r="D50" s="83" t="s">
        <v>147</v>
      </c>
      <c r="E50" s="83" t="s">
        <v>148</v>
      </c>
      <c r="F50" s="81" t="s">
        <v>148</v>
      </c>
      <c r="G50" s="84" t="s">
        <v>147</v>
      </c>
      <c r="H50" s="84" t="s">
        <v>148</v>
      </c>
    </row>
    <row r="51" spans="1:8" ht="28.5" customHeight="1" thickBot="1" x14ac:dyDescent="0.25">
      <c r="A51" s="88" t="s">
        <v>149</v>
      </c>
      <c r="B51" s="370" t="s">
        <v>150</v>
      </c>
      <c r="C51" s="372"/>
      <c r="D51" s="370" t="s">
        <v>151</v>
      </c>
      <c r="E51" s="371"/>
      <c r="F51" s="371"/>
      <c r="G51" s="371"/>
      <c r="H51" s="372"/>
    </row>
    <row r="52" spans="1:8" ht="43.5" thickBot="1" x14ac:dyDescent="0.25">
      <c r="A52" s="88" t="s">
        <v>152</v>
      </c>
      <c r="B52" s="370" t="s">
        <v>153</v>
      </c>
      <c r="C52" s="372"/>
      <c r="D52" s="85" t="s">
        <v>154</v>
      </c>
      <c r="E52" s="85" t="s">
        <v>155</v>
      </c>
      <c r="F52" s="85" t="s">
        <v>155</v>
      </c>
      <c r="G52" s="85" t="s">
        <v>154</v>
      </c>
      <c r="H52" s="85" t="s">
        <v>155</v>
      </c>
    </row>
    <row r="53" spans="1:8" ht="15" thickBot="1" x14ac:dyDescent="0.25">
      <c r="A53" s="88" t="s">
        <v>156</v>
      </c>
      <c r="B53" s="370" t="s">
        <v>157</v>
      </c>
      <c r="C53" s="372"/>
      <c r="D53" s="370" t="s">
        <v>143</v>
      </c>
      <c r="E53" s="372"/>
      <c r="F53" s="85" t="s">
        <v>158</v>
      </c>
      <c r="G53" s="370" t="s">
        <v>159</v>
      </c>
      <c r="H53" s="372"/>
    </row>
    <row r="54" spans="1:8" ht="15" thickBot="1" x14ac:dyDescent="0.25">
      <c r="A54" s="88" t="s">
        <v>96</v>
      </c>
      <c r="B54" s="370" t="s">
        <v>160</v>
      </c>
      <c r="C54" s="371"/>
      <c r="D54" s="371"/>
      <c r="E54" s="371"/>
      <c r="F54" s="372"/>
      <c r="G54" s="370" t="s">
        <v>161</v>
      </c>
      <c r="H54" s="372"/>
    </row>
    <row r="55" spans="1:8" ht="42.75" x14ac:dyDescent="0.2">
      <c r="A55" s="141" t="s">
        <v>750</v>
      </c>
      <c r="B55" s="79" t="s">
        <v>163</v>
      </c>
      <c r="C55" s="366" t="s">
        <v>166</v>
      </c>
      <c r="D55" s="79" t="s">
        <v>163</v>
      </c>
      <c r="E55" s="366" t="s">
        <v>166</v>
      </c>
      <c r="F55" s="366" t="s">
        <v>166</v>
      </c>
      <c r="G55" s="79" t="s">
        <v>169</v>
      </c>
      <c r="H55" s="366" t="s">
        <v>166</v>
      </c>
    </row>
    <row r="56" spans="1:8" ht="42.75" x14ac:dyDescent="0.2">
      <c r="A56" s="89" t="s">
        <v>162</v>
      </c>
      <c r="B56" s="90" t="s">
        <v>752</v>
      </c>
      <c r="C56" s="373"/>
      <c r="D56" s="79" t="s">
        <v>167</v>
      </c>
      <c r="E56" s="373"/>
      <c r="F56" s="373"/>
      <c r="G56" s="79" t="s">
        <v>170</v>
      </c>
      <c r="H56" s="373"/>
    </row>
    <row r="57" spans="1:8" ht="42.75" x14ac:dyDescent="0.2">
      <c r="A57" s="89"/>
      <c r="B57" s="79" t="s">
        <v>164</v>
      </c>
      <c r="C57" s="373"/>
      <c r="D57" s="79" t="s">
        <v>164</v>
      </c>
      <c r="E57" s="373"/>
      <c r="F57" s="373"/>
      <c r="G57" s="79" t="s">
        <v>171</v>
      </c>
      <c r="H57" s="373"/>
    </row>
    <row r="58" spans="1:8" ht="15" thickBot="1" x14ac:dyDescent="0.25">
      <c r="A58" s="88"/>
      <c r="B58" s="85" t="s">
        <v>165</v>
      </c>
      <c r="C58" s="367"/>
      <c r="D58" s="85" t="s">
        <v>168</v>
      </c>
      <c r="E58" s="367"/>
      <c r="F58" s="367"/>
      <c r="G58" s="85"/>
      <c r="H58" s="367"/>
    </row>
    <row r="59" spans="1:8" ht="42.75" x14ac:dyDescent="0.2">
      <c r="A59" s="141" t="s">
        <v>751</v>
      </c>
      <c r="B59" s="366" t="s">
        <v>166</v>
      </c>
      <c r="C59" s="374">
        <v>1.0999999999999999E-2</v>
      </c>
      <c r="D59" s="366" t="s">
        <v>166</v>
      </c>
      <c r="E59" s="377">
        <v>1.0999999999999999E-2</v>
      </c>
      <c r="F59" s="377">
        <v>3.9E-2</v>
      </c>
      <c r="G59" s="366" t="s">
        <v>166</v>
      </c>
      <c r="H59" s="79" t="s">
        <v>169</v>
      </c>
    </row>
    <row r="60" spans="1:8" ht="42.75" x14ac:dyDescent="0.2">
      <c r="A60" s="89" t="s">
        <v>162</v>
      </c>
      <c r="B60" s="373"/>
      <c r="C60" s="375"/>
      <c r="D60" s="373"/>
      <c r="E60" s="378"/>
      <c r="F60" s="378"/>
      <c r="G60" s="373"/>
      <c r="H60" s="79" t="s">
        <v>170</v>
      </c>
    </row>
    <row r="61" spans="1:8" ht="43.5" thickBot="1" x14ac:dyDescent="0.25">
      <c r="A61" s="88"/>
      <c r="B61" s="367"/>
      <c r="C61" s="376"/>
      <c r="D61" s="367"/>
      <c r="E61" s="379"/>
      <c r="F61" s="379"/>
      <c r="G61" s="367"/>
      <c r="H61" s="85" t="s">
        <v>171</v>
      </c>
    </row>
    <row r="62" spans="1:8" ht="127.5" customHeight="1" x14ac:dyDescent="0.2">
      <c r="A62" s="89" t="s">
        <v>173</v>
      </c>
      <c r="B62" s="366" t="s">
        <v>166</v>
      </c>
      <c r="C62" s="368" t="s">
        <v>175</v>
      </c>
      <c r="D62" s="366" t="s">
        <v>166</v>
      </c>
      <c r="E62" s="366" t="s">
        <v>166</v>
      </c>
      <c r="F62" s="366" t="s">
        <v>166</v>
      </c>
      <c r="G62" s="366" t="s">
        <v>166</v>
      </c>
      <c r="H62" s="366" t="s">
        <v>176</v>
      </c>
    </row>
    <row r="63" spans="1:8" ht="15" thickBot="1" x14ac:dyDescent="0.25">
      <c r="A63" s="88" t="s">
        <v>174</v>
      </c>
      <c r="B63" s="367"/>
      <c r="C63" s="369"/>
      <c r="D63" s="367"/>
      <c r="E63" s="367"/>
      <c r="F63" s="367"/>
      <c r="G63" s="367"/>
      <c r="H63" s="367"/>
    </row>
    <row r="64" spans="1:8" ht="15" thickBot="1" x14ac:dyDescent="0.25">
      <c r="A64" s="88" t="s">
        <v>177</v>
      </c>
      <c r="B64" s="370" t="s">
        <v>178</v>
      </c>
      <c r="C64" s="371"/>
      <c r="D64" s="371"/>
      <c r="E64" s="371"/>
      <c r="F64" s="371"/>
      <c r="G64" s="371"/>
      <c r="H64" s="372"/>
    </row>
    <row r="65" spans="1:8" ht="14.25" customHeight="1" x14ac:dyDescent="0.2">
      <c r="A65" s="354" t="s">
        <v>179</v>
      </c>
      <c r="B65" s="357" t="s">
        <v>180</v>
      </c>
      <c r="C65" s="358"/>
      <c r="D65" s="358"/>
      <c r="E65" s="358"/>
      <c r="F65" s="358"/>
      <c r="G65" s="358"/>
      <c r="H65" s="359"/>
    </row>
    <row r="66" spans="1:8" ht="15" thickBot="1" x14ac:dyDescent="0.25">
      <c r="A66" s="356"/>
      <c r="B66" s="363" t="s">
        <v>181</v>
      </c>
      <c r="C66" s="364"/>
      <c r="D66" s="364"/>
      <c r="E66" s="364"/>
      <c r="F66" s="364"/>
      <c r="G66" s="364"/>
      <c r="H66" s="365"/>
    </row>
    <row r="67" spans="1:8" ht="14.25" customHeight="1" x14ac:dyDescent="0.2">
      <c r="A67" s="354" t="s">
        <v>182</v>
      </c>
      <c r="B67" s="357" t="s">
        <v>183</v>
      </c>
      <c r="C67" s="358"/>
      <c r="D67" s="358"/>
      <c r="E67" s="358"/>
      <c r="F67" s="358"/>
      <c r="G67" s="358"/>
      <c r="H67" s="359"/>
    </row>
    <row r="68" spans="1:8" ht="15" thickBot="1" x14ac:dyDescent="0.25">
      <c r="A68" s="356"/>
      <c r="B68" s="363" t="s">
        <v>184</v>
      </c>
      <c r="C68" s="364"/>
      <c r="D68" s="364"/>
      <c r="E68" s="364"/>
      <c r="F68" s="364"/>
      <c r="G68" s="364"/>
      <c r="H68" s="365"/>
    </row>
    <row r="69" spans="1:8" ht="28.5" customHeight="1" x14ac:dyDescent="0.2">
      <c r="A69" s="354" t="s">
        <v>185</v>
      </c>
      <c r="B69" s="357" t="s">
        <v>186</v>
      </c>
      <c r="C69" s="358"/>
      <c r="D69" s="359"/>
      <c r="E69" s="357" t="s">
        <v>187</v>
      </c>
      <c r="F69" s="358"/>
      <c r="G69" s="358"/>
      <c r="H69" s="359"/>
    </row>
    <row r="70" spans="1:8" ht="28.5" customHeight="1" x14ac:dyDescent="0.2">
      <c r="A70" s="355"/>
      <c r="B70" s="360"/>
      <c r="C70" s="361"/>
      <c r="D70" s="362"/>
      <c r="E70" s="360" t="s">
        <v>188</v>
      </c>
      <c r="F70" s="361"/>
      <c r="G70" s="361"/>
      <c r="H70" s="362"/>
    </row>
    <row r="71" spans="1:8" ht="28.5" customHeight="1" thickBot="1" x14ac:dyDescent="0.25">
      <c r="A71" s="356"/>
      <c r="B71" s="363"/>
      <c r="C71" s="364"/>
      <c r="D71" s="365"/>
      <c r="E71" s="363" t="s">
        <v>189</v>
      </c>
      <c r="F71" s="364"/>
      <c r="G71" s="364"/>
      <c r="H71" s="365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2019-12-27T10:32:59Z</dcterms:modified>
</cp:coreProperties>
</file>