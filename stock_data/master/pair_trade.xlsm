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activeTab="1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13" hidden="1">'Source Data'!$A$1:$AH$1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J9" i="2" l="1"/>
  <c r="J8" i="2"/>
  <c r="C8" i="2"/>
  <c r="J7" i="2" l="1"/>
  <c r="J6" i="2"/>
  <c r="C6" i="2"/>
  <c r="J5" i="2" l="1"/>
  <c r="J4" i="2"/>
  <c r="C4" i="2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C4" i="20"/>
  <c r="E4" i="20" s="1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Q7" i="13"/>
  <c r="P7" i="13"/>
  <c r="M7" i="13"/>
  <c r="AC6" i="13"/>
  <c r="AB6" i="13"/>
  <c r="AA6" i="13"/>
  <c r="V6" i="13"/>
  <c r="S6" i="13"/>
  <c r="R6" i="13"/>
  <c r="Q6" i="13"/>
  <c r="P6" i="13"/>
  <c r="M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6" i="2" l="1"/>
  <c r="V6" i="2" s="1"/>
  <c r="N6" i="2" s="1"/>
  <c r="P6" i="2" s="1"/>
  <c r="U8" i="2"/>
  <c r="V8" i="2" s="1"/>
  <c r="C5" i="20"/>
  <c r="E5" i="20" s="1"/>
  <c r="P4" i="20"/>
  <c r="U4" i="2"/>
  <c r="V4" i="2" s="1"/>
  <c r="R36" i="13"/>
  <c r="N7" i="2" l="1"/>
  <c r="P7" i="2" s="1"/>
  <c r="Q7" i="2" s="1"/>
  <c r="N9" i="2"/>
  <c r="P9" i="2" s="1"/>
  <c r="Q9" i="2" s="1"/>
  <c r="N8" i="2"/>
  <c r="P8" i="2" s="1"/>
  <c r="P5" i="20"/>
  <c r="Q6" i="2"/>
  <c r="N5" i="2"/>
  <c r="P5" i="2" s="1"/>
  <c r="Q5" i="2" s="1"/>
  <c r="N4" i="2"/>
  <c r="P4" i="2" s="1"/>
  <c r="S36" i="13"/>
  <c r="R2" i="13"/>
  <c r="R6" i="2" l="1"/>
  <c r="S6" i="2" s="1"/>
  <c r="Q8" i="2"/>
  <c r="R8" i="2"/>
  <c r="S8" i="2" s="1"/>
  <c r="Q4" i="2"/>
  <c r="R4" i="2"/>
  <c r="S4" i="2" s="1"/>
  <c r="S2" i="2" l="1"/>
  <c r="R2" i="2"/>
</calcChain>
</file>

<file path=xl/sharedStrings.xml><?xml version="1.0" encoding="utf-8"?>
<sst xmlns="http://schemas.openxmlformats.org/spreadsheetml/2006/main" count="25537" uniqueCount="5157">
  <si>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</si>
  <si>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</si>
  <si>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</si>
  <si>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</si>
  <si>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</si>
  <si>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</si>
  <si>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</si>
  <si>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</si>
  <si>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</si>
  <si>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</si>
  <si>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</si>
  <si>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</si>
  <si>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</si>
  <si>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</si>
  <si>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</si>
  <si>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</si>
  <si>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</si>
  <si>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</si>
  <si>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</si>
  <si>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</si>
  <si>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</si>
  <si>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</si>
  <si>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</si>
  <si>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</si>
  <si>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</si>
  <si>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</si>
  <si>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</si>
  <si>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</si>
  <si>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</si>
  <si>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</si>
  <si>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</si>
  <si>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</si>
  <si>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</si>
  <si>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</si>
  <si>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</si>
  <si>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</si>
  <si>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</si>
  <si>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</si>
  <si>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</si>
  <si>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</si>
  <si>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</si>
  <si>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</si>
  <si>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</si>
  <si>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</si>
  <si>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</si>
  <si>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</si>
  <si>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</si>
  <si>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</si>
  <si>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</si>
  <si>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</si>
  <si>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</si>
  <si>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</si>
  <si>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</si>
  <si>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</si>
  <si>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宇部興産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</si>
  <si>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</si>
  <si>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</si>
  <si>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</si>
  <si>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</si>
  <si>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</si>
  <si>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</si>
  <si>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</si>
  <si>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</si>
  <si>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</si>
  <si>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</si>
  <si>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</si>
  <si>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トヨタ紡織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</si>
  <si>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</si>
  <si>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</si>
  <si>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</si>
  <si>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</si>
  <si>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</si>
  <si>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</si>
  <si>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</si>
  <si>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</si>
  <si>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</si>
  <si>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</si>
  <si>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</si>
  <si>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</si>
  <si>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</si>
  <si>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</si>
  <si>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</si>
  <si>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</si>
  <si>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</si>
  <si>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</si>
  <si>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</si>
  <si>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</si>
  <si>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</si>
  <si>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</si>
  <si>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</si>
  <si>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</si>
  <si>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</si>
  <si>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</si>
  <si>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</si>
  <si>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</si>
  <si>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</si>
  <si>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</si>
  <si>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</si>
  <si>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</si>
  <si>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</si>
  <si>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</si>
  <si>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</si>
  <si>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</si>
  <si>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</si>
  <si>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</si>
  <si>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</si>
  <si>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</si>
  <si>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</si>
  <si>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</si>
  <si>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</si>
  <si>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</si>
  <si>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</si>
  <si>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</si>
  <si>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</si>
  <si>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</si>
  <si>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</si>
  <si>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</si>
  <si>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</si>
  <si>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</si>
  <si>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</si>
  <si>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</si>
  <si>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</si>
  <si>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</si>
  <si>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</si>
  <si>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</si>
  <si>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</si>
  <si>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</si>
  <si>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</si>
  <si>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</si>
  <si>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</si>
  <si>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</si>
  <si>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</si>
  <si>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</si>
  <si>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</si>
  <si>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</si>
  <si>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</si>
  <si>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</si>
  <si>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</si>
  <si>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</si>
  <si>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</si>
  <si>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</si>
  <si>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</si>
  <si>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</si>
  <si>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</si>
  <si>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</si>
  <si>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</si>
  <si>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</si>
  <si>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</si>
  <si>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</si>
  <si>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</si>
  <si>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</si>
  <si>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</si>
  <si>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</si>
  <si>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</si>
  <si>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</si>
  <si>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</si>
  <si>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</si>
  <si>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</si>
  <si>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</si>
  <si>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</si>
  <si>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</si>
  <si>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</si>
  <si>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</si>
  <si>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</si>
  <si>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</si>
  <si>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</si>
  <si>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</si>
  <si>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</si>
  <si>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</si>
  <si>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</si>
  <si>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</si>
  <si>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</si>
  <si>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</si>
  <si>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</si>
  <si>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</si>
  <si>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</si>
  <si>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</si>
  <si>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</si>
  <si>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</si>
  <si>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</si>
  <si>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</si>
  <si>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</si>
  <si>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</si>
  <si>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</si>
  <si>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</si>
  <si>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</si>
  <si>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</si>
  <si>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</si>
  <si>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</si>
  <si>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</si>
  <si>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</si>
  <si>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</si>
  <si>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</si>
  <si>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</si>
  <si>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</si>
  <si>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</si>
  <si>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</si>
  <si>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</si>
  <si>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</si>
  <si>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</si>
  <si>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</si>
  <si>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</si>
  <si>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</si>
  <si>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</si>
  <si>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</si>
  <si>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</si>
  <si>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</si>
  <si>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</si>
  <si>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</si>
  <si>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</si>
  <si>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</si>
  <si>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</si>
  <si>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</si>
  <si>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</si>
  <si>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</si>
  <si>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</si>
  <si>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</si>
  <si>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</si>
  <si>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</si>
  <si>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</si>
  <si>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</si>
  <si>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</si>
  <si>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</si>
  <si>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</si>
  <si>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</si>
  <si>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</si>
  <si>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大同特殊鋼</t>
  </si>
  <si>
    <t>イオン</t>
  </si>
  <si>
    <t>日本軽金属ホールディングス</t>
  </si>
  <si>
    <t>アズビル</t>
  </si>
  <si>
    <t>牧野フライス製作所</t>
  </si>
  <si>
    <t>田辺三菱製薬</t>
  </si>
  <si>
    <t>三菱ＵＦＪリース</t>
  </si>
  <si>
    <t>前田建設工業</t>
  </si>
  <si>
    <t>グローリー</t>
  </si>
  <si>
    <t>不二越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</si>
  <si>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</si>
  <si>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</si>
  <si>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</si>
  <si>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</si>
  <si>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</si>
  <si>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</si>
  <si>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</si>
  <si>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</si>
  <si>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</si>
  <si>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</si>
  <si>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</si>
  <si>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</si>
  <si>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</si>
  <si>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</si>
  <si>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</si>
  <si>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</si>
  <si>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</si>
  <si>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</si>
  <si>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</si>
  <si>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</si>
  <si>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</si>
  <si>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</si>
  <si>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</si>
  <si>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</si>
  <si>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</si>
  <si>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</si>
  <si>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</si>
  <si>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</si>
  <si>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</si>
  <si>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</si>
  <si>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</si>
  <si>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</si>
  <si>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</si>
  <si>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</si>
  <si>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</si>
  <si>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</si>
  <si>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</si>
  <si>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</si>
  <si>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</si>
  <si>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</si>
  <si>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</si>
  <si>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</si>
  <si>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</si>
  <si>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</si>
  <si>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</si>
  <si>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</si>
  <si>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</si>
  <si>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</si>
  <si>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</si>
  <si>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</si>
  <si>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</si>
  <si>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</si>
  <si>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</si>
  <si>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</si>
  <si>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</si>
  <si>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</si>
  <si>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</si>
  <si>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</si>
  <si>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</si>
  <si>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</si>
  <si>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</si>
  <si>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</si>
  <si>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</si>
  <si>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</si>
  <si>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</si>
  <si>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</si>
  <si>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</si>
  <si>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</si>
  <si>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</si>
  <si>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</si>
  <si>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</si>
  <si>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</si>
  <si>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</si>
  <si>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</si>
  <si>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</si>
  <si>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</si>
  <si>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</si>
  <si>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</si>
  <si>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</si>
  <si>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</si>
  <si>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</si>
  <si>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</si>
  <si>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</si>
  <si>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</si>
  <si>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</si>
  <si>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</si>
  <si>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</si>
  <si>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</si>
  <si>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</si>
  <si>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</si>
  <si>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</si>
  <si>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</si>
  <si>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</si>
  <si>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</si>
  <si>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</si>
  <si>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</si>
  <si>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</si>
  <si>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</si>
  <si>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</si>
  <si>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</si>
  <si>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</si>
  <si>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</si>
  <si>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</si>
  <si>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</si>
  <si>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</si>
  <si>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</si>
  <si>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</si>
  <si>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</si>
  <si>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</si>
  <si>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</si>
  <si>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</si>
  <si>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1/23</t>
  </si>
  <si>
    <t xml:space="preserve"> ディスコ</t>
  </si>
  <si>
    <t xml:space="preserve"> ＫＤＤＩ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</si>
  <si>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</si>
  <si>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</si>
  <si>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</si>
  <si>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</si>
  <si>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</si>
  <si>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</si>
  <si>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</si>
  <si>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</si>
  <si>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</si>
  <si>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</si>
  <si>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</si>
  <si>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</si>
  <si>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</si>
  <si>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</si>
  <si>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</si>
  <si>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</si>
  <si>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</si>
  <si>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</si>
  <si>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</si>
  <si>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</si>
  <si>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</si>
  <si>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</si>
  <si>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</si>
  <si>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</si>
  <si>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</si>
  <si>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</si>
  <si>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</si>
  <si>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</si>
  <si>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</si>
  <si>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</si>
  <si>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</si>
  <si>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</si>
  <si>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</si>
  <si>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</si>
  <si>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</si>
  <si>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</si>
  <si>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</si>
  <si>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</si>
  <si>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</si>
  <si>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</si>
  <si>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</si>
  <si>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</si>
  <si>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</si>
  <si>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</si>
  <si>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</si>
  <si>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</si>
  <si>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</si>
  <si>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</si>
  <si>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</si>
  <si>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</si>
  <si>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</si>
  <si>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</si>
  <si>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</si>
  <si>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</si>
  <si>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</si>
  <si>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</si>
  <si>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</si>
  <si>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</si>
  <si>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</si>
  <si>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</si>
  <si>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</si>
  <si>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</si>
  <si>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</si>
  <si>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</si>
  <si>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</si>
  <si>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</si>
  <si>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</si>
  <si>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</si>
  <si>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</si>
  <si>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</si>
  <si>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</si>
  <si>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</si>
  <si>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</si>
  <si>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</si>
  <si>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</si>
  <si>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</si>
  <si>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</si>
  <si>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</si>
  <si>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</si>
  <si>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</si>
  <si>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</si>
  <si>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</si>
  <si>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</si>
  <si>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</si>
  <si>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</si>
  <si>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</si>
  <si>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</si>
  <si>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</si>
  <si>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</si>
  <si>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</si>
  <si>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</si>
  <si>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</si>
  <si>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</si>
  <si>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</si>
  <si>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</si>
  <si>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</si>
  <si>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</si>
  <si>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</si>
  <si>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</si>
  <si>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</si>
  <si>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</si>
  <si>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</si>
  <si>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</si>
  <si>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</si>
  <si>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</si>
  <si>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</si>
  <si>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</si>
  <si>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</si>
  <si>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</si>
  <si>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</si>
  <si>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</si>
  <si>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</si>
  <si>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</si>
  <si>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</si>
  <si>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</si>
  <si>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</si>
  <si>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</si>
  <si>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</si>
  <si>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</si>
  <si>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</si>
  <si>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</si>
  <si>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</si>
  <si>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</si>
  <si>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</si>
  <si>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</si>
  <si>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</si>
  <si>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</si>
  <si>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</si>
  <si>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</si>
  <si>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</si>
  <si>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</si>
  <si>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</si>
  <si>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</si>
  <si>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</si>
  <si>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</si>
  <si>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</si>
  <si>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</si>
  <si>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</si>
  <si>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</si>
  <si>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</si>
  <si>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</si>
  <si>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</si>
  <si>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</si>
  <si>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</si>
  <si>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</si>
  <si>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</si>
  <si>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</si>
  <si>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</si>
  <si>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</si>
  <si>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</si>
  <si>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</si>
  <si>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</si>
  <si>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</si>
  <si>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</si>
  <si>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</si>
  <si>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</si>
  <si>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</si>
  <si>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</si>
  <si>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</si>
  <si>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</si>
  <si>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</si>
  <si>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</si>
  <si>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</si>
  <si>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</si>
  <si>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</si>
  <si>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</si>
  <si>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</si>
  <si>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</si>
  <si>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</si>
  <si>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</si>
  <si>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</si>
  <si>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</si>
  <si>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</si>
  <si>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</si>
  <si>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</si>
  <si>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</si>
  <si>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</si>
  <si>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</si>
  <si>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</si>
  <si>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</si>
  <si>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</si>
  <si>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</si>
  <si>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</si>
  <si>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</si>
  <si>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</si>
  <si>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</si>
  <si>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</si>
  <si>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</si>
  <si>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</si>
  <si>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</si>
  <si>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</si>
  <si>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</si>
  <si>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</si>
  <si>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</si>
  <si>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</si>
  <si>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</si>
  <si>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</si>
  <si>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</si>
  <si>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</si>
  <si>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</si>
  <si>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</si>
  <si>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</si>
  <si>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</si>
  <si>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</si>
  <si>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</si>
  <si>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</si>
  <si>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</si>
  <si>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</si>
  <si>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</si>
  <si>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</si>
  <si>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</si>
  <si>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</si>
  <si>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</si>
  <si>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</si>
  <si>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</si>
  <si>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</si>
  <si>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</si>
  <si>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</si>
  <si>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</si>
  <si>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</si>
  <si>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</si>
  <si>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</si>
  <si>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</si>
  <si>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</si>
  <si>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</si>
  <si>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</si>
  <si>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</si>
  <si>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</si>
  <si>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</si>
  <si>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</si>
  <si>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</si>
  <si>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</si>
  <si>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</si>
  <si>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</si>
  <si>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</si>
  <si>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</si>
  <si>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</si>
  <si>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</si>
  <si>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</si>
  <si>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</si>
  <si>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</si>
  <si>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</si>
  <si>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</si>
  <si>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</si>
  <si>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</si>
  <si>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</si>
  <si>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</si>
  <si>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</si>
  <si>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</si>
  <si>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</si>
  <si>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</si>
  <si>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</si>
  <si>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</si>
  <si>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</si>
  <si>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</si>
  <si>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</si>
  <si>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</si>
  <si>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</si>
  <si>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</si>
  <si>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</si>
  <si>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</si>
  <si>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</si>
  <si>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</si>
  <si>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</si>
  <si>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</si>
  <si>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</si>
  <si>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</si>
  <si>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</si>
  <si>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</si>
  <si>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</si>
  <si>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</si>
  <si>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</si>
  <si>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</si>
  <si>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</si>
  <si>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</si>
  <si>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</si>
  <si>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</si>
  <si>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</si>
  <si>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豊田合成</t>
  </si>
  <si>
    <t>中外製薬</t>
  </si>
  <si>
    <t>東芝テック</t>
  </si>
  <si>
    <t>カシオ計算機</t>
  </si>
  <si>
    <t>野村ホールディングス</t>
  </si>
  <si>
    <t>ブラザー工業</t>
  </si>
  <si>
    <t>浜松ホトニクス</t>
  </si>
  <si>
    <t>野村不動産ホールディングス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</si>
  <si>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</si>
  <si>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</si>
  <si>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</si>
  <si>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</si>
  <si>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</si>
  <si>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</si>
  <si>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 xml:space="preserve"> レーザーテク</t>
  </si>
  <si>
    <t xml:space="preserve"> 日新製糖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</si>
  <si>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</si>
  <si>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</si>
  <si>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</si>
  <si>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</si>
  <si>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</si>
  <si>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</si>
  <si>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</si>
  <si>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</si>
  <si>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</si>
  <si>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</si>
  <si>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</si>
  <si>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</si>
  <si>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</si>
  <si>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</si>
  <si>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</si>
  <si>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</si>
  <si>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</si>
  <si>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</si>
  <si>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</si>
  <si>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</si>
  <si>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</si>
  <si>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</si>
  <si>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</si>
  <si>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</si>
  <si>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</si>
  <si>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</si>
  <si>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</si>
  <si>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</si>
  <si>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</si>
  <si>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</si>
  <si>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</si>
  <si>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</si>
  <si>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</si>
  <si>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</si>
  <si>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</si>
  <si>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</si>
  <si>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</si>
  <si>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</si>
  <si>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</si>
  <si>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</si>
  <si>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12:00</t>
  </si>
  <si>
    <t xml:space="preserve"> 阪急神RE</t>
  </si>
  <si>
    <t xml:space="preserve"> 14:00</t>
  </si>
  <si>
    <t xml:space="preserve"> 大豊工業</t>
  </si>
  <si>
    <t xml:space="preserve"> 味の素</t>
  </si>
  <si>
    <t xml:space="preserve"> ヒューリック</t>
  </si>
  <si>
    <t xml:space="preserve"> TOKAI HD</t>
  </si>
  <si>
    <t xml:space="preserve"> 明治電機</t>
  </si>
  <si>
    <t xml:space="preserve"> 電　算</t>
  </si>
  <si>
    <t xml:space="preserve"> JR東日本</t>
  </si>
  <si>
    <t>" 37</t>
  </si>
  <si>
    <t xml:space="preserve"> トーカロ</t>
  </si>
  <si>
    <t xml:space="preserve"> UNITED</t>
  </si>
  <si>
    <t xml:space="preserve"> ＺＯＺＯ</t>
  </si>
  <si>
    <t xml:space="preserve"> ココカラファイン</t>
  </si>
  <si>
    <t xml:space="preserve"> ファンデリー</t>
  </si>
  <si>
    <t xml:space="preserve"> イチカワ</t>
  </si>
  <si>
    <t xml:space="preserve"> ワコールHD</t>
  </si>
  <si>
    <t xml:space="preserve"> テクノスJPN</t>
  </si>
  <si>
    <t xml:space="preserve"> 東映アニメ</t>
  </si>
  <si>
    <t xml:space="preserve"> ＴＯＴＯ</t>
  </si>
  <si>
    <t xml:space="preserve"> 高千穂交</t>
  </si>
  <si>
    <t xml:space="preserve"> クリエイト</t>
  </si>
  <si>
    <t xml:space="preserve"> テンポイノベ</t>
  </si>
  <si>
    <t xml:space="preserve"> 科研薬</t>
  </si>
  <si>
    <t xml:space="preserve"> 京　王</t>
  </si>
  <si>
    <t xml:space="preserve"> 不二製油</t>
  </si>
  <si>
    <t xml:space="preserve"> ウェルネット</t>
  </si>
  <si>
    <t xml:space="preserve"> ニチレイ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</si>
  <si>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</si>
  <si>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</si>
  <si>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</si>
  <si>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</si>
  <si>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</si>
  <si>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</si>
  <si>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</si>
  <si>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</si>
  <si>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</si>
  <si>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</si>
  <si>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</si>
  <si>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</si>
  <si>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</si>
  <si>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</si>
  <si>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</si>
  <si>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</si>
  <si>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</si>
  <si>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</si>
  <si>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</si>
  <si>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</si>
  <si>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</si>
  <si>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</si>
  <si>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</si>
  <si>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</si>
  <si>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</si>
  <si>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</si>
  <si>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</si>
  <si>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マクニカ富士</t>
  </si>
  <si>
    <t xml:space="preserve"> LIXILビ</t>
  </si>
  <si>
    <t xml:space="preserve"> イーブック</t>
  </si>
  <si>
    <t xml:space="preserve"> さくら</t>
  </si>
  <si>
    <t>" 20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</si>
  <si>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</si>
  <si>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</si>
  <si>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</si>
  <si>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</si>
  <si>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</si>
  <si>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</si>
  <si>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</si>
  <si>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</si>
  <si>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</si>
  <si>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</si>
  <si>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</si>
  <si>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</si>
  <si>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</si>
  <si>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</si>
  <si>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</si>
  <si>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</si>
  <si>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</si>
  <si>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</si>
  <si>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</si>
  <si>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</si>
  <si>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</si>
  <si>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</si>
  <si>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</si>
  <si>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</si>
  <si>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</si>
  <si>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</si>
  <si>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</si>
  <si>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</si>
  <si>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</si>
  <si>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</si>
  <si>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</si>
  <si>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</si>
  <si>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</si>
  <si>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</si>
  <si>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</si>
  <si>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</si>
  <si>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</si>
  <si>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</si>
  <si>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</si>
  <si>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</si>
  <si>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</si>
  <si>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</si>
  <si>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</si>
  <si>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</si>
  <si>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</si>
  <si>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</si>
  <si>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</si>
  <si>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</si>
  <si>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</si>
  <si>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</si>
  <si>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</si>
  <si>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</si>
  <si>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</si>
  <si>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</si>
  <si>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</si>
  <si>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</si>
  <si>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</si>
  <si>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</si>
  <si>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</si>
  <si>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</si>
  <si>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</si>
  <si>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</si>
  <si>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</si>
  <si>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</si>
  <si>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</si>
  <si>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</si>
  <si>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</si>
  <si>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</si>
  <si>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</si>
  <si>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</si>
  <si>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</si>
  <si>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</si>
  <si>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</si>
  <si>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</si>
  <si>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</si>
  <si>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</si>
  <si>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東ソー</t>
  </si>
  <si>
    <t>東京精密</t>
  </si>
  <si>
    <t>安藤・間</t>
  </si>
  <si>
    <t>エン・ジャパン</t>
  </si>
  <si>
    <t>ＫＤＤＩ</t>
  </si>
  <si>
    <t>ミネベアミツミ</t>
  </si>
  <si>
    <t>東洋紡</t>
  </si>
  <si>
    <t>ヒューリック</t>
  </si>
  <si>
    <t>サンドラッグ</t>
  </si>
  <si>
    <t>日清オイリオグループ</t>
  </si>
  <si>
    <t>テクノプロ・ホールディングス</t>
  </si>
  <si>
    <t>住友重機械工業</t>
  </si>
  <si>
    <t>スカパーＪＳＡＴホールディングス</t>
  </si>
  <si>
    <t>パラマウントベッドホールディングス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</si>
  <si>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</si>
  <si>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</si>
  <si>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</si>
  <si>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</si>
  <si>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</si>
  <si>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</si>
  <si>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</si>
  <si>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</si>
  <si>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</si>
  <si>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</si>
  <si>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</si>
  <si>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</si>
  <si>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</si>
  <si>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ソネック</t>
  </si>
  <si>
    <t>ヤマウラ</t>
  </si>
  <si>
    <t>長谷工コーポレーション</t>
  </si>
  <si>
    <t>松井建設</t>
  </si>
  <si>
    <t>富士ピー・エス</t>
  </si>
  <si>
    <t>大東建託</t>
  </si>
  <si>
    <t>ＮＩＰＰＯ</t>
  </si>
  <si>
    <t>新日本空調</t>
  </si>
  <si>
    <t>日本工営</t>
  </si>
  <si>
    <t>三機工業</t>
  </si>
  <si>
    <t>中外炉工業</t>
  </si>
  <si>
    <t>明星工業</t>
  </si>
  <si>
    <t>東芝プラントシステム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</si>
  <si>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</si>
  <si>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</si>
  <si>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</si>
  <si>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</si>
  <si>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</si>
  <si>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</si>
  <si>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</si>
  <si>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</si>
  <si>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</si>
  <si>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</si>
  <si>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</si>
  <si>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カルビー</t>
  </si>
  <si>
    <t>六甲バター</t>
  </si>
  <si>
    <t>日本ハム</t>
  </si>
  <si>
    <t>柿安本店</t>
  </si>
  <si>
    <t>学情</t>
  </si>
  <si>
    <t>スタジオアリス</t>
  </si>
  <si>
    <t>いちご</t>
  </si>
  <si>
    <t>カカクコム</t>
  </si>
  <si>
    <t>ＳＢＳホールディングス</t>
  </si>
  <si>
    <t>ウェルネット</t>
  </si>
  <si>
    <t>博報堂ＤＹホールディングス</t>
  </si>
  <si>
    <t>ぐるなび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</si>
  <si>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</si>
  <si>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</si>
  <si>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</si>
  <si>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</si>
  <si>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</si>
  <si>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</si>
  <si>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ジャパンフーズ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</si>
  <si>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</si>
  <si>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</si>
  <si>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</si>
  <si>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</si>
  <si>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</si>
  <si>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</si>
  <si>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</si>
  <si>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</si>
  <si>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</si>
  <si>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</si>
  <si>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</si>
  <si>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</si>
  <si>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</si>
  <si>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</si>
  <si>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フジッコ</t>
  </si>
  <si>
    <t>ロック・フィールド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</si>
  <si>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</si>
  <si>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</si>
  <si>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</si>
  <si>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</si>
  <si>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</si>
  <si>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</si>
  <si>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</si>
  <si>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</si>
  <si>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</si>
  <si>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</si>
  <si>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</si>
  <si>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富士紡ホールディングス</t>
  </si>
  <si>
    <t>倉敷紡績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</si>
  <si>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</si>
  <si>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</si>
  <si>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</si>
  <si>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</si>
  <si>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</si>
  <si>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</si>
  <si>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</si>
  <si>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</si>
  <si>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</si>
  <si>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</si>
  <si>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</si>
  <si>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</si>
  <si>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</si>
  <si>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</si>
  <si>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ＴＨＥグローバル社</t>
  </si>
  <si>
    <t>日本管理センター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</si>
  <si>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</si>
  <si>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</si>
  <si>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</si>
  <si>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</si>
  <si>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</si>
  <si>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</si>
  <si>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</si>
  <si>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</si>
  <si>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</si>
  <si>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ファーストブラザーズ</t>
  </si>
  <si>
    <t>ハウスドゥ</t>
  </si>
  <si>
    <t>テンポイノベーション</t>
  </si>
  <si>
    <t>アツギ</t>
  </si>
  <si>
    <t>ジャパンミート</t>
  </si>
  <si>
    <t>サツドラホールディングス</t>
  </si>
  <si>
    <t>串カツ田中ホールディングス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</si>
  <si>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</si>
  <si>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</si>
  <si>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</si>
  <si>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</si>
  <si>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</si>
  <si>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</si>
  <si>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</si>
  <si>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</si>
  <si>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</si>
  <si>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</si>
  <si>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</si>
  <si>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</si>
  <si>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</si>
  <si>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</si>
  <si>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</si>
  <si>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</si>
  <si>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オプティム</t>
  </si>
  <si>
    <t>ＳＨＩＦＴ</t>
  </si>
  <si>
    <t>特種東海製紙</t>
  </si>
  <si>
    <t>ティーガイア</t>
  </si>
  <si>
    <t>インターネットイニシアティブ</t>
  </si>
  <si>
    <t>巴川製紙所</t>
  </si>
  <si>
    <t>オークネット</t>
  </si>
  <si>
    <t>セグエグループ</t>
  </si>
  <si>
    <t>オロ</t>
  </si>
  <si>
    <t>サインポスト</t>
  </si>
  <si>
    <t>多木化学</t>
  </si>
  <si>
    <t>日本曹達</t>
  </si>
  <si>
    <t>大陽日酸</t>
  </si>
  <si>
    <t>日本化学工業</t>
  </si>
  <si>
    <t>戸田工業</t>
  </si>
  <si>
    <t>保土谷化学工業</t>
  </si>
  <si>
    <t>日本触媒</t>
  </si>
  <si>
    <t>東京応化工業</t>
  </si>
  <si>
    <t>住友ベークライト</t>
  </si>
  <si>
    <t>日本ゼオン</t>
  </si>
  <si>
    <t>積水樹脂</t>
  </si>
  <si>
    <t>レッグス</t>
  </si>
  <si>
    <t>ハイマックス</t>
  </si>
  <si>
    <t>ドリームインキュベータ</t>
  </si>
  <si>
    <t>ぴあ</t>
  </si>
  <si>
    <t>ソースネクスト</t>
  </si>
  <si>
    <t>ハリマ化成グループ</t>
  </si>
  <si>
    <t>第一工業製薬</t>
  </si>
  <si>
    <t>アステラス製薬</t>
  </si>
  <si>
    <t>わかもと製薬</t>
  </si>
  <si>
    <t>科研製薬</t>
  </si>
  <si>
    <t>小野薬品工業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</si>
  <si>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</si>
  <si>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</si>
  <si>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</si>
  <si>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</si>
  <si>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</si>
  <si>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</si>
  <si>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富士製薬工業</t>
  </si>
  <si>
    <t>沢井製薬</t>
  </si>
  <si>
    <t>大幸薬品</t>
  </si>
  <si>
    <t>日本ペイントホールディングス</t>
  </si>
  <si>
    <t>中国塗料</t>
  </si>
  <si>
    <t>サカタインクス</t>
  </si>
  <si>
    <t>ダスキン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</si>
  <si>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</si>
  <si>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</si>
  <si>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</si>
  <si>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</si>
  <si>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日本オラクル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</si>
  <si>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</si>
  <si>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</si>
  <si>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</si>
  <si>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</si>
  <si>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</si>
  <si>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</si>
  <si>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</si>
  <si>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</si>
  <si>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</si>
  <si>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</si>
  <si>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アジュバンコスメジャパン</t>
  </si>
  <si>
    <t>アグロ　カネショウ</t>
  </si>
  <si>
    <t>長谷川香料</t>
  </si>
  <si>
    <t>小林製薬</t>
  </si>
  <si>
    <t>荒川化学工業</t>
  </si>
  <si>
    <t>ＪＣＵ</t>
  </si>
  <si>
    <t>アース製薬</t>
  </si>
  <si>
    <t>日本農薬</t>
  </si>
  <si>
    <t>ＭＯＲＥＳＣＯ</t>
  </si>
  <si>
    <t>フコク</t>
  </si>
  <si>
    <t>ニッタ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</si>
  <si>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</si>
  <si>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</si>
  <si>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</si>
  <si>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</si>
  <si>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</si>
  <si>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</si>
  <si>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</si>
  <si>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</si>
  <si>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</si>
  <si>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イソライト工業</t>
  </si>
  <si>
    <t>合同製鐵</t>
  </si>
  <si>
    <t>淀川製鋼所</t>
  </si>
  <si>
    <t>日本冶金工業</t>
  </si>
  <si>
    <t>愛知製鋼</t>
  </si>
  <si>
    <t>日立金属</t>
  </si>
  <si>
    <t>虹技</t>
  </si>
  <si>
    <t>日本製鋼所</t>
  </si>
  <si>
    <t>三菱製鋼</t>
  </si>
  <si>
    <t>日本精線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</si>
  <si>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</si>
  <si>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</si>
  <si>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</si>
  <si>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</si>
  <si>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</si>
  <si>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</si>
  <si>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</si>
  <si>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</si>
  <si>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</si>
  <si>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</si>
  <si>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</si>
  <si>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</si>
  <si>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</si>
  <si>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</si>
  <si>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</si>
  <si>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</si>
  <si>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</si>
  <si>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</si>
  <si>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シグマクシス</t>
  </si>
  <si>
    <t>エスクロー・エージェント・ジャパン</t>
  </si>
  <si>
    <t>エラン</t>
  </si>
  <si>
    <t>ツガミ</t>
  </si>
  <si>
    <t>ソディック</t>
  </si>
  <si>
    <t>ディスコ</t>
  </si>
  <si>
    <t>日東工器</t>
  </si>
  <si>
    <t>日進工具</t>
  </si>
  <si>
    <t>鎌倉新書</t>
  </si>
  <si>
    <t>アトラエ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</si>
  <si>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</si>
  <si>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</si>
  <si>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</si>
  <si>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</si>
  <si>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</si>
  <si>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</si>
  <si>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平田機工</t>
  </si>
  <si>
    <t>ペガサスミシン製造</t>
  </si>
  <si>
    <t>ＳＭＣ</t>
  </si>
  <si>
    <t>日精エー・エス・ビー機械</t>
  </si>
  <si>
    <t>ＴＯＷＡ</t>
  </si>
  <si>
    <t>丸山製作所</t>
  </si>
  <si>
    <t>タカキタ</t>
  </si>
  <si>
    <t>東洋エンジニアリング</t>
  </si>
  <si>
    <t>三菱化工機</t>
  </si>
  <si>
    <t>月島機械</t>
  </si>
  <si>
    <t>小森コーポレーション</t>
  </si>
  <si>
    <t>鶴見製作所</t>
  </si>
  <si>
    <t>荏原製作所</t>
  </si>
  <si>
    <t>石井鐵工所</t>
  </si>
  <si>
    <t>酉島製作所</t>
  </si>
  <si>
    <t>オルガノ</t>
  </si>
  <si>
    <t>アネスト岩田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</si>
  <si>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</si>
  <si>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</si>
  <si>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</si>
  <si>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</si>
  <si>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</si>
  <si>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</si>
  <si>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</si>
  <si>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</si>
  <si>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ＴＰＲ</t>
  </si>
  <si>
    <t>ユーシン精機</t>
  </si>
  <si>
    <t>日本ピラー工業</t>
  </si>
  <si>
    <t>東洋電機製造</t>
  </si>
  <si>
    <t>安川電機</t>
  </si>
  <si>
    <t>明電舎</t>
  </si>
  <si>
    <t>アイモバイル</t>
  </si>
  <si>
    <t>マキタ</t>
  </si>
  <si>
    <t>ダイヘン</t>
  </si>
  <si>
    <t>第一精工</t>
  </si>
  <si>
    <t>日新電機</t>
  </si>
  <si>
    <t>オムロン</t>
  </si>
  <si>
    <t>ＩＤＥＣ</t>
  </si>
  <si>
    <t>ルネサスエレクトロニクス</t>
  </si>
  <si>
    <t>セイコーエプソン</t>
  </si>
  <si>
    <t>星和電機</t>
  </si>
  <si>
    <t>アンリツ</t>
  </si>
  <si>
    <t>ＴＤＫ</t>
  </si>
  <si>
    <t>帝国通信工業</t>
  </si>
  <si>
    <t>フォスター電機</t>
  </si>
  <si>
    <t>ＳＭＫ</t>
  </si>
  <si>
    <t>ホシデン</t>
  </si>
  <si>
    <t>ヒロセ電機</t>
  </si>
  <si>
    <t>スミダコーポレーション</t>
  </si>
  <si>
    <t>リオン</t>
  </si>
  <si>
    <t>船井電機</t>
  </si>
  <si>
    <t>東亜ディーケーケー</t>
  </si>
  <si>
    <t>アドバンテスト</t>
  </si>
  <si>
    <t>キーエンス</t>
  </si>
  <si>
    <t>日本マイクロニクス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</si>
  <si>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</si>
  <si>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</si>
  <si>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</si>
  <si>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</si>
  <si>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</si>
  <si>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</si>
  <si>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</si>
  <si>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</si>
  <si>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</si>
  <si>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名村造船所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</si>
  <si>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</si>
  <si>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</si>
  <si>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</si>
  <si>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</si>
  <si>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</si>
  <si>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</si>
  <si>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</si>
  <si>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</si>
  <si>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</si>
  <si>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</si>
  <si>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</si>
  <si>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</si>
  <si>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</si>
  <si>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ＴＢＫ</t>
  </si>
  <si>
    <t>ミツバ</t>
  </si>
  <si>
    <t>シマノ</t>
  </si>
  <si>
    <t>はるやまホールディングス</t>
  </si>
  <si>
    <t>エコートレーディング</t>
  </si>
  <si>
    <t>中山福</t>
  </si>
  <si>
    <t>ライトオン</t>
  </si>
  <si>
    <t>三菱食品</t>
  </si>
  <si>
    <t>第一興商</t>
  </si>
  <si>
    <t>メディパルホールディングス</t>
  </si>
  <si>
    <t>アドヴァン</t>
  </si>
  <si>
    <t>アルビス</t>
  </si>
  <si>
    <t>スズデン</t>
  </si>
  <si>
    <t>シモジマ</t>
  </si>
  <si>
    <t>小津産業</t>
  </si>
  <si>
    <t>コナカ</t>
  </si>
  <si>
    <t>ハウス　オブ　ローゼ</t>
  </si>
  <si>
    <t>マルシェ</t>
  </si>
  <si>
    <t>パン・パシフィック・インターナショナルホールディングス</t>
  </si>
  <si>
    <t>橋本総業ホールディングス</t>
  </si>
  <si>
    <t>ポプラ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</si>
  <si>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</si>
  <si>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</si>
  <si>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</si>
  <si>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</si>
  <si>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</si>
  <si>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</si>
  <si>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</si>
  <si>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愛知時計電機</t>
  </si>
  <si>
    <t>オリンパス</t>
  </si>
  <si>
    <t>朝日インテック</t>
  </si>
  <si>
    <t>リコー</t>
  </si>
  <si>
    <t>シンシア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</si>
  <si>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</si>
  <si>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</si>
  <si>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</si>
  <si>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</si>
  <si>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</si>
  <si>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</si>
  <si>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</si>
  <si>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ウッドワン</t>
  </si>
  <si>
    <t>凸版印刷</t>
  </si>
  <si>
    <t>光村印刷</t>
  </si>
  <si>
    <t>ツツミ</t>
  </si>
  <si>
    <t>ヤマハ</t>
  </si>
  <si>
    <t>河合楽器製作所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</si>
  <si>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</si>
  <si>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</si>
  <si>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</si>
  <si>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</si>
  <si>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</si>
  <si>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</si>
  <si>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</si>
  <si>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</si>
  <si>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</si>
  <si>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</si>
  <si>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</si>
  <si>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</si>
  <si>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</si>
  <si>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</si>
  <si>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</si>
  <si>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</si>
  <si>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</si>
  <si>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</si>
  <si>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</si>
  <si>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</si>
  <si>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</si>
  <si>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</si>
  <si>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</si>
  <si>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稲畑産業</t>
  </si>
  <si>
    <t>ＧＳＩクレオス</t>
  </si>
  <si>
    <t>明和産業</t>
  </si>
  <si>
    <t>デサント</t>
  </si>
  <si>
    <t>サンゲツ</t>
  </si>
  <si>
    <t>ミツウロコグループホールディングス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</si>
  <si>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</si>
  <si>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</si>
  <si>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</si>
  <si>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</si>
  <si>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</si>
  <si>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</si>
  <si>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</si>
  <si>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</si>
  <si>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</si>
  <si>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</si>
  <si>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</si>
  <si>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</si>
  <si>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</si>
  <si>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</si>
  <si>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</si>
  <si>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</si>
  <si>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</si>
  <si>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</si>
  <si>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</si>
  <si>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</si>
  <si>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</si>
  <si>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</si>
  <si>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</si>
  <si>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</si>
  <si>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</si>
  <si>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</si>
  <si>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</si>
  <si>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</si>
  <si>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</si>
  <si>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</si>
  <si>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</si>
  <si>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</si>
  <si>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</si>
  <si>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</si>
  <si>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</si>
  <si>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</si>
  <si>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</si>
  <si>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</si>
  <si>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</si>
  <si>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</si>
  <si>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</si>
  <si>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</si>
  <si>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</si>
  <si>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</si>
  <si>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</si>
  <si>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</si>
  <si>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</si>
  <si>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</si>
  <si>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</si>
  <si>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</si>
  <si>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</si>
  <si>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四国銀行</t>
  </si>
  <si>
    <t>阿波銀行</t>
  </si>
  <si>
    <t>宮崎銀行</t>
  </si>
  <si>
    <t>沖縄銀行</t>
  </si>
  <si>
    <t>琉球銀行</t>
  </si>
  <si>
    <t>高知銀行</t>
  </si>
  <si>
    <t>東京センチュリー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</si>
  <si>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</si>
  <si>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</si>
  <si>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</si>
  <si>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</si>
  <si>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</si>
  <si>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</si>
  <si>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</si>
  <si>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</si>
  <si>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リコーリース</t>
  </si>
  <si>
    <t>アプラスフィナンシャル</t>
  </si>
  <si>
    <t>いちよし証券</t>
  </si>
  <si>
    <t>松井証券</t>
  </si>
  <si>
    <t>日本取引所グループ</t>
  </si>
  <si>
    <t>マネックスグループ</t>
  </si>
  <si>
    <t>藍澤證券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</si>
  <si>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</si>
  <si>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</si>
  <si>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</si>
  <si>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</si>
  <si>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</si>
  <si>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</si>
  <si>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リログループ</t>
  </si>
  <si>
    <t>日本エスコン</t>
  </si>
  <si>
    <t>タカラレーベン</t>
  </si>
  <si>
    <t>ファースト住建</t>
  </si>
  <si>
    <t>穴吹興産</t>
  </si>
  <si>
    <t>グランディハウス</t>
  </si>
  <si>
    <t>東武鉄道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</si>
  <si>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</si>
  <si>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</si>
  <si>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</si>
  <si>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</si>
  <si>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</si>
  <si>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</si>
  <si>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</si>
  <si>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</si>
  <si>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</si>
  <si>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</si>
  <si>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</si>
  <si>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</si>
  <si>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</si>
  <si>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</si>
  <si>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山九</t>
  </si>
  <si>
    <t>トナミホールディングス</t>
  </si>
  <si>
    <t>福山通運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</si>
  <si>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</si>
  <si>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</si>
  <si>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</si>
  <si>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</si>
  <si>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</si>
  <si>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</si>
  <si>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</si>
  <si>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</si>
  <si>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</si>
  <si>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</si>
  <si>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東洋埠頭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</si>
  <si>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</si>
  <si>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</si>
  <si>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</si>
  <si>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</si>
  <si>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</si>
  <si>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ビジョン</t>
  </si>
  <si>
    <t>エムティーアイ</t>
  </si>
  <si>
    <t>ファイバーゲート</t>
  </si>
  <si>
    <t>学研ホールディングス</t>
  </si>
  <si>
    <t>昭文社</t>
  </si>
  <si>
    <t>中国電力</t>
  </si>
  <si>
    <t>イーレックス</t>
  </si>
  <si>
    <t>レノバ</t>
  </si>
  <si>
    <t>東邦瓦斯</t>
  </si>
  <si>
    <t>西部瓦斯</t>
  </si>
  <si>
    <t>静岡ガス</t>
  </si>
  <si>
    <t>メタウォーター</t>
  </si>
  <si>
    <t>松竹</t>
  </si>
  <si>
    <t>東映</t>
  </si>
  <si>
    <t>スペース</t>
  </si>
  <si>
    <t>ナガワ</t>
  </si>
  <si>
    <t>常磐興産</t>
  </si>
  <si>
    <t>ジャステック</t>
  </si>
  <si>
    <t>トーカイ</t>
  </si>
  <si>
    <t>メイテック</t>
  </si>
  <si>
    <t>オオバ</t>
  </si>
  <si>
    <t>ナック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</si>
  <si>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</si>
  <si>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</si>
  <si>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</si>
  <si>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</si>
  <si>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</si>
  <si>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</si>
  <si>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</si>
  <si>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イエローハット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</si>
  <si>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</si>
  <si>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</si>
  <si>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</si>
  <si>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</si>
  <si>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</si>
  <si>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</si>
  <si>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</si>
  <si>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</si>
  <si>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</si>
  <si>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</si>
  <si>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</si>
  <si>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1Y</t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</si>
  <si>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</si>
  <si>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</si>
  <si>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</si>
  <si>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</si>
  <si>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</si>
  <si>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</si>
  <si>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</si>
  <si>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</si>
  <si>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</si>
  <si>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</si>
  <si>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</si>
  <si>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</si>
  <si>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</si>
  <si>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</si>
  <si>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</si>
  <si>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</si>
  <si>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</si>
  <si>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</si>
  <si>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</si>
  <si>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</si>
  <si>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</si>
  <si>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</si>
  <si>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</si>
  <si>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</si>
  <si>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</si>
  <si>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</si>
  <si>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</si>
  <si>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</si>
  <si>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</si>
  <si>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15:20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</si>
  <si>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</si>
  <si>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</si>
  <si>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</si>
  <si>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</si>
  <si>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</si>
  <si>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</si>
  <si>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石油石炭製品</t>
  </si>
  <si>
    <t xml:space="preserve"> シンメンテHD</t>
  </si>
  <si>
    <t xml:space="preserve"> セラク</t>
  </si>
  <si>
    <t xml:space="preserve"> 1/24</t>
  </si>
  <si>
    <t xml:space="preserve"> エンプラス</t>
  </si>
  <si>
    <t xml:space="preserve"> ジャフコ</t>
  </si>
  <si>
    <t xml:space="preserve"> 証券商品先物</t>
  </si>
  <si>
    <t xml:space="preserve"> 洋 シヤタ</t>
  </si>
  <si>
    <t xml:space="preserve"> SE H&amp;I</t>
  </si>
  <si>
    <t xml:space="preserve"> NTTDIM</t>
  </si>
  <si>
    <t xml:space="preserve"> 養命酒</t>
  </si>
  <si>
    <t xml:space="preserve"> 四国化</t>
  </si>
  <si>
    <t xml:space="preserve"> 日清粉Ｇ</t>
  </si>
  <si>
    <t xml:space="preserve"> ウェッズ</t>
  </si>
  <si>
    <t xml:space="preserve"> サンワテクノス</t>
  </si>
  <si>
    <t xml:space="preserve"> ステップ</t>
  </si>
  <si>
    <t xml:space="preserve"> 京　写</t>
  </si>
  <si>
    <t xml:space="preserve"> フラベッドH</t>
  </si>
  <si>
    <t xml:space="preserve"> 沖縄電</t>
  </si>
  <si>
    <t xml:space="preserve"> ＮＳＤ</t>
  </si>
  <si>
    <t xml:space="preserve"> 日鉄鉱</t>
  </si>
  <si>
    <t xml:space="preserve"> カワニシHD</t>
  </si>
  <si>
    <t xml:space="preserve"> セ硝子</t>
  </si>
  <si>
    <t xml:space="preserve"> 三浦工</t>
  </si>
  <si>
    <t xml:space="preserve"> キッコーマン</t>
  </si>
  <si>
    <t xml:space="preserve"> 大陽日酸</t>
  </si>
  <si>
    <t xml:space="preserve"> 三井化学</t>
  </si>
  <si>
    <t xml:space="preserve"> 日　油</t>
  </si>
  <si>
    <t xml:space="preserve"> 日本新薬</t>
  </si>
  <si>
    <t xml:space="preserve"> ナカヨ</t>
  </si>
  <si>
    <t xml:space="preserve"> 西武ＨＤ</t>
  </si>
  <si>
    <t xml:space="preserve"> コムシスHD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</si>
  <si>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</si>
  <si>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</si>
  <si>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</si>
  <si>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</si>
  <si>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</si>
  <si>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</si>
  <si>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北川精機</t>
  </si>
  <si>
    <t xml:space="preserve"> 13:00</t>
  </si>
  <si>
    <t xml:space="preserve"> Tナカヤマ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</si>
  <si>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</si>
  <si>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</si>
  <si>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</si>
  <si>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</si>
  <si>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</si>
  <si>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</si>
  <si>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</si>
  <si>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</si>
  <si>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</si>
  <si>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</si>
  <si>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</si>
  <si>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</si>
  <si>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</si>
  <si>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</si>
  <si>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</si>
  <si>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</si>
  <si>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</si>
  <si>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</si>
  <si>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</si>
  <si>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</si>
  <si>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</si>
  <si>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</si>
  <si>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</si>
  <si>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</si>
  <si>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</si>
  <si>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</si>
  <si>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</si>
  <si>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</si>
  <si>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</si>
  <si>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</si>
  <si>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</si>
  <si>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</si>
  <si>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</si>
  <si>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</si>
  <si>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</si>
  <si>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三住トラスト</t>
  </si>
  <si>
    <t xml:space="preserve"> アルプス物</t>
  </si>
  <si>
    <t xml:space="preserve"> 沖縄セルラー</t>
  </si>
  <si>
    <t xml:space="preserve"> 五洋建</t>
  </si>
  <si>
    <t xml:space="preserve"> 永谷園HD</t>
  </si>
  <si>
    <t xml:space="preserve"> テクノフレックス</t>
  </si>
  <si>
    <t xml:space="preserve"> 住友ベ</t>
  </si>
  <si>
    <t xml:space="preserve"> オイレス工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</si>
  <si>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</si>
  <si>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</si>
  <si>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</si>
  <si>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</si>
  <si>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</si>
  <si>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ウチヤマHD</t>
  </si>
  <si>
    <t xml:space="preserve"> アンビス</t>
  </si>
  <si>
    <t xml:space="preserve"> 応用地</t>
  </si>
  <si>
    <t xml:space="preserve"> ALiNK</t>
  </si>
  <si>
    <t>アルフレッサ　ホールディングス</t>
  </si>
  <si>
    <t>Ｈａｍｅｅ</t>
  </si>
  <si>
    <t>シップヘルスケアホールディングス</t>
  </si>
  <si>
    <t>フリービット</t>
  </si>
  <si>
    <t>マイネット</t>
  </si>
  <si>
    <t>ザ・パック</t>
  </si>
  <si>
    <t>昭和電工</t>
  </si>
  <si>
    <t>大阪有機化学工業</t>
  </si>
  <si>
    <t>久光製薬</t>
  </si>
  <si>
    <t>秀英予備校</t>
  </si>
  <si>
    <t>ＳＢテクノロジー</t>
  </si>
  <si>
    <t>ワイエイシイホールディングス</t>
  </si>
  <si>
    <t>ミマキエンジニアリング</t>
  </si>
  <si>
    <t>村田製作所</t>
  </si>
  <si>
    <t>ヨロズ</t>
  </si>
  <si>
    <t>山善</t>
  </si>
  <si>
    <t>スターツコーポレーション</t>
  </si>
  <si>
    <t>朝日放送グループホールディングス</t>
  </si>
  <si>
    <t>ワイヤレスゲート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</si>
  <si>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</si>
  <si>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</si>
  <si>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</si>
  <si>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</si>
  <si>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</si>
  <si>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3M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</si>
  <si>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</si>
  <si>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</si>
  <si>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</si>
  <si>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</si>
  <si>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</si>
  <si>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</si>
  <si>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</si>
  <si>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</si>
  <si>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</si>
  <si>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</si>
  <si>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</si>
  <si>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</si>
  <si>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</si>
  <si>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</si>
  <si>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</si>
  <si>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日本電設</t>
  </si>
  <si>
    <t xml:space="preserve"> JTOWER</t>
  </si>
  <si>
    <t xml:space="preserve"> トリドールHD</t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</si>
  <si>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</si>
  <si>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</si>
  <si>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</si>
  <si>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</si>
  <si>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</si>
  <si>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アルペン</t>
  </si>
  <si>
    <t>ディーブイエックス</t>
  </si>
  <si>
    <t>ＳＵＭＣＯ</t>
  </si>
  <si>
    <t>石原ケミカル</t>
  </si>
  <si>
    <t>塩野義製薬</t>
  </si>
  <si>
    <t>リゾートトラスト</t>
  </si>
  <si>
    <t>豊田自動織機</t>
  </si>
  <si>
    <t>リックス</t>
  </si>
  <si>
    <t>オーバル</t>
  </si>
  <si>
    <t>キヤノンマーケティングジャパン</t>
  </si>
  <si>
    <t>三井不動産</t>
  </si>
  <si>
    <t>ＳＣＳＫ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</si>
  <si>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</si>
  <si>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</si>
  <si>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</si>
  <si>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</si>
  <si>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</si>
  <si>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</si>
  <si>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</si>
  <si>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</si>
  <si>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</si>
  <si>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" 25</t>
  </si>
  <si>
    <t>東亜建設工業</t>
  </si>
  <si>
    <t>日揮ホールディングス</t>
  </si>
  <si>
    <t>朝日工業社</t>
  </si>
  <si>
    <t>オプトホールディング</t>
  </si>
  <si>
    <t>ツカダ・グローバルホールディング</t>
  </si>
  <si>
    <t>スシローグローバルホールディングス</t>
  </si>
  <si>
    <t>日本コンクリート工業</t>
  </si>
  <si>
    <t>昭和電線ホールディングス</t>
  </si>
  <si>
    <t>ＴＨＫ</t>
  </si>
  <si>
    <t>東光高岳</t>
  </si>
  <si>
    <t>不二電機工業</t>
  </si>
  <si>
    <t>九州フィナンシャルグループ</t>
  </si>
  <si>
    <t>Ｇ－７ホールディングス</t>
  </si>
  <si>
    <t>松風</t>
  </si>
  <si>
    <t>兼松</t>
  </si>
  <si>
    <t>燦ホールディングス</t>
  </si>
  <si>
    <t>藤田観光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</si>
  <si>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</si>
  <si>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</si>
  <si>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</si>
  <si>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</si>
  <si>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</si>
  <si>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</si>
  <si>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日精工</t>
  </si>
  <si>
    <t xml:space="preserve"> ヤマシナ</t>
  </si>
  <si>
    <t xml:space="preserve"> 太洋工業</t>
  </si>
  <si>
    <t xml:space="preserve"> 南海電</t>
  </si>
  <si>
    <t xml:space="preserve"> MonotaRO</t>
  </si>
  <si>
    <t xml:space="preserve"> 花　王</t>
  </si>
  <si>
    <t xml:space="preserve"> ＤＩＴ</t>
  </si>
  <si>
    <t xml:space="preserve"> ホープ</t>
  </si>
  <si>
    <t xml:space="preserve"> 安田倉庫</t>
  </si>
  <si>
    <t xml:space="preserve"> ＣＯＯＫ</t>
  </si>
  <si>
    <t xml:space="preserve"> ケミプロ</t>
  </si>
  <si>
    <t xml:space="preserve"> ツガミ</t>
  </si>
  <si>
    <t xml:space="preserve"> 精工技研</t>
  </si>
  <si>
    <t xml:space="preserve"> 海　帆</t>
  </si>
  <si>
    <t xml:space="preserve"> ＣＫＤ</t>
  </si>
  <si>
    <t xml:space="preserve"> 日ピストン</t>
  </si>
  <si>
    <t xml:space="preserve"> 岩崎通</t>
  </si>
  <si>
    <t xml:space="preserve"> ハークスレイ</t>
  </si>
  <si>
    <t xml:space="preserve"> フィンテック</t>
  </si>
  <si>
    <t xml:space="preserve"> 日本KFC</t>
  </si>
  <si>
    <t xml:space="preserve"> 協エクシオ</t>
  </si>
  <si>
    <t xml:space="preserve"> 荏原実業</t>
  </si>
  <si>
    <t xml:space="preserve"> NFK-HD</t>
  </si>
  <si>
    <t xml:space="preserve"> 住友不</t>
  </si>
  <si>
    <t>" 18</t>
  </si>
  <si>
    <t xml:space="preserve"> アサヒインテック</t>
  </si>
  <si>
    <t xml:space="preserve"> 三洋堂HD</t>
  </si>
  <si>
    <t xml:space="preserve"> 天  馬</t>
  </si>
  <si>
    <t xml:space="preserve"> 藤田観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</si>
  <si>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</si>
  <si>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</si>
  <si>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</si>
  <si>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</si>
  <si>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第一交通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</si>
  <si>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</si>
  <si>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</si>
  <si>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</si>
  <si>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</si>
  <si>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</si>
  <si>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高松コンストラクショングループ</t>
  </si>
  <si>
    <t>東鉄工業</t>
  </si>
  <si>
    <t>プリマハム</t>
  </si>
  <si>
    <t>ＷＤＢホールディングス</t>
  </si>
  <si>
    <t>デジタル・インフォメーション・テクノロジー</t>
  </si>
  <si>
    <t>日本カーバイド工業</t>
  </si>
  <si>
    <t>コタ</t>
  </si>
  <si>
    <t>ノエビアホールディングス</t>
  </si>
  <si>
    <t>メック</t>
  </si>
  <si>
    <t>アーレスティ</t>
  </si>
  <si>
    <t>サンコール</t>
  </si>
  <si>
    <t>ピーシーデポコーポレーション</t>
  </si>
  <si>
    <t>バンダイナムコホールディングス</t>
  </si>
  <si>
    <t>ゴールドウイン</t>
  </si>
  <si>
    <t>アドバンテッジリスクマネジメント</t>
  </si>
  <si>
    <t>船井総研ホールディングス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</si>
  <si>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</si>
  <si>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</si>
  <si>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</si>
  <si>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</si>
  <si>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6M</t>
    <phoneticPr fontId="1" type="noConversion"/>
  </si>
  <si>
    <t>日立化成</t>
  </si>
  <si>
    <t xml:space="preserve"> 16:00</t>
  </si>
  <si>
    <t xml:space="preserve"> 15:15</t>
  </si>
  <si>
    <t xml:space="preserve"> 日電産</t>
  </si>
  <si>
    <t>" 45</t>
  </si>
  <si>
    <t xml:space="preserve"> 大丸エナ</t>
  </si>
  <si>
    <t xml:space="preserve"> 08:20</t>
  </si>
  <si>
    <t xml:space="preserve"> 松井証</t>
  </si>
  <si>
    <t xml:space="preserve"> インソース</t>
  </si>
  <si>
    <t xml:space="preserve"> リコーリース</t>
  </si>
  <si>
    <t xml:space="preserve"> タツタ 線</t>
  </si>
  <si>
    <t xml:space="preserve"> 京阪神ビ</t>
  </si>
  <si>
    <t xml:space="preserve"> 小  森</t>
  </si>
  <si>
    <t xml:space="preserve"> メタウォーター</t>
  </si>
  <si>
    <t xml:space="preserve"> ゼオン</t>
  </si>
  <si>
    <t xml:space="preserve"> 日立金</t>
  </si>
  <si>
    <t xml:space="preserve"> ＯＬＣ</t>
  </si>
  <si>
    <t xml:space="preserve"> 綿半ＨＤ</t>
  </si>
  <si>
    <t xml:space="preserve"> 藤商事</t>
  </si>
  <si>
    <t xml:space="preserve"> フォスタ電</t>
  </si>
  <si>
    <t xml:space="preserve"> J・TEC</t>
  </si>
  <si>
    <t xml:space="preserve"> アコム</t>
  </si>
  <si>
    <t xml:space="preserve"> 澤田ＨＤ</t>
  </si>
  <si>
    <t xml:space="preserve"> NECキャピ</t>
  </si>
  <si>
    <t xml:space="preserve"> ハリマ化成G</t>
  </si>
  <si>
    <t xml:space="preserve"> グリーンズ</t>
  </si>
  <si>
    <t xml:space="preserve"> 日立物</t>
  </si>
  <si>
    <t xml:space="preserve"> 電算システム</t>
  </si>
  <si>
    <t xml:space="preserve"> エバラ食品</t>
  </si>
  <si>
    <t xml:space="preserve"> ＤＶｘ</t>
  </si>
  <si>
    <t xml:space="preserve"> 富士紡HD</t>
  </si>
  <si>
    <t xml:space="preserve"> ＯＤＫ</t>
  </si>
  <si>
    <t xml:space="preserve"> 保土谷</t>
  </si>
  <si>
    <t xml:space="preserve"> イマジニア</t>
  </si>
  <si>
    <t xml:space="preserve"> 共英製鋼</t>
  </si>
  <si>
    <t xml:space="preserve"> 牧野フ</t>
  </si>
  <si>
    <t xml:space="preserve"> 日進工具</t>
  </si>
  <si>
    <t xml:space="preserve"> トリニ工</t>
  </si>
  <si>
    <t xml:space="preserve"> 理想科</t>
  </si>
  <si>
    <t xml:space="preserve"> 日　立</t>
  </si>
  <si>
    <t xml:space="preserve"> 東亜DKK</t>
  </si>
  <si>
    <t xml:space="preserve"> 三菱自</t>
  </si>
  <si>
    <t xml:space="preserve"> マーベラス</t>
  </si>
  <si>
    <t xml:space="preserve"> ＳＢＩ</t>
  </si>
  <si>
    <t xml:space="preserve"> カンダ</t>
  </si>
  <si>
    <t xml:space="preserve"> ＪＡＬ</t>
  </si>
  <si>
    <t xml:space="preserve"> 因幡電産</t>
  </si>
  <si>
    <t xml:space="preserve"> 荒川化学</t>
  </si>
  <si>
    <t xml:space="preserve"> 阪神燃</t>
  </si>
  <si>
    <t xml:space="preserve"> 日触媒</t>
  </si>
  <si>
    <t xml:space="preserve"> 15:40</t>
  </si>
  <si>
    <t xml:space="preserve"> カゴメ</t>
  </si>
  <si>
    <t xml:space="preserve"> 淀川鋼</t>
  </si>
  <si>
    <t xml:space="preserve"> 芙蓉リース</t>
  </si>
  <si>
    <t xml:space="preserve"> 阪急阪神</t>
  </si>
  <si>
    <t xml:space="preserve"> カプコン</t>
  </si>
  <si>
    <t xml:space="preserve"> 日鉄物産</t>
  </si>
  <si>
    <t xml:space="preserve"> 伊藤忠</t>
  </si>
  <si>
    <t>" 41</t>
  </si>
  <si>
    <t xml:space="preserve"> ヒロセ電</t>
  </si>
  <si>
    <t xml:space="preserve"> 日電硝</t>
  </si>
  <si>
    <t xml:space="preserve"> タムラ製</t>
  </si>
  <si>
    <t xml:space="preserve"> 日ケミコン</t>
  </si>
  <si>
    <t xml:space="preserve"> 万世電機</t>
  </si>
  <si>
    <t xml:space="preserve"> 長瀬産</t>
  </si>
  <si>
    <t xml:space="preserve"> 静岡ガス</t>
  </si>
  <si>
    <t xml:space="preserve"> 船総研HD</t>
  </si>
  <si>
    <t xml:space="preserve"> 13:30</t>
  </si>
  <si>
    <t xml:space="preserve"> 三菱重</t>
  </si>
  <si>
    <t xml:space="preserve"> ダイナパック</t>
  </si>
  <si>
    <t xml:space="preserve"> アルペン</t>
  </si>
  <si>
    <t xml:space="preserve"> いい生活</t>
  </si>
  <si>
    <t xml:space="preserve"> インテージHD</t>
  </si>
  <si>
    <t xml:space="preserve"> 鳥居薬</t>
  </si>
  <si>
    <t xml:space="preserve"> アルプス技</t>
  </si>
  <si>
    <t xml:space="preserve"> 滝澤鉄</t>
  </si>
  <si>
    <t xml:space="preserve"> 電子材料</t>
  </si>
  <si>
    <t xml:space="preserve"> エイベックス</t>
  </si>
  <si>
    <t xml:space="preserve"> 丸井Ｇ</t>
  </si>
  <si>
    <t xml:space="preserve"> ＮＴＴ</t>
  </si>
  <si>
    <t xml:space="preserve"> 住友商</t>
  </si>
  <si>
    <t xml:space="preserve"> 15:10</t>
  </si>
  <si>
    <t xml:space="preserve"> リゾートトラス</t>
  </si>
  <si>
    <t xml:space="preserve"> データHR</t>
  </si>
  <si>
    <t xml:space="preserve"> トレードワクス</t>
  </si>
  <si>
    <t xml:space="preserve"> 持田薬</t>
  </si>
  <si>
    <t xml:space="preserve"> りらいあ</t>
  </si>
  <si>
    <t xml:space="preserve"> 新日製薬</t>
  </si>
  <si>
    <t xml:space="preserve"> イハラサイエンス</t>
  </si>
  <si>
    <t xml:space="preserve"> サトーHD</t>
  </si>
  <si>
    <t xml:space="preserve"> 沢藤電</t>
  </si>
  <si>
    <t xml:space="preserve"> 太陽誘電</t>
  </si>
  <si>
    <t xml:space="preserve"> 北電工</t>
  </si>
  <si>
    <t xml:space="preserve"> めぶきFG</t>
  </si>
  <si>
    <t xml:space="preserve"> スズキ</t>
  </si>
  <si>
    <t>" 22</t>
  </si>
  <si>
    <t xml:space="preserve"> 扶桑電通</t>
  </si>
  <si>
    <t xml:space="preserve"> クレセゾン</t>
  </si>
  <si>
    <t xml:space="preserve"> ヒノキヤG</t>
  </si>
  <si>
    <t xml:space="preserve"> 安江工務</t>
  </si>
  <si>
    <t xml:space="preserve"> 省電舎HD</t>
  </si>
  <si>
    <t xml:space="preserve"> 大幸薬品</t>
  </si>
  <si>
    <t xml:space="preserve"> 新日電工</t>
  </si>
  <si>
    <t xml:space="preserve"> 国際計測</t>
  </si>
  <si>
    <t xml:space="preserve"> リンテック</t>
  </si>
  <si>
    <t xml:space="preserve"> ヨコオ</t>
  </si>
  <si>
    <t xml:space="preserve"> 三井金</t>
  </si>
  <si>
    <t xml:space="preserve"> 藤  久</t>
  </si>
  <si>
    <t xml:space="preserve"> ＣＤＳ</t>
  </si>
  <si>
    <t xml:space="preserve"> CARTA HD</t>
  </si>
  <si>
    <t xml:space="preserve"> 東海カ</t>
  </si>
  <si>
    <t xml:space="preserve"> アビスト</t>
  </si>
  <si>
    <t xml:space="preserve"> JUKI</t>
  </si>
  <si>
    <t xml:space="preserve"> アイオデータ</t>
  </si>
  <si>
    <t xml:space="preserve"> スプリックス</t>
  </si>
  <si>
    <t xml:space="preserve"> SUMCO</t>
  </si>
  <si>
    <t xml:space="preserve"> 日ペイントH</t>
  </si>
  <si>
    <t>" 17</t>
  </si>
  <si>
    <t xml:space="preserve"> 飛島建</t>
  </si>
  <si>
    <t xml:space="preserve"> 大和ハウス</t>
  </si>
  <si>
    <t xml:space="preserve"> すかいHD</t>
  </si>
  <si>
    <t xml:space="preserve"> トーア紡</t>
  </si>
  <si>
    <t xml:space="preserve"> 日本アＧ</t>
  </si>
  <si>
    <t xml:space="preserve"> 日シス技術</t>
  </si>
  <si>
    <t xml:space="preserve"> 日華化学</t>
  </si>
  <si>
    <t xml:space="preserve"> ペプチド</t>
  </si>
  <si>
    <t xml:space="preserve"> ジーニー</t>
  </si>
  <si>
    <t xml:space="preserve"> 三桜工</t>
  </si>
  <si>
    <t xml:space="preserve"> マイクロニクス</t>
  </si>
  <si>
    <t xml:space="preserve"> ベルトラ</t>
  </si>
  <si>
    <t xml:space="preserve"> スター精</t>
  </si>
  <si>
    <t xml:space="preserve"> ソニーFH</t>
  </si>
  <si>
    <t xml:space="preserve"> 日コンセプト</t>
  </si>
  <si>
    <t xml:space="preserve"> NISSHA</t>
  </si>
  <si>
    <t xml:space="preserve"> アジア投資</t>
  </si>
  <si>
    <t xml:space="preserve"> C&amp;GSYS</t>
  </si>
  <si>
    <t xml:space="preserve"> 木徳神糧</t>
  </si>
  <si>
    <t xml:space="preserve"> サンワカンパニ</t>
  </si>
  <si>
    <t xml:space="preserve"> サンセイランデ</t>
  </si>
  <si>
    <t xml:space="preserve"> ビーロット</t>
  </si>
  <si>
    <t xml:space="preserve"> ショーケース</t>
  </si>
  <si>
    <t xml:space="preserve"> オークネット</t>
  </si>
  <si>
    <t xml:space="preserve"> タカギセイコー</t>
  </si>
  <si>
    <t xml:space="preserve"> DIシステム</t>
  </si>
  <si>
    <t xml:space="preserve"> 浜ゴム</t>
  </si>
  <si>
    <t xml:space="preserve"> 東洋炭素</t>
  </si>
  <si>
    <t xml:space="preserve"> リクルートHD</t>
  </si>
  <si>
    <t>" 71</t>
  </si>
  <si>
    <t xml:space="preserve"> 東　芝</t>
  </si>
  <si>
    <t xml:space="preserve"> Fringe81</t>
  </si>
  <si>
    <t xml:space="preserve"> サン電子</t>
  </si>
  <si>
    <t xml:space="preserve"> かんぽ</t>
  </si>
  <si>
    <t xml:space="preserve"> シノケンG</t>
  </si>
  <si>
    <t xml:space="preserve"> ジシステム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</si>
  <si>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</si>
  <si>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</si>
  <si>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</si>
  <si>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</si>
  <si>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</si>
  <si>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</si>
  <si>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</si>
  <si>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</si>
  <si>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</si>
  <si>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</si>
  <si>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</si>
  <si>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</si>
  <si>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</si>
  <si>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 xml:space="preserve"> ハウス食G</t>
  </si>
  <si>
    <t>" 15</t>
  </si>
  <si>
    <t xml:space="preserve"> ダイハツデ</t>
  </si>
  <si>
    <t xml:space="preserve"> アイナボHD</t>
  </si>
  <si>
    <t xml:space="preserve"> ウェーブロック</t>
  </si>
  <si>
    <t xml:space="preserve"> 豊通商</t>
  </si>
  <si>
    <t xml:space="preserve"> 大塚商</t>
  </si>
  <si>
    <t xml:space="preserve"> いすゞ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</si>
  <si>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</si>
  <si>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</si>
  <si>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</si>
  <si>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</si>
  <si>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出光興産</t>
  </si>
  <si>
    <t xml:space="preserve"> 藤コンポ</t>
  </si>
  <si>
    <t xml:space="preserve"> 東プレ</t>
  </si>
  <si>
    <t xml:space="preserve"> ナガオカ</t>
  </si>
  <si>
    <t xml:space="preserve"> ツバキナカシマ</t>
  </si>
  <si>
    <t xml:space="preserve"> 大泉製</t>
  </si>
  <si>
    <t xml:space="preserve"> WDBココ</t>
  </si>
  <si>
    <t xml:space="preserve"> スポーツフィー</t>
  </si>
  <si>
    <t xml:space="preserve"> シチズン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</si>
  <si>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</si>
  <si>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</si>
  <si>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</si>
  <si>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</si>
  <si>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</si>
  <si>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</si>
  <si>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アイロムグループ</t>
  </si>
  <si>
    <t>Ｊ－オイルミルズ</t>
  </si>
  <si>
    <t>大黒天物産</t>
  </si>
  <si>
    <t>横浜冷凍</t>
  </si>
  <si>
    <t>ラクト・ジャパン</t>
  </si>
  <si>
    <t>三洋貿易</t>
  </si>
  <si>
    <t>エストラスト</t>
  </si>
  <si>
    <t>ネオジャパン</t>
  </si>
  <si>
    <t>片倉コープアグリ</t>
  </si>
  <si>
    <t>ペプチドリーム</t>
  </si>
  <si>
    <t>クレスコ</t>
  </si>
  <si>
    <t>山田コンサルティンググループ</t>
  </si>
  <si>
    <t>ニチレキ</t>
  </si>
  <si>
    <t>ＬＩＴＡＬＩＣＯ</t>
  </si>
  <si>
    <t>リケン</t>
  </si>
  <si>
    <t>山洋電気</t>
  </si>
  <si>
    <t>ＧａｍｅＷｉｔｈ</t>
  </si>
  <si>
    <t>澤藤電機</t>
  </si>
  <si>
    <t>スズキ</t>
  </si>
  <si>
    <t>幸楽苑ホールディングス</t>
  </si>
  <si>
    <t>ハークスレイ</t>
  </si>
  <si>
    <t>粧美堂</t>
  </si>
  <si>
    <t>リンテック</t>
  </si>
  <si>
    <t>ナカバヤシ</t>
  </si>
  <si>
    <t>菱洋エレクトロ</t>
  </si>
  <si>
    <t>タカキュー</t>
  </si>
  <si>
    <t>東北銀行</t>
  </si>
  <si>
    <t>東海東京フィナンシャル・ホールディングス</t>
  </si>
  <si>
    <t>岩井コスモホールディングス</t>
  </si>
  <si>
    <t>レオパレス２１</t>
  </si>
  <si>
    <t>ＡＶＡＮＴＩＡ</t>
  </si>
  <si>
    <t xml:space="preserve"> 1/22</t>
  </si>
  <si>
    <t xml:space="preserve"> ゲンキードラ</t>
  </si>
  <si>
    <t xml:space="preserve"> 11:00</t>
  </si>
  <si>
    <t xml:space="preserve"> カイノス</t>
  </si>
  <si>
    <t xml:space="preserve"> 杉本商</t>
  </si>
  <si>
    <t xml:space="preserve"> アクシーズ</t>
  </si>
  <si>
    <t xml:space="preserve"> ＫＧ情報</t>
  </si>
  <si>
    <t xml:space="preserve"> ベクター</t>
  </si>
  <si>
    <t xml:space="preserve"> カワチ薬品</t>
  </si>
  <si>
    <t xml:space="preserve"> ブルドック</t>
  </si>
  <si>
    <t xml:space="preserve"> 日鋳造</t>
  </si>
  <si>
    <t xml:space="preserve"> 日置電</t>
  </si>
  <si>
    <t xml:space="preserve"> 未来工業</t>
  </si>
  <si>
    <t xml:space="preserve"> ヒガシ21</t>
  </si>
  <si>
    <t xml:space="preserve"> ピーシーエー</t>
  </si>
  <si>
    <t xml:space="preserve"> 植松商</t>
  </si>
  <si>
    <t xml:space="preserve"> DNAチップ</t>
  </si>
  <si>
    <t xml:space="preserve"> 日興業</t>
  </si>
  <si>
    <t xml:space="preserve"> 17:00</t>
  </si>
  <si>
    <t xml:space="preserve"> KIMOTO</t>
  </si>
  <si>
    <t xml:space="preserve"> ブルボン</t>
  </si>
  <si>
    <t xml:space="preserve"> 篠崎屋</t>
  </si>
  <si>
    <t xml:space="preserve"> ジューテックH</t>
  </si>
  <si>
    <t xml:space="preserve"> ＪＳＲ</t>
  </si>
  <si>
    <t xml:space="preserve"> MK精工</t>
  </si>
  <si>
    <t xml:space="preserve"> 弁護士コム</t>
  </si>
  <si>
    <t xml:space="preserve"> エスティック</t>
  </si>
  <si>
    <t xml:space="preserve"> ＳＰＫ</t>
  </si>
  <si>
    <t xml:space="preserve"> 信越ポリ</t>
  </si>
  <si>
    <t xml:space="preserve"> ナガワ</t>
  </si>
  <si>
    <t xml:space="preserve"> コーエーテクモ</t>
  </si>
  <si>
    <t xml:space="preserve"> 日東電</t>
  </si>
  <si>
    <t xml:space="preserve"> ヤ  ギ</t>
  </si>
  <si>
    <t xml:space="preserve"> サンウッド</t>
  </si>
  <si>
    <t xml:space="preserve"> トランコム</t>
  </si>
  <si>
    <t xml:space="preserve"> ＫＯＡ</t>
  </si>
  <si>
    <t xml:space="preserve"> 岩井コスモ</t>
  </si>
  <si>
    <t xml:space="preserve"> タカラレーベン</t>
  </si>
  <si>
    <t xml:space="preserve"> ＳＭＫ</t>
  </si>
  <si>
    <t xml:space="preserve"> ＯＢＣ</t>
  </si>
  <si>
    <t xml:space="preserve"> JFE-SI</t>
  </si>
  <si>
    <t xml:space="preserve"> エムスリー</t>
  </si>
  <si>
    <t xml:space="preserve"> 東日システム</t>
  </si>
  <si>
    <t xml:space="preserve"> 信越化</t>
  </si>
  <si>
    <t xml:space="preserve"> 日立化成</t>
  </si>
  <si>
    <t xml:space="preserve"> マクアケ</t>
  </si>
  <si>
    <t xml:space="preserve"> 栄研化</t>
  </si>
  <si>
    <t xml:space="preserve"> 東洋機械</t>
  </si>
  <si>
    <t xml:space="preserve"> タカキタ</t>
  </si>
  <si>
    <t xml:space="preserve"> テセック</t>
  </si>
  <si>
    <t xml:space="preserve"> 航空電</t>
  </si>
  <si>
    <t xml:space="preserve"> キヤノンMJ</t>
  </si>
  <si>
    <t xml:space="preserve"> フジ住</t>
  </si>
  <si>
    <t xml:space="preserve"> 両毛シス</t>
  </si>
  <si>
    <t xml:space="preserve"> ディーエムエス</t>
  </si>
  <si>
    <t xml:space="preserve"> ユアテック</t>
  </si>
  <si>
    <t xml:space="preserve"> 積水樹</t>
  </si>
  <si>
    <t xml:space="preserve"> 富通ゼネ</t>
  </si>
  <si>
    <t xml:space="preserve"> リョーサン</t>
  </si>
  <si>
    <t xml:space="preserve"> 総メディHD</t>
  </si>
  <si>
    <t xml:space="preserve"> アズーム</t>
  </si>
  <si>
    <t xml:space="preserve"> ニホンフラッシュ</t>
  </si>
  <si>
    <t xml:space="preserve"> エンチョー</t>
  </si>
  <si>
    <t xml:space="preserve"> 杉村倉</t>
  </si>
  <si>
    <t xml:space="preserve"> 09:00</t>
  </si>
  <si>
    <t xml:space="preserve"> 田　谷</t>
  </si>
  <si>
    <t xml:space="preserve"> NESIC</t>
  </si>
  <si>
    <t xml:space="preserve"> キューブシス</t>
  </si>
  <si>
    <t xml:space="preserve"> モバファク</t>
  </si>
  <si>
    <t xml:space="preserve"> 小野測</t>
  </si>
  <si>
    <t xml:space="preserve"> ホリイフード</t>
  </si>
  <si>
    <t xml:space="preserve"> JFEコンテナ</t>
  </si>
  <si>
    <t xml:space="preserve"> アイザワ証</t>
  </si>
  <si>
    <t xml:space="preserve"> 東会舘</t>
  </si>
  <si>
    <t xml:space="preserve"> 帝国ホテル</t>
  </si>
  <si>
    <t xml:space="preserve"> ヤマト</t>
  </si>
  <si>
    <t xml:space="preserve"> プラマテルズ</t>
  </si>
  <si>
    <t xml:space="preserve"> 東エレデバ</t>
  </si>
  <si>
    <t xml:space="preserve"> コムチュア</t>
  </si>
  <si>
    <t xml:space="preserve"> サイバエージ</t>
  </si>
  <si>
    <t xml:space="preserve"> ＣＩＪ</t>
  </si>
  <si>
    <t xml:space="preserve"> ノエビアHD</t>
  </si>
  <si>
    <t xml:space="preserve"> 鋳鉄管</t>
  </si>
  <si>
    <t xml:space="preserve"> 横河ブHD</t>
  </si>
  <si>
    <t xml:space="preserve"> 鉱研工業</t>
  </si>
  <si>
    <t xml:space="preserve"> 日立建</t>
  </si>
  <si>
    <t xml:space="preserve"> ＮＥＣ</t>
  </si>
  <si>
    <t xml:space="preserve"> アドバンテ</t>
  </si>
  <si>
    <t xml:space="preserve"> ＦＴＥＣ</t>
  </si>
  <si>
    <t xml:space="preserve"> ファナック</t>
  </si>
  <si>
    <t xml:space="preserve"> ＦＤＫ</t>
  </si>
  <si>
    <t xml:space="preserve"> 日車輌</t>
  </si>
  <si>
    <t xml:space="preserve"> イントラスト</t>
  </si>
  <si>
    <t xml:space="preserve"> 日野自</t>
  </si>
  <si>
    <t xml:space="preserve"> 太平洋</t>
  </si>
  <si>
    <t xml:space="preserve"> オーゼックス</t>
  </si>
  <si>
    <t xml:space="preserve"> キヤノン</t>
  </si>
  <si>
    <t>" 40</t>
  </si>
  <si>
    <t xml:space="preserve"> SHOEI</t>
  </si>
  <si>
    <t xml:space="preserve"> 日立ハイテク</t>
  </si>
  <si>
    <t xml:space="preserve"> コメリ</t>
  </si>
  <si>
    <t xml:space="preserve"> PALTAC</t>
  </si>
  <si>
    <t xml:space="preserve"> 三谷産</t>
  </si>
  <si>
    <t xml:space="preserve"> みち銀</t>
  </si>
  <si>
    <t xml:space="preserve"> アサックス</t>
  </si>
  <si>
    <t xml:space="preserve"> 東北電</t>
  </si>
  <si>
    <t xml:space="preserve"> ナガセ</t>
  </si>
  <si>
    <t xml:space="preserve"> 愛光電</t>
  </si>
  <si>
    <t xml:space="preserve"> Ｐ　Ｉ</t>
  </si>
  <si>
    <t xml:space="preserve"> 日精化</t>
  </si>
  <si>
    <t xml:space="preserve"> ダイトーケミ</t>
  </si>
  <si>
    <t xml:space="preserve"> ヤスハラケミカル</t>
  </si>
  <si>
    <t xml:space="preserve"> ニッセイ</t>
  </si>
  <si>
    <t xml:space="preserve"> ムラキ</t>
  </si>
  <si>
    <t xml:space="preserve"> スクリン</t>
  </si>
  <si>
    <t xml:space="preserve"> 西ガス</t>
  </si>
  <si>
    <t xml:space="preserve"> ミスミＧ</t>
  </si>
  <si>
    <t xml:space="preserve"> 川重冷</t>
  </si>
  <si>
    <t xml:space="preserve"> Vコマース</t>
  </si>
  <si>
    <t xml:space="preserve"> ＬＩＮＥ</t>
  </si>
  <si>
    <t xml:space="preserve"> アイカ工</t>
  </si>
  <si>
    <t xml:space="preserve"> ビオフェル</t>
  </si>
  <si>
    <t xml:space="preserve"> ハウスコム</t>
  </si>
  <si>
    <t xml:space="preserve"> 4Q</t>
  </si>
  <si>
    <t xml:space="preserve"> 三陽商</t>
  </si>
  <si>
    <t xml:space="preserve"> 岡　三</t>
  </si>
  <si>
    <t xml:space="preserve"> 極東証券</t>
  </si>
  <si>
    <t xml:space="preserve"> 邦ガス</t>
  </si>
  <si>
    <t xml:space="preserve"> メイテック</t>
  </si>
  <si>
    <t xml:space="preserve"> インフォコム</t>
  </si>
  <si>
    <t xml:space="preserve"> ＪＰＸ</t>
  </si>
  <si>
    <t xml:space="preserve"> 積水化</t>
  </si>
  <si>
    <t xml:space="preserve"> 広栄化</t>
  </si>
  <si>
    <t xml:space="preserve"> エステー</t>
  </si>
  <si>
    <t xml:space="preserve"> 大阪製鉄</t>
  </si>
  <si>
    <t xml:space="preserve"> 北越工</t>
  </si>
  <si>
    <t xml:space="preserve"> 秋田銀</t>
  </si>
  <si>
    <t xml:space="preserve"> 丸三証</t>
  </si>
  <si>
    <t xml:space="preserve"> 水戸証</t>
  </si>
  <si>
    <t xml:space="preserve"> いちよし</t>
  </si>
  <si>
    <t xml:space="preserve"> 四国電</t>
  </si>
  <si>
    <t xml:space="preserve"> ハードオフ</t>
  </si>
  <si>
    <t xml:space="preserve"> 伊藤忠食</t>
  </si>
  <si>
    <t xml:space="preserve"> クリップ</t>
  </si>
  <si>
    <t xml:space="preserve"> 日軽金HD</t>
  </si>
  <si>
    <t xml:space="preserve"> カナレ電気</t>
  </si>
  <si>
    <t xml:space="preserve"> 中発条</t>
  </si>
  <si>
    <t xml:space="preserve"> 月島機</t>
  </si>
  <si>
    <t xml:space="preserve"> 東海理化</t>
  </si>
  <si>
    <t xml:space="preserve"> 木曽路</t>
  </si>
  <si>
    <t xml:space="preserve"> 新京成</t>
  </si>
  <si>
    <t xml:space="preserve"> 東海運</t>
  </si>
  <si>
    <t xml:space="preserve"> FFE&amp;C</t>
  </si>
  <si>
    <t xml:space="preserve"> 北電事</t>
  </si>
  <si>
    <t xml:space="preserve"> きんでん</t>
  </si>
  <si>
    <t xml:space="preserve"> コ　ア</t>
  </si>
  <si>
    <t xml:space="preserve"> 八洲電機</t>
  </si>
  <si>
    <t xml:space="preserve"> アトムリビン</t>
  </si>
  <si>
    <t xml:space="preserve"> システムリサーチ</t>
  </si>
  <si>
    <t xml:space="preserve"> 田岡化</t>
  </si>
  <si>
    <t xml:space="preserve"> ＮＲＩ</t>
  </si>
  <si>
    <t xml:space="preserve"> Jストリーム</t>
  </si>
  <si>
    <t xml:space="preserve"> 日本SHL</t>
  </si>
  <si>
    <t xml:space="preserve"> 一工薬</t>
  </si>
  <si>
    <t xml:space="preserve"> 大日住薬</t>
  </si>
  <si>
    <t xml:space="preserve"> サクラKCS</t>
  </si>
  <si>
    <t xml:space="preserve"> ソフトブレーン</t>
  </si>
  <si>
    <t xml:space="preserve"> マンダム</t>
  </si>
  <si>
    <t xml:space="preserve"> ファンケル</t>
  </si>
  <si>
    <t xml:space="preserve"> デクセリアルス</t>
  </si>
  <si>
    <t xml:space="preserve"> 寺岡製</t>
  </si>
  <si>
    <t xml:space="preserve"> 板硝子</t>
  </si>
  <si>
    <t xml:space="preserve"> MARUWA</t>
  </si>
  <si>
    <t xml:space="preserve"> 東北鋼</t>
  </si>
  <si>
    <t xml:space="preserve"> 虹  技</t>
  </si>
  <si>
    <t xml:space="preserve"> 日精線</t>
  </si>
  <si>
    <t xml:space="preserve"> 東邦金</t>
  </si>
  <si>
    <t xml:space="preserve"> M&amp;Aキャピ</t>
  </si>
  <si>
    <t xml:space="preserve"> ニューフレア</t>
  </si>
  <si>
    <t xml:space="preserve"> ペガサス</t>
  </si>
  <si>
    <t xml:space="preserve"> アイチコーポ</t>
  </si>
  <si>
    <t xml:space="preserve"> マックス</t>
  </si>
  <si>
    <t xml:space="preserve"> キッツ</t>
  </si>
  <si>
    <t xml:space="preserve"> 富士電機</t>
  </si>
  <si>
    <t xml:space="preserve"> 明電舎</t>
  </si>
  <si>
    <t xml:space="preserve"> 山洋電</t>
  </si>
  <si>
    <t xml:space="preserve"> マキタ</t>
  </si>
  <si>
    <t xml:space="preserve"> アンリツ</t>
  </si>
  <si>
    <t xml:space="preserve"> アルプスアル</t>
  </si>
  <si>
    <t xml:space="preserve"> マクセルHD</t>
  </si>
  <si>
    <t xml:space="preserve"> リオン</t>
  </si>
  <si>
    <t xml:space="preserve"> 本多通信</t>
  </si>
  <si>
    <t xml:space="preserve"> 三社電機</t>
  </si>
  <si>
    <t xml:space="preserve"> スタンレ電</t>
  </si>
  <si>
    <t xml:space="preserve"> カシオ</t>
  </si>
  <si>
    <t xml:space="preserve"> 新電工</t>
  </si>
  <si>
    <t xml:space="preserve"> 京セラ</t>
  </si>
  <si>
    <t xml:space="preserve"> 協栄産</t>
  </si>
  <si>
    <t xml:space="preserve"> 今村証券</t>
  </si>
  <si>
    <t xml:space="preserve"> 愛三工</t>
  </si>
  <si>
    <t xml:space="preserve"> ＴＳテック</t>
  </si>
  <si>
    <t xml:space="preserve"> セフテック</t>
  </si>
  <si>
    <t xml:space="preserve"> ネットワン</t>
  </si>
  <si>
    <t xml:space="preserve"> ＧＦＣ</t>
  </si>
  <si>
    <t xml:space="preserve"> ニチハ</t>
  </si>
  <si>
    <t xml:space="preserve"> コマニー</t>
  </si>
  <si>
    <t xml:space="preserve"> 東エレク</t>
  </si>
  <si>
    <t xml:space="preserve"> 大都魚</t>
  </si>
  <si>
    <t xml:space="preserve"> 新生銀</t>
  </si>
  <si>
    <t xml:space="preserve"> 七十七</t>
  </si>
  <si>
    <t xml:space="preserve"> 北国銀</t>
  </si>
  <si>
    <t xml:space="preserve"> 中国銀</t>
  </si>
  <si>
    <t xml:space="preserve"> 鳥取銀</t>
  </si>
  <si>
    <t xml:space="preserve"> アプラスF</t>
  </si>
  <si>
    <t xml:space="preserve"> 野村ＨＤ</t>
  </si>
  <si>
    <t xml:space="preserve"> だいこう</t>
  </si>
  <si>
    <t xml:space="preserve"> 丸八証券</t>
  </si>
  <si>
    <t xml:space="preserve"> マネパＧ</t>
  </si>
  <si>
    <t xml:space="preserve"> 平和不</t>
  </si>
  <si>
    <t xml:space="preserve"> 空港施設</t>
  </si>
  <si>
    <t xml:space="preserve"> ゴールドクレ</t>
  </si>
  <si>
    <t xml:space="preserve"> センチュリー21</t>
  </si>
  <si>
    <t xml:space="preserve"> ヤマトHD</t>
  </si>
  <si>
    <t xml:space="preserve"> 丸和運輸</t>
  </si>
  <si>
    <t xml:space="preserve"> コネクシオ</t>
  </si>
  <si>
    <t xml:space="preserve"> NTTドコモ</t>
  </si>
  <si>
    <t xml:space="preserve"> 大ガス</t>
  </si>
  <si>
    <t xml:space="preserve"> セゾン情</t>
  </si>
  <si>
    <t xml:space="preserve"> 東洋テック</t>
  </si>
  <si>
    <t xml:space="preserve"> コナミ HD</t>
  </si>
  <si>
    <t xml:space="preserve"> 関西スパ</t>
  </si>
  <si>
    <t xml:space="preserve"> 蔵王産業</t>
  </si>
  <si>
    <t xml:space="preserve"> サックスバーH</t>
  </si>
  <si>
    <t xml:space="preserve"> ジェコス</t>
  </si>
  <si>
    <t xml:space="preserve"> タケエイ</t>
  </si>
  <si>
    <t xml:space="preserve"> ＡＧＳ</t>
  </si>
  <si>
    <t xml:space="preserve"> キーウェア</t>
  </si>
  <si>
    <t xml:space="preserve"> 理ビタミン</t>
  </si>
  <si>
    <t xml:space="preserve"> JCRファーマ</t>
  </si>
  <si>
    <t xml:space="preserve"> SBテクノロジ</t>
  </si>
  <si>
    <t xml:space="preserve"> コ　タ</t>
  </si>
  <si>
    <t xml:space="preserve"> 特殊陶</t>
  </si>
  <si>
    <t xml:space="preserve"> ファインシンター</t>
  </si>
  <si>
    <t xml:space="preserve"> 菊水電</t>
  </si>
  <si>
    <t xml:space="preserve"> フタバ</t>
  </si>
  <si>
    <t xml:space="preserve"> 小糸製</t>
  </si>
  <si>
    <t xml:space="preserve"> 任天堂</t>
  </si>
  <si>
    <t xml:space="preserve"> 三井住友</t>
  </si>
  <si>
    <t xml:space="preserve"> 信金中金 PS</t>
  </si>
  <si>
    <t xml:space="preserve"> 大光銀</t>
  </si>
  <si>
    <t xml:space="preserve"> ＪＲ東海</t>
  </si>
  <si>
    <t xml:space="preserve"> エージーピー</t>
  </si>
  <si>
    <t xml:space="preserve"> 東電力HD</t>
  </si>
  <si>
    <t xml:space="preserve"> アイネス</t>
  </si>
  <si>
    <t xml:space="preserve"> 旭情報</t>
  </si>
  <si>
    <t xml:space="preserve"> ハチバン</t>
  </si>
  <si>
    <t xml:space="preserve"> ショクブン</t>
  </si>
  <si>
    <t xml:space="preserve"> 南海辰村</t>
  </si>
  <si>
    <t xml:space="preserve"> 中外薬</t>
  </si>
  <si>
    <t xml:space="preserve"> ケーエフシー</t>
  </si>
  <si>
    <t xml:space="preserve"> プロシップ</t>
  </si>
  <si>
    <t xml:space="preserve"> ＮＴＮ</t>
  </si>
  <si>
    <t xml:space="preserve"> メルコ</t>
  </si>
  <si>
    <t xml:space="preserve"> NF回路</t>
  </si>
  <si>
    <t xml:space="preserve"> ヒロセ通商</t>
  </si>
  <si>
    <t xml:space="preserve"> 蝶　理</t>
  </si>
  <si>
    <t xml:space="preserve"> 日本エスコン</t>
  </si>
  <si>
    <t xml:space="preserve"> JBCC HD</t>
  </si>
  <si>
    <t xml:space="preserve"> トクヤマ</t>
  </si>
  <si>
    <t xml:space="preserve"> 10:00</t>
  </si>
  <si>
    <t xml:space="preserve"> プロトコーポ</t>
  </si>
  <si>
    <t xml:space="preserve"> JALUX</t>
  </si>
  <si>
    <t xml:space="preserve"> 群栄化</t>
  </si>
  <si>
    <t xml:space="preserve"> 日金属</t>
  </si>
  <si>
    <t xml:space="preserve"> 三和ＨＤ</t>
  </si>
  <si>
    <t xml:space="preserve"> デンソー</t>
  </si>
  <si>
    <t xml:space="preserve"> 菱電商</t>
  </si>
  <si>
    <t xml:space="preserve"> 東海東京</t>
  </si>
  <si>
    <t xml:space="preserve"> マネックスG</t>
  </si>
  <si>
    <t xml:space="preserve"> 川崎船</t>
  </si>
  <si>
    <t xml:space="preserve"> 海運業</t>
  </si>
  <si>
    <t xml:space="preserve"> 川崎近海</t>
  </si>
  <si>
    <t xml:space="preserve"> 東洋水産</t>
  </si>
  <si>
    <t>084"</t>
  </si>
  <si>
    <t xml:space="preserve"> アステラス薬</t>
  </si>
  <si>
    <t>" 35</t>
  </si>
  <si>
    <t xml:space="preserve"> エーザイ</t>
  </si>
  <si>
    <t>" 24</t>
  </si>
  <si>
    <t xml:space="preserve"> 小野薬</t>
  </si>
  <si>
    <t xml:space="preserve"> 住友理工</t>
  </si>
  <si>
    <t xml:space="preserve"> IRJ HD</t>
  </si>
  <si>
    <t xml:space="preserve"> カワタ</t>
  </si>
  <si>
    <t xml:space="preserve"> ツカモト</t>
  </si>
  <si>
    <t xml:space="preserve"> 郵　船</t>
  </si>
  <si>
    <t xml:space="preserve"> 商船三井</t>
  </si>
  <si>
    <t xml:space="preserve"> 清水建</t>
  </si>
  <si>
    <t xml:space="preserve"> 住友林</t>
  </si>
  <si>
    <t xml:space="preserve"> 関電工</t>
  </si>
  <si>
    <t xml:space="preserve"> 住電設</t>
  </si>
  <si>
    <t xml:space="preserve"> 日東富士</t>
  </si>
  <si>
    <t xml:space="preserve"> 日本ハム</t>
  </si>
  <si>
    <t xml:space="preserve"> 日本ケア</t>
  </si>
  <si>
    <t xml:space="preserve"> ユタカフーズ</t>
  </si>
  <si>
    <t xml:space="preserve"> 有機薬</t>
  </si>
  <si>
    <t xml:space="preserve"> 第一三共</t>
  </si>
  <si>
    <t xml:space="preserve"> 中国塗</t>
  </si>
  <si>
    <t xml:space="preserve"> WOWOW</t>
  </si>
  <si>
    <t xml:space="preserve"> 石塚硝</t>
  </si>
  <si>
    <t xml:space="preserve"> 高砂鉄</t>
  </si>
  <si>
    <t xml:space="preserve"> モリ工業</t>
  </si>
  <si>
    <t xml:space="preserve"> 愛知鋼</t>
  </si>
  <si>
    <t xml:space="preserve"> LIXIL G</t>
  </si>
  <si>
    <t xml:space="preserve"> トーソー</t>
  </si>
  <si>
    <t xml:space="preserve"> 日ギア</t>
  </si>
  <si>
    <t xml:space="preserve"> ジェイテクト</t>
  </si>
  <si>
    <t xml:space="preserve"> 指月電</t>
  </si>
  <si>
    <t xml:space="preserve"> 愛時計</t>
  </si>
  <si>
    <t xml:space="preserve"> エネクス</t>
  </si>
  <si>
    <t xml:space="preserve"> 東北銀</t>
  </si>
  <si>
    <t xml:space="preserve"> エスリード</t>
  </si>
  <si>
    <t xml:space="preserve"> 日　通</t>
  </si>
  <si>
    <t xml:space="preserve"> 明治海</t>
  </si>
  <si>
    <t xml:space="preserve"> 三菱倉</t>
  </si>
  <si>
    <t xml:space="preserve"> アイネット</t>
  </si>
  <si>
    <t xml:space="preserve"> 三晃金</t>
  </si>
  <si>
    <t xml:space="preserve"> フジ日糖</t>
  </si>
  <si>
    <t xml:space="preserve"> ヤクルト</t>
  </si>
  <si>
    <t xml:space="preserve"> キーコーヒー</t>
  </si>
  <si>
    <t xml:space="preserve"> 大　冷</t>
  </si>
  <si>
    <t xml:space="preserve"> 神　栄</t>
  </si>
  <si>
    <t xml:space="preserve"> 日フエルト</t>
  </si>
  <si>
    <t xml:space="preserve"> アツギ</t>
  </si>
  <si>
    <t xml:space="preserve"> 東海染</t>
  </si>
  <si>
    <t xml:space="preserve"> 西菱電機</t>
  </si>
  <si>
    <t xml:space="preserve"> 神東塗</t>
  </si>
  <si>
    <t xml:space="preserve"> エックスネット</t>
  </si>
  <si>
    <t xml:space="preserve"> クニミネ工</t>
  </si>
  <si>
    <t xml:space="preserve"> アルビス</t>
  </si>
  <si>
    <t xml:space="preserve"> カーディナル</t>
  </si>
  <si>
    <t xml:space="preserve"> カナデン</t>
  </si>
  <si>
    <t xml:space="preserve"> 兼松エレク</t>
  </si>
  <si>
    <t xml:space="preserve"> 岩手銀</t>
  </si>
  <si>
    <t xml:space="preserve"> 阿波銀</t>
  </si>
  <si>
    <t xml:space="preserve"> 山　九</t>
  </si>
  <si>
    <t>659"</t>
  </si>
  <si>
    <t xml:space="preserve"> 飯野海</t>
  </si>
  <si>
    <t xml:space="preserve"> アサガミ</t>
  </si>
  <si>
    <t xml:space="preserve"> 住石ＨＤ</t>
  </si>
  <si>
    <t xml:space="preserve"> 三東工業</t>
  </si>
  <si>
    <t xml:space="preserve"> 守谷商会</t>
  </si>
  <si>
    <t xml:space="preserve"> 明星工</t>
  </si>
  <si>
    <t xml:space="preserve"> 三井製糖</t>
  </si>
  <si>
    <t xml:space="preserve"> 中村屋</t>
  </si>
  <si>
    <t xml:space="preserve"> エイジア</t>
  </si>
  <si>
    <t xml:space="preserve"> ルネサンス</t>
  </si>
  <si>
    <t xml:space="preserve"> ＢＢＴ</t>
  </si>
  <si>
    <t xml:space="preserve"> タウンニュース</t>
  </si>
  <si>
    <t xml:space="preserve"> セリア</t>
  </si>
  <si>
    <t xml:space="preserve"> エスビー</t>
  </si>
  <si>
    <t xml:space="preserve"> 佐藤食</t>
  </si>
  <si>
    <t xml:space="preserve"> ピエトロ</t>
  </si>
  <si>
    <t xml:space="preserve"> フジッコ</t>
  </si>
  <si>
    <t xml:space="preserve"> ミツコシイセタン</t>
  </si>
  <si>
    <t xml:space="preserve"> グリムス</t>
  </si>
  <si>
    <t xml:space="preserve"> Cominix</t>
  </si>
  <si>
    <t xml:space="preserve"> イーグランド</t>
  </si>
  <si>
    <t xml:space="preserve"> ランシステム</t>
  </si>
  <si>
    <t xml:space="preserve"> 日本調剤</t>
  </si>
  <si>
    <t xml:space="preserve"> バッファロー</t>
  </si>
  <si>
    <t xml:space="preserve"> 三ツ知</t>
  </si>
  <si>
    <t xml:space="preserve"> 山　喜</t>
  </si>
  <si>
    <t xml:space="preserve"> J・エスコムHD</t>
  </si>
  <si>
    <t xml:space="preserve"> ドリコム</t>
  </si>
  <si>
    <t xml:space="preserve"> 高度紙</t>
  </si>
  <si>
    <t xml:space="preserve"> コラボス</t>
  </si>
  <si>
    <t xml:space="preserve"> アカツキ</t>
  </si>
  <si>
    <t xml:space="preserve"> トーモク</t>
  </si>
  <si>
    <t xml:space="preserve"> 国際チャート</t>
  </si>
  <si>
    <t xml:space="preserve"> 住友化</t>
  </si>
  <si>
    <t xml:space="preserve"> リケンテクノス</t>
  </si>
  <si>
    <t xml:space="preserve"> 竹本容器</t>
  </si>
  <si>
    <t xml:space="preserve"> ソルクシーズ</t>
  </si>
  <si>
    <t xml:space="preserve"> ハイマックス</t>
  </si>
  <si>
    <t xml:space="preserve"> クイック</t>
  </si>
  <si>
    <t xml:space="preserve"> シーティーエス</t>
  </si>
  <si>
    <t xml:space="preserve"> プロパティD</t>
  </si>
  <si>
    <t xml:space="preserve"> 日ケミファ</t>
  </si>
  <si>
    <t xml:space="preserve"> キッセイ薬</t>
  </si>
  <si>
    <t xml:space="preserve"> UMNファーマ</t>
  </si>
  <si>
    <t xml:space="preserve"> エイジス</t>
  </si>
  <si>
    <t xml:space="preserve"> マイスター</t>
  </si>
  <si>
    <t xml:space="preserve"> 早稲アカ</t>
  </si>
  <si>
    <t xml:space="preserve"> コーセー</t>
  </si>
  <si>
    <t xml:space="preserve"> シーボン</t>
  </si>
  <si>
    <t xml:space="preserve"> 小林製薬</t>
  </si>
  <si>
    <t xml:space="preserve"> 東亜石</t>
  </si>
  <si>
    <t xml:space="preserve"> リソル</t>
  </si>
  <si>
    <t xml:space="preserve"> イトーヨーギョ</t>
  </si>
  <si>
    <t xml:space="preserve"> ガイシ</t>
  </si>
  <si>
    <t xml:space="preserve"> 黒崎播磨</t>
  </si>
  <si>
    <t xml:space="preserve"> 大特鋼</t>
  </si>
  <si>
    <t xml:space="preserve"> 山特鋼</t>
  </si>
  <si>
    <t xml:space="preserve"> 日亜鋼</t>
  </si>
  <si>
    <t xml:space="preserve"> 大紀アルミ</t>
  </si>
  <si>
    <t xml:space="preserve"> 大阪チタ</t>
  </si>
  <si>
    <t xml:space="preserve"> 東特線</t>
  </si>
  <si>
    <t xml:space="preserve"> アサヒHD</t>
  </si>
  <si>
    <t xml:space="preserve"> 日カン</t>
  </si>
  <si>
    <t xml:space="preserve"> コロナ</t>
  </si>
  <si>
    <t xml:space="preserve"> ニッキ</t>
  </si>
  <si>
    <t xml:space="preserve"> オークマ</t>
  </si>
  <si>
    <t xml:space="preserve"> 東芝機</t>
  </si>
  <si>
    <t xml:space="preserve"> ＳＭＮ</t>
  </si>
  <si>
    <t xml:space="preserve"> 一　蔵</t>
  </si>
  <si>
    <t xml:space="preserve"> 島精機</t>
  </si>
  <si>
    <t xml:space="preserve"> 住友重</t>
  </si>
  <si>
    <t xml:space="preserve"> 住友精</t>
  </si>
  <si>
    <t xml:space="preserve"> 東自機</t>
  </si>
  <si>
    <t xml:space="preserve"> アマノ</t>
  </si>
  <si>
    <t xml:space="preserve"> モリタHD</t>
  </si>
  <si>
    <t xml:space="preserve"> ＫＶＫ</t>
  </si>
  <si>
    <t xml:space="preserve"> ヨシタケ</t>
  </si>
  <si>
    <t xml:space="preserve"> 三相電機</t>
  </si>
  <si>
    <t xml:space="preserve"> 東光高岳</t>
  </si>
  <si>
    <t xml:space="preserve"> JVCKW</t>
  </si>
  <si>
    <t xml:space="preserve"> 日新電</t>
  </si>
  <si>
    <t xml:space="preserve"> エプソン</t>
  </si>
  <si>
    <t xml:space="preserve"> ワコム</t>
  </si>
  <si>
    <t xml:space="preserve"> ＴＤＫ</t>
  </si>
  <si>
    <t xml:space="preserve"> santec</t>
  </si>
  <si>
    <t xml:space="preserve"> リーダー電</t>
  </si>
  <si>
    <t xml:space="preserve"> エノモト</t>
  </si>
  <si>
    <t xml:space="preserve"> 島根銀行</t>
  </si>
  <si>
    <t xml:space="preserve"> 富山第一</t>
  </si>
  <si>
    <t xml:space="preserve"> 田中精密</t>
  </si>
  <si>
    <t xml:space="preserve"> エフ・シー・シー</t>
  </si>
  <si>
    <t xml:space="preserve"> 八千代工</t>
  </si>
  <si>
    <t xml:space="preserve"> 昭和飛</t>
  </si>
  <si>
    <t xml:space="preserve"> カッパ・クリエ</t>
  </si>
  <si>
    <t xml:space="preserve"> 東邦レマック</t>
  </si>
  <si>
    <t xml:space="preserve"> メディパル</t>
  </si>
  <si>
    <t xml:space="preserve"> ドウシシャ</t>
  </si>
  <si>
    <t xml:space="preserve"> 高  速</t>
  </si>
  <si>
    <t xml:space="preserve"> GセブンHD</t>
  </si>
  <si>
    <t xml:space="preserve"> システムソフト</t>
  </si>
  <si>
    <t xml:space="preserve"> 日本ライフL</t>
  </si>
  <si>
    <t xml:space="preserve"> エクセル</t>
  </si>
  <si>
    <t xml:space="preserve"> アルゴグラフ</t>
  </si>
  <si>
    <t xml:space="preserve"> 魚  力</t>
  </si>
  <si>
    <t xml:space="preserve"> PLANT</t>
  </si>
  <si>
    <t xml:space="preserve"> AmidAHD</t>
  </si>
  <si>
    <t xml:space="preserve"> クボテック</t>
  </si>
  <si>
    <t xml:space="preserve"> トプコン</t>
  </si>
  <si>
    <t xml:space="preserve"> 大研医器</t>
  </si>
  <si>
    <t xml:space="preserve"> アールシーコア</t>
  </si>
  <si>
    <t xml:space="preserve"> プロネクサス</t>
  </si>
  <si>
    <t xml:space="preserve"> 野崎印</t>
  </si>
  <si>
    <t xml:space="preserve"> トーイン</t>
  </si>
  <si>
    <t xml:space="preserve"> 研　創</t>
  </si>
  <si>
    <t xml:space="preserve"> ＪＳＰ</t>
  </si>
  <si>
    <t xml:space="preserve"> エフピコ</t>
  </si>
  <si>
    <t xml:space="preserve"> 兼松サステク</t>
  </si>
  <si>
    <t xml:space="preserve"> スクロール</t>
  </si>
  <si>
    <t xml:space="preserve"> 三共興</t>
  </si>
  <si>
    <t xml:space="preserve"> 丸藤パ</t>
  </si>
  <si>
    <t xml:space="preserve"> 新光商</t>
  </si>
  <si>
    <t xml:space="preserve"> 静岡銀</t>
  </si>
  <si>
    <t xml:space="preserve"> 八十二</t>
  </si>
  <si>
    <t xml:space="preserve"> 清水銀</t>
  </si>
  <si>
    <t xml:space="preserve"> 京都銀</t>
  </si>
  <si>
    <t xml:space="preserve"> 京葉銀</t>
  </si>
  <si>
    <t xml:space="preserve"> 栃木銀</t>
  </si>
  <si>
    <t xml:space="preserve"> 北日銀</t>
  </si>
  <si>
    <t xml:space="preserve"> オリコ</t>
  </si>
  <si>
    <t xml:space="preserve"> インヴァスト</t>
  </si>
  <si>
    <t xml:space="preserve"> 京　成</t>
  </si>
  <si>
    <t xml:space="preserve"> JR西日本</t>
  </si>
  <si>
    <t xml:space="preserve"> ＳＧＨＤ</t>
  </si>
  <si>
    <t xml:space="preserve"> ＳＦＪ</t>
  </si>
  <si>
    <t xml:space="preserve"> 宇　徳</t>
  </si>
  <si>
    <t xml:space="preserve"> キムラユニティー</t>
  </si>
  <si>
    <t xml:space="preserve"> 関西電</t>
  </si>
  <si>
    <t xml:space="preserve"> 北陸電</t>
  </si>
  <si>
    <t xml:space="preserve"> 九州電</t>
  </si>
  <si>
    <t xml:space="preserve"> 北海電</t>
  </si>
  <si>
    <t xml:space="preserve"> ＫＳＫ</t>
  </si>
  <si>
    <t xml:space="preserve"> トランスコスモ</t>
  </si>
  <si>
    <t xml:space="preserve"> ＮＳＷ</t>
  </si>
  <si>
    <t xml:space="preserve"> IXナレッジ</t>
  </si>
  <si>
    <t xml:space="preserve"> 東海リース</t>
  </si>
  <si>
    <t xml:space="preserve"> オートバクス</t>
  </si>
  <si>
    <t xml:space="preserve"> セキド</t>
  </si>
  <si>
    <t xml:space="preserve"> アシードHD</t>
  </si>
  <si>
    <t xml:space="preserve"> 東テク</t>
  </si>
  <si>
    <t xml:space="preserve"> ホウスイ</t>
  </si>
  <si>
    <t xml:space="preserve"> 四電工</t>
  </si>
  <si>
    <t xml:space="preserve"> 弘電社</t>
  </si>
  <si>
    <t xml:space="preserve"> 中　広</t>
  </si>
  <si>
    <t xml:space="preserve"> 幼児活動</t>
  </si>
  <si>
    <t xml:space="preserve"> キャリアDC</t>
  </si>
  <si>
    <t xml:space="preserve"> eBASE</t>
  </si>
  <si>
    <t xml:space="preserve"> スパバック</t>
  </si>
  <si>
    <t xml:space="preserve"> 旭有機材</t>
  </si>
  <si>
    <t xml:space="preserve"> 日化薬</t>
  </si>
  <si>
    <t>120"</t>
  </si>
  <si>
    <t xml:space="preserve"> 環境管理</t>
  </si>
  <si>
    <t xml:space="preserve"> 日本空調</t>
  </si>
  <si>
    <t xml:space="preserve"> ITFOR</t>
  </si>
  <si>
    <t xml:space="preserve"> エフアンドエム</t>
  </si>
  <si>
    <t xml:space="preserve"> フコク</t>
  </si>
  <si>
    <t xml:space="preserve"> 鶴　弥</t>
  </si>
  <si>
    <t xml:space="preserve"> 三ッ星</t>
  </si>
  <si>
    <t xml:space="preserve"> アルメタックス</t>
  </si>
  <si>
    <t xml:space="preserve"> ダイニチ工</t>
  </si>
  <si>
    <t xml:space="preserve"> 化工機</t>
  </si>
  <si>
    <t xml:space="preserve"> 大同工</t>
  </si>
  <si>
    <t xml:space="preserve"> マースGHD</t>
  </si>
  <si>
    <t xml:space="preserve"> 日鍛バル</t>
  </si>
  <si>
    <t xml:space="preserve"> ABホテル</t>
  </si>
  <si>
    <t xml:space="preserve"> テクノHR</t>
  </si>
  <si>
    <t xml:space="preserve"> ＥＩＺＯ</t>
  </si>
  <si>
    <t xml:space="preserve"> キーエンス</t>
  </si>
  <si>
    <t xml:space="preserve"> 遠藤照</t>
  </si>
  <si>
    <t xml:space="preserve"> ＦＰＧ</t>
  </si>
  <si>
    <t xml:space="preserve"> 新明和</t>
  </si>
  <si>
    <t xml:space="preserve"> 関西みら</t>
  </si>
  <si>
    <t xml:space="preserve"> アズワン</t>
  </si>
  <si>
    <t xml:space="preserve"> 丸　文</t>
  </si>
  <si>
    <t xml:space="preserve"> トッパン・F</t>
  </si>
  <si>
    <t xml:space="preserve"> セブン工</t>
  </si>
  <si>
    <t xml:space="preserve"> ホクシン</t>
  </si>
  <si>
    <t xml:space="preserve"> キングジム</t>
  </si>
  <si>
    <t xml:space="preserve"> 椿本興</t>
  </si>
  <si>
    <t xml:space="preserve"> 東京産</t>
  </si>
  <si>
    <t xml:space="preserve"> 都築電</t>
  </si>
  <si>
    <t xml:space="preserve"> りそなHD</t>
  </si>
  <si>
    <t xml:space="preserve"> みずほ</t>
  </si>
  <si>
    <t xml:space="preserve"> 池田泉州</t>
  </si>
  <si>
    <t xml:space="preserve"> 東  祥</t>
  </si>
  <si>
    <t xml:space="preserve"> サンリツ</t>
  </si>
  <si>
    <t xml:space="preserve"> ユーラシア</t>
  </si>
  <si>
    <t xml:space="preserve"> Ｊパワー</t>
  </si>
  <si>
    <t xml:space="preserve"> 太田昭</t>
  </si>
  <si>
    <t xml:space="preserve"> ホウライ</t>
  </si>
  <si>
    <t xml:space="preserve"> 元気寿司</t>
  </si>
  <si>
    <t xml:space="preserve"> 菱友システム</t>
  </si>
  <si>
    <t xml:space="preserve"> 中部飼</t>
  </si>
  <si>
    <t xml:space="preserve"> ジェイテック</t>
  </si>
  <si>
    <t xml:space="preserve"> ホットマン</t>
  </si>
  <si>
    <t xml:space="preserve"> アスコット</t>
  </si>
  <si>
    <t xml:space="preserve"> ＶＥＧＡ</t>
  </si>
  <si>
    <t xml:space="preserve"> アバント</t>
  </si>
  <si>
    <t xml:space="preserve"> Ｓシャワー</t>
  </si>
  <si>
    <t xml:space="preserve"> ヨシコン</t>
  </si>
  <si>
    <t xml:space="preserve"> 合同鉄</t>
  </si>
  <si>
    <t xml:space="preserve"> 西電機</t>
  </si>
  <si>
    <t xml:space="preserve"> グローキッズ</t>
  </si>
  <si>
    <t xml:space="preserve"> 加地テック</t>
  </si>
  <si>
    <t xml:space="preserve"> アクモス</t>
  </si>
  <si>
    <t xml:space="preserve"> 双信電</t>
  </si>
  <si>
    <t xml:space="preserve"> サノヤスHD</t>
  </si>
  <si>
    <t xml:space="preserve"> ＴＤＳＥ</t>
  </si>
  <si>
    <t xml:space="preserve"> アストマックス</t>
  </si>
  <si>
    <t xml:space="preserve"> アイペット</t>
  </si>
  <si>
    <t xml:space="preserve"> プロルート</t>
  </si>
  <si>
    <t xml:space="preserve"> 山合銀</t>
  </si>
  <si>
    <t xml:space="preserve"> スパークス G</t>
  </si>
  <si>
    <t xml:space="preserve"> APAMAN</t>
  </si>
  <si>
    <t xml:space="preserve"> グロームHD</t>
  </si>
  <si>
    <t xml:space="preserve"> ユナイテド海</t>
  </si>
  <si>
    <t xml:space="preserve"> アイドマMC</t>
  </si>
  <si>
    <t xml:space="preserve"> JEUGIA</t>
  </si>
  <si>
    <t xml:space="preserve"> イエローハット</t>
  </si>
  <si>
    <t xml:space="preserve"> 積化成</t>
  </si>
  <si>
    <t xml:space="preserve"> 東ソー</t>
  </si>
  <si>
    <t xml:space="preserve"> 塩野義</t>
  </si>
  <si>
    <t xml:space="preserve"> 大和工</t>
  </si>
  <si>
    <t xml:space="preserve"> 三菱電</t>
  </si>
  <si>
    <t xml:space="preserve"> ニフコ</t>
  </si>
  <si>
    <t xml:space="preserve"> サンゲツ</t>
  </si>
  <si>
    <t xml:space="preserve"> 愛媛銀</t>
  </si>
  <si>
    <t xml:space="preserve"> 麻生フオーム</t>
  </si>
  <si>
    <t xml:space="preserve"> プリマハム</t>
  </si>
  <si>
    <t xml:space="preserve"> バイタルKSK</t>
  </si>
  <si>
    <t xml:space="preserve"> カーリットHD</t>
  </si>
  <si>
    <t xml:space="preserve"> ダイイチ</t>
  </si>
  <si>
    <t xml:space="preserve"> ユアサフナ</t>
  </si>
  <si>
    <t xml:space="preserve"> フルサト</t>
  </si>
  <si>
    <t xml:space="preserve"> 東陽テク</t>
  </si>
  <si>
    <t xml:space="preserve"> 紀陽銀行</t>
  </si>
  <si>
    <t xml:space="preserve"> マルハニチロ</t>
  </si>
  <si>
    <t xml:space="preserve"> ミサワ中国</t>
  </si>
  <si>
    <t xml:space="preserve"> 寿スピリッツ</t>
  </si>
  <si>
    <t xml:space="preserve"> シミックHD</t>
  </si>
  <si>
    <t xml:space="preserve"> 手間イラズ</t>
  </si>
  <si>
    <t xml:space="preserve"> ジョイ本田</t>
  </si>
  <si>
    <t xml:space="preserve"> グリー</t>
  </si>
  <si>
    <t xml:space="preserve"> ＣＥＨＤ</t>
  </si>
  <si>
    <t xml:space="preserve"> アンジェス</t>
  </si>
  <si>
    <t xml:space="preserve"> 東計電算</t>
  </si>
  <si>
    <t xml:space="preserve"> 日ダイナミク</t>
  </si>
  <si>
    <t xml:space="preserve"> オリコン</t>
  </si>
  <si>
    <t xml:space="preserve"> コニカミノルタ</t>
  </si>
  <si>
    <t xml:space="preserve"> ＪＣＵ</t>
  </si>
  <si>
    <t xml:space="preserve"> 昭電線HD</t>
  </si>
  <si>
    <t xml:space="preserve"> アルインコ</t>
  </si>
  <si>
    <t xml:space="preserve"> インターワークス</t>
  </si>
  <si>
    <t xml:space="preserve"> Ｅ　Ｇ</t>
  </si>
  <si>
    <t xml:space="preserve"> ニチダイ</t>
  </si>
  <si>
    <t xml:space="preserve"> イーグル</t>
  </si>
  <si>
    <t xml:space="preserve"> ＩＤＥＣ</t>
  </si>
  <si>
    <t xml:space="preserve"> パナソニック</t>
  </si>
  <si>
    <t xml:space="preserve"> ＴＯＡ</t>
  </si>
  <si>
    <t xml:space="preserve"> 日光電</t>
  </si>
  <si>
    <t xml:space="preserve"> 岩崎電</t>
  </si>
  <si>
    <t xml:space="preserve"> 日アンテナ</t>
  </si>
  <si>
    <t xml:space="preserve"> 村田製</t>
  </si>
  <si>
    <t xml:space="preserve"> 日立造</t>
  </si>
  <si>
    <t xml:space="preserve"> 内海造</t>
  </si>
  <si>
    <t xml:space="preserve"> ＧＭＢ</t>
  </si>
  <si>
    <t xml:space="preserve"> ティラド</t>
  </si>
  <si>
    <t xml:space="preserve"> ＮＯＫ</t>
  </si>
  <si>
    <t xml:space="preserve"> 東北化学</t>
  </si>
  <si>
    <t xml:space="preserve"> シモジマ</t>
  </si>
  <si>
    <t xml:space="preserve"> 京都友禅</t>
  </si>
  <si>
    <t xml:space="preserve"> リーガル</t>
  </si>
  <si>
    <t xml:space="preserve"> GSIクレオス</t>
  </si>
  <si>
    <t xml:space="preserve"> 東邦ＨＤ</t>
  </si>
  <si>
    <t xml:space="preserve"> 山形銀</t>
  </si>
  <si>
    <t xml:space="preserve"> 福井銀</t>
  </si>
  <si>
    <t xml:space="preserve"> 百十四</t>
  </si>
  <si>
    <t xml:space="preserve"> オリックス</t>
  </si>
  <si>
    <t xml:space="preserve"> 日神GHD</t>
  </si>
  <si>
    <t xml:space="preserve"> 神電鉄</t>
  </si>
  <si>
    <t xml:space="preserve"> エムティーアイ</t>
  </si>
  <si>
    <t xml:space="preserve"> 三協フロン</t>
  </si>
  <si>
    <t xml:space="preserve"> ＤＴＳ</t>
  </si>
  <si>
    <t xml:space="preserve"> 日　伝</t>
  </si>
  <si>
    <t xml:space="preserve"> ヨンキュウ</t>
  </si>
  <si>
    <t xml:space="preserve"> 日本ラッド</t>
  </si>
  <si>
    <t xml:space="preserve"> シグマクシス</t>
  </si>
  <si>
    <t xml:space="preserve"> FJ ネクスト</t>
  </si>
  <si>
    <t xml:space="preserve"> いであ</t>
  </si>
  <si>
    <t xml:space="preserve"> 日水薬</t>
  </si>
  <si>
    <t xml:space="preserve"> T&amp;KTOKA</t>
  </si>
  <si>
    <t xml:space="preserve"> NCS&amp;A</t>
  </si>
  <si>
    <t xml:space="preserve"> タカラスタン</t>
  </si>
  <si>
    <t xml:space="preserve"> 内外綿</t>
  </si>
  <si>
    <t xml:space="preserve"> OCHI・HD</t>
  </si>
  <si>
    <t xml:space="preserve"> 大正薬HD</t>
  </si>
  <si>
    <t xml:space="preserve"> 千代建</t>
  </si>
  <si>
    <t xml:space="preserve"> ＣＴＣ</t>
  </si>
  <si>
    <t xml:space="preserve"> トピー</t>
  </si>
  <si>
    <t xml:space="preserve"> ＨＯＹＡ</t>
  </si>
  <si>
    <t xml:space="preserve"> 佐藤商</t>
  </si>
  <si>
    <t xml:space="preserve"> 三井倉HD</t>
  </si>
  <si>
    <t xml:space="preserve"> タキロンシーアイ</t>
  </si>
  <si>
    <t xml:space="preserve"> テクノクオーツ</t>
  </si>
  <si>
    <t xml:space="preserve"> サンユウ</t>
  </si>
  <si>
    <t xml:space="preserve"> 大崎電</t>
  </si>
  <si>
    <t xml:space="preserve"> 大  水</t>
  </si>
  <si>
    <t xml:space="preserve"> ジーエル</t>
  </si>
  <si>
    <t xml:space="preserve"> 三井物</t>
  </si>
  <si>
    <t>" 34</t>
  </si>
  <si>
    <t xml:space="preserve"> 第一実</t>
  </si>
  <si>
    <t xml:space="preserve"> ユアサ商</t>
  </si>
  <si>
    <t xml:space="preserve"> いなげや</t>
  </si>
  <si>
    <t xml:space="preserve"> 東邦銀</t>
  </si>
  <si>
    <t xml:space="preserve"> トマト銀</t>
  </si>
  <si>
    <t xml:space="preserve"> 相鉄ＨＤ</t>
  </si>
  <si>
    <t xml:space="preserve"> 日管財</t>
  </si>
  <si>
    <t xml:space="preserve"> 英  和</t>
  </si>
  <si>
    <t xml:space="preserve"> 第一建設</t>
  </si>
  <si>
    <t xml:space="preserve"> 東洋糖</t>
  </si>
  <si>
    <t xml:space="preserve"> アドウェイズ</t>
  </si>
  <si>
    <t xml:space="preserve"> エディオン</t>
  </si>
  <si>
    <t xml:space="preserve"> ミューチュアル</t>
  </si>
  <si>
    <t xml:space="preserve"> ダイショー</t>
  </si>
  <si>
    <t xml:space="preserve"> ミヤコ</t>
  </si>
  <si>
    <t xml:space="preserve"> セーレン</t>
  </si>
  <si>
    <t xml:space="preserve"> 小松マテーレ</t>
  </si>
  <si>
    <t xml:space="preserve"> リスクモンスター</t>
  </si>
  <si>
    <t xml:space="preserve"> ハビックス</t>
  </si>
  <si>
    <t xml:space="preserve"> エムケイシステム</t>
  </si>
  <si>
    <t xml:space="preserve"> 日曹達</t>
  </si>
  <si>
    <t xml:space="preserve"> 伊勢化</t>
  </si>
  <si>
    <t xml:space="preserve"> 宇部興</t>
  </si>
  <si>
    <t xml:space="preserve"> セプテーニHD</t>
  </si>
  <si>
    <t xml:space="preserve"> ビーマップ</t>
  </si>
  <si>
    <t xml:space="preserve"> ソフト99</t>
  </si>
  <si>
    <t>" 69</t>
  </si>
  <si>
    <t xml:space="preserve"> ワカモト</t>
  </si>
  <si>
    <t xml:space="preserve"> 参天薬</t>
  </si>
  <si>
    <t xml:space="preserve"> ＧＴＳ</t>
  </si>
  <si>
    <t xml:space="preserve"> 中山鋼</t>
  </si>
  <si>
    <t xml:space="preserve"> 高周波</t>
  </si>
  <si>
    <t xml:space="preserve"> ブラザー</t>
  </si>
  <si>
    <t xml:space="preserve"> アイホン</t>
  </si>
  <si>
    <t xml:space="preserve"> ソニー</t>
  </si>
  <si>
    <t xml:space="preserve"> 横河電</t>
  </si>
  <si>
    <t xml:space="preserve"> ローム</t>
  </si>
  <si>
    <t xml:space="preserve"> GMOFHD</t>
  </si>
  <si>
    <t xml:space="preserve"> タツミ</t>
  </si>
  <si>
    <t xml:space="preserve"> ムサシ</t>
  </si>
  <si>
    <t xml:space="preserve"> ワークマン</t>
  </si>
  <si>
    <t xml:space="preserve"> サンメッセ</t>
  </si>
  <si>
    <t xml:space="preserve"> 松　風</t>
  </si>
  <si>
    <t xml:space="preserve"> スターゼン</t>
  </si>
  <si>
    <t xml:space="preserve"> 日ユニシス</t>
  </si>
  <si>
    <t xml:space="preserve"> ナラサキ</t>
  </si>
  <si>
    <t xml:space="preserve"> 群馬銀</t>
  </si>
  <si>
    <t xml:space="preserve"> 広島銀</t>
  </si>
  <si>
    <t xml:space="preserve"> 中京銀</t>
  </si>
  <si>
    <t xml:space="preserve"> 青山財産</t>
  </si>
  <si>
    <t xml:space="preserve"> クロップス</t>
  </si>
  <si>
    <t xml:space="preserve"> ＵＥＸ</t>
  </si>
  <si>
    <t xml:space="preserve"> マキヤ</t>
  </si>
  <si>
    <t xml:space="preserve"> ミライトHD</t>
  </si>
  <si>
    <t xml:space="preserve"> 大末建</t>
  </si>
  <si>
    <t xml:space="preserve"> 東京エネシス</t>
  </si>
  <si>
    <t xml:space="preserve"> 塩水糖</t>
  </si>
  <si>
    <t xml:space="preserve"> システナ</t>
  </si>
  <si>
    <t xml:space="preserve"> タイガポリ</t>
  </si>
  <si>
    <t xml:space="preserve"> ＥＰＳ</t>
  </si>
  <si>
    <t xml:space="preserve"> ＴＡＣ</t>
  </si>
  <si>
    <t xml:space="preserve"> 三洋化</t>
  </si>
  <si>
    <t xml:space="preserve"> 田辺三菱</t>
  </si>
  <si>
    <t xml:space="preserve"> ゼリア新薬</t>
  </si>
  <si>
    <t xml:space="preserve"> クレスコ</t>
  </si>
  <si>
    <t xml:space="preserve"> TDCソフト</t>
  </si>
  <si>
    <t xml:space="preserve"> オーデリック</t>
  </si>
  <si>
    <t xml:space="preserve"> イリソ電子</t>
  </si>
  <si>
    <t xml:space="preserve"> ＮＫＫ</t>
  </si>
  <si>
    <t xml:space="preserve"> 日ガス</t>
  </si>
  <si>
    <t xml:space="preserve"> 三菱UFJ</t>
  </si>
  <si>
    <t xml:space="preserve"> カカクコム</t>
  </si>
  <si>
    <t xml:space="preserve"> フジミインコ</t>
  </si>
  <si>
    <t xml:space="preserve"> 北越メタル</t>
  </si>
  <si>
    <t xml:space="preserve"> ジェイリース</t>
  </si>
  <si>
    <t xml:space="preserve"> ケーヒン</t>
  </si>
  <si>
    <t xml:space="preserve"> アクシアル</t>
  </si>
  <si>
    <t xml:space="preserve"> アーク</t>
  </si>
  <si>
    <t xml:space="preserve"> 丸　紅</t>
  </si>
  <si>
    <t xml:space="preserve"> セガサミーHD</t>
  </si>
  <si>
    <t xml:space="preserve"> 日　水</t>
  </si>
  <si>
    <t xml:space="preserve"> ジャパンF</t>
  </si>
  <si>
    <t xml:space="preserve"> レンゴー</t>
  </si>
  <si>
    <t xml:space="preserve"> ダイセル</t>
  </si>
  <si>
    <t xml:space="preserve"> 日精鉱</t>
  </si>
  <si>
    <t xml:space="preserve"> SHINPO</t>
  </si>
  <si>
    <t xml:space="preserve"> ユーシン精機</t>
  </si>
  <si>
    <t xml:space="preserve"> SUBARU</t>
  </si>
  <si>
    <t xml:space="preserve"> 紙パル商</t>
  </si>
  <si>
    <t xml:space="preserve"> 岩谷産</t>
  </si>
  <si>
    <t xml:space="preserve"> 日立キャピ</t>
  </si>
  <si>
    <t xml:space="preserve"> 遠州トラック</t>
  </si>
  <si>
    <t xml:space="preserve"> 住友倉</t>
  </si>
  <si>
    <t xml:space="preserve"> 三菱ガス</t>
  </si>
  <si>
    <t xml:space="preserve"> キョーリンHD</t>
  </si>
  <si>
    <t xml:space="preserve"> 文化シヤタ</t>
  </si>
  <si>
    <t xml:space="preserve"> 不二サッシ</t>
  </si>
  <si>
    <t xml:space="preserve"> ＫＴＣ</t>
  </si>
  <si>
    <t xml:space="preserve"> 能美防</t>
  </si>
  <si>
    <t xml:space="preserve"> 古河池</t>
  </si>
  <si>
    <t xml:space="preserve"> 三菱商</t>
  </si>
  <si>
    <t xml:space="preserve"> ＪＡＭ</t>
  </si>
  <si>
    <t xml:space="preserve"> 日比谷</t>
  </si>
  <si>
    <t xml:space="preserve"> ヒップ</t>
  </si>
  <si>
    <t xml:space="preserve"> カルビー</t>
  </si>
  <si>
    <t xml:space="preserve"> 伊藤米久</t>
  </si>
  <si>
    <t xml:space="preserve"> ＤｅＮＡ</t>
  </si>
  <si>
    <t xml:space="preserve"> ぐるなび</t>
  </si>
  <si>
    <t xml:space="preserve"> フュートレック</t>
  </si>
  <si>
    <t xml:space="preserve"> グンゼ</t>
  </si>
  <si>
    <t xml:space="preserve"> クオールHD</t>
  </si>
  <si>
    <t xml:space="preserve"> 三交GHD</t>
  </si>
  <si>
    <t xml:space="preserve"> BEENOS</t>
  </si>
  <si>
    <t xml:space="preserve"> サンマルクHD</t>
  </si>
  <si>
    <t xml:space="preserve"> エスイー</t>
  </si>
  <si>
    <t xml:space="preserve"> 共和レザ</t>
  </si>
  <si>
    <t xml:space="preserve"> GMOペパ</t>
  </si>
  <si>
    <t xml:space="preserve"> コロプラ</t>
  </si>
  <si>
    <t xml:space="preserve"> 豆　蔵</t>
  </si>
  <si>
    <t xml:space="preserve"> 住精化</t>
  </si>
  <si>
    <t xml:space="preserve"> スガイ化</t>
  </si>
  <si>
    <t xml:space="preserve"> 協和キリン</t>
  </si>
  <si>
    <t xml:space="preserve"> セコム上信</t>
  </si>
  <si>
    <t xml:space="preserve"> 応用技術</t>
  </si>
  <si>
    <t xml:space="preserve"> フジHD</t>
  </si>
  <si>
    <t xml:space="preserve"> インテリW</t>
  </si>
  <si>
    <t xml:space="preserve"> 綜研化学</t>
  </si>
  <si>
    <t xml:space="preserve"> ＡＧＣ</t>
  </si>
  <si>
    <t xml:space="preserve"> ノリタケ</t>
  </si>
  <si>
    <t xml:space="preserve"> イソライト</t>
  </si>
  <si>
    <t xml:space="preserve"> 冶金工</t>
  </si>
  <si>
    <t xml:space="preserve"> ＵＡＣＪ</t>
  </si>
  <si>
    <t xml:space="preserve"> 古河電</t>
  </si>
  <si>
    <t xml:space="preserve"> 住友電</t>
  </si>
  <si>
    <t xml:space="preserve"> フジクラ</t>
  </si>
  <si>
    <t xml:space="preserve"> 平河ヒューテ</t>
  </si>
  <si>
    <t xml:space="preserve"> ニッパツ</t>
  </si>
  <si>
    <t xml:space="preserve"> JPNエンジン</t>
  </si>
  <si>
    <t xml:space="preserve"> リンクバル</t>
  </si>
  <si>
    <t xml:space="preserve"> アサンテ</t>
  </si>
  <si>
    <t xml:space="preserve"> ソラスト</t>
  </si>
  <si>
    <t xml:space="preserve"> 豊和工</t>
  </si>
  <si>
    <t xml:space="preserve"> ＯＫＫ</t>
  </si>
  <si>
    <t xml:space="preserve"> 三井海洋</t>
  </si>
  <si>
    <t xml:space="preserve"> 神鋼環境</t>
  </si>
  <si>
    <t xml:space="preserve"> サンセイ</t>
  </si>
  <si>
    <t xml:space="preserve"> ミネベアミツミ</t>
  </si>
  <si>
    <t xml:space="preserve"> MS-Japan</t>
  </si>
  <si>
    <t xml:space="preserve"> アズビル</t>
  </si>
  <si>
    <t xml:space="preserve"> シスメックス</t>
  </si>
  <si>
    <t xml:space="preserve"> ニチコン</t>
  </si>
  <si>
    <t xml:space="preserve"> フレアス</t>
  </si>
  <si>
    <t xml:space="preserve"> コンコルディア</t>
  </si>
  <si>
    <t xml:space="preserve"> マツダ</t>
  </si>
  <si>
    <t xml:space="preserve"> ミツバ</t>
  </si>
  <si>
    <t xml:space="preserve"> 三菱食品</t>
  </si>
  <si>
    <t xml:space="preserve"> オーハシテクニカ</t>
  </si>
  <si>
    <t xml:space="preserve"> パラベッド</t>
  </si>
  <si>
    <t xml:space="preserve"> アートネイチャー</t>
  </si>
  <si>
    <t xml:space="preserve"> セ　キ</t>
  </si>
  <si>
    <t xml:space="preserve"> ニッピ</t>
  </si>
  <si>
    <t xml:space="preserve"> マミヤOP</t>
  </si>
  <si>
    <t xml:space="preserve"> オカムラ</t>
  </si>
  <si>
    <t xml:space="preserve"> 三栄コポ</t>
  </si>
  <si>
    <t xml:space="preserve"> 電響社</t>
  </si>
  <si>
    <t xml:space="preserve"> ソーダニッカ</t>
  </si>
  <si>
    <t xml:space="preserve"> はせがわ</t>
  </si>
  <si>
    <t xml:space="preserve"> 武蔵銀</t>
  </si>
  <si>
    <t xml:space="preserve"> 千葉興</t>
  </si>
  <si>
    <t xml:space="preserve"> 筑波銀行</t>
  </si>
  <si>
    <t xml:space="preserve"> ふくおか</t>
  </si>
  <si>
    <t xml:space="preserve"> 東建物</t>
  </si>
  <si>
    <t xml:space="preserve"> ランビジネス</t>
  </si>
  <si>
    <t xml:space="preserve"> 富士急</t>
  </si>
  <si>
    <t xml:space="preserve"> 京阪ＨＤ</t>
  </si>
  <si>
    <t xml:space="preserve"> 福山運</t>
  </si>
  <si>
    <t xml:space="preserve"> パスコ</t>
  </si>
  <si>
    <t xml:space="preserve"> スカパーJ</t>
  </si>
  <si>
    <t xml:space="preserve"> テレ東HD</t>
  </si>
  <si>
    <t xml:space="preserve"> レノバ</t>
  </si>
  <si>
    <t xml:space="preserve"> イチネンHD</t>
  </si>
  <si>
    <t xml:space="preserve"> サコス</t>
  </si>
  <si>
    <t xml:space="preserve"> クレオ</t>
  </si>
  <si>
    <t xml:space="preserve"> 西尾レント</t>
  </si>
  <si>
    <t xml:space="preserve"> 丸紅リース</t>
  </si>
  <si>
    <t xml:space="preserve"> ココス</t>
  </si>
  <si>
    <t xml:space="preserve"> スズケン</t>
  </si>
  <si>
    <t xml:space="preserve"> ＢＲＨＤ</t>
  </si>
  <si>
    <t xml:space="preserve"> サンテック</t>
  </si>
  <si>
    <t xml:space="preserve"> ケアサービス</t>
  </si>
  <si>
    <t xml:space="preserve"> ヒラキ</t>
  </si>
  <si>
    <t xml:space="preserve"> 三菱総研</t>
  </si>
  <si>
    <t xml:space="preserve"> イビデン</t>
  </si>
  <si>
    <t xml:space="preserve"> 中京医薬</t>
  </si>
  <si>
    <t xml:space="preserve"> こころNT</t>
  </si>
  <si>
    <t xml:space="preserve"> ミツウロコGHD</t>
  </si>
  <si>
    <t xml:space="preserve"> 京福電</t>
  </si>
  <si>
    <t xml:space="preserve"> 丸　運</t>
  </si>
  <si>
    <t xml:space="preserve"> 共栄タ</t>
  </si>
  <si>
    <t xml:space="preserve"> 空港ビル</t>
  </si>
  <si>
    <t xml:space="preserve"> ＴＫＣ</t>
  </si>
  <si>
    <t xml:space="preserve"> ミロク情報</t>
  </si>
  <si>
    <t xml:space="preserve"> 情報企画</t>
  </si>
  <si>
    <t xml:space="preserve"> サイオス</t>
  </si>
  <si>
    <t xml:space="preserve"> ソーシャルワイヤ</t>
  </si>
  <si>
    <t xml:space="preserve"> フューチャー</t>
  </si>
  <si>
    <t xml:space="preserve"> パラカ</t>
  </si>
  <si>
    <t xml:space="preserve"> IMAGICAG</t>
  </si>
  <si>
    <t xml:space="preserve"> 日本ユピカ</t>
  </si>
  <si>
    <t xml:space="preserve"> 兼  松</t>
  </si>
  <si>
    <t xml:space="preserve"> 名　銀</t>
  </si>
  <si>
    <t xml:space="preserve"> スクエニHD</t>
  </si>
  <si>
    <t xml:space="preserve"> 08:00</t>
  </si>
  <si>
    <t xml:space="preserve"> 西松建</t>
  </si>
  <si>
    <t xml:space="preserve"> Ａ＆Ｔ</t>
  </si>
  <si>
    <t xml:space="preserve"> 川　重</t>
  </si>
  <si>
    <t xml:space="preserve"> ケーユーHD</t>
  </si>
  <si>
    <t xml:space="preserve"> ルツボ</t>
  </si>
  <si>
    <t xml:space="preserve"> 上新電</t>
  </si>
  <si>
    <t xml:space="preserve"> 三菱ケミHD</t>
  </si>
  <si>
    <t xml:space="preserve"> サイバネット</t>
  </si>
  <si>
    <t xml:space="preserve"> イサム塗</t>
  </si>
  <si>
    <t xml:space="preserve"> ＴＯＷ</t>
  </si>
  <si>
    <t xml:space="preserve"> 明星電</t>
  </si>
  <si>
    <t xml:space="preserve"> 三菱ロジ</t>
  </si>
  <si>
    <t xml:space="preserve"> カメイ</t>
  </si>
  <si>
    <t xml:space="preserve"> 東都水</t>
  </si>
  <si>
    <t xml:space="preserve"> 琉球銀</t>
  </si>
  <si>
    <t xml:space="preserve"> バローHD</t>
  </si>
  <si>
    <t xml:space="preserve"> テクノ菱和</t>
  </si>
  <si>
    <t xml:space="preserve"> 森永乳</t>
  </si>
  <si>
    <t xml:space="preserve"> 明治ＨＤ</t>
  </si>
  <si>
    <t xml:space="preserve"> サイボー</t>
  </si>
  <si>
    <t xml:space="preserve"> ロンシル工</t>
  </si>
  <si>
    <t xml:space="preserve"> 東邦化</t>
  </si>
  <si>
    <t xml:space="preserve"> 三洋工</t>
  </si>
  <si>
    <t xml:space="preserve"> 前田製</t>
  </si>
  <si>
    <t xml:space="preserve"> 鶴見製</t>
  </si>
  <si>
    <t xml:space="preserve"> オルガノ</t>
  </si>
  <si>
    <t xml:space="preserve"> フジテック</t>
  </si>
  <si>
    <t xml:space="preserve"> 森尾電</t>
  </si>
  <si>
    <t xml:space="preserve"> 小野建</t>
  </si>
  <si>
    <t xml:space="preserve"> 高　島</t>
  </si>
  <si>
    <t xml:space="preserve"> ニプロ</t>
  </si>
  <si>
    <t xml:space="preserve"> フジトミ</t>
  </si>
  <si>
    <t xml:space="preserve"> 東陽倉</t>
  </si>
  <si>
    <t xml:space="preserve"> 堺商事</t>
  </si>
  <si>
    <t xml:space="preserve"> ホーブ</t>
  </si>
  <si>
    <t xml:space="preserve"> サンヨーH</t>
  </si>
  <si>
    <t xml:space="preserve"> ナカボーテック</t>
  </si>
  <si>
    <t xml:space="preserve"> ETS HD</t>
  </si>
  <si>
    <t xml:space="preserve"> 浅沼組</t>
  </si>
  <si>
    <t xml:space="preserve"> 矢作建</t>
  </si>
  <si>
    <t xml:space="preserve"> 高田工</t>
  </si>
  <si>
    <t xml:space="preserve"> ダイダン</t>
  </si>
  <si>
    <t xml:space="preserve"> 協和日成</t>
  </si>
  <si>
    <t xml:space="preserve"> 日本粉</t>
  </si>
  <si>
    <t xml:space="preserve"> 昭和産</t>
  </si>
  <si>
    <t xml:space="preserve"> 鳥越粉</t>
  </si>
  <si>
    <t xml:space="preserve"> フィード・ワン</t>
  </si>
  <si>
    <t xml:space="preserve"> UT GROUP</t>
  </si>
  <si>
    <t xml:space="preserve"> ＭＤＮＴ</t>
  </si>
  <si>
    <t xml:space="preserve"> タカミヤ</t>
  </si>
  <si>
    <t xml:space="preserve"> ティア</t>
  </si>
  <si>
    <t xml:space="preserve"> Ｊオイル</t>
  </si>
  <si>
    <t xml:space="preserve"> 東葛ＨＤ</t>
  </si>
  <si>
    <t xml:space="preserve"> オーケー食</t>
  </si>
  <si>
    <t xml:space="preserve"> バナーズ</t>
  </si>
  <si>
    <t xml:space="preserve"> メディアスHD</t>
  </si>
  <si>
    <t xml:space="preserve"> チムニー</t>
  </si>
  <si>
    <t xml:space="preserve"> シュッピン</t>
  </si>
  <si>
    <t xml:space="preserve"> ダイトウボウ</t>
  </si>
  <si>
    <t xml:space="preserve"> イントランス</t>
  </si>
  <si>
    <t xml:space="preserve"> 大木ヘルケア</t>
  </si>
  <si>
    <t xml:space="preserve"> スシローGHD</t>
  </si>
  <si>
    <t xml:space="preserve"> ボルテージ</t>
  </si>
  <si>
    <t xml:space="preserve"> GMOリサーチ</t>
  </si>
  <si>
    <t xml:space="preserve"> ティーガイア</t>
  </si>
  <si>
    <t xml:space="preserve"> 朝日ネット</t>
  </si>
  <si>
    <t xml:space="preserve"> PCIHD</t>
  </si>
  <si>
    <t xml:space="preserve"> PAXXS</t>
  </si>
  <si>
    <t xml:space="preserve"> クレハ</t>
  </si>
  <si>
    <t xml:space="preserve"> メディカルシス</t>
  </si>
  <si>
    <t xml:space="preserve"> Amazia</t>
  </si>
  <si>
    <t xml:space="preserve"> ミンカブ</t>
  </si>
  <si>
    <t xml:space="preserve"> テルモ</t>
  </si>
  <si>
    <t>" 29</t>
  </si>
  <si>
    <t xml:space="preserve"> シンバイオ</t>
  </si>
  <si>
    <t xml:space="preserve"> 秀　英</t>
  </si>
  <si>
    <t xml:space="preserve"> 日パレット</t>
  </si>
  <si>
    <t xml:space="preserve"> エルミック</t>
  </si>
  <si>
    <t xml:space="preserve"> 山田コンサル</t>
  </si>
  <si>
    <t xml:space="preserve"> ビーエンジ</t>
  </si>
  <si>
    <t xml:space="preserve"> 富士フイルム</t>
  </si>
  <si>
    <t>" 30</t>
  </si>
  <si>
    <t xml:space="preserve"> 資生堂</t>
  </si>
  <si>
    <t xml:space="preserve"> SDSバイオ</t>
  </si>
  <si>
    <t xml:space="preserve"> ニチレキ</t>
  </si>
  <si>
    <t xml:space="preserve"> 不二ラテ</t>
  </si>
  <si>
    <t xml:space="preserve"> 品川リフラ</t>
  </si>
  <si>
    <t xml:space="preserve"> 動物高医</t>
  </si>
  <si>
    <t xml:space="preserve"> 旭ダイヤ</t>
  </si>
  <si>
    <t xml:space="preserve"> ブランジスタ</t>
  </si>
  <si>
    <t xml:space="preserve"> 横田製作</t>
  </si>
  <si>
    <t xml:space="preserve"> GCジョイコH</t>
  </si>
  <si>
    <t xml:space="preserve"> ＴＯＷＡ</t>
  </si>
  <si>
    <t xml:space="preserve"> 椿本チ</t>
  </si>
  <si>
    <t xml:space="preserve"> レイズネクスト</t>
  </si>
  <si>
    <t xml:space="preserve"> 中野冷</t>
  </si>
  <si>
    <t xml:space="preserve"> 日ピラー</t>
  </si>
  <si>
    <t xml:space="preserve"> グレイス</t>
  </si>
  <si>
    <t xml:space="preserve"> 東芝テック</t>
  </si>
  <si>
    <t xml:space="preserve"> 芝浦メカ</t>
  </si>
  <si>
    <t xml:space="preserve"> コンテック</t>
  </si>
  <si>
    <t xml:space="preserve"> 戸上電</t>
  </si>
  <si>
    <t xml:space="preserve"> GSユアサ</t>
  </si>
  <si>
    <t xml:space="preserve"> サンケン電</t>
  </si>
  <si>
    <t xml:space="preserve"> エレコム</t>
  </si>
  <si>
    <t xml:space="preserve"> 池上通</t>
  </si>
  <si>
    <t xml:space="preserve"> メイコー</t>
  </si>
  <si>
    <t xml:space="preserve"> 協立電機</t>
  </si>
  <si>
    <t xml:space="preserve"> 図　研</t>
  </si>
  <si>
    <t xml:space="preserve"> ＩＨＩ</t>
  </si>
  <si>
    <t xml:space="preserve"> ツクイスタッフ</t>
  </si>
  <si>
    <t xml:space="preserve"> エフテック</t>
  </si>
  <si>
    <t xml:space="preserve"> 第四北越</t>
  </si>
  <si>
    <t xml:space="preserve"> コンドーテック</t>
  </si>
  <si>
    <t xml:space="preserve"> ゼンショーHD</t>
  </si>
  <si>
    <t xml:space="preserve"> Ｕアローズ</t>
  </si>
  <si>
    <t xml:space="preserve"> ダイトロン</t>
  </si>
  <si>
    <t xml:space="preserve"> 島津製</t>
  </si>
  <si>
    <t xml:space="preserve"> 助川電</t>
  </si>
  <si>
    <t xml:space="preserve"> ニコン</t>
  </si>
  <si>
    <t xml:space="preserve"> オリンパス</t>
  </si>
  <si>
    <t xml:space="preserve"> Ａ＆Ｄ</t>
  </si>
  <si>
    <t xml:space="preserve"> ホロン</t>
  </si>
  <si>
    <t xml:space="preserve"> フジシール</t>
  </si>
  <si>
    <t xml:space="preserve"> 南海プライ</t>
  </si>
  <si>
    <t xml:space="preserve"> ヤマハ</t>
  </si>
  <si>
    <t xml:space="preserve"> クリナップ</t>
  </si>
  <si>
    <t xml:space="preserve"> 重松製</t>
  </si>
  <si>
    <t xml:space="preserve"> デサント</t>
  </si>
  <si>
    <t xml:space="preserve"> 加賀電</t>
  </si>
  <si>
    <t xml:space="preserve"> AOKI HD</t>
  </si>
  <si>
    <t xml:space="preserve"> ケーズHD</t>
  </si>
  <si>
    <t xml:space="preserve"> 百五銀</t>
  </si>
  <si>
    <t xml:space="preserve"> 東センチュリー</t>
  </si>
  <si>
    <t xml:space="preserve"> 愛知銀</t>
  </si>
  <si>
    <t xml:space="preserve"> 九州リース</t>
  </si>
  <si>
    <t xml:space="preserve"> ＡＲＭ</t>
  </si>
  <si>
    <t xml:space="preserve"> カチタス</t>
  </si>
  <si>
    <t xml:space="preserve"> 東部ネット</t>
  </si>
  <si>
    <t xml:space="preserve"> 山陽電</t>
  </si>
  <si>
    <t xml:space="preserve"> 日　新</t>
  </si>
  <si>
    <t xml:space="preserve"> 神奈交</t>
  </si>
  <si>
    <t xml:space="preserve"> ＴＢＳHD</t>
  </si>
  <si>
    <t xml:space="preserve"> 日テレHD</t>
  </si>
  <si>
    <t xml:space="preserve"> セコム</t>
  </si>
  <si>
    <t xml:space="preserve"> ビステム</t>
  </si>
  <si>
    <t xml:space="preserve"> ルノアール</t>
  </si>
  <si>
    <t xml:space="preserve"> 明豊ファシリ</t>
  </si>
  <si>
    <t xml:space="preserve"> ライト工</t>
  </si>
  <si>
    <t xml:space="preserve"> SRAHD</t>
  </si>
  <si>
    <t xml:space="preserve"> Ubicom</t>
  </si>
  <si>
    <t xml:space="preserve"> 日本化</t>
  </si>
  <si>
    <t xml:space="preserve"> ネクシィーズG</t>
  </si>
  <si>
    <t xml:space="preserve"> 富士製薬</t>
  </si>
  <si>
    <t xml:space="preserve"> セントラルSP</t>
  </si>
  <si>
    <t xml:space="preserve"> 富士興</t>
  </si>
  <si>
    <t xml:space="preserve"> 有沢製</t>
  </si>
  <si>
    <t xml:space="preserve"> ヨータイ</t>
  </si>
  <si>
    <t xml:space="preserve"> パウダテク</t>
  </si>
  <si>
    <t xml:space="preserve"> 洋缶ＨＤ</t>
  </si>
  <si>
    <t xml:space="preserve"> 和井田</t>
  </si>
  <si>
    <t xml:space="preserve"> 水道機</t>
  </si>
  <si>
    <t xml:space="preserve"> サンデンHD</t>
  </si>
  <si>
    <t xml:space="preserve"> レック</t>
  </si>
  <si>
    <t xml:space="preserve"> ジャックス</t>
  </si>
  <si>
    <t xml:space="preserve"> 西　鉄</t>
  </si>
  <si>
    <t xml:space="preserve"> 燦ＨＤ</t>
  </si>
  <si>
    <t xml:space="preserve"> カナミックN</t>
  </si>
  <si>
    <t xml:space="preserve"> MSコンサル</t>
  </si>
  <si>
    <t xml:space="preserve"> ファルコム</t>
  </si>
  <si>
    <t xml:space="preserve"> ユニリタ</t>
  </si>
  <si>
    <t xml:space="preserve"> 菱製鋼</t>
  </si>
  <si>
    <t xml:space="preserve"> 神鋼線</t>
  </si>
  <si>
    <t xml:space="preserve"> ヤマハモーターロ</t>
  </si>
  <si>
    <t xml:space="preserve"> グローリー</t>
  </si>
  <si>
    <t xml:space="preserve"> スミダコーポ</t>
  </si>
  <si>
    <t xml:space="preserve"> トヨタ</t>
  </si>
  <si>
    <t xml:space="preserve"> サンフロンティア</t>
  </si>
  <si>
    <t xml:space="preserve"> 日石輸</t>
  </si>
  <si>
    <t xml:space="preserve"> 日本通信</t>
  </si>
  <si>
    <t xml:space="preserve"> 日化産</t>
  </si>
  <si>
    <t xml:space="preserve"> 極　洋</t>
  </si>
  <si>
    <t xml:space="preserve"> 金下建</t>
  </si>
  <si>
    <t xml:space="preserve"> 雪印メグ</t>
  </si>
  <si>
    <t xml:space="preserve"> ユニチカ</t>
  </si>
  <si>
    <t xml:space="preserve"> デンカ</t>
  </si>
  <si>
    <t xml:space="preserve"> プラコー</t>
  </si>
  <si>
    <t xml:space="preserve"> リックス</t>
  </si>
  <si>
    <t xml:space="preserve"> ＩＩＪ</t>
  </si>
  <si>
    <t xml:space="preserve"> 山田債権</t>
  </si>
  <si>
    <t xml:space="preserve"> コナカ</t>
  </si>
  <si>
    <t xml:space="preserve"> 沖縄銀</t>
  </si>
  <si>
    <t xml:space="preserve"> 三井エンジ</t>
  </si>
  <si>
    <t xml:space="preserve"> 松井建</t>
  </si>
  <si>
    <t xml:space="preserve"> エフティG</t>
  </si>
  <si>
    <t xml:space="preserve"> 和弘食</t>
  </si>
  <si>
    <t xml:space="preserve"> 東洋紡</t>
  </si>
  <si>
    <t xml:space="preserve"> クラボウ</t>
  </si>
  <si>
    <t xml:space="preserve"> 旭化成</t>
  </si>
  <si>
    <t xml:space="preserve"> 王子HD</t>
  </si>
  <si>
    <t xml:space="preserve"> 桜ゴム</t>
  </si>
  <si>
    <t xml:space="preserve"> 東京綱</t>
  </si>
  <si>
    <t xml:space="preserve"> ヤマダ</t>
  </si>
  <si>
    <t xml:space="preserve"> シンフォニア</t>
  </si>
  <si>
    <t xml:space="preserve"> フルテック</t>
  </si>
  <si>
    <t xml:space="preserve"> 大同メタ</t>
  </si>
  <si>
    <t xml:space="preserve"> 萩原電気</t>
  </si>
  <si>
    <t xml:space="preserve"> セブン銀行</t>
  </si>
  <si>
    <t xml:space="preserve"> 小田急</t>
  </si>
  <si>
    <t xml:space="preserve"> ヤマタネ</t>
  </si>
  <si>
    <t xml:space="preserve"> 中央経済</t>
  </si>
  <si>
    <t xml:space="preserve"> 佐田建</t>
  </si>
  <si>
    <t xml:space="preserve"> 植木組</t>
  </si>
  <si>
    <t xml:space="preserve"> ウイルプラスH</t>
  </si>
  <si>
    <t xml:space="preserve"> 堺化学</t>
  </si>
  <si>
    <t xml:space="preserve"> 大日塗</t>
  </si>
  <si>
    <t xml:space="preserve"> フォーカスS</t>
  </si>
  <si>
    <t xml:space="preserve"> ＢＭＬ</t>
  </si>
  <si>
    <t xml:space="preserve"> 西川ゴム</t>
  </si>
  <si>
    <t xml:space="preserve"> 古河機</t>
  </si>
  <si>
    <t xml:space="preserve"> アマテイ</t>
  </si>
  <si>
    <t xml:space="preserve"> モリテック</t>
  </si>
  <si>
    <t xml:space="preserve"> キクカワ</t>
  </si>
  <si>
    <t xml:space="preserve"> エスペック</t>
  </si>
  <si>
    <t xml:space="preserve"> プレス工</t>
  </si>
  <si>
    <t xml:space="preserve"> 日精機</t>
  </si>
  <si>
    <t xml:space="preserve"> ツツミ</t>
  </si>
  <si>
    <t xml:space="preserve"> 稲畑産</t>
  </si>
  <si>
    <t xml:space="preserve"> 中央自</t>
  </si>
  <si>
    <t xml:space="preserve"> 四国銀</t>
  </si>
  <si>
    <t xml:space="preserve"> 日証金</t>
  </si>
  <si>
    <t xml:space="preserve"> ニッコンHD</t>
  </si>
  <si>
    <t xml:space="preserve"> 栗林船</t>
  </si>
  <si>
    <t xml:space="preserve"> 渋沢倉</t>
  </si>
  <si>
    <t xml:space="preserve"> 昭文社</t>
  </si>
  <si>
    <t xml:space="preserve"> 北陸ガス</t>
  </si>
  <si>
    <t xml:space="preserve"> 東急建設</t>
  </si>
  <si>
    <t xml:space="preserve"> オーテック</t>
  </si>
  <si>
    <t xml:space="preserve"> 長谷工</t>
  </si>
  <si>
    <t xml:space="preserve"> 田辺工</t>
  </si>
  <si>
    <t xml:space="preserve"> ＰＳ三菱</t>
  </si>
  <si>
    <t xml:space="preserve"> 前田道</t>
  </si>
  <si>
    <t xml:space="preserve"> 東洋建</t>
  </si>
  <si>
    <t xml:space="preserve"> 世紀東</t>
  </si>
  <si>
    <t xml:space="preserve"> テノックス</t>
  </si>
  <si>
    <t xml:space="preserve"> 日特建</t>
  </si>
  <si>
    <t xml:space="preserve"> 朝日工</t>
  </si>
  <si>
    <t xml:space="preserve"> ミクシィ</t>
  </si>
  <si>
    <t xml:space="preserve"> 名糖産</t>
  </si>
  <si>
    <t xml:space="preserve"> 湖池屋</t>
  </si>
  <si>
    <t xml:space="preserve"> 六甲バタ</t>
  </si>
  <si>
    <t xml:space="preserve"> セントケアHD</t>
  </si>
  <si>
    <t xml:space="preserve"> サイネックス</t>
  </si>
  <si>
    <t xml:space="preserve"> 新日科学</t>
  </si>
  <si>
    <t xml:space="preserve"> シダー</t>
  </si>
  <si>
    <t xml:space="preserve"> ヒビノ</t>
  </si>
  <si>
    <t xml:space="preserve"> オエノンHD</t>
  </si>
  <si>
    <t xml:space="preserve"> 日清オイリオ</t>
  </si>
  <si>
    <t xml:space="preserve"> かどや</t>
  </si>
  <si>
    <t xml:space="preserve"> オートウェーブ</t>
  </si>
  <si>
    <t xml:space="preserve"> ＪＰＨＤ</t>
  </si>
  <si>
    <t xml:space="preserve"> アルフレッサHD</t>
  </si>
  <si>
    <t xml:space="preserve"> ナフコ</t>
  </si>
  <si>
    <t xml:space="preserve"> きちりHD</t>
  </si>
  <si>
    <t xml:space="preserve"> ALサービスH</t>
  </si>
  <si>
    <t xml:space="preserve"> 物語コーポ</t>
  </si>
  <si>
    <t xml:space="preserve"> ダイワボHD</t>
  </si>
  <si>
    <t xml:space="preserve"> 日東紡</t>
  </si>
  <si>
    <t xml:space="preserve"> ヨシックス</t>
  </si>
  <si>
    <t xml:space="preserve"> プレサンス</t>
  </si>
  <si>
    <t xml:space="preserve"> グロバル社</t>
  </si>
  <si>
    <t xml:space="preserve"> フライングＧ</t>
  </si>
  <si>
    <t xml:space="preserve"> ＺＯＡ</t>
  </si>
  <si>
    <t xml:space="preserve"> 宮地エンジ</t>
  </si>
  <si>
    <t xml:space="preserve"> サンコーテクノ</t>
  </si>
  <si>
    <t xml:space="preserve"> 昭栄薬品</t>
  </si>
  <si>
    <t xml:space="preserve"> テックファーム</t>
  </si>
  <si>
    <t xml:space="preserve"> ブレインP</t>
  </si>
  <si>
    <t xml:space="preserve"> アイスタイル</t>
  </si>
  <si>
    <t xml:space="preserve"> エンカレッジ</t>
  </si>
  <si>
    <t xml:space="preserve"> ＤＬＥ</t>
  </si>
  <si>
    <t xml:space="preserve"> ブロバンタワ</t>
  </si>
  <si>
    <t xml:space="preserve"> 日本紙</t>
  </si>
  <si>
    <t xml:space="preserve"> オープンドア</t>
  </si>
  <si>
    <t xml:space="preserve"> ザ・パック</t>
  </si>
  <si>
    <t xml:space="preserve"> ニーズウェル</t>
  </si>
  <si>
    <t xml:space="preserve"> すららNT</t>
  </si>
  <si>
    <t xml:space="preserve"> 日産化</t>
  </si>
  <si>
    <t xml:space="preserve"> ステラケミファ</t>
  </si>
  <si>
    <t xml:space="preserve"> フジプレアム</t>
  </si>
  <si>
    <t xml:space="preserve"> T&amp;Gニーズ</t>
  </si>
  <si>
    <t xml:space="preserve"> 松本油</t>
  </si>
  <si>
    <t xml:space="preserve"> エーアイ</t>
  </si>
  <si>
    <t xml:space="preserve"> 免疫生物</t>
  </si>
  <si>
    <t xml:space="preserve"> カルナバイオ</t>
  </si>
  <si>
    <t xml:space="preserve"> メドレックス</t>
  </si>
  <si>
    <t xml:space="preserve"> リボミック</t>
  </si>
  <si>
    <t xml:space="preserve"> 関西ペ</t>
  </si>
  <si>
    <t xml:space="preserve"> 大伸化学</t>
  </si>
  <si>
    <t xml:space="preserve"> 東インキ</t>
  </si>
  <si>
    <t xml:space="preserve"> オリジナル設</t>
  </si>
  <si>
    <t xml:space="preserve"> ダスキン</t>
  </si>
  <si>
    <t xml:space="preserve"> ファルコHD</t>
  </si>
  <si>
    <t xml:space="preserve"> ラウンドワン</t>
  </si>
  <si>
    <t xml:space="preserve"> 城南進研</t>
  </si>
  <si>
    <t xml:space="preserve"> 長谷川香</t>
  </si>
  <si>
    <t xml:space="preserve"> ユシロ 化</t>
  </si>
  <si>
    <t xml:space="preserve"> 富士石油</t>
  </si>
  <si>
    <t xml:space="preserve"> ニッタ</t>
  </si>
  <si>
    <t xml:space="preserve"> 不二硝</t>
  </si>
  <si>
    <t xml:space="preserve"> 住阪セメ</t>
  </si>
  <si>
    <t xml:space="preserve"> 太平洋セメ</t>
  </si>
  <si>
    <t xml:space="preserve"> ジオスター</t>
  </si>
  <si>
    <t xml:space="preserve"> ヤマウ</t>
  </si>
  <si>
    <t xml:space="preserve"> ヤマックス</t>
  </si>
  <si>
    <t xml:space="preserve"> アジアパイル</t>
  </si>
  <si>
    <t xml:space="preserve"> 新　東</t>
  </si>
  <si>
    <t xml:space="preserve"> チヨダウーテ</t>
  </si>
  <si>
    <t xml:space="preserve"> 日本製鉄</t>
  </si>
  <si>
    <t xml:space="preserve"> 大平金</t>
  </si>
  <si>
    <t xml:space="preserve"> 川金ＨＤ</t>
  </si>
  <si>
    <t xml:space="preserve"> オーナンバ</t>
  </si>
  <si>
    <t xml:space="preserve"> 高田機</t>
  </si>
  <si>
    <t xml:space="preserve"> 長府製</t>
  </si>
  <si>
    <t xml:space="preserve"> ネツレン</t>
  </si>
  <si>
    <t xml:space="preserve"> チャームケア</t>
  </si>
  <si>
    <t xml:space="preserve"> N・フィールド</t>
  </si>
  <si>
    <t xml:space="preserve"> ウィルＧ</t>
  </si>
  <si>
    <t xml:space="preserve"> ＨＭＴ</t>
  </si>
  <si>
    <t xml:space="preserve"> アマダHD</t>
  </si>
  <si>
    <t xml:space="preserve"> ダイジェト</t>
  </si>
  <si>
    <t xml:space="preserve"> 中村超硬</t>
  </si>
  <si>
    <t xml:space="preserve"> ヒラノテク</t>
  </si>
  <si>
    <t xml:space="preserve"> 平田機工</t>
  </si>
  <si>
    <t xml:space="preserve"> レオン自機</t>
  </si>
  <si>
    <t xml:space="preserve"> ホソカワミクロ</t>
  </si>
  <si>
    <t xml:space="preserve"> ユニオンツール</t>
  </si>
  <si>
    <t xml:space="preserve"> 日樹工</t>
  </si>
  <si>
    <t xml:space="preserve"> 渋谷工</t>
  </si>
  <si>
    <t xml:space="preserve"> 酒井重</t>
  </si>
  <si>
    <t xml:space="preserve"> ダイフク</t>
  </si>
  <si>
    <t xml:space="preserve"> 油研工</t>
  </si>
  <si>
    <t xml:space="preserve"> 蛇の目</t>
  </si>
  <si>
    <t xml:space="preserve"> シンコウ工</t>
  </si>
  <si>
    <t xml:space="preserve"> JESHD</t>
  </si>
  <si>
    <t xml:space="preserve"> ＬＴＳ</t>
  </si>
  <si>
    <t xml:space="preserve"> アジャイル</t>
  </si>
  <si>
    <t xml:space="preserve"> ダイヘン</t>
  </si>
  <si>
    <t xml:space="preserve"> Mimaki</t>
  </si>
  <si>
    <t xml:space="preserve"> 第一精工</t>
  </si>
  <si>
    <t xml:space="preserve"> かわでん</t>
  </si>
  <si>
    <t xml:space="preserve"> サクサ</t>
  </si>
  <si>
    <t xml:space="preserve"> アクセル</t>
  </si>
  <si>
    <t xml:space="preserve"> 京三製</t>
  </si>
  <si>
    <t xml:space="preserve"> 大同信</t>
  </si>
  <si>
    <t xml:space="preserve"> 帝通工</t>
  </si>
  <si>
    <t xml:space="preserve"> 日電波</t>
  </si>
  <si>
    <t xml:space="preserve"> ホシデン</t>
  </si>
  <si>
    <t xml:space="preserve"> 大井電気</t>
  </si>
  <si>
    <t xml:space="preserve"> 新電元</t>
  </si>
  <si>
    <t xml:space="preserve"> 共和電</t>
  </si>
  <si>
    <t xml:space="preserve"> ミナトHD</t>
  </si>
  <si>
    <t xml:space="preserve"> 原田工業</t>
  </si>
  <si>
    <t xml:space="preserve"> ケ　ル</t>
  </si>
  <si>
    <t xml:space="preserve"> 日電子</t>
  </si>
  <si>
    <t xml:space="preserve"> 日本CMK</t>
  </si>
  <si>
    <t xml:space="preserve"> リード</t>
  </si>
  <si>
    <t xml:space="preserve"> 名村造</t>
  </si>
  <si>
    <t xml:space="preserve"> 近畿車</t>
  </si>
  <si>
    <t xml:space="preserve"> 西日本FH</t>
  </si>
  <si>
    <t xml:space="preserve"> モーゲージS</t>
  </si>
  <si>
    <t xml:space="preserve"> 武蔵精密</t>
  </si>
  <si>
    <t xml:space="preserve"> 極東開</t>
  </si>
  <si>
    <t xml:space="preserve"> 村上開明</t>
  </si>
  <si>
    <t xml:space="preserve"> ジャムコ</t>
  </si>
  <si>
    <t xml:space="preserve"> 横浜魚類</t>
  </si>
  <si>
    <t xml:space="preserve"> 第一興商</t>
  </si>
  <si>
    <t xml:space="preserve"> サンリン</t>
  </si>
  <si>
    <t xml:space="preserve"> アイエーG</t>
  </si>
  <si>
    <t xml:space="preserve"> コロワイド</t>
  </si>
  <si>
    <t xml:space="preserve"> うかい</t>
  </si>
  <si>
    <t xml:space="preserve"> ナカニシ</t>
  </si>
  <si>
    <t xml:space="preserve"> オーバル</t>
  </si>
  <si>
    <t xml:space="preserve"> タムロン</t>
  </si>
  <si>
    <t xml:space="preserve"> シード</t>
  </si>
  <si>
    <t xml:space="preserve"> リコー</t>
  </si>
  <si>
    <t xml:space="preserve"> ジェコー</t>
  </si>
  <si>
    <t xml:space="preserve"> 粧美堂</t>
  </si>
  <si>
    <t xml:space="preserve"> フルヤ金属</t>
  </si>
  <si>
    <t xml:space="preserve"> タカノ</t>
  </si>
  <si>
    <t xml:space="preserve"> ウッドワン</t>
  </si>
  <si>
    <t xml:space="preserve"> 大建工</t>
  </si>
  <si>
    <t xml:space="preserve"> ヨネックス</t>
  </si>
  <si>
    <t xml:space="preserve"> ムトー精工</t>
  </si>
  <si>
    <t xml:space="preserve"> ナカバヤシ</t>
  </si>
  <si>
    <t xml:space="preserve"> ブラインド</t>
  </si>
  <si>
    <t xml:space="preserve"> ミズノ</t>
  </si>
  <si>
    <t xml:space="preserve"> 大興通</t>
  </si>
  <si>
    <t xml:space="preserve"> OUG HD</t>
  </si>
  <si>
    <t xml:space="preserve"> 横丸魚</t>
  </si>
  <si>
    <t xml:space="preserve"> 明和産</t>
  </si>
  <si>
    <t xml:space="preserve"> Gウイン</t>
  </si>
  <si>
    <t xml:space="preserve"> ナガホリ</t>
  </si>
  <si>
    <t xml:space="preserve"> SRSHD</t>
  </si>
  <si>
    <t xml:space="preserve"> フレンドリー</t>
  </si>
  <si>
    <t xml:space="preserve"> 青山商</t>
  </si>
  <si>
    <t xml:space="preserve"> 日産東HD</t>
  </si>
  <si>
    <t xml:space="preserve"> 千葉銀</t>
  </si>
  <si>
    <t xml:space="preserve"> 十六銀</t>
  </si>
  <si>
    <t xml:space="preserve"> 山梨銀</t>
  </si>
  <si>
    <t xml:space="preserve"> 大垣銀</t>
  </si>
  <si>
    <t xml:space="preserve"> 南都銀</t>
  </si>
  <si>
    <t xml:space="preserve"> 伊予銀</t>
  </si>
  <si>
    <t xml:space="preserve"> 佐賀銀</t>
  </si>
  <si>
    <t xml:space="preserve"> 山口ＦＧ</t>
  </si>
  <si>
    <t xml:space="preserve"> ミズホリース</t>
  </si>
  <si>
    <t xml:space="preserve"> 東和銀</t>
  </si>
  <si>
    <t xml:space="preserve"> 福島銀</t>
  </si>
  <si>
    <t xml:space="preserve"> 大東銀</t>
  </si>
  <si>
    <t xml:space="preserve"> アニコムHD</t>
  </si>
  <si>
    <t xml:space="preserve"> 小林洋行</t>
  </si>
  <si>
    <t xml:space="preserve"> 三井不</t>
  </si>
  <si>
    <t xml:space="preserve"> レオパレス21</t>
  </si>
  <si>
    <t xml:space="preserve"> リログループ</t>
  </si>
  <si>
    <t xml:space="preserve"> 南総通運</t>
  </si>
  <si>
    <t xml:space="preserve"> 名　鉄</t>
  </si>
  <si>
    <t xml:space="preserve"> 岡県運</t>
  </si>
  <si>
    <t xml:space="preserve"> センコーGHD</t>
  </si>
  <si>
    <t xml:space="preserve"> トナミHD</t>
  </si>
  <si>
    <t xml:space="preserve"> C&amp;FロジHD</t>
  </si>
  <si>
    <t xml:space="preserve"> 玉井船</t>
  </si>
  <si>
    <t xml:space="preserve"> ケイヒン</t>
  </si>
  <si>
    <t xml:space="preserve"> ファイズHD</t>
  </si>
  <si>
    <t xml:space="preserve"> 伏木運</t>
  </si>
  <si>
    <t xml:space="preserve"> 大東港</t>
  </si>
  <si>
    <t xml:space="preserve"> 近鉄エクス</t>
  </si>
  <si>
    <t xml:space="preserve"> ショーエイコーホ</t>
  </si>
  <si>
    <t xml:space="preserve"> 朝日放送</t>
  </si>
  <si>
    <t xml:space="preserve"> ソフトバンク</t>
  </si>
  <si>
    <t xml:space="preserve"> 広島ガス</t>
  </si>
  <si>
    <t xml:space="preserve"> 共立メンテ</t>
  </si>
  <si>
    <t xml:space="preserve"> スペース</t>
  </si>
  <si>
    <t xml:space="preserve"> KYCOM</t>
  </si>
  <si>
    <t xml:space="preserve"> KNTCT</t>
  </si>
  <si>
    <t xml:space="preserve"> トーカイ</t>
  </si>
  <si>
    <t xml:space="preserve"> 進学会HD</t>
  </si>
  <si>
    <t xml:space="preserve"> ベネッセHD</t>
  </si>
  <si>
    <t xml:space="preserve"> ナック</t>
  </si>
  <si>
    <t xml:space="preserve"> 福井コンピ</t>
  </si>
  <si>
    <t xml:space="preserve"> MTジェネック</t>
  </si>
  <si>
    <t xml:space="preserve"> CBグループ</t>
  </si>
  <si>
    <t xml:space="preserve"> ソレキア</t>
  </si>
  <si>
    <t xml:space="preserve"> サトー商会</t>
  </si>
  <si>
    <t xml:space="preserve"> 奥村組</t>
  </si>
  <si>
    <t xml:space="preserve"> 富士P・S</t>
  </si>
  <si>
    <t xml:space="preserve"> 東亜建</t>
  </si>
  <si>
    <t xml:space="preserve"> 日リーテック</t>
  </si>
  <si>
    <t xml:space="preserve"> 北海コカ</t>
  </si>
  <si>
    <t xml:space="preserve"> ゲオＨＤ</t>
  </si>
  <si>
    <t xml:space="preserve"> 三洋貿易</t>
  </si>
  <si>
    <t xml:space="preserve"> トラスト</t>
  </si>
  <si>
    <t xml:space="preserve"> 北日紡</t>
  </si>
  <si>
    <t xml:space="preserve"> 芦森工</t>
  </si>
  <si>
    <t xml:space="preserve"> オーベクス</t>
  </si>
  <si>
    <t xml:space="preserve"> デジハHD</t>
  </si>
  <si>
    <t xml:space="preserve"> ネクストジェン</t>
  </si>
  <si>
    <t xml:space="preserve"> カーバイド</t>
  </si>
  <si>
    <t xml:space="preserve"> 邦アセチレン</t>
  </si>
  <si>
    <t xml:space="preserve"> パーカライ</t>
  </si>
  <si>
    <t xml:space="preserve"> 本州化</t>
  </si>
  <si>
    <t xml:space="preserve"> マナック</t>
  </si>
  <si>
    <t xml:space="preserve"> ＪＭＤＣ</t>
  </si>
  <si>
    <t xml:space="preserve"> アルファシステム</t>
  </si>
  <si>
    <t xml:space="preserve"> ビーイング</t>
  </si>
  <si>
    <t xml:space="preserve"> オカモト</t>
  </si>
  <si>
    <t xml:space="preserve"> 日山村硝</t>
  </si>
  <si>
    <t xml:space="preserve"> ホッカンHD</t>
  </si>
  <si>
    <t xml:space="preserve"> トーアミ</t>
  </si>
  <si>
    <t xml:space="preserve"> サイジニア</t>
  </si>
  <si>
    <t xml:space="preserve"> テクノスマート</t>
  </si>
  <si>
    <t xml:space="preserve"> 帝国電機</t>
  </si>
  <si>
    <t xml:space="preserve"> 昭和真空</t>
  </si>
  <si>
    <t xml:space="preserve"> 東亜バル</t>
  </si>
  <si>
    <t xml:space="preserve"> 宮入バル</t>
  </si>
  <si>
    <t xml:space="preserve"> プラットホーム</t>
  </si>
  <si>
    <t xml:space="preserve"> ジオマテック</t>
  </si>
  <si>
    <t xml:space="preserve"> ヘリオステクノH</t>
  </si>
  <si>
    <t xml:space="preserve"> 芝浦電子</t>
  </si>
  <si>
    <t xml:space="preserve"> サンコー</t>
  </si>
  <si>
    <t xml:space="preserve"> レシップHD</t>
  </si>
  <si>
    <t xml:space="preserve"> ３３ＦＧ</t>
  </si>
  <si>
    <t xml:space="preserve"> プラザクリエ</t>
  </si>
  <si>
    <t xml:space="preserve"> ニチリョク</t>
  </si>
  <si>
    <t xml:space="preserve"> 東京貴宝</t>
  </si>
  <si>
    <t xml:space="preserve"> Ｎｕｔｓ</t>
  </si>
  <si>
    <t xml:space="preserve"> ノーリツ鋼機</t>
  </si>
  <si>
    <t xml:space="preserve"> フクビ</t>
  </si>
  <si>
    <t xml:space="preserve"> ニチモウ</t>
  </si>
  <si>
    <t xml:space="preserve"> 立花エレテ</t>
  </si>
  <si>
    <t xml:space="preserve"> リンコー</t>
  </si>
  <si>
    <t xml:space="preserve"> 京都ホテル</t>
  </si>
  <si>
    <t xml:space="preserve"> ビケンテクノ</t>
  </si>
  <si>
    <t xml:space="preserve"> コンセック</t>
  </si>
  <si>
    <t xml:space="preserve"> ニッチツ</t>
  </si>
  <si>
    <t xml:space="preserve"> 18:00</t>
  </si>
  <si>
    <t xml:space="preserve"> 光ビジ</t>
  </si>
  <si>
    <t xml:space="preserve"> 三井松島</t>
  </si>
  <si>
    <t xml:space="preserve"> SEEDH</t>
  </si>
  <si>
    <t xml:space="preserve"> 工藤建設</t>
  </si>
  <si>
    <t xml:space="preserve"> 平安レイ</t>
  </si>
  <si>
    <t xml:space="preserve"> 夢真ＨＤ</t>
  </si>
  <si>
    <t xml:space="preserve"> オーミケンシ</t>
  </si>
  <si>
    <t xml:space="preserve"> Gオイスター</t>
  </si>
  <si>
    <t xml:space="preserve"> 日本コークス</t>
  </si>
  <si>
    <t xml:space="preserve"> シップHD</t>
  </si>
  <si>
    <t xml:space="preserve"> ユニネク</t>
  </si>
  <si>
    <t xml:space="preserve"> データアプリ</t>
  </si>
  <si>
    <t xml:space="preserve"> ラック</t>
  </si>
  <si>
    <t xml:space="preserve"> アサヒペン</t>
  </si>
  <si>
    <t xml:space="preserve"> インフォクリエ</t>
  </si>
  <si>
    <t xml:space="preserve"> フルキャストHD</t>
  </si>
  <si>
    <t xml:space="preserve"> アサカ理研</t>
  </si>
  <si>
    <t xml:space="preserve"> ロブテックス</t>
  </si>
  <si>
    <t xml:space="preserve"> Ｊマテリアル</t>
  </si>
  <si>
    <t xml:space="preserve"> ヤマザキ</t>
  </si>
  <si>
    <t xml:space="preserve"> バーチャレクス</t>
  </si>
  <si>
    <t xml:space="preserve"> 音　通</t>
  </si>
  <si>
    <t xml:space="preserve"> リズム</t>
  </si>
  <si>
    <t xml:space="preserve"> 平　賀</t>
  </si>
  <si>
    <t xml:space="preserve"> すてきＮ</t>
  </si>
  <si>
    <t xml:space="preserve"> キムラタン</t>
  </si>
  <si>
    <t xml:space="preserve"> ファミリー</t>
  </si>
  <si>
    <t xml:space="preserve"> マサル</t>
  </si>
  <si>
    <t xml:space="preserve"> グランディー</t>
  </si>
  <si>
    <t xml:space="preserve"> 博報堂DY</t>
  </si>
  <si>
    <t xml:space="preserve"> 内外トランス</t>
  </si>
  <si>
    <t xml:space="preserve"> 日清食HD</t>
  </si>
  <si>
    <t xml:space="preserve"> 東  レ</t>
  </si>
  <si>
    <t xml:space="preserve"> 扶桑薬</t>
  </si>
  <si>
    <t xml:space="preserve"> フマキラー</t>
  </si>
  <si>
    <t xml:space="preserve"> パイオラックス</t>
  </si>
  <si>
    <t xml:space="preserve"> 石油資源</t>
  </si>
  <si>
    <t xml:space="preserve"> 三菱紙</t>
  </si>
  <si>
    <t xml:space="preserve"> ニチバン</t>
  </si>
  <si>
    <t xml:space="preserve"> ロックペイント</t>
  </si>
  <si>
    <t xml:space="preserve"> 大成ラミック</t>
  </si>
  <si>
    <t xml:space="preserve"> アキレス</t>
  </si>
  <si>
    <t xml:space="preserve"> 日本コン</t>
  </si>
  <si>
    <t xml:space="preserve"> 桜井製</t>
  </si>
  <si>
    <t xml:space="preserve"> 日新商事</t>
  </si>
  <si>
    <t xml:space="preserve"> 田中商事</t>
  </si>
  <si>
    <t xml:space="preserve"> 西華産</t>
  </si>
  <si>
    <t xml:space="preserve"> 明和地所</t>
  </si>
  <si>
    <t xml:space="preserve"> 新潟交</t>
  </si>
  <si>
    <t xml:space="preserve"> ショーボンド</t>
  </si>
  <si>
    <t xml:space="preserve"> 日本アクア</t>
  </si>
  <si>
    <t xml:space="preserve"> 熊谷組</t>
  </si>
  <si>
    <t xml:space="preserve"> 細田工</t>
  </si>
  <si>
    <t xml:space="preserve"> 神通機</t>
  </si>
  <si>
    <t xml:space="preserve"> 岩塚菓</t>
  </si>
  <si>
    <t xml:space="preserve"> コ　モ</t>
  </si>
  <si>
    <t xml:space="preserve"> ワールドHD</t>
  </si>
  <si>
    <t xml:space="preserve"> ファンコミ</t>
  </si>
  <si>
    <t xml:space="preserve"> 翻訳センター</t>
  </si>
  <si>
    <t xml:space="preserve"> コメ兵</t>
  </si>
  <si>
    <t xml:space="preserve"> イートアンド</t>
  </si>
  <si>
    <t xml:space="preserve"> ユーグレナ</t>
  </si>
  <si>
    <t xml:space="preserve"> シンデンハイテ</t>
  </si>
  <si>
    <t xml:space="preserve"> オーウイル</t>
  </si>
  <si>
    <t xml:space="preserve"> 日本管理</t>
  </si>
  <si>
    <t xml:space="preserve"> トラストHD</t>
  </si>
  <si>
    <t xml:space="preserve"> ケイアイスター</t>
  </si>
  <si>
    <t xml:space="preserve"> 川本産業</t>
  </si>
  <si>
    <t xml:space="preserve"> 多木化</t>
  </si>
  <si>
    <t xml:space="preserve"> 戸田工</t>
  </si>
  <si>
    <t xml:space="preserve"> ニックス</t>
  </si>
  <si>
    <t xml:space="preserve"> アズジェント</t>
  </si>
  <si>
    <t xml:space="preserve"> みらかHD</t>
  </si>
  <si>
    <t xml:space="preserve"> エスケー化研</t>
  </si>
  <si>
    <t xml:space="preserve"> GMO-AP</t>
  </si>
  <si>
    <t xml:space="preserve"> ＩＳＩＤ</t>
  </si>
  <si>
    <t xml:space="preserve"> Ｄガレージ</t>
  </si>
  <si>
    <t xml:space="preserve"> アグロカネシ</t>
  </si>
  <si>
    <t xml:space="preserve"> 互応化学</t>
  </si>
  <si>
    <t xml:space="preserve"> 上村工業</t>
  </si>
  <si>
    <t xml:space="preserve"> ニッタゼラチン</t>
  </si>
  <si>
    <t xml:space="preserve"> BPカストロール</t>
  </si>
  <si>
    <t xml:space="preserve"> 高見澤</t>
  </si>
  <si>
    <t xml:space="preserve"> 日カーボン</t>
  </si>
  <si>
    <t xml:space="preserve"> ニチアス</t>
  </si>
  <si>
    <t xml:space="preserve"> 日製鋼</t>
  </si>
  <si>
    <t xml:space="preserve"> 東邦鉛</t>
  </si>
  <si>
    <t xml:space="preserve"> アーレスティ</t>
  </si>
  <si>
    <t xml:space="preserve"> アトラ</t>
  </si>
  <si>
    <t xml:space="preserve"> エーワン精密</t>
  </si>
  <si>
    <t xml:space="preserve"> 丸山製</t>
  </si>
  <si>
    <t xml:space="preserve"> 栗田工</t>
  </si>
  <si>
    <t xml:space="preserve"> アネスト岩田</t>
  </si>
  <si>
    <t xml:space="preserve"> 兼松エンジ</t>
  </si>
  <si>
    <t xml:space="preserve"> 平  和</t>
  </si>
  <si>
    <t xml:space="preserve"> ＦＣＨＤ</t>
  </si>
  <si>
    <t xml:space="preserve"> SEMITEC</t>
  </si>
  <si>
    <t xml:space="preserve"> 日東工</t>
  </si>
  <si>
    <t xml:space="preserve"> リバーエレテク</t>
  </si>
  <si>
    <t xml:space="preserve"> エスケーエレク</t>
  </si>
  <si>
    <t xml:space="preserve"> ViSCOTEC</t>
  </si>
  <si>
    <t xml:space="preserve"> 鈴　木</t>
  </si>
  <si>
    <t xml:space="preserve"> ホトニクス</t>
  </si>
  <si>
    <t xml:space="preserve"> 三井E&amp;S</t>
  </si>
  <si>
    <t xml:space="preserve"> ＪＩＡ</t>
  </si>
  <si>
    <t xml:space="preserve"> あん保証</t>
  </si>
  <si>
    <t xml:space="preserve"> ＴＢＫ</t>
  </si>
  <si>
    <t xml:space="preserve"> 日プラスト</t>
  </si>
  <si>
    <t xml:space="preserve"> ＩＪＴＴ</t>
  </si>
  <si>
    <t xml:space="preserve"> 山　大</t>
  </si>
  <si>
    <t xml:space="preserve"> キムラ</t>
  </si>
  <si>
    <t xml:space="preserve"> PALTEK</t>
  </si>
  <si>
    <t xml:space="preserve"> ハンズマン</t>
  </si>
  <si>
    <t xml:space="preserve"> Vテクノロジー</t>
  </si>
  <si>
    <t xml:space="preserve"> ＩＦＩＳ</t>
  </si>
  <si>
    <t xml:space="preserve"> 中央化学</t>
  </si>
  <si>
    <t xml:space="preserve"> ソノコム</t>
  </si>
  <si>
    <t xml:space="preserve"> 築地魚</t>
  </si>
  <si>
    <t xml:space="preserve"> テンアライド</t>
  </si>
  <si>
    <t xml:space="preserve"> 山形屋</t>
  </si>
  <si>
    <t xml:space="preserve"> タカチホ</t>
  </si>
  <si>
    <t xml:space="preserve"> ヤオコー</t>
  </si>
  <si>
    <t xml:space="preserve"> 大分銀</t>
  </si>
  <si>
    <t xml:space="preserve"> 菱地所</t>
  </si>
  <si>
    <t xml:space="preserve"> グランディ</t>
  </si>
  <si>
    <t xml:space="preserve"> 丸全運</t>
  </si>
  <si>
    <t xml:space="preserve"> 神姫バス</t>
  </si>
  <si>
    <t xml:space="preserve"> ＪＲ九州</t>
  </si>
  <si>
    <t xml:space="preserve"> 川西倉庫</t>
  </si>
  <si>
    <t xml:space="preserve"> セレスポ</t>
  </si>
  <si>
    <t xml:space="preserve"> 学究社</t>
  </si>
  <si>
    <t xml:space="preserve"> 愛  眼</t>
  </si>
  <si>
    <t xml:space="preserve"> サガミHD</t>
  </si>
  <si>
    <t xml:space="preserve"> 日邦産</t>
  </si>
  <si>
    <t xml:space="preserve"> K&amp;Oエナジー</t>
  </si>
  <si>
    <t xml:space="preserve"> 若築建</t>
  </si>
  <si>
    <t xml:space="preserve"> 石垣食</t>
  </si>
  <si>
    <t xml:space="preserve"> パピレス</t>
  </si>
  <si>
    <t xml:space="preserve"> ウェルス</t>
  </si>
  <si>
    <t xml:space="preserve"> 細谷火</t>
  </si>
  <si>
    <t xml:space="preserve"> ネクストウェア</t>
  </si>
  <si>
    <t xml:space="preserve"> ＨＡＢＡ</t>
  </si>
  <si>
    <t xml:space="preserve"> ジーテクト</t>
  </si>
  <si>
    <t xml:space="preserve"> アドバネクス</t>
  </si>
  <si>
    <t xml:space="preserve"> ASB機械</t>
  </si>
  <si>
    <t xml:space="preserve"> フクシマガリレ</t>
  </si>
  <si>
    <t xml:space="preserve"> 天昇電</t>
  </si>
  <si>
    <t xml:space="preserve"> 船井電機</t>
  </si>
  <si>
    <t xml:space="preserve"> ミクニ</t>
  </si>
  <si>
    <t xml:space="preserve"> 河西工</t>
  </si>
  <si>
    <t xml:space="preserve"> ハリマ共和</t>
  </si>
  <si>
    <t xml:space="preserve"> 安楽亭</t>
  </si>
  <si>
    <t xml:space="preserve"> あさくま</t>
  </si>
  <si>
    <t xml:space="preserve"> 永大産業</t>
  </si>
  <si>
    <t xml:space="preserve"> エステールHD</t>
  </si>
  <si>
    <t xml:space="preserve"> 永大化工</t>
  </si>
  <si>
    <t xml:space="preserve"> 光村印</t>
  </si>
  <si>
    <t xml:space="preserve"> 北洋銀行</t>
  </si>
  <si>
    <t xml:space="preserve"> 武蔵野</t>
  </si>
  <si>
    <t xml:space="preserve"> パーカー</t>
  </si>
  <si>
    <t xml:space="preserve"> 小池工</t>
  </si>
  <si>
    <t xml:space="preserve"> CSSHD</t>
  </si>
  <si>
    <t xml:space="preserve"> カッシーナ</t>
  </si>
  <si>
    <t xml:space="preserve"> 力の源HD</t>
  </si>
  <si>
    <t xml:space="preserve"> KeePer技</t>
  </si>
  <si>
    <t xml:space="preserve"> ホシザキ</t>
  </si>
  <si>
    <t xml:space="preserve"> 旅工房</t>
  </si>
  <si>
    <t xml:space="preserve"> 今仙電機</t>
  </si>
  <si>
    <t xml:space="preserve"> 広済堂</t>
  </si>
  <si>
    <t xml:space="preserve"> ムーンバット</t>
  </si>
  <si>
    <t xml:space="preserve"> フィデアHD</t>
  </si>
  <si>
    <t xml:space="preserve"> イーレックス</t>
  </si>
  <si>
    <t xml:space="preserve"> オプトHD</t>
  </si>
  <si>
    <t xml:space="preserve"> 巴コーポ</t>
  </si>
  <si>
    <t xml:space="preserve"> 高橋ウォル</t>
  </si>
  <si>
    <t xml:space="preserve"> オリジン</t>
  </si>
  <si>
    <t xml:space="preserve"> 大林組</t>
  </si>
  <si>
    <t xml:space="preserve"> アルコニックス</t>
  </si>
  <si>
    <t xml:space="preserve"> 富士マガ</t>
  </si>
  <si>
    <t xml:space="preserve"> ミズホメディ</t>
  </si>
  <si>
    <t xml:space="preserve"> 三住道路</t>
  </si>
  <si>
    <t xml:space="preserve"> 佐藤渡辺</t>
  </si>
  <si>
    <t xml:space="preserve"> 日道路</t>
  </si>
  <si>
    <t xml:space="preserve"> カンロ</t>
  </si>
  <si>
    <t xml:space="preserve"> パルマ</t>
  </si>
  <si>
    <t xml:space="preserve"> ＭＵＲＯ</t>
  </si>
  <si>
    <t xml:space="preserve"> 阪和興</t>
  </si>
  <si>
    <t xml:space="preserve"> アトミクス</t>
  </si>
  <si>
    <t xml:space="preserve"> パワーファス</t>
  </si>
  <si>
    <t xml:space="preserve"> グローブライ</t>
  </si>
  <si>
    <t xml:space="preserve"> 広電鉄</t>
  </si>
  <si>
    <t xml:space="preserve"> 近鉄GHD</t>
  </si>
  <si>
    <t xml:space="preserve"> 東汽船</t>
  </si>
  <si>
    <t xml:space="preserve"> トレーディア</t>
  </si>
  <si>
    <t xml:space="preserve"> コーアツ工業</t>
  </si>
  <si>
    <t xml:space="preserve"> ソネック</t>
  </si>
  <si>
    <t xml:space="preserve"> セーラー広告</t>
  </si>
  <si>
    <t xml:space="preserve"> エプコ</t>
  </si>
  <si>
    <t xml:space="preserve"> やまみ</t>
  </si>
  <si>
    <t xml:space="preserve"> 大森屋</t>
  </si>
  <si>
    <t xml:space="preserve"> ＷＤＩ</t>
  </si>
  <si>
    <t xml:space="preserve"> イデアインター</t>
  </si>
  <si>
    <t xml:space="preserve"> レスターHD</t>
  </si>
  <si>
    <t xml:space="preserve"> 夢展望</t>
  </si>
  <si>
    <t xml:space="preserve"> ダイドリミ</t>
  </si>
  <si>
    <t xml:space="preserve"> ディア・ライフ</t>
  </si>
  <si>
    <t xml:space="preserve"> 日本麻</t>
  </si>
  <si>
    <t xml:space="preserve"> ハウスドゥ</t>
  </si>
  <si>
    <t xml:space="preserve"> 倉庫精</t>
  </si>
  <si>
    <t xml:space="preserve"> 駅　探</t>
  </si>
  <si>
    <t xml:space="preserve"> ブイキューブ</t>
  </si>
  <si>
    <t xml:space="preserve"> ＧＭＯPG</t>
  </si>
  <si>
    <t xml:space="preserve"> GMOクラウド</t>
  </si>
  <si>
    <t xml:space="preserve"> パシフィックS</t>
  </si>
  <si>
    <t xml:space="preserve"> サイバーコム</t>
  </si>
  <si>
    <t xml:space="preserve"> ランドコンピ</t>
  </si>
  <si>
    <t xml:space="preserve"> フーバーブレ</t>
  </si>
  <si>
    <t xml:space="preserve"> 朝日印刷</t>
  </si>
  <si>
    <t xml:space="preserve"> 大村紙業</t>
  </si>
  <si>
    <t xml:space="preserve"> チェンジ</t>
  </si>
  <si>
    <t xml:space="preserve"> ユーザベース</t>
  </si>
  <si>
    <t xml:space="preserve"> マクロミル</t>
  </si>
  <si>
    <t xml:space="preserve"> シェアリングT</t>
  </si>
  <si>
    <t xml:space="preserve"> 石原産</t>
  </si>
  <si>
    <t xml:space="preserve"> 高圧ガス</t>
  </si>
  <si>
    <t xml:space="preserve"> ＤＮＣ</t>
  </si>
  <si>
    <t xml:space="preserve"> ケネディクス</t>
  </si>
  <si>
    <t xml:space="preserve"> システムサポ</t>
  </si>
  <si>
    <t xml:space="preserve"> ロート</t>
  </si>
  <si>
    <t xml:space="preserve"> 東和薬品</t>
  </si>
  <si>
    <t xml:space="preserve"> CANBAS</t>
  </si>
  <si>
    <t xml:space="preserve"> SDエンター</t>
  </si>
  <si>
    <t xml:space="preserve"> 構造計画</t>
  </si>
  <si>
    <t xml:space="preserve"> 日本ハウズ</t>
  </si>
  <si>
    <t xml:space="preserve"> エンJPN</t>
  </si>
  <si>
    <t xml:space="preserve"> ミルボン</t>
  </si>
  <si>
    <t xml:space="preserve"> ドライルーブ</t>
  </si>
  <si>
    <t xml:space="preserve"> セメダイン</t>
  </si>
  <si>
    <t xml:space="preserve"> 朝日ラバー</t>
  </si>
  <si>
    <t xml:space="preserve"> ＪＦＥHD</t>
  </si>
  <si>
    <t xml:space="preserve"> 丸一管</t>
  </si>
  <si>
    <t xml:space="preserve"> メタルアート</t>
  </si>
  <si>
    <t xml:space="preserve"> 三菱マ</t>
  </si>
  <si>
    <t xml:space="preserve"> 駒井ハルテク</t>
  </si>
  <si>
    <t xml:space="preserve"> 川岸工</t>
  </si>
  <si>
    <t xml:space="preserve"> 大谷工業</t>
  </si>
  <si>
    <t xml:space="preserve"> リンナイ</t>
  </si>
  <si>
    <t xml:space="preserve"> 浅香工</t>
  </si>
  <si>
    <t xml:space="preserve"> サンコール</t>
  </si>
  <si>
    <t xml:space="preserve"> 冨士ダイス</t>
  </si>
  <si>
    <t xml:space="preserve"> ネットマーケ</t>
  </si>
  <si>
    <t xml:space="preserve"> 富士ソフSB</t>
  </si>
  <si>
    <t xml:space="preserve"> アトラエ</t>
  </si>
  <si>
    <t xml:space="preserve"> やまびこ</t>
  </si>
  <si>
    <t xml:space="preserve"> ＳＭＣ</t>
  </si>
  <si>
    <t xml:space="preserve"> 靜　甲</t>
  </si>
  <si>
    <t xml:space="preserve"> 日　工</t>
  </si>
  <si>
    <t xml:space="preserve"> タカトリ</t>
  </si>
  <si>
    <t xml:space="preserve"> 荏　原</t>
  </si>
  <si>
    <t xml:space="preserve"> ダイキン</t>
  </si>
  <si>
    <t xml:space="preserve"> キトー</t>
  </si>
  <si>
    <t xml:space="preserve"> 金銭機</t>
  </si>
  <si>
    <t xml:space="preserve"> ＴＰＲ</t>
  </si>
  <si>
    <t xml:space="preserve"> 日トムソン</t>
  </si>
  <si>
    <t xml:space="preserve"> ルネサス</t>
  </si>
  <si>
    <t xml:space="preserve"> 日信号</t>
  </si>
  <si>
    <t xml:space="preserve"> コスモス電</t>
  </si>
  <si>
    <t xml:space="preserve"> TBグループ</t>
  </si>
  <si>
    <t xml:space="preserve"> OKAYA</t>
  </si>
  <si>
    <t xml:space="preserve"> 大真空</t>
  </si>
  <si>
    <t xml:space="preserve"> テノ．</t>
  </si>
  <si>
    <t xml:space="preserve"> ポート</t>
  </si>
  <si>
    <t xml:space="preserve"> ピアズ</t>
  </si>
  <si>
    <t xml:space="preserve"> ライフネット</t>
  </si>
  <si>
    <t xml:space="preserve"> ヤマハ 発</t>
  </si>
  <si>
    <t xml:space="preserve"> シマノ</t>
  </si>
  <si>
    <t xml:space="preserve"> 創健社</t>
  </si>
  <si>
    <t xml:space="preserve"> ジンズメイト</t>
  </si>
  <si>
    <t xml:space="preserve"> 鳥羽洋行</t>
  </si>
  <si>
    <t xml:space="preserve"> アールビバン</t>
  </si>
  <si>
    <t xml:space="preserve"> HAPiNS</t>
  </si>
  <si>
    <t xml:space="preserve"> カーチスHD</t>
  </si>
  <si>
    <t xml:space="preserve"> ダイニング</t>
  </si>
  <si>
    <t xml:space="preserve"> 理計器</t>
  </si>
  <si>
    <t xml:space="preserve"> クレステック</t>
  </si>
  <si>
    <t xml:space="preserve"> タカラトミー</t>
  </si>
  <si>
    <t xml:space="preserve"> 竹田印刷</t>
  </si>
  <si>
    <t xml:space="preserve"> ヤマト・インダ</t>
  </si>
  <si>
    <t xml:space="preserve"> 凸版印</t>
  </si>
  <si>
    <t xml:space="preserve"> 三愛石</t>
  </si>
  <si>
    <t xml:space="preserve"> 堀田丸正</t>
  </si>
  <si>
    <t xml:space="preserve"> フォーバル</t>
  </si>
  <si>
    <t xml:space="preserve"> 高知銀行</t>
  </si>
  <si>
    <t xml:space="preserve"> コスモスイニシア</t>
  </si>
  <si>
    <t xml:space="preserve"> スターツ</t>
  </si>
  <si>
    <t xml:space="preserve"> 東　急</t>
  </si>
  <si>
    <t xml:space="preserve"> 京極運</t>
  </si>
  <si>
    <t xml:space="preserve"> 大和自</t>
  </si>
  <si>
    <t xml:space="preserve"> コーア商事H</t>
  </si>
  <si>
    <t xml:space="preserve"> トランシィ</t>
  </si>
  <si>
    <t xml:space="preserve"> 大　運</t>
  </si>
  <si>
    <t xml:space="preserve"> フォーバルRS</t>
  </si>
  <si>
    <t xml:space="preserve"> フォーバルTL</t>
  </si>
  <si>
    <t xml:space="preserve"> ＧＭＯ</t>
  </si>
  <si>
    <t xml:space="preserve"> EF-ON</t>
  </si>
  <si>
    <t xml:space="preserve"> 常磐興</t>
  </si>
  <si>
    <t xml:space="preserve"> 鴨川ホテル</t>
  </si>
  <si>
    <t xml:space="preserve"> 札　臨</t>
  </si>
  <si>
    <t xml:space="preserve"> ニチイ学館</t>
  </si>
  <si>
    <t xml:space="preserve"> ストライダース</t>
  </si>
  <si>
    <t xml:space="preserve"> 藤井産</t>
  </si>
  <si>
    <t xml:space="preserve"> ソフトバンクG</t>
  </si>
  <si>
    <t xml:space="preserve"> 大豊建</t>
  </si>
  <si>
    <t xml:space="preserve"> 滝沢ハム</t>
  </si>
  <si>
    <t xml:space="preserve"> JFLAHD</t>
  </si>
  <si>
    <t xml:space="preserve"> 川田TECH</t>
  </si>
  <si>
    <t xml:space="preserve"> デュアルタプ</t>
  </si>
  <si>
    <t xml:space="preserve"> ピーバン</t>
  </si>
  <si>
    <t xml:space="preserve"> システム情報</t>
  </si>
  <si>
    <t xml:space="preserve"> テイカ</t>
  </si>
  <si>
    <t xml:space="preserve"> カネカ</t>
  </si>
  <si>
    <t xml:space="preserve"> ワタベ</t>
  </si>
  <si>
    <t xml:space="preserve"> EMシステムズ</t>
  </si>
  <si>
    <t xml:space="preserve"> アイビー</t>
  </si>
  <si>
    <t xml:space="preserve"> 那須鉄</t>
  </si>
  <si>
    <t xml:space="preserve"> 天龍鋸</t>
  </si>
  <si>
    <t xml:space="preserve"> アドベンチャ</t>
  </si>
  <si>
    <t xml:space="preserve"> アイダ</t>
  </si>
  <si>
    <t xml:space="preserve"> トーヨーカネツ</t>
  </si>
  <si>
    <t xml:space="preserve"> オーイズミ</t>
  </si>
  <si>
    <t xml:space="preserve"> ＡＳＴＩ</t>
  </si>
  <si>
    <t xml:space="preserve"> 松尾電</t>
  </si>
  <si>
    <t xml:space="preserve"> 日タングス</t>
  </si>
  <si>
    <t xml:space="preserve"> アルヒ</t>
  </si>
  <si>
    <t xml:space="preserve"> 東ラヂエタ</t>
  </si>
  <si>
    <t xml:space="preserve"> ナンシン</t>
  </si>
  <si>
    <t xml:space="preserve"> 松田産業</t>
  </si>
  <si>
    <t xml:space="preserve"> ハピネット</t>
  </si>
  <si>
    <t xml:space="preserve"> 東京計器</t>
  </si>
  <si>
    <t xml:space="preserve"> 日本精密</t>
  </si>
  <si>
    <t xml:space="preserve"> パイロット</t>
  </si>
  <si>
    <t xml:space="preserve"> 藤森工</t>
  </si>
  <si>
    <t xml:space="preserve"> ヴィアHD</t>
  </si>
  <si>
    <t xml:space="preserve"> サンリオ</t>
  </si>
  <si>
    <t xml:space="preserve"> センコン物流</t>
  </si>
  <si>
    <t xml:space="preserve"> 中央倉</t>
  </si>
  <si>
    <t xml:space="preserve"> 兵機海</t>
  </si>
  <si>
    <t xml:space="preserve"> 長　大</t>
  </si>
  <si>
    <t xml:space="preserve"> ダイニック</t>
  </si>
  <si>
    <t xml:space="preserve"> OBARA-G</t>
  </si>
  <si>
    <t xml:space="preserve"> 銭高組</t>
  </si>
  <si>
    <t xml:space="preserve"> 大成温</t>
  </si>
  <si>
    <t xml:space="preserve"> テクノマセマティ</t>
  </si>
  <si>
    <t xml:space="preserve"> グロバルウェ</t>
  </si>
  <si>
    <t xml:space="preserve"> イノベーション</t>
  </si>
  <si>
    <t xml:space="preserve"> テモナ</t>
  </si>
  <si>
    <t xml:space="preserve"> 大阪油化</t>
  </si>
  <si>
    <t xml:space="preserve"> 日特塗</t>
  </si>
  <si>
    <t xml:space="preserve"> ユー・エス・エス</t>
  </si>
  <si>
    <t xml:space="preserve"> シダックス</t>
  </si>
  <si>
    <t xml:space="preserve"> 兼　房</t>
  </si>
  <si>
    <t xml:space="preserve"> 野村マイクロ</t>
  </si>
  <si>
    <t xml:space="preserve"> ダイコク電</t>
  </si>
  <si>
    <t xml:space="preserve"> ログリー</t>
  </si>
  <si>
    <t xml:space="preserve"> ブリッジ</t>
  </si>
  <si>
    <t xml:space="preserve"> 栄電子</t>
  </si>
  <si>
    <t xml:space="preserve"> 白　銅</t>
  </si>
  <si>
    <t xml:space="preserve"> ビジョン</t>
  </si>
  <si>
    <t xml:space="preserve"> ベルパーク</t>
  </si>
  <si>
    <t xml:space="preserve"> リブワーク</t>
  </si>
  <si>
    <t xml:space="preserve"> 日揮ＨＤ</t>
  </si>
  <si>
    <t xml:space="preserve"> 日清紡HD</t>
  </si>
  <si>
    <t xml:space="preserve"> クラレ</t>
  </si>
  <si>
    <t xml:space="preserve"> ミヨシ</t>
  </si>
  <si>
    <t xml:space="preserve"> ＩＤＨＤ</t>
  </si>
  <si>
    <t xml:space="preserve"> 洋エンジ</t>
  </si>
  <si>
    <t xml:space="preserve"> ヨコレイ</t>
  </si>
  <si>
    <t xml:space="preserve"> 大王紙</t>
  </si>
  <si>
    <t xml:space="preserve"> エラン</t>
  </si>
  <si>
    <t xml:space="preserve"> コクヨ</t>
  </si>
  <si>
    <t xml:space="preserve"> ピグメント</t>
  </si>
  <si>
    <t xml:space="preserve"> 森　六</t>
  </si>
  <si>
    <t xml:space="preserve"> クリエアナブキ</t>
  </si>
  <si>
    <t xml:space="preserve"> ぴ　あ</t>
  </si>
  <si>
    <t xml:space="preserve"> 仁　丹</t>
  </si>
  <si>
    <t xml:space="preserve"> ＪＸＴＧ</t>
  </si>
  <si>
    <t xml:space="preserve"> リョービ</t>
  </si>
  <si>
    <t xml:space="preserve"> パンチ</t>
  </si>
  <si>
    <t xml:space="preserve"> ピジョン</t>
  </si>
  <si>
    <t xml:space="preserve"> 川　辺</t>
  </si>
  <si>
    <t xml:space="preserve"> 日ロジテム</t>
  </si>
  <si>
    <t xml:space="preserve"> 加藤産業</t>
  </si>
  <si>
    <t xml:space="preserve"> 日電計</t>
  </si>
  <si>
    <t xml:space="preserve"> デリカフーズ</t>
  </si>
  <si>
    <t xml:space="preserve"> 中越パル</t>
  </si>
  <si>
    <t xml:space="preserve"> 巴川紙</t>
  </si>
  <si>
    <t xml:space="preserve"> 古林紙</t>
  </si>
  <si>
    <t xml:space="preserve"> 昭和化</t>
  </si>
  <si>
    <t xml:space="preserve"> 日農薬</t>
  </si>
  <si>
    <t xml:space="preserve"> バンドー</t>
  </si>
  <si>
    <t xml:space="preserve"> CKサンエツ</t>
  </si>
  <si>
    <t xml:space="preserve"> タクマ</t>
  </si>
  <si>
    <t xml:space="preserve"> 浜井産</t>
  </si>
  <si>
    <t xml:space="preserve"> 北川鉄</t>
  </si>
  <si>
    <t xml:space="preserve"> 電業社</t>
  </si>
  <si>
    <t xml:space="preserve"> 宇野鉄</t>
  </si>
  <si>
    <t xml:space="preserve"> チノー</t>
  </si>
  <si>
    <t xml:space="preserve"> カネミツ</t>
  </si>
  <si>
    <t xml:space="preserve"> スターツ出版</t>
  </si>
  <si>
    <t xml:space="preserve"> 山　善</t>
  </si>
  <si>
    <t xml:space="preserve"> ルーデン</t>
  </si>
  <si>
    <t xml:space="preserve"> キャンディル</t>
  </si>
  <si>
    <t xml:space="preserve"> 中外鉱</t>
  </si>
  <si>
    <t xml:space="preserve"> 美樹工業</t>
  </si>
  <si>
    <t xml:space="preserve"> シンクレイヤ</t>
  </si>
  <si>
    <t xml:space="preserve"> ナカノフドー</t>
  </si>
  <si>
    <t xml:space="preserve"> NIPPO</t>
  </si>
  <si>
    <t xml:space="preserve"> 日工営</t>
  </si>
  <si>
    <t xml:space="preserve"> 日和産</t>
  </si>
  <si>
    <t xml:space="preserve"> イナリサーチ</t>
  </si>
  <si>
    <t xml:space="preserve"> 成学社</t>
  </si>
  <si>
    <t xml:space="preserve"> テ　ラ</t>
  </si>
  <si>
    <t xml:space="preserve"> 日本サード</t>
  </si>
  <si>
    <t xml:space="preserve"> アサヒ</t>
  </si>
  <si>
    <t xml:space="preserve"> 宝ＨＤ</t>
  </si>
  <si>
    <t xml:space="preserve"> フルッタフルッタ</t>
  </si>
  <si>
    <t xml:space="preserve"> サントリーBF</t>
  </si>
  <si>
    <t xml:space="preserve"> ＹＫＴ</t>
  </si>
  <si>
    <t xml:space="preserve"> 石光商事</t>
  </si>
  <si>
    <t xml:space="preserve"> イフジ産業</t>
  </si>
  <si>
    <t xml:space="preserve"> グッドライフ</t>
  </si>
  <si>
    <t xml:space="preserve"> ソリトン</t>
  </si>
  <si>
    <t xml:space="preserve"> マツモトキヨシ</t>
  </si>
  <si>
    <t xml:space="preserve"> ウィル</t>
  </si>
  <si>
    <t xml:space="preserve"> テリロジー</t>
  </si>
  <si>
    <t xml:space="preserve"> サカイオーベ</t>
  </si>
  <si>
    <t xml:space="preserve"> ピクスタ</t>
  </si>
  <si>
    <t xml:space="preserve"> アルファCo</t>
  </si>
  <si>
    <t xml:space="preserve"> 特殊電極</t>
  </si>
  <si>
    <t xml:space="preserve"> G-FAC</t>
  </si>
  <si>
    <t xml:space="preserve"> 香陵住販</t>
  </si>
  <si>
    <t xml:space="preserve"> フジコー</t>
  </si>
  <si>
    <t xml:space="preserve"> マツオカ</t>
  </si>
  <si>
    <t xml:space="preserve"> ビリングシス</t>
  </si>
  <si>
    <t xml:space="preserve"> ＫＬａｂ</t>
  </si>
  <si>
    <t xml:space="preserve"> ネクソン</t>
  </si>
  <si>
    <t xml:space="preserve"> オルトプラス</t>
  </si>
  <si>
    <t xml:space="preserve"> サイバリンクス</t>
  </si>
  <si>
    <t xml:space="preserve"> ＦＦＲＩ</t>
  </si>
  <si>
    <t xml:space="preserve"> CRI・MW</t>
  </si>
  <si>
    <t xml:space="preserve"> 特種東海</t>
  </si>
  <si>
    <t xml:space="preserve"> ガンホー</t>
  </si>
  <si>
    <t xml:space="preserve"> イメージINF</t>
  </si>
  <si>
    <t xml:space="preserve"> 北越コーポ</t>
  </si>
  <si>
    <t xml:space="preserve"> マークラインズ</t>
  </si>
  <si>
    <t xml:space="preserve"> カヤック</t>
  </si>
  <si>
    <t xml:space="preserve"> ラクス</t>
  </si>
  <si>
    <t xml:space="preserve"> Ｄ　Ｓ</t>
  </si>
  <si>
    <t xml:space="preserve"> ユーザローカル</t>
  </si>
  <si>
    <t xml:space="preserve"> 昭電工</t>
  </si>
  <si>
    <t xml:space="preserve"> 稀元素</t>
  </si>
  <si>
    <t xml:space="preserve"> エア・ウォーター</t>
  </si>
  <si>
    <t xml:space="preserve"> 大日精</t>
  </si>
  <si>
    <t xml:space="preserve"> 応化工</t>
  </si>
  <si>
    <t xml:space="preserve"> KHネオケム</t>
  </si>
  <si>
    <t xml:space="preserve"> アミューズ</t>
  </si>
  <si>
    <t xml:space="preserve"> Eストアー</t>
  </si>
  <si>
    <t xml:space="preserve"> 電通Ｇ</t>
  </si>
  <si>
    <t xml:space="preserve"> ソースネクスト</t>
  </si>
  <si>
    <t xml:space="preserve"> ビープラッツ</t>
  </si>
  <si>
    <t xml:space="preserve"> ＳＩＧ</t>
  </si>
  <si>
    <t xml:space="preserve"> アクリート</t>
  </si>
  <si>
    <t xml:space="preserve"> BBSec</t>
  </si>
  <si>
    <t xml:space="preserve"> シノプス</t>
  </si>
  <si>
    <t xml:space="preserve"> ＧＤＨ</t>
  </si>
  <si>
    <t xml:space="preserve"> そーせい</t>
  </si>
  <si>
    <t xml:space="preserve"> ヘリオス</t>
  </si>
  <si>
    <t xml:space="preserve"> 窪田製薬</t>
  </si>
  <si>
    <t xml:space="preserve"> ソレイジア</t>
  </si>
  <si>
    <t xml:space="preserve"> サニックス</t>
  </si>
  <si>
    <t xml:space="preserve"> ＲＳＣ</t>
  </si>
  <si>
    <t xml:space="preserve"> アイサンテクノロ</t>
  </si>
  <si>
    <t xml:space="preserve"> ＫｅｙＨ</t>
  </si>
  <si>
    <t xml:space="preserve"> トスネット</t>
  </si>
  <si>
    <t xml:space="preserve"> サイボウズ</t>
  </si>
  <si>
    <t xml:space="preserve"> ライオン</t>
  </si>
  <si>
    <t xml:space="preserve"> 高砂香</t>
  </si>
  <si>
    <t xml:space="preserve"> 星光PMC</t>
  </si>
  <si>
    <t xml:space="preserve"> メック</t>
  </si>
  <si>
    <t xml:space="preserve"> タカラバイオ</t>
  </si>
  <si>
    <t xml:space="preserve"> リプロセル</t>
  </si>
  <si>
    <t xml:space="preserve"> アース製薬</t>
  </si>
  <si>
    <t xml:space="preserve"> 三谷セキ</t>
  </si>
  <si>
    <t xml:space="preserve"> Ａ＆ＡＭ</t>
  </si>
  <si>
    <t xml:space="preserve"> ＪＭＣ</t>
  </si>
  <si>
    <t xml:space="preserve"> 元　旦</t>
  </si>
  <si>
    <t xml:space="preserve"> ノーリツ</t>
  </si>
  <si>
    <t xml:space="preserve"> 日東精</t>
  </si>
  <si>
    <t xml:space="preserve"> 中国工</t>
  </si>
  <si>
    <t xml:space="preserve"> 協立AT</t>
  </si>
  <si>
    <t xml:space="preserve"> レントラックス</t>
  </si>
  <si>
    <t xml:space="preserve"> ユニバ園芸</t>
  </si>
  <si>
    <t xml:space="preserve"> 地盤ネットH</t>
  </si>
  <si>
    <t xml:space="preserve"> アーキテクツSJ</t>
  </si>
  <si>
    <t xml:space="preserve"> メドピア</t>
  </si>
  <si>
    <t xml:space="preserve"> ＦＵＪＩ</t>
  </si>
  <si>
    <t xml:space="preserve"> NITTOKU</t>
  </si>
  <si>
    <t xml:space="preserve"> エンシュウ</t>
  </si>
  <si>
    <t xml:space="preserve"> オプトラン</t>
  </si>
  <si>
    <t xml:space="preserve"> ＮＣＨＤ</t>
  </si>
  <si>
    <t xml:space="preserve"> ワイエイシイHD</t>
  </si>
  <si>
    <t xml:space="preserve"> 三精テクノ</t>
  </si>
  <si>
    <t xml:space="preserve"> オリチエン</t>
  </si>
  <si>
    <t xml:space="preserve"> 加藤製</t>
  </si>
  <si>
    <t xml:space="preserve"> 鈴茂器工</t>
  </si>
  <si>
    <t xml:space="preserve"> 桂川電</t>
  </si>
  <si>
    <t xml:space="preserve"> ヒーハイスト</t>
  </si>
  <si>
    <t xml:space="preserve"> 大和冷</t>
  </si>
  <si>
    <t xml:space="preserve"> ＴＨＫ</t>
  </si>
  <si>
    <t xml:space="preserve"> 共和コーポ</t>
  </si>
  <si>
    <t xml:space="preserve"> QBネットHD</t>
  </si>
  <si>
    <t xml:space="preserve"> トレックスセミ</t>
  </si>
  <si>
    <t xml:space="preserve"> WSCOPE</t>
  </si>
  <si>
    <t xml:space="preserve"> 寺崎電気</t>
  </si>
  <si>
    <t xml:space="preserve"> アルバック</t>
  </si>
  <si>
    <t xml:space="preserve"> ＪＤＩ</t>
  </si>
  <si>
    <t xml:space="preserve"> アイコム</t>
  </si>
  <si>
    <t xml:space="preserve"> キョウデン</t>
  </si>
  <si>
    <t xml:space="preserve"> アバール</t>
  </si>
  <si>
    <t xml:space="preserve"> フロンティアM</t>
  </si>
  <si>
    <t xml:space="preserve"> アルー</t>
  </si>
  <si>
    <t xml:space="preserve"> ピアラ</t>
  </si>
  <si>
    <t xml:space="preserve"> 日ホスピス</t>
  </si>
  <si>
    <t xml:space="preserve"> マーキュリア</t>
  </si>
  <si>
    <t xml:space="preserve"> デイトナ</t>
  </si>
  <si>
    <t xml:space="preserve"> 曙ブレーキ</t>
  </si>
  <si>
    <t xml:space="preserve"> イクヨ</t>
  </si>
  <si>
    <t xml:space="preserve"> 盟和産</t>
  </si>
  <si>
    <t xml:space="preserve"> 新家工</t>
  </si>
  <si>
    <t xml:space="preserve"> 小田原機</t>
  </si>
  <si>
    <t xml:space="preserve"> SBIインシュ</t>
  </si>
  <si>
    <t xml:space="preserve"> 伯　東</t>
  </si>
  <si>
    <t xml:space="preserve"> ダイヤ通商</t>
  </si>
  <si>
    <t xml:space="preserve"> 五洋インテ</t>
  </si>
  <si>
    <t xml:space="preserve"> ワタミ</t>
  </si>
  <si>
    <t xml:space="preserve"> 杉田エース</t>
  </si>
  <si>
    <t xml:space="preserve"> 長野計器</t>
  </si>
  <si>
    <t xml:space="preserve"> ＩＭＶ</t>
  </si>
  <si>
    <t xml:space="preserve"> 壽　屋</t>
  </si>
  <si>
    <t xml:space="preserve"> 遠藤製作</t>
  </si>
  <si>
    <t xml:space="preserve"> 三光産</t>
  </si>
  <si>
    <t xml:space="preserve"> セイコーＨＤ</t>
  </si>
  <si>
    <t xml:space="preserve"> 昭光商</t>
  </si>
  <si>
    <t xml:space="preserve"> ゼット</t>
  </si>
  <si>
    <t xml:space="preserve"> 三菱Uリース</t>
  </si>
  <si>
    <t xml:space="preserve"> トレイダーズ</t>
  </si>
  <si>
    <t xml:space="preserve"> アドバンスク</t>
  </si>
  <si>
    <t xml:space="preserve"> 日住サ</t>
  </si>
  <si>
    <t xml:space="preserve"> 京　急</t>
  </si>
  <si>
    <t xml:space="preserve"> セイノーHD</t>
  </si>
  <si>
    <t xml:space="preserve"> タカセ</t>
  </si>
  <si>
    <t xml:space="preserve"> 一家ダイニ</t>
  </si>
  <si>
    <t xml:space="preserve"> ブックオフGH</t>
  </si>
  <si>
    <t xml:space="preserve"> いちごグ</t>
  </si>
  <si>
    <t xml:space="preserve"> 乾汽船</t>
  </si>
  <si>
    <t xml:space="preserve"> 新潟放</t>
  </si>
  <si>
    <t xml:space="preserve"> アルファポリス</t>
  </si>
  <si>
    <t xml:space="preserve"> ウィルソンWLW</t>
  </si>
  <si>
    <t xml:space="preserve"> タナベ経</t>
  </si>
  <si>
    <t xml:space="preserve"> グリンランド</t>
  </si>
  <si>
    <t xml:space="preserve"> ロイヤルホテル</t>
  </si>
  <si>
    <t xml:space="preserve"> 白洋舎</t>
  </si>
  <si>
    <t xml:space="preserve"> 富士ソフト</t>
  </si>
  <si>
    <t xml:space="preserve"> グルメ杵屋</t>
  </si>
  <si>
    <t xml:space="preserve"> シャルレ</t>
  </si>
  <si>
    <t xml:space="preserve"> 北沢産</t>
  </si>
  <si>
    <t xml:space="preserve"> 鉄建建設</t>
  </si>
  <si>
    <t xml:space="preserve"> 東亜道</t>
  </si>
  <si>
    <t xml:space="preserve"> サッポロHD</t>
  </si>
  <si>
    <t xml:space="preserve"> エコナックHD</t>
  </si>
  <si>
    <t xml:space="preserve"> enish</t>
  </si>
  <si>
    <t xml:space="preserve"> フィックスタース</t>
  </si>
  <si>
    <t xml:space="preserve"> ジョルダン</t>
  </si>
  <si>
    <t xml:space="preserve"> フェイス</t>
  </si>
  <si>
    <t xml:space="preserve"> アンドール</t>
  </si>
  <si>
    <t xml:space="preserve"> ジャストシステ</t>
  </si>
  <si>
    <t xml:space="preserve"> エンビプロH</t>
  </si>
  <si>
    <t xml:space="preserve"> エルアイイエイチ</t>
  </si>
  <si>
    <t xml:space="preserve"> OSJBHD</t>
  </si>
  <si>
    <t xml:space="preserve"> フリュー</t>
  </si>
  <si>
    <t xml:space="preserve"> 酉島製</t>
  </si>
  <si>
    <t xml:space="preserve"> 木村化</t>
  </si>
  <si>
    <t xml:space="preserve"> ウェルビー</t>
  </si>
  <si>
    <t xml:space="preserve"> 星和電</t>
  </si>
  <si>
    <t xml:space="preserve"> AKIBA</t>
  </si>
  <si>
    <t xml:space="preserve"> テクノセブン</t>
  </si>
  <si>
    <t xml:space="preserve"> アイレックス</t>
  </si>
  <si>
    <t xml:space="preserve"> アクセスGHD</t>
  </si>
  <si>
    <t xml:space="preserve"> きらぼし</t>
  </si>
  <si>
    <t xml:space="preserve"> 九州ＦＧ</t>
  </si>
  <si>
    <t xml:space="preserve"> 東ボード</t>
  </si>
  <si>
    <t xml:space="preserve"> MUTOH-HD</t>
  </si>
  <si>
    <t xml:space="preserve"> Jトラスト</t>
  </si>
  <si>
    <t xml:space="preserve"> 誠建設</t>
  </si>
  <si>
    <t xml:space="preserve"> エヌジェイHD</t>
  </si>
  <si>
    <t xml:space="preserve"> 日建工</t>
  </si>
  <si>
    <t xml:space="preserve"> リリカラ</t>
  </si>
  <si>
    <t xml:space="preserve"> 平和紙</t>
  </si>
  <si>
    <t xml:space="preserve"> 太洋物</t>
  </si>
  <si>
    <t xml:space="preserve"> 大黒屋</t>
  </si>
  <si>
    <t xml:space="preserve"> アイビーシー</t>
  </si>
  <si>
    <t xml:space="preserve"> TATERU</t>
  </si>
  <si>
    <t xml:space="preserve"> クルーズ</t>
  </si>
  <si>
    <t xml:space="preserve"> ＮＪＳ</t>
  </si>
  <si>
    <t xml:space="preserve"> 極楽湯HD</t>
  </si>
  <si>
    <t xml:space="preserve"> 三光ＭＦ</t>
  </si>
  <si>
    <t xml:space="preserve"> ＡＰＣ</t>
  </si>
  <si>
    <t xml:space="preserve"> アズマハウス</t>
  </si>
  <si>
    <t xml:space="preserve"> INEST</t>
  </si>
  <si>
    <t xml:space="preserve"> RSTECH</t>
  </si>
  <si>
    <t xml:space="preserve"> クロスマーケG</t>
  </si>
  <si>
    <t xml:space="preserve"> イグニス</t>
  </si>
  <si>
    <t xml:space="preserve"> クラウドワクス</t>
  </si>
  <si>
    <t xml:space="preserve"> セグエ</t>
  </si>
  <si>
    <t xml:space="preserve"> 日理化</t>
  </si>
  <si>
    <t xml:space="preserve"> SAMURAI</t>
  </si>
  <si>
    <t xml:space="preserve"> コスモエネHD</t>
  </si>
  <si>
    <t xml:space="preserve"> フジマック</t>
  </si>
  <si>
    <t xml:space="preserve"> ＪＳＳ</t>
  </si>
  <si>
    <t xml:space="preserve"> レアジョブ</t>
  </si>
  <si>
    <t xml:space="preserve"> AppBank</t>
  </si>
  <si>
    <t xml:space="preserve"> LITALICO</t>
  </si>
  <si>
    <t xml:space="preserve"> オカタアイヨン</t>
  </si>
  <si>
    <t xml:space="preserve"> キャリアインデ</t>
  </si>
  <si>
    <t xml:space="preserve"> ミダック</t>
  </si>
  <si>
    <t xml:space="preserve"> マブチ</t>
  </si>
  <si>
    <t xml:space="preserve"> PCDEPOT</t>
  </si>
  <si>
    <t xml:space="preserve"> オーウエル</t>
  </si>
  <si>
    <t xml:space="preserve"> セコニック</t>
  </si>
  <si>
    <t xml:space="preserve"> 日本創発</t>
  </si>
  <si>
    <t xml:space="preserve"> カワセCS</t>
  </si>
  <si>
    <t xml:space="preserve"> 三谷商</t>
  </si>
  <si>
    <t xml:space="preserve"> 千趣会</t>
  </si>
  <si>
    <t xml:space="preserve"> フューチャーVC</t>
  </si>
  <si>
    <t xml:space="preserve"> ＧＦＡ</t>
  </si>
  <si>
    <t xml:space="preserve"> エリアクエスト</t>
  </si>
  <si>
    <t xml:space="preserve"> マミーマート</t>
  </si>
  <si>
    <t xml:space="preserve"> 日基礎</t>
  </si>
  <si>
    <t xml:space="preserve"> TOYOTIRE</t>
  </si>
  <si>
    <t>282"</t>
  </si>
  <si>
    <t xml:space="preserve"> ダイヤHD</t>
  </si>
  <si>
    <t xml:space="preserve"> トミタ</t>
  </si>
  <si>
    <t xml:space="preserve"> 太陽工機</t>
  </si>
  <si>
    <t xml:space="preserve"> 光通信</t>
  </si>
  <si>
    <t xml:space="preserve"> ADEKA</t>
  </si>
  <si>
    <t xml:space="preserve"> 大塚ＨＤ</t>
  </si>
  <si>
    <t>" 27</t>
  </si>
  <si>
    <t xml:space="preserve"> 旭コンクリ</t>
  </si>
  <si>
    <t xml:space="preserve"> バリューHR</t>
  </si>
  <si>
    <t xml:space="preserve"> スマートバリュ</t>
  </si>
  <si>
    <t xml:space="preserve"> ベリテ</t>
  </si>
  <si>
    <t xml:space="preserve"> ヤマウラ</t>
  </si>
  <si>
    <t xml:space="preserve"> サンユ建</t>
  </si>
  <si>
    <t xml:space="preserve"> ノムラシステム</t>
  </si>
  <si>
    <t xml:space="preserve"> ラサ工</t>
  </si>
  <si>
    <t xml:space="preserve"> DELTA-P</t>
  </si>
  <si>
    <t xml:space="preserve"> ニチリン</t>
  </si>
  <si>
    <t xml:space="preserve"> 日ヒューム</t>
  </si>
  <si>
    <t xml:space="preserve"> 小田原</t>
  </si>
  <si>
    <t xml:space="preserve"> 宮越ＨＤ</t>
  </si>
  <si>
    <t xml:space="preserve"> 抵抗器</t>
  </si>
  <si>
    <t xml:space="preserve"> 菊水化</t>
  </si>
  <si>
    <t xml:space="preserve"> 東ソワール</t>
  </si>
  <si>
    <t xml:space="preserve"> 東　映</t>
  </si>
  <si>
    <t xml:space="preserve"> 技研ＨＤ</t>
  </si>
  <si>
    <t xml:space="preserve"> 第一カッター</t>
  </si>
  <si>
    <t xml:space="preserve"> 常磐開発</t>
  </si>
  <si>
    <t xml:space="preserve"> アジアGTHD</t>
  </si>
  <si>
    <t xml:space="preserve"> ビルト工</t>
  </si>
  <si>
    <t xml:space="preserve"> ＪＡＣＲ</t>
  </si>
  <si>
    <t xml:space="preserve"> ビーネックスG</t>
  </si>
  <si>
    <t xml:space="preserve"> ＧＣＡ</t>
  </si>
  <si>
    <t xml:space="preserve"> アミタHD</t>
  </si>
  <si>
    <t xml:space="preserve"> グリコ</t>
  </si>
  <si>
    <t xml:space="preserve"> 山崎パン</t>
  </si>
  <si>
    <t xml:space="preserve"> 東北新社</t>
  </si>
  <si>
    <t xml:space="preserve"> ヒューマンHD</t>
  </si>
  <si>
    <t xml:space="preserve"> ツカダGHD</t>
  </si>
  <si>
    <t xml:space="preserve"> キリンHD</t>
  </si>
  <si>
    <t xml:space="preserve"> 夢　隊</t>
  </si>
  <si>
    <t xml:space="preserve"> 久　世</t>
  </si>
  <si>
    <t xml:space="preserve"> フジオフード</t>
  </si>
  <si>
    <t xml:space="preserve"> アップル</t>
  </si>
  <si>
    <t xml:space="preserve"> プリメックス</t>
  </si>
  <si>
    <t xml:space="preserve"> 日東ベスト</t>
  </si>
  <si>
    <t xml:space="preserve"> 仙波糖化</t>
  </si>
  <si>
    <t xml:space="preserve"> SREHD</t>
  </si>
  <si>
    <t xml:space="preserve"> アプライド</t>
  </si>
  <si>
    <t xml:space="preserve"> セキュアヴェイ</t>
  </si>
  <si>
    <t xml:space="preserve"> あいＨＤ</t>
  </si>
  <si>
    <t xml:space="preserve"> オーシャン</t>
  </si>
  <si>
    <t xml:space="preserve"> マーチャント</t>
  </si>
  <si>
    <t xml:space="preserve"> セントラル総</t>
  </si>
  <si>
    <t xml:space="preserve"> オープンハウス</t>
  </si>
  <si>
    <t xml:space="preserve"> ムゲンエステト</t>
  </si>
  <si>
    <t xml:space="preserve"> AMBITION</t>
  </si>
  <si>
    <t xml:space="preserve"> 帝繊維</t>
  </si>
  <si>
    <t xml:space="preserve"> アルファＧ</t>
  </si>
  <si>
    <t xml:space="preserve"> ワイエスフード</t>
  </si>
  <si>
    <t xml:space="preserve"> タイセイ</t>
  </si>
  <si>
    <t xml:space="preserve"> 内外テック</t>
  </si>
  <si>
    <t xml:space="preserve"> コスモ・バイオ</t>
  </si>
  <si>
    <t xml:space="preserve"> CREロジ</t>
  </si>
  <si>
    <t xml:space="preserve"> マリオン</t>
  </si>
  <si>
    <t xml:space="preserve"> プロスペクト</t>
  </si>
  <si>
    <t xml:space="preserve"> エムアップ</t>
  </si>
  <si>
    <t xml:space="preserve"> じげん</t>
  </si>
  <si>
    <t xml:space="preserve"> ホットリンク</t>
  </si>
  <si>
    <t xml:space="preserve"> リアルワールド</t>
  </si>
  <si>
    <t xml:space="preserve"> オプティム</t>
  </si>
  <si>
    <t xml:space="preserve"> セレス</t>
  </si>
  <si>
    <t xml:space="preserve"> インタトレード</t>
  </si>
  <si>
    <t xml:space="preserve"> フライトHD</t>
  </si>
  <si>
    <t xml:space="preserve"> REMIX</t>
  </si>
  <si>
    <t xml:space="preserve"> アステリア</t>
  </si>
  <si>
    <t xml:space="preserve"> ユビキタスAI</t>
  </si>
  <si>
    <t xml:space="preserve"> Aiming</t>
  </si>
  <si>
    <t xml:space="preserve"> アイリッジ</t>
  </si>
  <si>
    <t xml:space="preserve"> マイネット</t>
  </si>
  <si>
    <t xml:space="preserve"> シルバエッグ</t>
  </si>
  <si>
    <t xml:space="preserve"> ＣＡＰ</t>
  </si>
  <si>
    <t xml:space="preserve"> ビーグリー</t>
  </si>
  <si>
    <t xml:space="preserve"> オ　ロ</t>
  </si>
  <si>
    <t xml:space="preserve"> エコモット</t>
  </si>
  <si>
    <t xml:space="preserve"> ナレッジスイト</t>
  </si>
  <si>
    <t xml:space="preserve"> 関電化</t>
  </si>
  <si>
    <t xml:space="preserve"> チタン工</t>
  </si>
  <si>
    <t xml:space="preserve"> 大倉工</t>
  </si>
  <si>
    <t xml:space="preserve"> ＵＦＨＤ</t>
  </si>
  <si>
    <t xml:space="preserve"> レッグス</t>
  </si>
  <si>
    <t xml:space="preserve"> イーソル</t>
  </si>
  <si>
    <t xml:space="preserve"> リビンＴ</t>
  </si>
  <si>
    <t xml:space="preserve"> フリー</t>
  </si>
  <si>
    <t xml:space="preserve"> メドレー</t>
  </si>
  <si>
    <t xml:space="preserve"> 日医工</t>
  </si>
  <si>
    <t xml:space="preserve"> 沢井製薬</t>
  </si>
  <si>
    <t xml:space="preserve"> ナノキャリア</t>
  </si>
  <si>
    <t xml:space="preserve"> ラクオリア</t>
  </si>
  <si>
    <t xml:space="preserve"> ブライトパス</t>
  </si>
  <si>
    <t xml:space="preserve"> サカタインクス</t>
  </si>
  <si>
    <t xml:space="preserve"> ダイオーズ</t>
  </si>
  <si>
    <t xml:space="preserve"> ニッパンR</t>
  </si>
  <si>
    <t xml:space="preserve"> CACHD</t>
  </si>
  <si>
    <t xml:space="preserve"> ぱ　ど</t>
  </si>
  <si>
    <t xml:space="preserve"> ポーラオルHD</t>
  </si>
  <si>
    <t xml:space="preserve"> 日精蝋</t>
  </si>
  <si>
    <t xml:space="preserve"> ベルテクス</t>
  </si>
  <si>
    <t xml:space="preserve"> ダントーHD</t>
  </si>
  <si>
    <t xml:space="preserve"> イボキン</t>
  </si>
  <si>
    <t xml:space="preserve"> 滝上工</t>
  </si>
  <si>
    <t xml:space="preserve"> オーネックス</t>
  </si>
  <si>
    <t xml:space="preserve"> リブセンス</t>
  </si>
  <si>
    <t xml:space="preserve"> トレンダーズ</t>
  </si>
  <si>
    <t xml:space="preserve"> ＩＢＪ</t>
  </si>
  <si>
    <t xml:space="preserve"> フリークアウト</t>
  </si>
  <si>
    <t xml:space="preserve"> ソディック</t>
  </si>
  <si>
    <t xml:space="preserve"> 日本郵政</t>
  </si>
  <si>
    <t xml:space="preserve"> パートナーA</t>
  </si>
  <si>
    <t xml:space="preserve"> ＰＸＢ</t>
  </si>
  <si>
    <t xml:space="preserve"> ＡＣＳＬ</t>
  </si>
  <si>
    <t xml:space="preserve"> 極東産機</t>
  </si>
  <si>
    <t xml:space="preserve"> タツモ</t>
  </si>
  <si>
    <t xml:space="preserve"> 井関農</t>
  </si>
  <si>
    <t xml:space="preserve"> シンニッタン</t>
  </si>
  <si>
    <t xml:space="preserve"> クボタ</t>
  </si>
  <si>
    <t xml:space="preserve"> フリージアマク</t>
  </si>
  <si>
    <t xml:space="preserve"> 日機装</t>
  </si>
  <si>
    <t xml:space="preserve"> リケン</t>
  </si>
  <si>
    <t xml:space="preserve"> ハマイ</t>
  </si>
  <si>
    <t xml:space="preserve"> リファインバス</t>
  </si>
  <si>
    <t xml:space="preserve"> オーケストラHD</t>
  </si>
  <si>
    <t xml:space="preserve"> ＩＩＦ</t>
  </si>
  <si>
    <t xml:space="preserve"> ツナグGHD</t>
  </si>
  <si>
    <t xml:space="preserve"> エスユーエス</t>
  </si>
  <si>
    <t xml:space="preserve"> HANATOUR</t>
  </si>
  <si>
    <t xml:space="preserve"> HUMANAHD</t>
  </si>
  <si>
    <t xml:space="preserve"> ライトアップ</t>
  </si>
  <si>
    <t xml:space="preserve"> UMCエレ</t>
  </si>
  <si>
    <t xml:space="preserve"> JALCO HD</t>
  </si>
  <si>
    <t xml:space="preserve"> 大日光</t>
  </si>
  <si>
    <t xml:space="preserve"> シライ電子</t>
  </si>
  <si>
    <t xml:space="preserve"> ズーム</t>
  </si>
  <si>
    <t xml:space="preserve"> テックポイント</t>
  </si>
  <si>
    <t xml:space="preserve"> ローランドDG</t>
  </si>
  <si>
    <t xml:space="preserve"> アライドHD</t>
  </si>
  <si>
    <t xml:space="preserve"> 堀場製</t>
  </si>
  <si>
    <t xml:space="preserve"> フェローテック</t>
  </si>
  <si>
    <t xml:space="preserve"> オプテックスG</t>
  </si>
  <si>
    <t xml:space="preserve"> 千代インテ</t>
  </si>
  <si>
    <t xml:space="preserve"> じもとHD</t>
  </si>
  <si>
    <t xml:space="preserve"> ゆうちょ</t>
  </si>
  <si>
    <t xml:space="preserve"> ユニバンス</t>
  </si>
  <si>
    <t xml:space="preserve"> 安　永</t>
  </si>
  <si>
    <t xml:space="preserve"> はるやま</t>
  </si>
  <si>
    <t xml:space="preserve"> 初穂商事</t>
  </si>
  <si>
    <t xml:space="preserve"> 三城ＨＤ</t>
  </si>
  <si>
    <t xml:space="preserve"> マルシェ</t>
  </si>
  <si>
    <t xml:space="preserve"> 大田花き</t>
  </si>
  <si>
    <t xml:space="preserve"> ヤマノHD</t>
  </si>
  <si>
    <t xml:space="preserve"> かんなん</t>
  </si>
  <si>
    <t xml:space="preserve"> ＰＳＳ</t>
  </si>
  <si>
    <t xml:space="preserve"> 東京精</t>
  </si>
  <si>
    <t xml:space="preserve"> サイバダイン</t>
  </si>
  <si>
    <t xml:space="preserve"> 平　山</t>
  </si>
  <si>
    <t xml:space="preserve"> シンシア</t>
  </si>
  <si>
    <t xml:space="preserve"> ＭＴＧ</t>
  </si>
  <si>
    <t xml:space="preserve"> アシックス</t>
  </si>
  <si>
    <t xml:space="preserve"> フジコピア</t>
  </si>
  <si>
    <t xml:space="preserve"> 菱鉛筆</t>
  </si>
  <si>
    <t xml:space="preserve"> クワザワ</t>
  </si>
  <si>
    <t xml:space="preserve"> シナネンHD</t>
  </si>
  <si>
    <t xml:space="preserve"> スルガ銀</t>
  </si>
  <si>
    <t xml:space="preserve"> トモニHD</t>
  </si>
  <si>
    <t xml:space="preserve"> 岡藤ＨＤ</t>
  </si>
  <si>
    <t xml:space="preserve"> あかつき</t>
  </si>
  <si>
    <t xml:space="preserve"> Ｔ＆ＤHD</t>
  </si>
  <si>
    <t xml:space="preserve"> ＲＩＳＥ</t>
  </si>
  <si>
    <t xml:space="preserve"> レーサム</t>
  </si>
  <si>
    <t xml:space="preserve"> エリアリンク</t>
  </si>
  <si>
    <t xml:space="preserve"> 日本プラR</t>
  </si>
  <si>
    <t>375"</t>
  </si>
  <si>
    <t xml:space="preserve"> 鴻池運輸</t>
  </si>
  <si>
    <t xml:space="preserve"> オプティマス</t>
  </si>
  <si>
    <t xml:space="preserve"> ブティックス</t>
  </si>
  <si>
    <t xml:space="preserve"> アジア開発</t>
  </si>
  <si>
    <t xml:space="preserve"> サカイHD</t>
  </si>
  <si>
    <t xml:space="preserve"> 学研ＨＤ</t>
  </si>
  <si>
    <t xml:space="preserve"> 葉ガス</t>
  </si>
  <si>
    <t xml:space="preserve"> 建設技研</t>
  </si>
  <si>
    <t xml:space="preserve"> テアトル</t>
  </si>
  <si>
    <t xml:space="preserve"> アイエスビー</t>
  </si>
  <si>
    <t xml:space="preserve"> リニカル</t>
  </si>
  <si>
    <t xml:space="preserve"> 第一パン</t>
  </si>
  <si>
    <t xml:space="preserve"> ボーソー</t>
  </si>
  <si>
    <t xml:space="preserve"> 片　倉</t>
  </si>
  <si>
    <t xml:space="preserve"> ペッパー</t>
  </si>
  <si>
    <t xml:space="preserve"> ホットランド</t>
  </si>
  <si>
    <t xml:space="preserve"> フジタコーポ</t>
  </si>
  <si>
    <t xml:space="preserve"> アートスパーク</t>
  </si>
  <si>
    <t xml:space="preserve"> チエル</t>
  </si>
  <si>
    <t xml:space="preserve"> うるる</t>
  </si>
  <si>
    <t xml:space="preserve"> PKSHA</t>
  </si>
  <si>
    <t xml:space="preserve"> くふう</t>
  </si>
  <si>
    <t xml:space="preserve"> トライアイズ</t>
  </si>
  <si>
    <t xml:space="preserve"> スパンクリト</t>
  </si>
  <si>
    <t xml:space="preserve"> ＴＹＫ</t>
  </si>
  <si>
    <t xml:space="preserve"> 理コランダ</t>
  </si>
  <si>
    <t xml:space="preserve"> 大和重</t>
  </si>
  <si>
    <t xml:space="preserve"> S・サイエンス</t>
  </si>
  <si>
    <t xml:space="preserve"> 中西製作</t>
  </si>
  <si>
    <t xml:space="preserve"> インパクト</t>
  </si>
  <si>
    <t xml:space="preserve"> アライドアーキ</t>
  </si>
  <si>
    <t xml:space="preserve"> エンバイオHD</t>
  </si>
  <si>
    <t xml:space="preserve"> 妙　徳</t>
  </si>
  <si>
    <t xml:space="preserve"> ナビタス</t>
  </si>
  <si>
    <t xml:space="preserve"> エアーテック</t>
  </si>
  <si>
    <t xml:space="preserve"> 太平製</t>
  </si>
  <si>
    <t xml:space="preserve"> 船　場</t>
  </si>
  <si>
    <t xml:space="preserve"> ディエムソリュ</t>
  </si>
  <si>
    <t xml:space="preserve"> ｇｂＨＤ</t>
  </si>
  <si>
    <t xml:space="preserve"> 新コスモス</t>
  </si>
  <si>
    <t xml:space="preserve"> 多摩川HD</t>
  </si>
  <si>
    <t xml:space="preserve"> ソフィアHD</t>
  </si>
  <si>
    <t xml:space="preserve"> ＩＮＣ</t>
  </si>
  <si>
    <t xml:space="preserve"> テイン</t>
  </si>
  <si>
    <t xml:space="preserve"> 日アイエスケイ</t>
  </si>
  <si>
    <t xml:space="preserve"> ラオックス</t>
  </si>
  <si>
    <t xml:space="preserve"> 東京海上</t>
  </si>
  <si>
    <t xml:space="preserve"> フロンティアRE</t>
  </si>
  <si>
    <t xml:space="preserve"> 秩父鉄</t>
  </si>
  <si>
    <t xml:space="preserve"> 鈴与シンワ</t>
  </si>
  <si>
    <t xml:space="preserve"> アゴーラHG</t>
  </si>
  <si>
    <t xml:space="preserve"> 大日本コン</t>
  </si>
  <si>
    <t xml:space="preserve"> ひらまつ</t>
  </si>
  <si>
    <t xml:space="preserve"> キャリア</t>
  </si>
  <si>
    <t xml:space="preserve"> 19:00</t>
  </si>
  <si>
    <t xml:space="preserve"> Wismetac</t>
  </si>
  <si>
    <t xml:space="preserve"> ITbookHD</t>
  </si>
  <si>
    <t xml:space="preserve"> スペースVHD</t>
  </si>
  <si>
    <t xml:space="preserve"> FRONTEO</t>
  </si>
  <si>
    <t xml:space="preserve"> nms HD</t>
  </si>
  <si>
    <t xml:space="preserve"> 福留ハム</t>
  </si>
  <si>
    <t xml:space="preserve"> アウトソシング</t>
  </si>
  <si>
    <t xml:space="preserve"> 日本和装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</si>
  <si>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</si>
  <si>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</si>
  <si>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</si>
  <si>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</si>
  <si>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ユニゾHD</t>
  </si>
  <si>
    <t xml:space="preserve"> レカム</t>
  </si>
  <si>
    <t xml:space="preserve"> リネットJPN</t>
  </si>
  <si>
    <t xml:space="preserve"> オークファン</t>
  </si>
  <si>
    <t xml:space="preserve"> フォーシーズH</t>
  </si>
  <si>
    <t xml:space="preserve"> アエリア</t>
  </si>
  <si>
    <t xml:space="preserve"> ＤＤＳ</t>
  </si>
  <si>
    <t xml:space="preserve"> ＰＡＴＨ</t>
  </si>
  <si>
    <t xml:space="preserve"> ＺＵＵ</t>
  </si>
  <si>
    <t xml:space="preserve"> アルテリア</t>
  </si>
  <si>
    <t xml:space="preserve"> ユナイト&amp;グロ</t>
  </si>
  <si>
    <t xml:space="preserve"> カイオム</t>
  </si>
  <si>
    <t xml:space="preserve"> ストリムメディ</t>
  </si>
  <si>
    <t xml:space="preserve"> OATアグリオ</t>
  </si>
  <si>
    <t xml:space="preserve"> 昭和ＨＤ</t>
  </si>
  <si>
    <t xml:space="preserve"> ＭＲＴ</t>
  </si>
  <si>
    <t xml:space="preserve"> 土木管理</t>
  </si>
  <si>
    <t xml:space="preserve"> イワキポンプ</t>
  </si>
  <si>
    <t xml:space="preserve"> 明治機</t>
  </si>
  <si>
    <t xml:space="preserve"> ユニバーサル</t>
  </si>
  <si>
    <t xml:space="preserve"> みらいWK</t>
  </si>
  <si>
    <t xml:space="preserve"> 要興業</t>
  </si>
  <si>
    <t xml:space="preserve"> オンキヨー</t>
  </si>
  <si>
    <t xml:space="preserve"> CRGHD</t>
  </si>
  <si>
    <t xml:space="preserve"> カーメイト</t>
  </si>
  <si>
    <t xml:space="preserve"> 岡本硝子</t>
  </si>
  <si>
    <t xml:space="preserve"> イトーキ</t>
  </si>
  <si>
    <t xml:space="preserve"> ロイヤルHD</t>
  </si>
  <si>
    <t xml:space="preserve"> SOMPOHD</t>
  </si>
  <si>
    <t xml:space="preserve"> MS&amp;AD</t>
  </si>
  <si>
    <t xml:space="preserve"> エイシアンスター</t>
  </si>
  <si>
    <t xml:space="preserve"> 国際紙パ</t>
  </si>
  <si>
    <t xml:space="preserve"> 東京インフラ</t>
  </si>
  <si>
    <t xml:space="preserve"> ラックランド</t>
  </si>
  <si>
    <t xml:space="preserve"> 2/17</t>
  </si>
  <si>
    <t xml:space="preserve"> 洋インキHD</t>
  </si>
  <si>
    <t xml:space="preserve"> 清和中央</t>
  </si>
  <si>
    <t xml:space="preserve"> Jエクセレント</t>
  </si>
  <si>
    <t xml:space="preserve"> フィスコ</t>
  </si>
  <si>
    <t xml:space="preserve"> ブリヂストン</t>
  </si>
  <si>
    <t xml:space="preserve"> 2/18</t>
  </si>
  <si>
    <t xml:space="preserve"> 佐渡汽</t>
  </si>
  <si>
    <t xml:space="preserve"> マリモリート</t>
  </si>
  <si>
    <t xml:space="preserve"> さくら総</t>
  </si>
  <si>
    <t xml:space="preserve"> ＲＥＤ</t>
  </si>
  <si>
    <t xml:space="preserve"> ＪＨＤ</t>
  </si>
  <si>
    <t xml:space="preserve"> 日本リート</t>
  </si>
  <si>
    <t xml:space="preserve"> MidCity</t>
  </si>
  <si>
    <t xml:space="preserve"> ＩＮＶ</t>
  </si>
  <si>
    <t xml:space="preserve"> 4/10</t>
  </si>
  <si>
    <t xml:space="preserve"> 4/13</t>
  </si>
  <si>
    <t>北陸電気工事</t>
  </si>
  <si>
    <t>日本製粉</t>
  </si>
  <si>
    <t>ダイドーグループホールディングス</t>
  </si>
  <si>
    <t>フージャースホールディングス</t>
  </si>
  <si>
    <t>ジェイ・エス・ビー</t>
  </si>
  <si>
    <t>野村総合研究所</t>
  </si>
  <si>
    <t>三洋工業</t>
  </si>
  <si>
    <t>ユニオンツール</t>
  </si>
  <si>
    <t>コジマ</t>
  </si>
  <si>
    <t>シード</t>
  </si>
  <si>
    <t>東洋証券</t>
  </si>
  <si>
    <t>日清紡ホールディングス</t>
    <phoneticPr fontId="1" type="noConversion"/>
  </si>
  <si>
    <t>トヨタ紡織</t>
    <phoneticPr fontId="1" type="noConversion"/>
  </si>
  <si>
    <t>制度</t>
    <phoneticPr fontId="1" type="noConversion"/>
  </si>
  <si>
    <t>167"</t>
  </si>
  <si>
    <t>592"</t>
  </si>
  <si>
    <t>015"</t>
  </si>
  <si>
    <t>458"</t>
  </si>
  <si>
    <t>" 56</t>
  </si>
  <si>
    <t>" 54</t>
  </si>
  <si>
    <t>646"</t>
  </si>
  <si>
    <t>870"</t>
  </si>
  <si>
    <t>369"</t>
  </si>
  <si>
    <t>052"</t>
  </si>
  <si>
    <t>794"</t>
  </si>
  <si>
    <t>095"</t>
  </si>
  <si>
    <t>" 43</t>
  </si>
  <si>
    <t xml:space="preserve"> イオンFS</t>
  </si>
  <si>
    <t>728"</t>
  </si>
  <si>
    <t xml:space="preserve"> 3/19</t>
  </si>
  <si>
    <t xml:space="preserve"> 石井表記</t>
  </si>
  <si>
    <t xml:space="preserve"> 4/14</t>
  </si>
  <si>
    <t>312"</t>
  </si>
  <si>
    <t xml:space="preserve"> REVOLUTI</t>
  </si>
  <si>
    <t xml:space="preserve"> 04月下旬</t>
  </si>
  <si>
    <t>大氣社</t>
  </si>
  <si>
    <t>ＴＯＫＡＩホールディングス</t>
  </si>
  <si>
    <t>ネクステージ</t>
  </si>
  <si>
    <t>協和キリン</t>
  </si>
  <si>
    <t>スプリックス</t>
  </si>
  <si>
    <t>ジェイリース</t>
  </si>
  <si>
    <t>マニー</t>
  </si>
  <si>
    <t>島忠</t>
  </si>
  <si>
    <t>丸紅建材リース</t>
  </si>
  <si>
    <t>大庄</t>
  </si>
  <si>
    <t>ファーストリテイリング</t>
  </si>
  <si>
    <t>日本碍子</t>
    <phoneticPr fontId="1" type="noConversion"/>
  </si>
  <si>
    <t>日鉄物産</t>
    <phoneticPr fontId="1" type="noConversion"/>
  </si>
  <si>
    <t>制度</t>
    <phoneticPr fontId="1" type="noConversion"/>
  </si>
  <si>
    <t>034"</t>
  </si>
  <si>
    <t>081"</t>
  </si>
  <si>
    <t>973"</t>
  </si>
  <si>
    <t>576"</t>
  </si>
  <si>
    <t>145"</t>
  </si>
  <si>
    <t>816"</t>
  </si>
  <si>
    <t>" 26</t>
  </si>
  <si>
    <t>907"</t>
  </si>
  <si>
    <t>508"</t>
  </si>
  <si>
    <t>344"</t>
  </si>
  <si>
    <t>152"</t>
  </si>
  <si>
    <t>418"</t>
  </si>
  <si>
    <t>653"</t>
  </si>
  <si>
    <t>979"</t>
  </si>
  <si>
    <t>306"</t>
  </si>
  <si>
    <t>908"</t>
  </si>
  <si>
    <t>" 70</t>
  </si>
  <si>
    <t>493"</t>
  </si>
  <si>
    <t>829"</t>
  </si>
  <si>
    <t>441"</t>
  </si>
  <si>
    <t>108"</t>
  </si>
  <si>
    <t xml:space="preserve"> 3/5</t>
  </si>
  <si>
    <t xml:space="preserve"> ラクーンHD</t>
  </si>
  <si>
    <t xml:space="preserve"> アスカネット</t>
  </si>
  <si>
    <t>739"</t>
  </si>
  <si>
    <t xml:space="preserve"> JESCO HD</t>
  </si>
  <si>
    <t xml:space="preserve"> キャンドゥ</t>
  </si>
  <si>
    <t>ユアテック</t>
  </si>
  <si>
    <t>パソナグループ</t>
  </si>
  <si>
    <t>ツクイ</t>
  </si>
  <si>
    <t>ケンコーマヨネーズ</t>
  </si>
  <si>
    <t>ビューティガレージ</t>
  </si>
  <si>
    <t>日本毛織</t>
  </si>
  <si>
    <t>力の源ホールディングス</t>
  </si>
  <si>
    <t>扶桑化学工業</t>
  </si>
  <si>
    <t>日油</t>
  </si>
  <si>
    <t>三ツ星ベルト</t>
  </si>
  <si>
    <t>アイダエンジニアリング</t>
  </si>
  <si>
    <t>共和電業</t>
  </si>
  <si>
    <t>北陸電気工業</t>
  </si>
  <si>
    <t>日本モーゲージサービス</t>
  </si>
  <si>
    <t>伊藤忠商事</t>
  </si>
  <si>
    <t>ＡＯＫＩホールディングス</t>
  </si>
  <si>
    <t>ＳＯＭＰＯホールディングス</t>
  </si>
  <si>
    <t>日新</t>
  </si>
  <si>
    <t>ブックオフグループホールディングス</t>
  </si>
  <si>
    <t>コネクシオ</t>
  </si>
  <si>
    <t>トランス・コスモス</t>
  </si>
  <si>
    <t>アコム</t>
    <phoneticPr fontId="1" type="noConversion"/>
  </si>
  <si>
    <t>東京建物</t>
    <phoneticPr fontId="1" type="noConversion"/>
  </si>
  <si>
    <t>制度</t>
    <phoneticPr fontId="1" type="noConversion"/>
  </si>
  <si>
    <r>
      <t xml:space="preserve">1/30 </t>
    </r>
    <r>
      <rPr>
        <sz val="11"/>
        <color theme="1"/>
        <rFont val="ＭＳ Ｐゴシック"/>
        <family val="3"/>
        <charset val="128"/>
      </rPr>
      <t>決算</t>
    </r>
    <rPh sb="5" eb="7">
      <t>ｹｯｻﾝ</t>
    </rPh>
    <phoneticPr fontId="1" type="noConversion"/>
  </si>
  <si>
    <t>日立製作所</t>
  </si>
  <si>
    <t>594"</t>
  </si>
  <si>
    <t>355"</t>
  </si>
  <si>
    <t>209"</t>
  </si>
  <si>
    <t>170"</t>
  </si>
  <si>
    <t>151"</t>
  </si>
  <si>
    <t>619"</t>
  </si>
  <si>
    <t>099"</t>
  </si>
  <si>
    <t>271"</t>
  </si>
  <si>
    <t>054"</t>
  </si>
  <si>
    <t>187"</t>
  </si>
  <si>
    <t>840"</t>
  </si>
  <si>
    <t>" 19</t>
  </si>
  <si>
    <t>991"</t>
  </si>
  <si>
    <t>348"</t>
  </si>
  <si>
    <t>041"</t>
  </si>
  <si>
    <t>249"</t>
  </si>
  <si>
    <t xml:space="preserve"> 16:20</t>
  </si>
  <si>
    <t>291"</t>
  </si>
  <si>
    <t>" 39</t>
  </si>
  <si>
    <t>429"</t>
  </si>
  <si>
    <t>715"</t>
  </si>
  <si>
    <t>364"</t>
  </si>
  <si>
    <t>287"</t>
  </si>
  <si>
    <t>087"</t>
  </si>
  <si>
    <t>278"</t>
  </si>
  <si>
    <t>604"</t>
  </si>
  <si>
    <t xml:space="preserve"> 16:40</t>
  </si>
  <si>
    <t>917"</t>
  </si>
  <si>
    <t>" 101</t>
  </si>
  <si>
    <t>039"</t>
  </si>
  <si>
    <t>138"</t>
  </si>
  <si>
    <t>045"</t>
  </si>
  <si>
    <t>068"</t>
  </si>
  <si>
    <t>024"</t>
  </si>
  <si>
    <t xml:space="preserve"> 2/25</t>
  </si>
  <si>
    <t>206"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</si>
  <si>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</si>
  <si>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</si>
  <si>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</si>
  <si>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</si>
  <si>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</si>
  <si>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115"</t>
  </si>
  <si>
    <t>タマホーム</t>
  </si>
  <si>
    <t>きんでん</t>
  </si>
  <si>
    <t>片倉工業</t>
  </si>
  <si>
    <t>グッドコムアセット</t>
  </si>
  <si>
    <t>システムインテグレータ</t>
  </si>
  <si>
    <t>大王製紙</t>
  </si>
  <si>
    <t>ライオン</t>
  </si>
  <si>
    <t>エステー</t>
  </si>
  <si>
    <t>ダイキン工業</t>
  </si>
  <si>
    <t>富士電機</t>
  </si>
  <si>
    <t>ツナググループ・ホールディングス</t>
  </si>
  <si>
    <t>古野電気</t>
  </si>
  <si>
    <t>エンプラス</t>
  </si>
  <si>
    <t>ローム</t>
  </si>
  <si>
    <t>マツダ</t>
  </si>
  <si>
    <t>小野建</t>
  </si>
  <si>
    <t>シチズン時計</t>
  </si>
  <si>
    <t>大日本印刷</t>
  </si>
  <si>
    <t>アシックス</t>
  </si>
  <si>
    <t>ニプロ</t>
  </si>
  <si>
    <t>だいこう証券ビジネス</t>
  </si>
  <si>
    <t>西日本旅客鉄道</t>
  </si>
  <si>
    <t>上組</t>
  </si>
  <si>
    <t>松屋フーズホールディングス</t>
  </si>
  <si>
    <t>216"</t>
  </si>
  <si>
    <t>225"</t>
  </si>
  <si>
    <t>176"</t>
  </si>
  <si>
    <t>163"</t>
  </si>
  <si>
    <t>229"</t>
  </si>
  <si>
    <t xml:space="preserve"> キヤノン電</t>
  </si>
  <si>
    <t>875"</t>
  </si>
  <si>
    <t xml:space="preserve"> 青森銀</t>
  </si>
  <si>
    <t>" 42</t>
  </si>
  <si>
    <t>251"</t>
  </si>
  <si>
    <t xml:space="preserve"> 日アビオ</t>
  </si>
  <si>
    <t>837"</t>
  </si>
  <si>
    <t>599"</t>
  </si>
  <si>
    <t>577"</t>
  </si>
  <si>
    <t>135"</t>
  </si>
  <si>
    <t>763"</t>
  </si>
  <si>
    <t>490"</t>
  </si>
  <si>
    <t xml:space="preserve"> ブロメディア</t>
  </si>
  <si>
    <t>444"</t>
  </si>
  <si>
    <t>722"</t>
  </si>
  <si>
    <t>337"</t>
  </si>
  <si>
    <t>341"</t>
  </si>
  <si>
    <t xml:space="preserve"> 富士通</t>
  </si>
  <si>
    <t>303"</t>
  </si>
  <si>
    <t xml:space="preserve"> 滋賀銀</t>
  </si>
  <si>
    <t xml:space="preserve"> 日化工</t>
  </si>
  <si>
    <t>443"</t>
  </si>
  <si>
    <t xml:space="preserve"> 東洋証</t>
  </si>
  <si>
    <t>" 59</t>
  </si>
  <si>
    <t xml:space="preserve"> 橋本総HD</t>
  </si>
  <si>
    <t>397"</t>
  </si>
  <si>
    <t>898"</t>
  </si>
  <si>
    <t xml:space="preserve"> ホーチキ</t>
  </si>
  <si>
    <t>362"</t>
  </si>
  <si>
    <t>707"</t>
  </si>
  <si>
    <t>029"</t>
  </si>
  <si>
    <t>038"</t>
  </si>
  <si>
    <t>895"</t>
  </si>
  <si>
    <t xml:space="preserve"> ユタカ技研</t>
  </si>
  <si>
    <t xml:space="preserve"> ショーワ</t>
  </si>
  <si>
    <t>732"</t>
  </si>
  <si>
    <t>582"</t>
  </si>
  <si>
    <t>628"</t>
  </si>
  <si>
    <t>446"</t>
  </si>
  <si>
    <t>351"</t>
  </si>
  <si>
    <t>811"</t>
  </si>
  <si>
    <t xml:space="preserve"> 北ガス</t>
  </si>
  <si>
    <t>601"</t>
  </si>
  <si>
    <t>812"</t>
  </si>
  <si>
    <t xml:space="preserve"> FRACTALE</t>
  </si>
  <si>
    <t xml:space="preserve"> ニッカトー</t>
  </si>
  <si>
    <t xml:space="preserve"> 山一電</t>
  </si>
  <si>
    <t xml:space="preserve"> キング</t>
  </si>
  <si>
    <t>711"</t>
  </si>
  <si>
    <t>075"</t>
  </si>
  <si>
    <t>172"</t>
  </si>
  <si>
    <t>880"</t>
  </si>
  <si>
    <t xml:space="preserve"> シャープ</t>
  </si>
  <si>
    <t>759"</t>
  </si>
  <si>
    <t>645"</t>
  </si>
  <si>
    <t xml:space="preserve"> 共同紙</t>
  </si>
  <si>
    <t>157"</t>
  </si>
  <si>
    <t>" 79</t>
  </si>
  <si>
    <t xml:space="preserve"> 洋埠頭</t>
  </si>
  <si>
    <t>065"</t>
  </si>
  <si>
    <t>468"</t>
  </si>
  <si>
    <t>395"</t>
  </si>
  <si>
    <t>140"</t>
  </si>
  <si>
    <t>200"</t>
  </si>
  <si>
    <t>328"</t>
  </si>
  <si>
    <t>002"</t>
  </si>
  <si>
    <t>280"</t>
  </si>
  <si>
    <t xml:space="preserve"> 神戸鋼</t>
  </si>
  <si>
    <t xml:space="preserve"> GMOメディア</t>
  </si>
  <si>
    <t xml:space="preserve"> 新東工</t>
  </si>
  <si>
    <t>660"</t>
  </si>
  <si>
    <t>704"</t>
  </si>
  <si>
    <t xml:space="preserve"> バンナムHD</t>
  </si>
  <si>
    <t>043"</t>
  </si>
  <si>
    <t xml:space="preserve"> ヤマダ電</t>
  </si>
  <si>
    <t xml:space="preserve"> ノザワ</t>
  </si>
  <si>
    <t>553"</t>
  </si>
  <si>
    <t xml:space="preserve"> 報国鉄</t>
  </si>
  <si>
    <t xml:space="preserve"> ＮＩＣ</t>
  </si>
  <si>
    <t xml:space="preserve"> SANKYO</t>
  </si>
  <si>
    <t xml:space="preserve"> ＯＫＩ</t>
  </si>
  <si>
    <t>453"</t>
  </si>
  <si>
    <t xml:space="preserve"> ホンダ</t>
  </si>
  <si>
    <t xml:space="preserve"> 共同印</t>
  </si>
  <si>
    <t>165"</t>
  </si>
  <si>
    <t xml:space="preserve"> サン・ライフHD</t>
  </si>
  <si>
    <t>815"</t>
  </si>
  <si>
    <t xml:space="preserve"> 東急レク</t>
  </si>
  <si>
    <t xml:space="preserve"> 新日建</t>
  </si>
  <si>
    <t>622"</t>
  </si>
  <si>
    <t>300"</t>
  </si>
  <si>
    <t xml:space="preserve"> アイフル</t>
  </si>
  <si>
    <t xml:space="preserve"> エスライン</t>
  </si>
  <si>
    <t xml:space="preserve"> ビーブレイク</t>
  </si>
  <si>
    <t>588"</t>
  </si>
  <si>
    <t xml:space="preserve"> 石川製</t>
  </si>
  <si>
    <t>248"</t>
  </si>
  <si>
    <t xml:space="preserve"> 昭和システム</t>
  </si>
  <si>
    <t xml:space="preserve"> ユニプレス</t>
  </si>
  <si>
    <t>042"</t>
  </si>
  <si>
    <t>286"</t>
  </si>
  <si>
    <t xml:space="preserve"> 東亜合成</t>
  </si>
  <si>
    <t xml:space="preserve"> 不二家</t>
  </si>
  <si>
    <t>384"</t>
  </si>
  <si>
    <t xml:space="preserve"> マクドナルド</t>
  </si>
  <si>
    <t xml:space="preserve"> グロバルリン</t>
  </si>
  <si>
    <t>130"</t>
  </si>
  <si>
    <t>100"</t>
  </si>
  <si>
    <t xml:space="preserve"> スノーピーク</t>
  </si>
  <si>
    <t xml:space="preserve"> ラ・アトレ</t>
  </si>
  <si>
    <t>548"</t>
  </si>
  <si>
    <t>141"</t>
  </si>
  <si>
    <t xml:space="preserve"> 一正蒲</t>
  </si>
  <si>
    <t xml:space="preserve"> ＥＡＪ</t>
  </si>
  <si>
    <t xml:space="preserve"> 日産自</t>
  </si>
  <si>
    <t>793"</t>
  </si>
  <si>
    <t xml:space="preserve"> 産車体</t>
  </si>
  <si>
    <t xml:space="preserve"> アクセルマーク</t>
  </si>
  <si>
    <t xml:space="preserve"> ワイヤレスG</t>
  </si>
  <si>
    <t xml:space="preserve"> 片倉コープ</t>
  </si>
  <si>
    <t xml:space="preserve"> ジーエヌアイ</t>
  </si>
  <si>
    <t xml:space="preserve"> フィールズ</t>
  </si>
  <si>
    <t xml:space="preserve"> 日本一Ｓ</t>
  </si>
  <si>
    <t>" 46</t>
  </si>
  <si>
    <t>072"</t>
  </si>
  <si>
    <t xml:space="preserve"> Mipox</t>
  </si>
  <si>
    <t xml:space="preserve"> ピクセラ</t>
  </si>
  <si>
    <t xml:space="preserve"> 第一生命</t>
  </si>
  <si>
    <t>733"</t>
  </si>
  <si>
    <t xml:space="preserve"> ブロドリーフ</t>
  </si>
  <si>
    <t xml:space="preserve"> エアトリ</t>
  </si>
  <si>
    <t xml:space="preserve"> ＲＶＨ</t>
  </si>
  <si>
    <t xml:space="preserve"> トレンド</t>
  </si>
  <si>
    <t xml:space="preserve"> オハラ</t>
  </si>
  <si>
    <t>890"</t>
  </si>
  <si>
    <t>植木組</t>
  </si>
  <si>
    <t>エービーシー・マート</t>
  </si>
  <si>
    <t>アレンザホールディングス</t>
  </si>
  <si>
    <t>三菱総合研究所</t>
  </si>
  <si>
    <t>北越コーポレーション</t>
  </si>
  <si>
    <t>旭有機材</t>
  </si>
  <si>
    <t>東和薬品</t>
  </si>
  <si>
    <t>ＡＧＣ</t>
  </si>
  <si>
    <t>山陽特殊製鋼</t>
  </si>
  <si>
    <t>アルインコ</t>
  </si>
  <si>
    <t>パイオラックス</t>
  </si>
  <si>
    <t>アマダホールディングス</t>
  </si>
  <si>
    <t>クボタ</t>
  </si>
  <si>
    <t>三菱電機</t>
  </si>
  <si>
    <t>ダブル・スコープ</t>
  </si>
  <si>
    <t>チノー</t>
  </si>
  <si>
    <t>ＩＨＩ</t>
  </si>
  <si>
    <t>テイ・エス　テック</t>
  </si>
  <si>
    <t>ＮＩＳＳＨＡ</t>
  </si>
  <si>
    <t>チヨダ</t>
  </si>
  <si>
    <t>三井住友フィナンシャルグループ</t>
  </si>
  <si>
    <t>百五銀行</t>
  </si>
  <si>
    <t>佐賀銀行</t>
  </si>
  <si>
    <t>イオンモール</t>
  </si>
  <si>
    <t>エフ・ジェー・ネクスト</t>
  </si>
  <si>
    <t>ＪＫホールディングス</t>
  </si>
  <si>
    <t>バローホールディングス</t>
  </si>
  <si>
    <t>ベルク</t>
  </si>
  <si>
    <t>OPEN_1973</t>
  </si>
  <si>
    <t>CLOSE_1973</t>
  </si>
  <si>
    <t>OPEN_3635</t>
  </si>
  <si>
    <t>CLOSE_3635</t>
  </si>
  <si>
    <t>SELL</t>
    <phoneticPr fontId="1" type="noConversion"/>
  </si>
  <si>
    <t>ＮＥＣネッツエスアイ</t>
    <phoneticPr fontId="1" type="noConversion"/>
  </si>
  <si>
    <t>BUY</t>
    <phoneticPr fontId="1" type="noConversion"/>
  </si>
  <si>
    <t>コーエーテクモホールディングス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</si>
  <si>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</si>
  <si>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</si>
  <si>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</si>
  <si>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</si>
  <si>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</si>
  <si>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</si>
  <si>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</si>
  <si>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</si>
  <si>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</si>
  <si>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ＮＥＣネッツエスアイ</t>
    <phoneticPr fontId="1" type="noConversion"/>
  </si>
  <si>
    <t>コーエーテクモホールディングス</t>
    <phoneticPr fontId="1" type="noConversion"/>
  </si>
  <si>
    <t>情報・通信業</t>
    <phoneticPr fontId="1" type="noConversion"/>
  </si>
  <si>
    <t xml:space="preserve"> 1/29</t>
    <phoneticPr fontId="1" type="noConversion"/>
  </si>
  <si>
    <t xml:space="preserve"> 1/27</t>
    <phoneticPr fontId="1" type="noConversion"/>
  </si>
  <si>
    <t>sell(1973)</t>
  </si>
  <si>
    <t>buy(3635)</t>
  </si>
  <si>
    <t>137"</t>
  </si>
  <si>
    <t>674"</t>
  </si>
  <si>
    <t>156"</t>
  </si>
  <si>
    <t>220"</t>
  </si>
  <si>
    <t>049"</t>
  </si>
  <si>
    <t>368"</t>
  </si>
  <si>
    <t>089"</t>
  </si>
  <si>
    <t>495"</t>
  </si>
  <si>
    <t>255"</t>
  </si>
  <si>
    <t>033"</t>
  </si>
  <si>
    <t>000"</t>
  </si>
  <si>
    <t>949"</t>
  </si>
  <si>
    <t>546"</t>
  </si>
  <si>
    <t>382"</t>
  </si>
  <si>
    <t>692"</t>
  </si>
  <si>
    <t>168"</t>
  </si>
  <si>
    <t>451"</t>
  </si>
  <si>
    <t>358"</t>
  </si>
  <si>
    <t>729"</t>
  </si>
  <si>
    <t>037"</t>
  </si>
  <si>
    <t>537"</t>
  </si>
  <si>
    <t>299"</t>
  </si>
  <si>
    <t>027"</t>
  </si>
  <si>
    <t>189"</t>
  </si>
  <si>
    <t>214"</t>
  </si>
  <si>
    <t>996"</t>
  </si>
  <si>
    <t>556"</t>
  </si>
  <si>
    <t>276"</t>
  </si>
  <si>
    <t>284"</t>
  </si>
  <si>
    <t>560"</t>
  </si>
  <si>
    <t>404"</t>
  </si>
  <si>
    <t>455"</t>
  </si>
  <si>
    <t>914"</t>
  </si>
  <si>
    <t>563"</t>
  </si>
  <si>
    <t>067"</t>
  </si>
  <si>
    <t>766"</t>
  </si>
  <si>
    <t>716"</t>
  </si>
  <si>
    <t>094"</t>
  </si>
  <si>
    <t>480"</t>
  </si>
  <si>
    <t>439"</t>
  </si>
  <si>
    <t>314"</t>
  </si>
  <si>
    <t>082"</t>
  </si>
  <si>
    <t>240"</t>
  </si>
  <si>
    <t>513"</t>
  </si>
  <si>
    <t>102"</t>
  </si>
  <si>
    <t>897"</t>
  </si>
  <si>
    <t>861"</t>
  </si>
  <si>
    <t>" 44</t>
  </si>
  <si>
    <t>246"</t>
  </si>
  <si>
    <t>772"</t>
  </si>
  <si>
    <t>892"</t>
  </si>
  <si>
    <t>466"</t>
  </si>
  <si>
    <t>055"</t>
  </si>
  <si>
    <t>402"</t>
  </si>
  <si>
    <t>879"</t>
  </si>
  <si>
    <t>040"</t>
  </si>
  <si>
    <t>535"</t>
  </si>
  <si>
    <t>798"</t>
  </si>
  <si>
    <t>" 33</t>
  </si>
  <si>
    <t>561"</t>
  </si>
  <si>
    <t>726"</t>
  </si>
  <si>
    <t>755"</t>
  </si>
  <si>
    <t>877"</t>
  </si>
  <si>
    <t>356"</t>
  </si>
  <si>
    <t>470"</t>
  </si>
  <si>
    <t>939"</t>
  </si>
  <si>
    <t>992"</t>
  </si>
  <si>
    <t>597"</t>
  </si>
  <si>
    <t>538"</t>
  </si>
  <si>
    <t>943"</t>
  </si>
  <si>
    <t>460"</t>
  </si>
  <si>
    <t>598"</t>
  </si>
  <si>
    <t>005"</t>
  </si>
  <si>
    <t>171"</t>
  </si>
  <si>
    <t>401"</t>
  </si>
  <si>
    <t>925"</t>
  </si>
  <si>
    <t>247"</t>
  </si>
  <si>
    <t>964"</t>
  </si>
  <si>
    <t>301"</t>
  </si>
  <si>
    <t>319"</t>
  </si>
  <si>
    <t>294"</t>
  </si>
  <si>
    <t>257"</t>
  </si>
  <si>
    <t>962"</t>
  </si>
  <si>
    <t>325"</t>
  </si>
  <si>
    <t>469"</t>
  </si>
  <si>
    <t>409"</t>
  </si>
  <si>
    <t>261"</t>
  </si>
  <si>
    <t>425"</t>
  </si>
  <si>
    <t>245"</t>
  </si>
  <si>
    <t>797"</t>
  </si>
  <si>
    <t>207"</t>
  </si>
  <si>
    <t>288"</t>
  </si>
  <si>
    <t>512"</t>
  </si>
  <si>
    <t>336"</t>
  </si>
  <si>
    <t>808"</t>
  </si>
  <si>
    <t>366"</t>
  </si>
  <si>
    <t>484"</t>
  </si>
  <si>
    <t>974"</t>
  </si>
  <si>
    <t>606"</t>
  </si>
  <si>
    <t>536"</t>
  </si>
  <si>
    <t>752"</t>
  </si>
  <si>
    <t>928"</t>
  </si>
  <si>
    <t>502"</t>
  </si>
  <si>
    <t>708"</t>
  </si>
  <si>
    <t>394"</t>
  </si>
  <si>
    <t>906"</t>
  </si>
  <si>
    <t>147"</t>
  </si>
  <si>
    <t>160"</t>
  </si>
  <si>
    <t>634"</t>
  </si>
  <si>
    <t>691"</t>
  </si>
  <si>
    <t>178"</t>
  </si>
  <si>
    <t>961"</t>
  </si>
  <si>
    <t>737"</t>
  </si>
  <si>
    <t>448"</t>
  </si>
  <si>
    <t>374"</t>
  </si>
  <si>
    <t>128"</t>
  </si>
  <si>
    <t>134"</t>
  </si>
  <si>
    <t>332"</t>
  </si>
  <si>
    <t>153"</t>
  </si>
  <si>
    <t>767"</t>
  </si>
  <si>
    <t>649"</t>
  </si>
  <si>
    <t>159"</t>
  </si>
  <si>
    <t>149"</t>
  </si>
  <si>
    <t>785"</t>
  </si>
  <si>
    <t>496"</t>
  </si>
  <si>
    <t>173"</t>
  </si>
  <si>
    <t>932"</t>
  </si>
  <si>
    <t>427"</t>
  </si>
  <si>
    <t>109"</t>
  </si>
  <si>
    <t>211"</t>
  </si>
  <si>
    <t>650"</t>
  </si>
  <si>
    <t xml:space="preserve"> エニグモ</t>
  </si>
  <si>
    <t xml:space="preserve"> 07月中旬</t>
  </si>
  <si>
    <t xml:space="preserve"> ＡＰＩ</t>
  </si>
  <si>
    <t>ショーボンドホールディングス</t>
  </si>
  <si>
    <t>住石ホールディングス</t>
  </si>
  <si>
    <t>日本道路</t>
  </si>
  <si>
    <t>丸大食品</t>
  </si>
  <si>
    <t>オエノンホールディングス</t>
  </si>
  <si>
    <t>ＪＰホールディングス</t>
  </si>
  <si>
    <t>カゴメ</t>
  </si>
  <si>
    <t>シキボウ</t>
  </si>
  <si>
    <t>トーカロ</t>
  </si>
  <si>
    <t>ＲＳ　Ｔｅｃｈｎｏｌｏｇｉｅｓ</t>
  </si>
  <si>
    <t>ｅｎｉｓｈ</t>
  </si>
  <si>
    <t>ブイキューブ</t>
  </si>
  <si>
    <t>パーク２４</t>
  </si>
  <si>
    <t>トレンドマイクロ</t>
  </si>
  <si>
    <t>早稲田アカデミー</t>
  </si>
  <si>
    <t>フジミインコーポレーテッド</t>
  </si>
  <si>
    <t>セラク</t>
  </si>
  <si>
    <t>新東工業</t>
  </si>
  <si>
    <t>ヨコオ</t>
  </si>
  <si>
    <t>横河電機</t>
  </si>
  <si>
    <t>三十三フィナンシャルグループ</t>
  </si>
  <si>
    <t>ドウシシャ</t>
  </si>
  <si>
    <t>ＨＯＹＡ</t>
  </si>
  <si>
    <t>ＪＳＰ</t>
  </si>
  <si>
    <t>ナイガイ</t>
  </si>
  <si>
    <t>アクシアル　リテイリング</t>
  </si>
  <si>
    <t>丸三証券</t>
  </si>
  <si>
    <t>光世証券</t>
  </si>
  <si>
    <t>トーセイ</t>
  </si>
  <si>
    <t>日本通運</t>
  </si>
  <si>
    <t>神奈川中央交通</t>
  </si>
  <si>
    <t>広島ガス</t>
  </si>
  <si>
    <t>エヌ・ティ・ティ・データ</t>
  </si>
  <si>
    <t>共立メンテナンス</t>
  </si>
  <si>
    <t>OPEN_8572</t>
  </si>
  <si>
    <t>CLOSE_8572</t>
  </si>
  <si>
    <t>OPEN_8804</t>
  </si>
  <si>
    <t>CLOSE_8804</t>
  </si>
  <si>
    <t>sell(8572)</t>
  </si>
  <si>
    <t>buy(8804)</t>
  </si>
  <si>
    <t>日鉄物産</t>
  </si>
  <si>
    <t>アコム</t>
  </si>
  <si>
    <t>アコム</t>
    <phoneticPr fontId="1" type="noConversion"/>
  </si>
  <si>
    <t>東京建物</t>
    <phoneticPr fontId="1" type="noConversion"/>
  </si>
  <si>
    <t>制度</t>
    <phoneticPr fontId="1" type="noConversion"/>
  </si>
  <si>
    <t>Position</t>
    <phoneticPr fontId="1" type="noConversion"/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</si>
  <si>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</si>
  <si>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</si>
  <si>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</si>
  <si>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</si>
  <si>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</si>
  <si>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</si>
  <si>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</si>
  <si>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</si>
  <si>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</si>
  <si>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</si>
  <si>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</si>
  <si>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</si>
  <si>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</si>
  <si>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</si>
  <si>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</si>
  <si>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</si>
  <si>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</si>
  <si>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</si>
  <si>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</si>
  <si>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</si>
  <si>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</si>
  <si>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</si>
  <si>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</si>
  <si>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</si>
  <si>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</si>
  <si>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</si>
  <si>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</si>
  <si>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</si>
  <si>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</si>
  <si>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</si>
  <si>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</si>
  <si>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</si>
  <si>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</si>
  <si>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</si>
  <si>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</si>
  <si>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</si>
  <si>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</si>
  <si>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</si>
  <si>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</si>
  <si>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</si>
  <si>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</si>
  <si>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</si>
  <si>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</si>
  <si>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フジテック</t>
  </si>
  <si>
    <t>機械</t>
  </si>
  <si>
    <t>日立ハイテクノロジーズ</t>
  </si>
  <si>
    <t>サービス業</t>
  </si>
  <si>
    <t>ＴＫＣ</t>
  </si>
  <si>
    <t>住友電気工業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</si>
  <si>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</si>
  <si>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</si>
  <si>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</si>
  <si>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</si>
  <si>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</si>
  <si>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</si>
  <si>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</si>
  <si>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保険業</t>
  </si>
  <si>
    <t>因幡電機産業</t>
  </si>
  <si>
    <t>医薬品</t>
  </si>
  <si>
    <t>大林組</t>
  </si>
  <si>
    <t>証券、商品先物取引業</t>
  </si>
  <si>
    <t>興銀リース</t>
  </si>
  <si>
    <t>金属製品</t>
  </si>
  <si>
    <t>その他製品</t>
  </si>
  <si>
    <t>化学</t>
  </si>
  <si>
    <t>小売業</t>
  </si>
  <si>
    <t>ＬＩＮＥ</t>
  </si>
  <si>
    <t>宝ホールディングス</t>
  </si>
  <si>
    <t>食料品</t>
  </si>
  <si>
    <t>不二製油グループ本社</t>
  </si>
  <si>
    <t>シャープ</t>
  </si>
  <si>
    <t>123"</t>
  </si>
  <si>
    <t>326"</t>
  </si>
  <si>
    <t>292"</t>
  </si>
  <si>
    <t>602"</t>
  </si>
  <si>
    <t>242"</t>
  </si>
  <si>
    <t>051"</t>
  </si>
  <si>
    <t>884"</t>
  </si>
  <si>
    <t>" 51</t>
  </si>
  <si>
    <t>564"</t>
  </si>
  <si>
    <t>937"</t>
  </si>
  <si>
    <t>096"</t>
  </si>
  <si>
    <t>784"</t>
  </si>
  <si>
    <t>090"</t>
  </si>
  <si>
    <t>407"</t>
  </si>
  <si>
    <t>855"</t>
  </si>
  <si>
    <t>959"</t>
  </si>
  <si>
    <t>112"</t>
  </si>
  <si>
    <t>447"</t>
  </si>
  <si>
    <t>464"</t>
  </si>
  <si>
    <t>273"</t>
  </si>
  <si>
    <t>916"</t>
  </si>
  <si>
    <t>006"</t>
  </si>
  <si>
    <t>406"</t>
  </si>
  <si>
    <t>936"</t>
  </si>
  <si>
    <t>828"</t>
  </si>
  <si>
    <t>142"</t>
  </si>
  <si>
    <t>376"</t>
  </si>
  <si>
    <t>667"</t>
  </si>
  <si>
    <t>703"</t>
  </si>
  <si>
    <t>098"</t>
  </si>
  <si>
    <t>435"</t>
  </si>
  <si>
    <t>874"</t>
  </si>
  <si>
    <t>062"</t>
  </si>
  <si>
    <t>339"</t>
  </si>
  <si>
    <t>357"</t>
  </si>
  <si>
    <t>327"</t>
  </si>
  <si>
    <t>818"</t>
  </si>
  <si>
    <t>" 28</t>
  </si>
  <si>
    <t>203"</t>
  </si>
  <si>
    <t>524"</t>
  </si>
  <si>
    <t>642"</t>
  </si>
  <si>
    <t>408"</t>
  </si>
  <si>
    <t>494"</t>
  </si>
  <si>
    <t>850"</t>
  </si>
  <si>
    <t>" 102</t>
  </si>
  <si>
    <t>064"</t>
  </si>
  <si>
    <t>387"</t>
  </si>
  <si>
    <t>668"</t>
  </si>
  <si>
    <t>909"</t>
  </si>
  <si>
    <t>440"</t>
  </si>
  <si>
    <t>421"</t>
  </si>
  <si>
    <t>476"</t>
  </si>
  <si>
    <t>532"</t>
  </si>
  <si>
    <t>021"</t>
  </si>
  <si>
    <t>922"</t>
  </si>
  <si>
    <t>030"</t>
  </si>
  <si>
    <t>104"</t>
  </si>
  <si>
    <t>566"</t>
  </si>
  <si>
    <t>132"</t>
  </si>
  <si>
    <t>126"</t>
  </si>
  <si>
    <t>258"</t>
  </si>
  <si>
    <t>528"</t>
  </si>
  <si>
    <t>012"</t>
  </si>
  <si>
    <t>353"</t>
  </si>
  <si>
    <t>541"</t>
  </si>
  <si>
    <t>491"</t>
  </si>
  <si>
    <t>702"</t>
  </si>
  <si>
    <t>738"</t>
  </si>
  <si>
    <t>593"</t>
  </si>
  <si>
    <t>260"</t>
  </si>
  <si>
    <t>931"</t>
  </si>
  <si>
    <t>475"</t>
  </si>
  <si>
    <t>116"</t>
  </si>
  <si>
    <t>004"</t>
  </si>
  <si>
    <t>192"</t>
  </si>
  <si>
    <t>694"</t>
  </si>
  <si>
    <t>927"</t>
  </si>
  <si>
    <t>250"</t>
  </si>
  <si>
    <t>236"</t>
  </si>
  <si>
    <t>765"</t>
  </si>
  <si>
    <t>878"</t>
  </si>
  <si>
    <t>750"</t>
  </si>
  <si>
    <t>259"</t>
  </si>
  <si>
    <t>422"</t>
  </si>
  <si>
    <t>093"</t>
  </si>
  <si>
    <t>633"</t>
  </si>
  <si>
    <t>" 76</t>
  </si>
  <si>
    <t>856"</t>
  </si>
  <si>
    <t>296"</t>
  </si>
  <si>
    <t>350"</t>
  </si>
  <si>
    <t>" 95</t>
  </si>
  <si>
    <t>396"</t>
  </si>
  <si>
    <t>050"</t>
  </si>
  <si>
    <t>693"</t>
  </si>
  <si>
    <t>921"</t>
  </si>
  <si>
    <t>800"</t>
  </si>
  <si>
    <t>549"</t>
  </si>
  <si>
    <t>825"</t>
  </si>
  <si>
    <t>754"</t>
  </si>
  <si>
    <t>263"</t>
  </si>
  <si>
    <t>264"</t>
  </si>
  <si>
    <t>624"</t>
  </si>
  <si>
    <t>724"</t>
  </si>
  <si>
    <t>219"</t>
  </si>
  <si>
    <t>789"</t>
  </si>
  <si>
    <t>903"</t>
  </si>
  <si>
    <t>731"</t>
  </si>
  <si>
    <t>304"</t>
  </si>
  <si>
    <t>307"</t>
  </si>
  <si>
    <t>516"</t>
  </si>
  <si>
    <t>888"</t>
  </si>
  <si>
    <t>920"</t>
  </si>
  <si>
    <t>221"</t>
  </si>
  <si>
    <t>584"</t>
  </si>
  <si>
    <t>322"</t>
  </si>
  <si>
    <t>721"</t>
  </si>
  <si>
    <t>028"</t>
  </si>
  <si>
    <t>127"</t>
  </si>
  <si>
    <t>555"</t>
  </si>
  <si>
    <t>955"</t>
  </si>
  <si>
    <t>751"</t>
  </si>
  <si>
    <t>632"</t>
  </si>
  <si>
    <t>885"</t>
  </si>
  <si>
    <t>414"</t>
  </si>
  <si>
    <t>129"</t>
  </si>
  <si>
    <t>333"</t>
  </si>
  <si>
    <t>995"</t>
  </si>
  <si>
    <t>234"</t>
  </si>
  <si>
    <t>862"</t>
  </si>
  <si>
    <t>482"</t>
  </si>
  <si>
    <t>567"</t>
  </si>
  <si>
    <t>953"</t>
  </si>
  <si>
    <t>743"</t>
  </si>
  <si>
    <t>399"</t>
  </si>
  <si>
    <t>492"</t>
  </si>
  <si>
    <t>830"</t>
  </si>
  <si>
    <t>228"</t>
  </si>
  <si>
    <t>521"</t>
  </si>
  <si>
    <t>764"</t>
  </si>
  <si>
    <t>392"</t>
  </si>
  <si>
    <t>968"</t>
  </si>
  <si>
    <t>386"</t>
  </si>
  <si>
    <t>196"</t>
  </si>
  <si>
    <t>334"</t>
  </si>
  <si>
    <t>" 47</t>
  </si>
  <si>
    <t>940"</t>
  </si>
  <si>
    <t>901"</t>
  </si>
  <si>
    <t>864"</t>
  </si>
  <si>
    <t>533"</t>
  </si>
  <si>
    <t>910"</t>
  </si>
  <si>
    <t>113"</t>
  </si>
  <si>
    <t>950"</t>
  </si>
  <si>
    <t>796"</t>
  </si>
  <si>
    <t>101"</t>
  </si>
  <si>
    <t>461"</t>
  </si>
  <si>
    <t>627"</t>
  </si>
  <si>
    <t>540"</t>
  </si>
  <si>
    <t>954"</t>
  </si>
  <si>
    <t>212"</t>
  </si>
  <si>
    <t>934"</t>
  </si>
  <si>
    <t>" 110</t>
  </si>
  <si>
    <t>" 256</t>
  </si>
  <si>
    <t>807"</t>
  </si>
  <si>
    <t>198"</t>
  </si>
  <si>
    <t>329"</t>
  </si>
  <si>
    <t>091"</t>
  </si>
  <si>
    <t>017"</t>
  </si>
  <si>
    <t>518"</t>
  </si>
  <si>
    <t>473"</t>
  </si>
  <si>
    <t>419"</t>
  </si>
  <si>
    <t>902"</t>
  </si>
  <si>
    <t>986"</t>
  </si>
  <si>
    <t>079"</t>
  </si>
  <si>
    <t>590"</t>
  </si>
  <si>
    <t>951"</t>
  </si>
  <si>
    <t>519"</t>
  </si>
  <si>
    <t>007"</t>
  </si>
  <si>
    <t>941"</t>
  </si>
  <si>
    <t>745"</t>
  </si>
  <si>
    <t>445"</t>
  </si>
  <si>
    <t>686"</t>
  </si>
  <si>
    <t>648"</t>
  </si>
  <si>
    <t>843"</t>
  </si>
  <si>
    <t>958"</t>
  </si>
  <si>
    <t>391"</t>
  </si>
  <si>
    <t>018"</t>
  </si>
  <si>
    <t>267"</t>
  </si>
  <si>
    <t>860"</t>
  </si>
  <si>
    <t>783"</t>
  </si>
  <si>
    <t>705"</t>
  </si>
  <si>
    <t>324"</t>
  </si>
  <si>
    <t>522"</t>
  </si>
  <si>
    <t>612"</t>
  </si>
  <si>
    <t>047"</t>
  </si>
  <si>
    <t>235"</t>
  </si>
  <si>
    <t>182"</t>
  </si>
  <si>
    <t>283"</t>
  </si>
  <si>
    <t>781"</t>
  </si>
  <si>
    <t>342"</t>
  </si>
  <si>
    <t>952"</t>
  </si>
  <si>
    <t>630"</t>
  </si>
  <si>
    <t>899"</t>
  </si>
  <si>
    <t>591"</t>
  </si>
  <si>
    <t>891"</t>
  </si>
  <si>
    <t>823"</t>
  </si>
  <si>
    <t>217"</t>
  </si>
  <si>
    <t>847"</t>
  </si>
  <si>
    <t>474"</t>
  </si>
  <si>
    <t>970"</t>
  </si>
  <si>
    <t>305"</t>
  </si>
  <si>
    <t>826"</t>
  </si>
  <si>
    <t>352"</t>
  </si>
  <si>
    <t>001"</t>
  </si>
  <si>
    <t>809"</t>
  </si>
  <si>
    <t>607"</t>
  </si>
  <si>
    <t>542"</t>
  </si>
  <si>
    <t>008"</t>
  </si>
  <si>
    <t>070"</t>
  </si>
  <si>
    <t>776"</t>
  </si>
  <si>
    <t>139"</t>
  </si>
  <si>
    <t>438"</t>
  </si>
  <si>
    <t>867"</t>
  </si>
  <si>
    <t>545"</t>
  </si>
  <si>
    <t>114"</t>
  </si>
  <si>
    <t>913"</t>
  </si>
  <si>
    <t>010"</t>
  </si>
  <si>
    <t>999"</t>
  </si>
  <si>
    <t>166"</t>
  </si>
  <si>
    <t>060"</t>
  </si>
  <si>
    <t>790"</t>
  </si>
  <si>
    <t>852"</t>
  </si>
  <si>
    <t>150"</t>
  </si>
  <si>
    <t>164"</t>
  </si>
  <si>
    <t>719"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</si>
  <si>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</si>
  <si>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</si>
  <si>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</si>
  <si>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</si>
  <si>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</si>
  <si>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</si>
  <si>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>" 67</t>
  </si>
  <si>
    <t>543"</t>
  </si>
  <si>
    <t>684"</t>
  </si>
  <si>
    <t xml:space="preserve"> アイスタディ</t>
  </si>
  <si>
    <t>987"</t>
  </si>
  <si>
    <t>080"</t>
  </si>
  <si>
    <t>不二家</t>
  </si>
  <si>
    <t>日鉄ソリューションズ</t>
  </si>
  <si>
    <t>キャリアデザインセンター</t>
  </si>
  <si>
    <t>一正蒲鉾</t>
  </si>
  <si>
    <t>ＤＣＭホールディングス</t>
  </si>
  <si>
    <t>マクニカ・富士エレホールディングス</t>
  </si>
  <si>
    <t>大光</t>
  </si>
  <si>
    <t>黒谷</t>
  </si>
  <si>
    <t>オープンハウス</t>
  </si>
  <si>
    <t>住江織物</t>
  </si>
  <si>
    <t>トーモク</t>
  </si>
  <si>
    <t>ラサ工業</t>
  </si>
  <si>
    <t>大日精化工業</t>
  </si>
  <si>
    <t>日本化薬</t>
  </si>
  <si>
    <t>プロトコーポレーション</t>
  </si>
  <si>
    <t>アルファシステムズ</t>
  </si>
  <si>
    <t>共英製鋼</t>
  </si>
  <si>
    <t>ノーリツ</t>
  </si>
  <si>
    <t>長府製作所</t>
  </si>
  <si>
    <t>パンチ工業</t>
  </si>
  <si>
    <t>三井海洋開発</t>
  </si>
  <si>
    <t>大同工業</t>
  </si>
  <si>
    <t>ＳＡＮＫＹＯ</t>
  </si>
  <si>
    <t>岩崎通信機</t>
  </si>
  <si>
    <t>電気興業</t>
  </si>
  <si>
    <t>アクセル</t>
  </si>
  <si>
    <t>日本ケミコン</t>
  </si>
  <si>
    <t>サノヤスホールディングス</t>
  </si>
  <si>
    <t>日産自動車</t>
  </si>
  <si>
    <t>武蔵精密工業</t>
  </si>
  <si>
    <t>ジャムコ</t>
  </si>
  <si>
    <t>ゼンショーホールディングス</t>
  </si>
  <si>
    <t>ＩＤＯＭ</t>
  </si>
  <si>
    <t>タムロン</t>
  </si>
  <si>
    <t>リズム時計工業</t>
  </si>
  <si>
    <t>アーク</t>
  </si>
  <si>
    <t>前澤化成工業</t>
  </si>
  <si>
    <t>東都水産</t>
  </si>
  <si>
    <t>ニチモウ</t>
  </si>
  <si>
    <t>高島屋</t>
  </si>
  <si>
    <t>パルコ</t>
  </si>
  <si>
    <t>ゼビオホールディングス</t>
  </si>
  <si>
    <t>大分銀行</t>
  </si>
  <si>
    <t>沖縄電力</t>
  </si>
  <si>
    <t>北海道瓦斯</t>
  </si>
  <si>
    <t>日本空港ビルデング</t>
  </si>
  <si>
    <t>ＫＮＴ－ＣＴホールディングス</t>
  </si>
  <si>
    <t>セントラル警備保障</t>
  </si>
  <si>
    <t>吉野家ホールディングス</t>
  </si>
  <si>
    <t>○</t>
  </si>
  <si>
    <t>1/8/7</t>
  </si>
  <si>
    <t>3/6/8</t>
  </si>
  <si>
    <t>7/7/3</t>
  </si>
  <si>
    <t>CHT</t>
  </si>
  <si>
    <t>MOR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</si>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</sst>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394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49" fontId="0" fillId="0" borderId="0" xfId="0" applyNumberFormat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  <c:pt idx="4">
                  <c:v>43846</c:v>
                </c:pt>
                <c:pt idx="5">
                  <c:v>43845</c:v>
                </c:pt>
                <c:pt idx="6">
                  <c:v>43844</c:v>
                </c:pt>
                <c:pt idx="7">
                  <c:v>43840</c:v>
                </c:pt>
                <c:pt idx="8">
                  <c:v>43839</c:v>
                </c:pt>
                <c:pt idx="9">
                  <c:v>43838</c:v>
                </c:pt>
                <c:pt idx="10">
                  <c:v>43837</c:v>
                </c:pt>
                <c:pt idx="11">
                  <c:v>43836</c:v>
                </c:pt>
                <c:pt idx="12">
                  <c:v>43829</c:v>
                </c:pt>
                <c:pt idx="13">
                  <c:v>43826</c:v>
                </c:pt>
                <c:pt idx="14">
                  <c:v>43825</c:v>
                </c:pt>
                <c:pt idx="15">
                  <c:v>43824</c:v>
                </c:pt>
                <c:pt idx="16">
                  <c:v>43823</c:v>
                </c:pt>
                <c:pt idx="17">
                  <c:v>43822</c:v>
                </c:pt>
                <c:pt idx="18">
                  <c:v>43819</c:v>
                </c:pt>
                <c:pt idx="19">
                  <c:v>43818</c:v>
                </c:pt>
                <c:pt idx="20">
                  <c:v>43817</c:v>
                </c:pt>
                <c:pt idx="21">
                  <c:v>43816</c:v>
                </c:pt>
                <c:pt idx="22">
                  <c:v>43815</c:v>
                </c:pt>
                <c:pt idx="23">
                  <c:v>43812</c:v>
                </c:pt>
                <c:pt idx="24">
                  <c:v>43811</c:v>
                </c:pt>
                <c:pt idx="25">
                  <c:v>43810</c:v>
                </c:pt>
                <c:pt idx="26">
                  <c:v>43809</c:v>
                </c:pt>
                <c:pt idx="27">
                  <c:v>43808</c:v>
                </c:pt>
                <c:pt idx="28">
                  <c:v>43805</c:v>
                </c:pt>
                <c:pt idx="29">
                  <c:v>43804</c:v>
                </c:pt>
                <c:pt idx="30">
                  <c:v>43803</c:v>
                </c:pt>
                <c:pt idx="31">
                  <c:v>43802</c:v>
                </c:pt>
                <c:pt idx="32">
                  <c:v>43801</c:v>
                </c:pt>
                <c:pt idx="33">
                  <c:v>43798</c:v>
                </c:pt>
                <c:pt idx="34">
                  <c:v>43797</c:v>
                </c:pt>
                <c:pt idx="35">
                  <c:v>43796</c:v>
                </c:pt>
                <c:pt idx="36">
                  <c:v>43795</c:v>
                </c:pt>
                <c:pt idx="37">
                  <c:v>43794</c:v>
                </c:pt>
                <c:pt idx="38">
                  <c:v>43791</c:v>
                </c:pt>
                <c:pt idx="39">
                  <c:v>43790</c:v>
                </c:pt>
                <c:pt idx="40">
                  <c:v>43789</c:v>
                </c:pt>
                <c:pt idx="41">
                  <c:v>43788</c:v>
                </c:pt>
                <c:pt idx="42">
                  <c:v>43787</c:v>
                </c:pt>
                <c:pt idx="43">
                  <c:v>43784</c:v>
                </c:pt>
                <c:pt idx="44">
                  <c:v>43783</c:v>
                </c:pt>
                <c:pt idx="45">
                  <c:v>43782</c:v>
                </c:pt>
                <c:pt idx="46">
                  <c:v>43781</c:v>
                </c:pt>
                <c:pt idx="47">
                  <c:v>43780</c:v>
                </c:pt>
                <c:pt idx="48">
                  <c:v>43777</c:v>
                </c:pt>
                <c:pt idx="49">
                  <c:v>43776</c:v>
                </c:pt>
                <c:pt idx="50">
                  <c:v>43775</c:v>
                </c:pt>
                <c:pt idx="51">
                  <c:v>43774</c:v>
                </c:pt>
                <c:pt idx="52">
                  <c:v>43770</c:v>
                </c:pt>
                <c:pt idx="53">
                  <c:v>43769</c:v>
                </c:pt>
                <c:pt idx="54">
                  <c:v>43768</c:v>
                </c:pt>
                <c:pt idx="55">
                  <c:v>43767</c:v>
                </c:pt>
                <c:pt idx="56">
                  <c:v>43766</c:v>
                </c:pt>
                <c:pt idx="57">
                  <c:v>43763</c:v>
                </c:pt>
                <c:pt idx="58">
                  <c:v>43762</c:v>
                </c:pt>
                <c:pt idx="59">
                  <c:v>43761</c:v>
                </c:pt>
                <c:pt idx="60">
                  <c:v>43759</c:v>
                </c:pt>
                <c:pt idx="61">
                  <c:v>43756</c:v>
                </c:pt>
                <c:pt idx="62">
                  <c:v>43755</c:v>
                </c:pt>
                <c:pt idx="63">
                  <c:v>43754</c:v>
                </c:pt>
                <c:pt idx="64">
                  <c:v>43753</c:v>
                </c:pt>
                <c:pt idx="65">
                  <c:v>43749</c:v>
                </c:pt>
                <c:pt idx="66">
                  <c:v>43748</c:v>
                </c:pt>
                <c:pt idx="67">
                  <c:v>43747</c:v>
                </c:pt>
                <c:pt idx="68">
                  <c:v>43746</c:v>
                </c:pt>
                <c:pt idx="69">
                  <c:v>43745</c:v>
                </c:pt>
                <c:pt idx="70">
                  <c:v>43742</c:v>
                </c:pt>
                <c:pt idx="71">
                  <c:v>43741</c:v>
                </c:pt>
                <c:pt idx="72">
                  <c:v>43740</c:v>
                </c:pt>
                <c:pt idx="73">
                  <c:v>43739</c:v>
                </c:pt>
                <c:pt idx="74">
                  <c:v>43738</c:v>
                </c:pt>
                <c:pt idx="75">
                  <c:v>43735</c:v>
                </c:pt>
                <c:pt idx="76">
                  <c:v>43734</c:v>
                </c:pt>
                <c:pt idx="77">
                  <c:v>43733</c:v>
                </c:pt>
                <c:pt idx="78">
                  <c:v>43732</c:v>
                </c:pt>
                <c:pt idx="79">
                  <c:v>43728</c:v>
                </c:pt>
                <c:pt idx="80">
                  <c:v>43727</c:v>
                </c:pt>
                <c:pt idx="81">
                  <c:v>43726</c:v>
                </c:pt>
                <c:pt idx="82">
                  <c:v>43725</c:v>
                </c:pt>
                <c:pt idx="83">
                  <c:v>43721</c:v>
                </c:pt>
                <c:pt idx="84">
                  <c:v>43720</c:v>
                </c:pt>
                <c:pt idx="85">
                  <c:v>43719</c:v>
                </c:pt>
                <c:pt idx="86">
                  <c:v>43718</c:v>
                </c:pt>
                <c:pt idx="87">
                  <c:v>43717</c:v>
                </c:pt>
                <c:pt idx="88">
                  <c:v>43714</c:v>
                </c:pt>
                <c:pt idx="89">
                  <c:v>43713</c:v>
                </c:pt>
                <c:pt idx="90">
                  <c:v>43712</c:v>
                </c:pt>
                <c:pt idx="91">
                  <c:v>43711</c:v>
                </c:pt>
                <c:pt idx="92">
                  <c:v>43710</c:v>
                </c:pt>
                <c:pt idx="93">
                  <c:v>43707</c:v>
                </c:pt>
                <c:pt idx="94">
                  <c:v>43706</c:v>
                </c:pt>
                <c:pt idx="95">
                  <c:v>43705</c:v>
                </c:pt>
                <c:pt idx="96">
                  <c:v>43704</c:v>
                </c:pt>
                <c:pt idx="97">
                  <c:v>43703</c:v>
                </c:pt>
                <c:pt idx="98">
                  <c:v>43700</c:v>
                </c:pt>
                <c:pt idx="99">
                  <c:v>43699</c:v>
                </c:pt>
                <c:pt idx="100">
                  <c:v>43698</c:v>
                </c:pt>
                <c:pt idx="101">
                  <c:v>43697</c:v>
                </c:pt>
                <c:pt idx="102">
                  <c:v>43696</c:v>
                </c:pt>
                <c:pt idx="103">
                  <c:v>43693</c:v>
                </c:pt>
                <c:pt idx="104">
                  <c:v>43692</c:v>
                </c:pt>
                <c:pt idx="105">
                  <c:v>43691</c:v>
                </c:pt>
                <c:pt idx="106">
                  <c:v>43690</c:v>
                </c:pt>
                <c:pt idx="107">
                  <c:v>43686</c:v>
                </c:pt>
                <c:pt idx="108">
                  <c:v>43685</c:v>
                </c:pt>
                <c:pt idx="109">
                  <c:v>43684</c:v>
                </c:pt>
                <c:pt idx="110">
                  <c:v>43683</c:v>
                </c:pt>
                <c:pt idx="111">
                  <c:v>43682</c:v>
                </c:pt>
                <c:pt idx="112">
                  <c:v>43679</c:v>
                </c:pt>
                <c:pt idx="113">
                  <c:v>43678</c:v>
                </c:pt>
                <c:pt idx="114">
                  <c:v>43677</c:v>
                </c:pt>
                <c:pt idx="115">
                  <c:v>43676</c:v>
                </c:pt>
                <c:pt idx="116">
                  <c:v>43675</c:v>
                </c:pt>
                <c:pt idx="117">
                  <c:v>43672</c:v>
                </c:pt>
                <c:pt idx="118">
                  <c:v>43671</c:v>
                </c:pt>
                <c:pt idx="119">
                  <c:v>43670</c:v>
                </c:pt>
                <c:pt idx="120">
                  <c:v>43669</c:v>
                </c:pt>
                <c:pt idx="121">
                  <c:v>43668</c:v>
                </c:pt>
                <c:pt idx="122">
                  <c:v>43665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0.297884505431675</c:v>
                </c:pt>
                <c:pt idx="1">
                  <c:v>0.29314285714285698</c:v>
                </c:pt>
                <c:pt idx="2">
                  <c:v>0.29601846508944002</c:v>
                </c:pt>
                <c:pt idx="3">
                  <c:v>0.30116279069767399</c:v>
                </c:pt>
                <c:pt idx="4">
                  <c:v>0.298716452742123</c:v>
                </c:pt>
                <c:pt idx="5">
                  <c:v>0.30082256169212601</c:v>
                </c:pt>
                <c:pt idx="6">
                  <c:v>0.29831688914683602</c:v>
                </c:pt>
                <c:pt idx="7">
                  <c:v>0.29316338354576998</c:v>
                </c:pt>
                <c:pt idx="8">
                  <c:v>0.29254079254079202</c:v>
                </c:pt>
                <c:pt idx="9">
                  <c:v>0.29640542133176101</c:v>
                </c:pt>
                <c:pt idx="10">
                  <c:v>0.29154849688031698</c:v>
                </c:pt>
                <c:pt idx="11">
                  <c:v>0.28944315545243599</c:v>
                </c:pt>
                <c:pt idx="12">
                  <c:v>0.29081334113516599</c:v>
                </c:pt>
                <c:pt idx="13">
                  <c:v>0.29130180969060099</c:v>
                </c:pt>
                <c:pt idx="14">
                  <c:v>0.28546409807355499</c:v>
                </c:pt>
                <c:pt idx="15">
                  <c:v>0.28890193775689899</c:v>
                </c:pt>
                <c:pt idx="16">
                  <c:v>0.285630841121495</c:v>
                </c:pt>
                <c:pt idx="17">
                  <c:v>0.28714034057545501</c:v>
                </c:pt>
                <c:pt idx="18">
                  <c:v>0.28821470245040798</c:v>
                </c:pt>
                <c:pt idx="19">
                  <c:v>0.286049237983587</c:v>
                </c:pt>
                <c:pt idx="20">
                  <c:v>0.28663919952913403</c:v>
                </c:pt>
                <c:pt idx="21">
                  <c:v>0.27919075144508598</c:v>
                </c:pt>
                <c:pt idx="22">
                  <c:v>0.28104956268221498</c:v>
                </c:pt>
                <c:pt idx="23">
                  <c:v>0.28170660432495598</c:v>
                </c:pt>
                <c:pt idx="24">
                  <c:v>0.28503562945368099</c:v>
                </c:pt>
                <c:pt idx="25">
                  <c:v>0.28452380952380901</c:v>
                </c:pt>
                <c:pt idx="26">
                  <c:v>0.27942925089179499</c:v>
                </c:pt>
                <c:pt idx="27">
                  <c:v>0.27748068924539498</c:v>
                </c:pt>
                <c:pt idx="28">
                  <c:v>0.27446300715990402</c:v>
                </c:pt>
                <c:pt idx="29">
                  <c:v>0.27404718693284902</c:v>
                </c:pt>
                <c:pt idx="30">
                  <c:v>0.27206329884357799</c:v>
                </c:pt>
                <c:pt idx="31">
                  <c:v>0.277403551745254</c:v>
                </c:pt>
                <c:pt idx="32">
                  <c:v>0.27707199032062901</c:v>
                </c:pt>
                <c:pt idx="33">
                  <c:v>0.27250900360143998</c:v>
                </c:pt>
                <c:pt idx="34">
                  <c:v>0.27845036319612498</c:v>
                </c:pt>
                <c:pt idx="35">
                  <c:v>0.27673716012084498</c:v>
                </c:pt>
                <c:pt idx="36">
                  <c:v>0.28840125391849503</c:v>
                </c:pt>
                <c:pt idx="37">
                  <c:v>0.293701799485861</c:v>
                </c:pt>
                <c:pt idx="38">
                  <c:v>0.30099667774086297</c:v>
                </c:pt>
                <c:pt idx="39">
                  <c:v>0.29518855656697002</c:v>
                </c:pt>
                <c:pt idx="40">
                  <c:v>0.289986996098829</c:v>
                </c:pt>
                <c:pt idx="41">
                  <c:v>0.28297055057618398</c:v>
                </c:pt>
                <c:pt idx="42">
                  <c:v>0.29049180327868801</c:v>
                </c:pt>
                <c:pt idx="43">
                  <c:v>0.28748370273793999</c:v>
                </c:pt>
                <c:pt idx="44">
                  <c:v>0.28637566137566101</c:v>
                </c:pt>
                <c:pt idx="45">
                  <c:v>0.28628230616302103</c:v>
                </c:pt>
                <c:pt idx="46">
                  <c:v>0.28855062872269999</c:v>
                </c:pt>
                <c:pt idx="47">
                  <c:v>0.28524374176548001</c:v>
                </c:pt>
                <c:pt idx="48">
                  <c:v>0.28403141361256501</c:v>
                </c:pt>
                <c:pt idx="49">
                  <c:v>0.27488760436737297</c:v>
                </c:pt>
                <c:pt idx="50">
                  <c:v>0.27389352148813301</c:v>
                </c:pt>
                <c:pt idx="51">
                  <c:v>0.28764478764478701</c:v>
                </c:pt>
                <c:pt idx="52">
                  <c:v>0.27984595635429999</c:v>
                </c:pt>
                <c:pt idx="53">
                  <c:v>0.28211749515816598</c:v>
                </c:pt>
                <c:pt idx="54">
                  <c:v>0.28025889967637502</c:v>
                </c:pt>
                <c:pt idx="55">
                  <c:v>0.27887683471601699</c:v>
                </c:pt>
                <c:pt idx="56">
                  <c:v>0.27770700636942602</c:v>
                </c:pt>
                <c:pt idx="57">
                  <c:v>0.28005115089513999</c:v>
                </c:pt>
                <c:pt idx="58">
                  <c:v>0.27956298200514101</c:v>
                </c:pt>
                <c:pt idx="59">
                  <c:v>0.28185328185328101</c:v>
                </c:pt>
                <c:pt idx="60">
                  <c:v>0.28618421052631499</c:v>
                </c:pt>
                <c:pt idx="61">
                  <c:v>0.28392621870882701</c:v>
                </c:pt>
                <c:pt idx="62">
                  <c:v>0.28075916230366399</c:v>
                </c:pt>
                <c:pt idx="63">
                  <c:v>0.28655737704918</c:v>
                </c:pt>
                <c:pt idx="64">
                  <c:v>0.28552631578947302</c:v>
                </c:pt>
                <c:pt idx="65">
                  <c:v>0.28249336870026498</c:v>
                </c:pt>
                <c:pt idx="66">
                  <c:v>0.27968337730870702</c:v>
                </c:pt>
                <c:pt idx="67">
                  <c:v>0.27955584585238402</c:v>
                </c:pt>
                <c:pt idx="68">
                  <c:v>0.28226857887874801</c:v>
                </c:pt>
                <c:pt idx="69">
                  <c:v>0.28428761651131801</c:v>
                </c:pt>
                <c:pt idx="70">
                  <c:v>0.28391793514228902</c:v>
                </c:pt>
                <c:pt idx="71">
                  <c:v>0.28803245436105401</c:v>
                </c:pt>
                <c:pt idx="72">
                  <c:v>0.29255319148936099</c:v>
                </c:pt>
                <c:pt idx="73">
                  <c:v>0.28646864686468598</c:v>
                </c:pt>
                <c:pt idx="74">
                  <c:v>0.27931488801054</c:v>
                </c:pt>
                <c:pt idx="75">
                  <c:v>0.280943025540275</c:v>
                </c:pt>
                <c:pt idx="76">
                  <c:v>0.27992151733158899</c:v>
                </c:pt>
                <c:pt idx="77">
                  <c:v>0.27534336167429602</c:v>
                </c:pt>
                <c:pt idx="78">
                  <c:v>0.27744904667981501</c:v>
                </c:pt>
                <c:pt idx="79">
                  <c:v>0.28056112224448898</c:v>
                </c:pt>
                <c:pt idx="80">
                  <c:v>0.27826086956521701</c:v>
                </c:pt>
                <c:pt idx="81">
                  <c:v>0.27468099395567402</c:v>
                </c:pt>
                <c:pt idx="82">
                  <c:v>0.28590878148400201</c:v>
                </c:pt>
                <c:pt idx="83">
                  <c:v>0.28092959671906997</c:v>
                </c:pt>
                <c:pt idx="84">
                  <c:v>0.28662420382165599</c:v>
                </c:pt>
                <c:pt idx="85">
                  <c:v>0.29229661627069797</c:v>
                </c:pt>
                <c:pt idx="86">
                  <c:v>0.29057971014492701</c:v>
                </c:pt>
                <c:pt idx="87">
                  <c:v>0.264524948735475</c:v>
                </c:pt>
                <c:pt idx="88">
                  <c:v>0.25837320574162598</c:v>
                </c:pt>
                <c:pt idx="89">
                  <c:v>0.26489138051856997</c:v>
                </c:pt>
                <c:pt idx="90">
                  <c:v>0.26909350463954301</c:v>
                </c:pt>
                <c:pt idx="91">
                  <c:v>0.27410071942446002</c:v>
                </c:pt>
                <c:pt idx="92">
                  <c:v>0.26743350107836</c:v>
                </c:pt>
                <c:pt idx="93">
                  <c:v>0.27075812274368199</c:v>
                </c:pt>
                <c:pt idx="94">
                  <c:v>0.26925898752751198</c:v>
                </c:pt>
                <c:pt idx="95">
                  <c:v>0.26521739130434702</c:v>
                </c:pt>
                <c:pt idx="96">
                  <c:v>0.26570397111913302</c:v>
                </c:pt>
                <c:pt idx="97">
                  <c:v>0.26945244956772302</c:v>
                </c:pt>
                <c:pt idx="98">
                  <c:v>0.27121102248005802</c:v>
                </c:pt>
                <c:pt idx="99">
                  <c:v>0.26979472140762401</c:v>
                </c:pt>
                <c:pt idx="100">
                  <c:v>0.27218934911242598</c:v>
                </c:pt>
                <c:pt idx="101">
                  <c:v>0.27670623145400502</c:v>
                </c:pt>
                <c:pt idx="102">
                  <c:v>0.28042328042328002</c:v>
                </c:pt>
                <c:pt idx="103">
                  <c:v>0.28003060443764299</c:v>
                </c:pt>
                <c:pt idx="104">
                  <c:v>0.28966061562746598</c:v>
                </c:pt>
                <c:pt idx="105">
                  <c:v>0.29245283018867901</c:v>
                </c:pt>
                <c:pt idx="106">
                  <c:v>0.28986645718774501</c:v>
                </c:pt>
                <c:pt idx="107">
                  <c:v>0.292283710054559</c:v>
                </c:pt>
                <c:pt idx="108">
                  <c:v>0.292873923257635</c:v>
                </c:pt>
                <c:pt idx="109">
                  <c:v>0.300473186119873</c:v>
                </c:pt>
                <c:pt idx="110">
                  <c:v>0.29600626468285002</c:v>
                </c:pt>
                <c:pt idx="111">
                  <c:v>0.29742388758782201</c:v>
                </c:pt>
                <c:pt idx="112">
                  <c:v>0.30080000000000001</c:v>
                </c:pt>
                <c:pt idx="113">
                  <c:v>0.303149606299212</c:v>
                </c:pt>
                <c:pt idx="114">
                  <c:v>0.30227094753328099</c:v>
                </c:pt>
                <c:pt idx="115">
                  <c:v>0.30310077519379802</c:v>
                </c:pt>
                <c:pt idx="116">
                  <c:v>0.29311678267594699</c:v>
                </c:pt>
                <c:pt idx="117">
                  <c:v>0.29411764705882298</c:v>
                </c:pt>
                <c:pt idx="118">
                  <c:v>0.29079659706109801</c:v>
                </c:pt>
                <c:pt idx="119">
                  <c:v>0.29508196721311403</c:v>
                </c:pt>
                <c:pt idx="120">
                  <c:v>0.29866036249014899</c:v>
                </c:pt>
                <c:pt idx="121">
                  <c:v>0.29670329670329598</c:v>
                </c:pt>
                <c:pt idx="122">
                  <c:v>0.29262672811059898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  <c:pt idx="4">
                  <c:v>43846</c:v>
                </c:pt>
                <c:pt idx="5">
                  <c:v>43845</c:v>
                </c:pt>
                <c:pt idx="6">
                  <c:v>43844</c:v>
                </c:pt>
                <c:pt idx="7">
                  <c:v>43840</c:v>
                </c:pt>
                <c:pt idx="8">
                  <c:v>43839</c:v>
                </c:pt>
                <c:pt idx="9">
                  <c:v>43838</c:v>
                </c:pt>
                <c:pt idx="10">
                  <c:v>43837</c:v>
                </c:pt>
                <c:pt idx="11">
                  <c:v>43836</c:v>
                </c:pt>
                <c:pt idx="12">
                  <c:v>43829</c:v>
                </c:pt>
                <c:pt idx="13">
                  <c:v>43826</c:v>
                </c:pt>
                <c:pt idx="14">
                  <c:v>43825</c:v>
                </c:pt>
                <c:pt idx="15">
                  <c:v>43824</c:v>
                </c:pt>
                <c:pt idx="16">
                  <c:v>43823</c:v>
                </c:pt>
                <c:pt idx="17">
                  <c:v>43822</c:v>
                </c:pt>
                <c:pt idx="18">
                  <c:v>43819</c:v>
                </c:pt>
                <c:pt idx="19">
                  <c:v>43818</c:v>
                </c:pt>
                <c:pt idx="20">
                  <c:v>43817</c:v>
                </c:pt>
                <c:pt idx="21">
                  <c:v>43816</c:v>
                </c:pt>
                <c:pt idx="22">
                  <c:v>43815</c:v>
                </c:pt>
                <c:pt idx="23">
                  <c:v>43812</c:v>
                </c:pt>
                <c:pt idx="24">
                  <c:v>43811</c:v>
                </c:pt>
                <c:pt idx="25">
                  <c:v>43810</c:v>
                </c:pt>
                <c:pt idx="26">
                  <c:v>43809</c:v>
                </c:pt>
                <c:pt idx="27">
                  <c:v>43808</c:v>
                </c:pt>
                <c:pt idx="28">
                  <c:v>43805</c:v>
                </c:pt>
                <c:pt idx="29">
                  <c:v>43804</c:v>
                </c:pt>
                <c:pt idx="30">
                  <c:v>43803</c:v>
                </c:pt>
                <c:pt idx="31">
                  <c:v>43802</c:v>
                </c:pt>
                <c:pt idx="32">
                  <c:v>43801</c:v>
                </c:pt>
                <c:pt idx="33">
                  <c:v>43798</c:v>
                </c:pt>
                <c:pt idx="34">
                  <c:v>43797</c:v>
                </c:pt>
                <c:pt idx="35">
                  <c:v>43796</c:v>
                </c:pt>
                <c:pt idx="36">
                  <c:v>43795</c:v>
                </c:pt>
                <c:pt idx="37">
                  <c:v>43794</c:v>
                </c:pt>
                <c:pt idx="38">
                  <c:v>43791</c:v>
                </c:pt>
                <c:pt idx="39">
                  <c:v>43790</c:v>
                </c:pt>
                <c:pt idx="40">
                  <c:v>43789</c:v>
                </c:pt>
                <c:pt idx="41">
                  <c:v>43788</c:v>
                </c:pt>
                <c:pt idx="42">
                  <c:v>43787</c:v>
                </c:pt>
                <c:pt idx="43">
                  <c:v>43784</c:v>
                </c:pt>
                <c:pt idx="44">
                  <c:v>43783</c:v>
                </c:pt>
                <c:pt idx="45">
                  <c:v>43782</c:v>
                </c:pt>
                <c:pt idx="46">
                  <c:v>43781</c:v>
                </c:pt>
                <c:pt idx="47">
                  <c:v>43780</c:v>
                </c:pt>
                <c:pt idx="48">
                  <c:v>43777</c:v>
                </c:pt>
                <c:pt idx="49">
                  <c:v>43776</c:v>
                </c:pt>
                <c:pt idx="50">
                  <c:v>43775</c:v>
                </c:pt>
                <c:pt idx="51">
                  <c:v>43774</c:v>
                </c:pt>
                <c:pt idx="52">
                  <c:v>43770</c:v>
                </c:pt>
                <c:pt idx="53">
                  <c:v>43769</c:v>
                </c:pt>
                <c:pt idx="54">
                  <c:v>43768</c:v>
                </c:pt>
                <c:pt idx="55">
                  <c:v>43767</c:v>
                </c:pt>
                <c:pt idx="56">
                  <c:v>43766</c:v>
                </c:pt>
                <c:pt idx="57">
                  <c:v>43763</c:v>
                </c:pt>
                <c:pt idx="58">
                  <c:v>43762</c:v>
                </c:pt>
                <c:pt idx="59">
                  <c:v>43761</c:v>
                </c:pt>
                <c:pt idx="60">
                  <c:v>43759</c:v>
                </c:pt>
                <c:pt idx="61">
                  <c:v>43756</c:v>
                </c:pt>
                <c:pt idx="62">
                  <c:v>43755</c:v>
                </c:pt>
                <c:pt idx="63">
                  <c:v>43754</c:v>
                </c:pt>
                <c:pt idx="64">
                  <c:v>43753</c:v>
                </c:pt>
                <c:pt idx="65">
                  <c:v>43749</c:v>
                </c:pt>
                <c:pt idx="66">
                  <c:v>43748</c:v>
                </c:pt>
                <c:pt idx="67">
                  <c:v>43747</c:v>
                </c:pt>
                <c:pt idx="68">
                  <c:v>43746</c:v>
                </c:pt>
                <c:pt idx="69">
                  <c:v>43745</c:v>
                </c:pt>
                <c:pt idx="70">
                  <c:v>43742</c:v>
                </c:pt>
                <c:pt idx="71">
                  <c:v>43741</c:v>
                </c:pt>
                <c:pt idx="72">
                  <c:v>43740</c:v>
                </c:pt>
                <c:pt idx="73">
                  <c:v>43739</c:v>
                </c:pt>
                <c:pt idx="74">
                  <c:v>43738</c:v>
                </c:pt>
                <c:pt idx="75">
                  <c:v>43735</c:v>
                </c:pt>
                <c:pt idx="76">
                  <c:v>43734</c:v>
                </c:pt>
                <c:pt idx="77">
                  <c:v>43733</c:v>
                </c:pt>
                <c:pt idx="78">
                  <c:v>43732</c:v>
                </c:pt>
                <c:pt idx="79">
                  <c:v>43728</c:v>
                </c:pt>
                <c:pt idx="80">
                  <c:v>43727</c:v>
                </c:pt>
                <c:pt idx="81">
                  <c:v>43726</c:v>
                </c:pt>
                <c:pt idx="82">
                  <c:v>43725</c:v>
                </c:pt>
                <c:pt idx="83">
                  <c:v>43721</c:v>
                </c:pt>
                <c:pt idx="84">
                  <c:v>43720</c:v>
                </c:pt>
                <c:pt idx="85">
                  <c:v>43719</c:v>
                </c:pt>
                <c:pt idx="86">
                  <c:v>43718</c:v>
                </c:pt>
                <c:pt idx="87">
                  <c:v>43717</c:v>
                </c:pt>
                <c:pt idx="88">
                  <c:v>43714</c:v>
                </c:pt>
                <c:pt idx="89">
                  <c:v>43713</c:v>
                </c:pt>
                <c:pt idx="90">
                  <c:v>43712</c:v>
                </c:pt>
                <c:pt idx="91">
                  <c:v>43711</c:v>
                </c:pt>
                <c:pt idx="92">
                  <c:v>43710</c:v>
                </c:pt>
                <c:pt idx="93">
                  <c:v>43707</c:v>
                </c:pt>
                <c:pt idx="94">
                  <c:v>43706</c:v>
                </c:pt>
                <c:pt idx="95">
                  <c:v>43705</c:v>
                </c:pt>
                <c:pt idx="96">
                  <c:v>43704</c:v>
                </c:pt>
                <c:pt idx="97">
                  <c:v>43703</c:v>
                </c:pt>
                <c:pt idx="98">
                  <c:v>43700</c:v>
                </c:pt>
                <c:pt idx="99">
                  <c:v>43699</c:v>
                </c:pt>
                <c:pt idx="100">
                  <c:v>43698</c:v>
                </c:pt>
                <c:pt idx="101">
                  <c:v>43697</c:v>
                </c:pt>
                <c:pt idx="102">
                  <c:v>43696</c:v>
                </c:pt>
                <c:pt idx="103">
                  <c:v>43693</c:v>
                </c:pt>
                <c:pt idx="104">
                  <c:v>43692</c:v>
                </c:pt>
                <c:pt idx="105">
                  <c:v>43691</c:v>
                </c:pt>
                <c:pt idx="106">
                  <c:v>43690</c:v>
                </c:pt>
                <c:pt idx="107">
                  <c:v>43686</c:v>
                </c:pt>
                <c:pt idx="108">
                  <c:v>43685</c:v>
                </c:pt>
                <c:pt idx="109">
                  <c:v>43684</c:v>
                </c:pt>
                <c:pt idx="110">
                  <c:v>43683</c:v>
                </c:pt>
                <c:pt idx="111">
                  <c:v>43682</c:v>
                </c:pt>
                <c:pt idx="112">
                  <c:v>43679</c:v>
                </c:pt>
                <c:pt idx="113">
                  <c:v>43678</c:v>
                </c:pt>
                <c:pt idx="114">
                  <c:v>43677</c:v>
                </c:pt>
                <c:pt idx="115">
                  <c:v>43676</c:v>
                </c:pt>
                <c:pt idx="116">
                  <c:v>43675</c:v>
                </c:pt>
                <c:pt idx="117">
                  <c:v>43672</c:v>
                </c:pt>
                <c:pt idx="118">
                  <c:v>43671</c:v>
                </c:pt>
                <c:pt idx="119">
                  <c:v>43670</c:v>
                </c:pt>
                <c:pt idx="120">
                  <c:v>43669</c:v>
                </c:pt>
                <c:pt idx="121">
                  <c:v>43668</c:v>
                </c:pt>
                <c:pt idx="122">
                  <c:v>43665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0.285445559194212</c:v>
                </c:pt>
                <c:pt idx="1">
                  <c:v>0.28521967279566002</c:v>
                </c:pt>
                <c:pt idx="2">
                  <c:v>0.28504338826484299</c:v>
                </c:pt>
                <c:pt idx="3">
                  <c:v>0.28476772021930802</c:v>
                </c:pt>
                <c:pt idx="4">
                  <c:v>0.284451536965736</c:v>
                </c:pt>
                <c:pt idx="5">
                  <c:v>0.28420946589243401</c:v>
                </c:pt>
                <c:pt idx="6">
                  <c:v>0.28390864333074201</c:v>
                </c:pt>
                <c:pt idx="7">
                  <c:v>0.28359349806152701</c:v>
                </c:pt>
                <c:pt idx="8">
                  <c:v>0.283496770034037</c:v>
                </c:pt>
                <c:pt idx="9">
                  <c:v>0.28334195408974699</c:v>
                </c:pt>
                <c:pt idx="10">
                  <c:v>0.28321153785627901</c:v>
                </c:pt>
                <c:pt idx="11">
                  <c:v>0.283221512781484</c:v>
                </c:pt>
                <c:pt idx="12">
                  <c:v>0.28323666684405002</c:v>
                </c:pt>
                <c:pt idx="13">
                  <c:v>0.28288615494538799</c:v>
                </c:pt>
                <c:pt idx="14">
                  <c:v>0.282447106892735</c:v>
                </c:pt>
                <c:pt idx="15">
                  <c:v>0.28217280399200201</c:v>
                </c:pt>
                <c:pt idx="16">
                  <c:v>0.28190869155043702</c:v>
                </c:pt>
                <c:pt idx="17">
                  <c:v>0.28175495659447702</c:v>
                </c:pt>
                <c:pt idx="18">
                  <c:v>0.28149219873451498</c:v>
                </c:pt>
                <c:pt idx="19">
                  <c:v>0.28125944433842598</c:v>
                </c:pt>
                <c:pt idx="20">
                  <c:v>0.281035574332345</c:v>
                </c:pt>
                <c:pt idx="21">
                  <c:v>0.28074995022268101</c:v>
                </c:pt>
                <c:pt idx="22">
                  <c:v>0.28057012648500101</c:v>
                </c:pt>
                <c:pt idx="23">
                  <c:v>0.28041549831014201</c:v>
                </c:pt>
                <c:pt idx="24">
                  <c:v>0.28027555721887598</c:v>
                </c:pt>
                <c:pt idx="25">
                  <c:v>0.28007234511159601</c:v>
                </c:pt>
                <c:pt idx="26">
                  <c:v>0.27990788563944402</c:v>
                </c:pt>
                <c:pt idx="27">
                  <c:v>0.27987157871360702</c:v>
                </c:pt>
                <c:pt idx="28">
                  <c:v>0.279910813262645</c:v>
                </c:pt>
                <c:pt idx="29">
                  <c:v>0.27998504789301498</c:v>
                </c:pt>
                <c:pt idx="30">
                  <c:v>0.280193226942276</c:v>
                </c:pt>
                <c:pt idx="31">
                  <c:v>0.28046508736021097</c:v>
                </c:pt>
                <c:pt idx="32">
                  <c:v>0.280631259432778</c:v>
                </c:pt>
                <c:pt idx="33">
                  <c:v>0.28083408236256302</c:v>
                </c:pt>
                <c:pt idx="34">
                  <c:v>0.28110561462464601</c:v>
                </c:pt>
                <c:pt idx="35">
                  <c:v>0.281399252263629</c:v>
                </c:pt>
                <c:pt idx="36">
                  <c:v>0.281656173657789</c:v>
                </c:pt>
                <c:pt idx="37">
                  <c:v>0.28177647544004703</c:v>
                </c:pt>
                <c:pt idx="38">
                  <c:v>0.28187111811356902</c:v>
                </c:pt>
                <c:pt idx="39">
                  <c:v>0.28189982382767997</c:v>
                </c:pt>
                <c:pt idx="40">
                  <c:v>0.28199425570723102</c:v>
                </c:pt>
                <c:pt idx="41">
                  <c:v>0.28216910609516399</c:v>
                </c:pt>
                <c:pt idx="42">
                  <c:v>0.28230438918982698</c:v>
                </c:pt>
                <c:pt idx="43">
                  <c:v>0.28235273377356301</c:v>
                </c:pt>
                <c:pt idx="44">
                  <c:v>0.28239690569787101</c:v>
                </c:pt>
                <c:pt idx="45">
                  <c:v>0.28251298977570399</c:v>
                </c:pt>
                <c:pt idx="46">
                  <c:v>0.28267803052673202</c:v>
                </c:pt>
                <c:pt idx="47">
                  <c:v>0.28278673276647398</c:v>
                </c:pt>
                <c:pt idx="48">
                  <c:v>0.28288517258440898</c:v>
                </c:pt>
                <c:pt idx="49">
                  <c:v>0.282882835858149</c:v>
                </c:pt>
                <c:pt idx="50">
                  <c:v>0.28311837701977499</c:v>
                </c:pt>
                <c:pt idx="51">
                  <c:v>0.28334360337979297</c:v>
                </c:pt>
                <c:pt idx="52">
                  <c:v>0.28340515897853802</c:v>
                </c:pt>
                <c:pt idx="53">
                  <c:v>0.28366773516723998</c:v>
                </c:pt>
                <c:pt idx="54">
                  <c:v>0.28398024263920502</c:v>
                </c:pt>
                <c:pt idx="55">
                  <c:v>0.28429822297632701</c:v>
                </c:pt>
                <c:pt idx="56">
                  <c:v>0.28463555207267899</c:v>
                </c:pt>
                <c:pt idx="57">
                  <c:v>0.28502892573906002</c:v>
                </c:pt>
                <c:pt idx="58">
                  <c:v>0.285349676059931</c:v>
                </c:pt>
                <c:pt idx="59">
                  <c:v>0.285786139428234</c:v>
                </c:pt>
                <c:pt idx="60">
                  <c:v>0.28630215766040201</c:v>
                </c:pt>
                <c:pt idx="61">
                  <c:v>0.28676391920712602</c:v>
                </c:pt>
                <c:pt idx="62">
                  <c:v>0.28730015219187199</c:v>
                </c:pt>
                <c:pt idx="63">
                  <c:v>0.28778757214326101</c:v>
                </c:pt>
                <c:pt idx="64">
                  <c:v>0.288060859674721</c:v>
                </c:pt>
                <c:pt idx="65">
                  <c:v>0.28824953410716703</c:v>
                </c:pt>
                <c:pt idx="66">
                  <c:v>0.28844293479411298</c:v>
                </c:pt>
                <c:pt idx="67">
                  <c:v>0.288730781231269</c:v>
                </c:pt>
                <c:pt idx="68">
                  <c:v>0.28903511598498299</c:v>
                </c:pt>
                <c:pt idx="69">
                  <c:v>0.28947275107478099</c:v>
                </c:pt>
                <c:pt idx="70">
                  <c:v>0.28990823822186101</c:v>
                </c:pt>
                <c:pt idx="71">
                  <c:v>0.29040110378385797</c:v>
                </c:pt>
                <c:pt idx="72">
                  <c:v>0.29093300239977798</c:v>
                </c:pt>
                <c:pt idx="73">
                  <c:v>0.29142727034887</c:v>
                </c:pt>
                <c:pt idx="74">
                  <c:v>0.29203326846990402</c:v>
                </c:pt>
                <c:pt idx="75">
                  <c:v>0.29272701431289799</c:v>
                </c:pt>
                <c:pt idx="76">
                  <c:v>0.29336091911065598</c:v>
                </c:pt>
                <c:pt idx="77">
                  <c:v>0.293947074366395</c:v>
                </c:pt>
                <c:pt idx="78">
                  <c:v>0.294521895352369</c:v>
                </c:pt>
                <c:pt idx="79">
                  <c:v>0.29509430760274102</c:v>
                </c:pt>
                <c:pt idx="80">
                  <c:v>0.29564088957705398</c:v>
                </c:pt>
                <c:pt idx="81">
                  <c:v>0.29624062888816499</c:v>
                </c:pt>
                <c:pt idx="82">
                  <c:v>0.29686182846272402</c:v>
                </c:pt>
                <c:pt idx="83">
                  <c:v>0.297260237692061</c:v>
                </c:pt>
                <c:pt idx="84">
                  <c:v>0.29762822211038797</c:v>
                </c:pt>
                <c:pt idx="85">
                  <c:v>0.29786786874142501</c:v>
                </c:pt>
                <c:pt idx="86">
                  <c:v>0.29798573203963402</c:v>
                </c:pt>
                <c:pt idx="87">
                  <c:v>0.29814183699369301</c:v>
                </c:pt>
                <c:pt idx="88">
                  <c:v>0.29862027985409101</c:v>
                </c:pt>
                <c:pt idx="89">
                  <c:v>0.29915191196467</c:v>
                </c:pt>
                <c:pt idx="90">
                  <c:v>0.29968219195003898</c:v>
                </c:pt>
                <c:pt idx="91">
                  <c:v>0.30015594787967198</c:v>
                </c:pt>
                <c:pt idx="92">
                  <c:v>0.30060885108278201</c:v>
                </c:pt>
                <c:pt idx="93">
                  <c:v>0.30108280616774202</c:v>
                </c:pt>
                <c:pt idx="94">
                  <c:v>0.30149578112912601</c:v>
                </c:pt>
                <c:pt idx="95">
                  <c:v>0.30211850937924101</c:v>
                </c:pt>
                <c:pt idx="96">
                  <c:v>0.30286155677446303</c:v>
                </c:pt>
                <c:pt idx="97">
                  <c:v>0.30357654024077302</c:v>
                </c:pt>
                <c:pt idx="98">
                  <c:v>0.304275542505827</c:v>
                </c:pt>
                <c:pt idx="99">
                  <c:v>0.30502034060062799</c:v>
                </c:pt>
                <c:pt idx="100">
                  <c:v>0.30563876392303602</c:v>
                </c:pt>
                <c:pt idx="101">
                  <c:v>0.30616624726180902</c:v>
                </c:pt>
                <c:pt idx="102">
                  <c:v>0.30653662627908601</c:v>
                </c:pt>
                <c:pt idx="103">
                  <c:v>0.30689358022267399</c:v>
                </c:pt>
                <c:pt idx="104">
                  <c:v>0.30712987628335597</c:v>
                </c:pt>
                <c:pt idx="105">
                  <c:v>0.30721079141638102</c:v>
                </c:pt>
                <c:pt idx="106">
                  <c:v>0.30742063905495798</c:v>
                </c:pt>
                <c:pt idx="107">
                  <c:v>0.30764678374894699</c:v>
                </c:pt>
                <c:pt idx="108">
                  <c:v>0.307786268922076</c:v>
                </c:pt>
                <c:pt idx="109">
                  <c:v>0.30786988726724401</c:v>
                </c:pt>
                <c:pt idx="110">
                  <c:v>0.30786150127578099</c:v>
                </c:pt>
                <c:pt idx="111">
                  <c:v>0.30786805847300602</c:v>
                </c:pt>
                <c:pt idx="112">
                  <c:v>0.30782397526595301</c:v>
                </c:pt>
                <c:pt idx="113">
                  <c:v>0.307605542588192</c:v>
                </c:pt>
                <c:pt idx="114">
                  <c:v>0.307367321422441</c:v>
                </c:pt>
                <c:pt idx="115">
                  <c:v>0.30708359859582701</c:v>
                </c:pt>
                <c:pt idx="116">
                  <c:v>0.30689500328764502</c:v>
                </c:pt>
                <c:pt idx="117">
                  <c:v>0.30688995652317103</c:v>
                </c:pt>
                <c:pt idx="118">
                  <c:v>0.30692234184967399</c:v>
                </c:pt>
                <c:pt idx="119">
                  <c:v>0.30698127710759399</c:v>
                </c:pt>
                <c:pt idx="120">
                  <c:v>0.30692833235956701</c:v>
                </c:pt>
                <c:pt idx="121">
                  <c:v>0.30682730448534301</c:v>
                </c:pt>
                <c:pt idx="122">
                  <c:v>0.30681603370484101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  <c:pt idx="4">
                  <c:v>43846</c:v>
                </c:pt>
                <c:pt idx="5">
                  <c:v>43845</c:v>
                </c:pt>
                <c:pt idx="6">
                  <c:v>43844</c:v>
                </c:pt>
                <c:pt idx="7">
                  <c:v>43840</c:v>
                </c:pt>
                <c:pt idx="8">
                  <c:v>43839</c:v>
                </c:pt>
                <c:pt idx="9">
                  <c:v>43838</c:v>
                </c:pt>
                <c:pt idx="10">
                  <c:v>43837</c:v>
                </c:pt>
                <c:pt idx="11">
                  <c:v>43836</c:v>
                </c:pt>
                <c:pt idx="12">
                  <c:v>43829</c:v>
                </c:pt>
                <c:pt idx="13">
                  <c:v>43826</c:v>
                </c:pt>
                <c:pt idx="14">
                  <c:v>43825</c:v>
                </c:pt>
                <c:pt idx="15">
                  <c:v>43824</c:v>
                </c:pt>
                <c:pt idx="16">
                  <c:v>43823</c:v>
                </c:pt>
                <c:pt idx="17">
                  <c:v>43822</c:v>
                </c:pt>
                <c:pt idx="18">
                  <c:v>43819</c:v>
                </c:pt>
                <c:pt idx="19">
                  <c:v>43818</c:v>
                </c:pt>
                <c:pt idx="20">
                  <c:v>43817</c:v>
                </c:pt>
                <c:pt idx="21">
                  <c:v>43816</c:v>
                </c:pt>
                <c:pt idx="22">
                  <c:v>43815</c:v>
                </c:pt>
                <c:pt idx="23">
                  <c:v>43812</c:v>
                </c:pt>
                <c:pt idx="24">
                  <c:v>43811</c:v>
                </c:pt>
                <c:pt idx="25">
                  <c:v>43810</c:v>
                </c:pt>
                <c:pt idx="26">
                  <c:v>43809</c:v>
                </c:pt>
                <c:pt idx="27">
                  <c:v>43808</c:v>
                </c:pt>
                <c:pt idx="28">
                  <c:v>43805</c:v>
                </c:pt>
                <c:pt idx="29">
                  <c:v>43804</c:v>
                </c:pt>
                <c:pt idx="30">
                  <c:v>43803</c:v>
                </c:pt>
                <c:pt idx="31">
                  <c:v>43802</c:v>
                </c:pt>
                <c:pt idx="32">
                  <c:v>43801</c:v>
                </c:pt>
                <c:pt idx="33">
                  <c:v>43798</c:v>
                </c:pt>
                <c:pt idx="34">
                  <c:v>43797</c:v>
                </c:pt>
                <c:pt idx="35">
                  <c:v>43796</c:v>
                </c:pt>
                <c:pt idx="36">
                  <c:v>43795</c:v>
                </c:pt>
                <c:pt idx="37">
                  <c:v>43794</c:v>
                </c:pt>
                <c:pt idx="38">
                  <c:v>43791</c:v>
                </c:pt>
                <c:pt idx="39">
                  <c:v>43790</c:v>
                </c:pt>
                <c:pt idx="40">
                  <c:v>43789</c:v>
                </c:pt>
                <c:pt idx="41">
                  <c:v>43788</c:v>
                </c:pt>
                <c:pt idx="42">
                  <c:v>43787</c:v>
                </c:pt>
                <c:pt idx="43">
                  <c:v>43784</c:v>
                </c:pt>
                <c:pt idx="44">
                  <c:v>43783</c:v>
                </c:pt>
                <c:pt idx="45">
                  <c:v>43782</c:v>
                </c:pt>
                <c:pt idx="46">
                  <c:v>43781</c:v>
                </c:pt>
                <c:pt idx="47">
                  <c:v>43780</c:v>
                </c:pt>
                <c:pt idx="48">
                  <c:v>43777</c:v>
                </c:pt>
                <c:pt idx="49">
                  <c:v>43776</c:v>
                </c:pt>
                <c:pt idx="50">
                  <c:v>43775</c:v>
                </c:pt>
                <c:pt idx="51">
                  <c:v>43774</c:v>
                </c:pt>
                <c:pt idx="52">
                  <c:v>43770</c:v>
                </c:pt>
                <c:pt idx="53">
                  <c:v>43769</c:v>
                </c:pt>
                <c:pt idx="54">
                  <c:v>43768</c:v>
                </c:pt>
                <c:pt idx="55">
                  <c:v>43767</c:v>
                </c:pt>
                <c:pt idx="56">
                  <c:v>43766</c:v>
                </c:pt>
                <c:pt idx="57">
                  <c:v>43763</c:v>
                </c:pt>
                <c:pt idx="58">
                  <c:v>43762</c:v>
                </c:pt>
                <c:pt idx="59">
                  <c:v>43761</c:v>
                </c:pt>
                <c:pt idx="60">
                  <c:v>43759</c:v>
                </c:pt>
                <c:pt idx="61">
                  <c:v>43756</c:v>
                </c:pt>
                <c:pt idx="62">
                  <c:v>43755</c:v>
                </c:pt>
                <c:pt idx="63">
                  <c:v>43754</c:v>
                </c:pt>
                <c:pt idx="64">
                  <c:v>43753</c:v>
                </c:pt>
                <c:pt idx="65">
                  <c:v>43749</c:v>
                </c:pt>
                <c:pt idx="66">
                  <c:v>43748</c:v>
                </c:pt>
                <c:pt idx="67">
                  <c:v>43747</c:v>
                </c:pt>
                <c:pt idx="68">
                  <c:v>43746</c:v>
                </c:pt>
                <c:pt idx="69">
                  <c:v>43745</c:v>
                </c:pt>
                <c:pt idx="70">
                  <c:v>43742</c:v>
                </c:pt>
                <c:pt idx="71">
                  <c:v>43741</c:v>
                </c:pt>
                <c:pt idx="72">
                  <c:v>43740</c:v>
                </c:pt>
                <c:pt idx="73">
                  <c:v>43739</c:v>
                </c:pt>
                <c:pt idx="74">
                  <c:v>43738</c:v>
                </c:pt>
                <c:pt idx="75">
                  <c:v>43735</c:v>
                </c:pt>
                <c:pt idx="76">
                  <c:v>43734</c:v>
                </c:pt>
                <c:pt idx="77">
                  <c:v>43733</c:v>
                </c:pt>
                <c:pt idx="78">
                  <c:v>43732</c:v>
                </c:pt>
                <c:pt idx="79">
                  <c:v>43728</c:v>
                </c:pt>
                <c:pt idx="80">
                  <c:v>43727</c:v>
                </c:pt>
                <c:pt idx="81">
                  <c:v>43726</c:v>
                </c:pt>
                <c:pt idx="82">
                  <c:v>43725</c:v>
                </c:pt>
                <c:pt idx="83">
                  <c:v>43721</c:v>
                </c:pt>
                <c:pt idx="84">
                  <c:v>43720</c:v>
                </c:pt>
                <c:pt idx="85">
                  <c:v>43719</c:v>
                </c:pt>
                <c:pt idx="86">
                  <c:v>43718</c:v>
                </c:pt>
                <c:pt idx="87">
                  <c:v>43717</c:v>
                </c:pt>
                <c:pt idx="88">
                  <c:v>43714</c:v>
                </c:pt>
                <c:pt idx="89">
                  <c:v>43713</c:v>
                </c:pt>
                <c:pt idx="90">
                  <c:v>43712</c:v>
                </c:pt>
                <c:pt idx="91">
                  <c:v>43711</c:v>
                </c:pt>
                <c:pt idx="92">
                  <c:v>43710</c:v>
                </c:pt>
                <c:pt idx="93">
                  <c:v>43707</c:v>
                </c:pt>
                <c:pt idx="94">
                  <c:v>43706</c:v>
                </c:pt>
                <c:pt idx="95">
                  <c:v>43705</c:v>
                </c:pt>
                <c:pt idx="96">
                  <c:v>43704</c:v>
                </c:pt>
                <c:pt idx="97">
                  <c:v>43703</c:v>
                </c:pt>
                <c:pt idx="98">
                  <c:v>43700</c:v>
                </c:pt>
                <c:pt idx="99">
                  <c:v>43699</c:v>
                </c:pt>
                <c:pt idx="100">
                  <c:v>43698</c:v>
                </c:pt>
                <c:pt idx="101">
                  <c:v>43697</c:v>
                </c:pt>
                <c:pt idx="102">
                  <c:v>43696</c:v>
                </c:pt>
                <c:pt idx="103">
                  <c:v>43693</c:v>
                </c:pt>
                <c:pt idx="104">
                  <c:v>43692</c:v>
                </c:pt>
                <c:pt idx="105">
                  <c:v>43691</c:v>
                </c:pt>
                <c:pt idx="106">
                  <c:v>43690</c:v>
                </c:pt>
                <c:pt idx="107">
                  <c:v>43686</c:v>
                </c:pt>
                <c:pt idx="108">
                  <c:v>43685</c:v>
                </c:pt>
                <c:pt idx="109">
                  <c:v>43684</c:v>
                </c:pt>
                <c:pt idx="110">
                  <c:v>43683</c:v>
                </c:pt>
                <c:pt idx="111">
                  <c:v>43682</c:v>
                </c:pt>
                <c:pt idx="112">
                  <c:v>43679</c:v>
                </c:pt>
                <c:pt idx="113">
                  <c:v>43678</c:v>
                </c:pt>
                <c:pt idx="114">
                  <c:v>43677</c:v>
                </c:pt>
                <c:pt idx="115">
                  <c:v>43676</c:v>
                </c:pt>
                <c:pt idx="116">
                  <c:v>43675</c:v>
                </c:pt>
                <c:pt idx="117">
                  <c:v>43672</c:v>
                </c:pt>
                <c:pt idx="118">
                  <c:v>43671</c:v>
                </c:pt>
                <c:pt idx="119">
                  <c:v>43670</c:v>
                </c:pt>
                <c:pt idx="120">
                  <c:v>43669</c:v>
                </c:pt>
                <c:pt idx="121">
                  <c:v>43668</c:v>
                </c:pt>
                <c:pt idx="122">
                  <c:v>43665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0.29957941881434502</c:v>
                </c:pt>
                <c:pt idx="1">
                  <c:v>0.29909018030179552</c:v>
                </c:pt>
                <c:pt idx="2">
                  <c:v>0.29884250655531247</c:v>
                </c:pt>
                <c:pt idx="3">
                  <c:v>0.29850474069993382</c:v>
                </c:pt>
                <c:pt idx="4">
                  <c:v>0.29774915424953607</c:v>
                </c:pt>
                <c:pt idx="5">
                  <c:v>0.2971147657876998</c:v>
                </c:pt>
                <c:pt idx="6">
                  <c:v>0.29629219291599251</c:v>
                </c:pt>
                <c:pt idx="7">
                  <c:v>0.29569409607679487</c:v>
                </c:pt>
                <c:pt idx="8">
                  <c:v>0.29540426898650196</c:v>
                </c:pt>
                <c:pt idx="9">
                  <c:v>0.29507574210990212</c:v>
                </c:pt>
                <c:pt idx="10">
                  <c:v>0.29457317331785893</c:v>
                </c:pt>
                <c:pt idx="11">
                  <c:v>0.29461368098805352</c:v>
                </c:pt>
                <c:pt idx="12">
                  <c:v>0.29466486603930486</c:v>
                </c:pt>
                <c:pt idx="13">
                  <c:v>0.29495778134296186</c:v>
                </c:pt>
                <c:pt idx="14">
                  <c:v>0.29560852984971336</c:v>
                </c:pt>
                <c:pt idx="15">
                  <c:v>0.29591595337171755</c:v>
                </c:pt>
                <c:pt idx="16">
                  <c:v>0.29588380386829349</c:v>
                </c:pt>
                <c:pt idx="17">
                  <c:v>0.29581631362543737</c:v>
                </c:pt>
                <c:pt idx="18">
                  <c:v>0.29587405142853129</c:v>
                </c:pt>
                <c:pt idx="19">
                  <c:v>0.29576309328638678</c:v>
                </c:pt>
                <c:pt idx="20">
                  <c:v>0.29575333117617997</c:v>
                </c:pt>
                <c:pt idx="21">
                  <c:v>0.2958481666051137</c:v>
                </c:pt>
                <c:pt idx="22">
                  <c:v>0.29605466109957368</c:v>
                </c:pt>
                <c:pt idx="23">
                  <c:v>0.29610801435203637</c:v>
                </c:pt>
                <c:pt idx="24">
                  <c:v>0.2961061083185425</c:v>
                </c:pt>
                <c:pt idx="25">
                  <c:v>0.29604392240262989</c:v>
                </c:pt>
                <c:pt idx="26">
                  <c:v>0.29594660394813066</c:v>
                </c:pt>
                <c:pt idx="27">
                  <c:v>0.2959267863461279</c:v>
                </c:pt>
                <c:pt idx="28">
                  <c:v>0.29595683756509422</c:v>
                </c:pt>
                <c:pt idx="29">
                  <c:v>0.2959810086305994</c:v>
                </c:pt>
                <c:pt idx="30">
                  <c:v>0.29628079527384471</c:v>
                </c:pt>
                <c:pt idx="31">
                  <c:v>0.2966825163587265</c:v>
                </c:pt>
                <c:pt idx="32">
                  <c:v>0.29697471574576201</c:v>
                </c:pt>
                <c:pt idx="33">
                  <c:v>0.2973722184979114</c:v>
                </c:pt>
                <c:pt idx="34">
                  <c:v>0.2977564325869933</c:v>
                </c:pt>
                <c:pt idx="35">
                  <c:v>0.2986194239058747</c:v>
                </c:pt>
                <c:pt idx="36">
                  <c:v>0.29916304454056603</c:v>
                </c:pt>
                <c:pt idx="37">
                  <c:v>0.29958843645196126</c:v>
                </c:pt>
                <c:pt idx="38">
                  <c:v>0.30000799913664572</c:v>
                </c:pt>
                <c:pt idx="39">
                  <c:v>0.30016406389823813</c:v>
                </c:pt>
                <c:pt idx="40">
                  <c:v>0.30060234668598235</c:v>
                </c:pt>
                <c:pt idx="41">
                  <c:v>0.30131305622970722</c:v>
                </c:pt>
                <c:pt idx="42">
                  <c:v>0.30161178286474694</c:v>
                </c:pt>
                <c:pt idx="43">
                  <c:v>0.30175978914948581</c:v>
                </c:pt>
                <c:pt idx="44">
                  <c:v>0.301865457251068</c:v>
                </c:pt>
                <c:pt idx="45">
                  <c:v>0.30217788776514415</c:v>
                </c:pt>
                <c:pt idx="46">
                  <c:v>0.30267171754155003</c:v>
                </c:pt>
                <c:pt idx="47">
                  <c:v>0.30299445469231839</c:v>
                </c:pt>
                <c:pt idx="48">
                  <c:v>0.30321139513843898</c:v>
                </c:pt>
                <c:pt idx="49">
                  <c:v>0.303208571071164</c:v>
                </c:pt>
                <c:pt idx="50">
                  <c:v>0.30347744959536022</c:v>
                </c:pt>
                <c:pt idx="51">
                  <c:v>0.30366318894137195</c:v>
                </c:pt>
                <c:pt idx="52">
                  <c:v>0.30380430661588903</c:v>
                </c:pt>
                <c:pt idx="53">
                  <c:v>0.30438142196833218</c:v>
                </c:pt>
                <c:pt idx="54">
                  <c:v>0.30528960115921761</c:v>
                </c:pt>
                <c:pt idx="55">
                  <c:v>0.30608242027333882</c:v>
                </c:pt>
                <c:pt idx="56">
                  <c:v>0.30685273074030861</c:v>
                </c:pt>
                <c:pt idx="57">
                  <c:v>0.30777981252609482</c:v>
                </c:pt>
                <c:pt idx="58">
                  <c:v>0.30848585063563738</c:v>
                </c:pt>
                <c:pt idx="59">
                  <c:v>0.30969147805045738</c:v>
                </c:pt>
                <c:pt idx="60">
                  <c:v>0.31148245055887519</c:v>
                </c:pt>
                <c:pt idx="61">
                  <c:v>0.31315948068533861</c:v>
                </c:pt>
                <c:pt idx="62">
                  <c:v>0.31504300492566617</c:v>
                </c:pt>
                <c:pt idx="63">
                  <c:v>0.31632672692909442</c:v>
                </c:pt>
                <c:pt idx="64">
                  <c:v>0.31693820128024403</c:v>
                </c:pt>
                <c:pt idx="65">
                  <c:v>0.31724284798194563</c:v>
                </c:pt>
                <c:pt idx="66">
                  <c:v>0.31747357052778136</c:v>
                </c:pt>
                <c:pt idx="67">
                  <c:v>0.31783630993157802</c:v>
                </c:pt>
                <c:pt idx="68">
                  <c:v>0.31822773836564122</c:v>
                </c:pt>
                <c:pt idx="69">
                  <c:v>0.31922523420688798</c:v>
                </c:pt>
                <c:pt idx="70">
                  <c:v>0.32029379230963101</c:v>
                </c:pt>
                <c:pt idx="71">
                  <c:v>0.32157105497537997</c:v>
                </c:pt>
                <c:pt idx="72">
                  <c:v>0.32326301915232636</c:v>
                </c:pt>
                <c:pt idx="73">
                  <c:v>0.32495262615541481</c:v>
                </c:pt>
                <c:pt idx="74">
                  <c:v>0.32679835629891985</c:v>
                </c:pt>
                <c:pt idx="75">
                  <c:v>0.32851087378047861</c:v>
                </c:pt>
                <c:pt idx="76">
                  <c:v>0.32996240034917518</c:v>
                </c:pt>
                <c:pt idx="77">
                  <c:v>0.33107316901925643</c:v>
                </c:pt>
                <c:pt idx="78">
                  <c:v>0.33181265213611799</c:v>
                </c:pt>
                <c:pt idx="79">
                  <c:v>0.33263635059254881</c:v>
                </c:pt>
                <c:pt idx="80">
                  <c:v>0.33351287029702659</c:v>
                </c:pt>
                <c:pt idx="81">
                  <c:v>0.3344160987247532</c:v>
                </c:pt>
                <c:pt idx="82">
                  <c:v>0.33512992126399499</c:v>
                </c:pt>
                <c:pt idx="83">
                  <c:v>0.33568575813292523</c:v>
                </c:pt>
                <c:pt idx="84">
                  <c:v>0.33594959159671256</c:v>
                </c:pt>
                <c:pt idx="85">
                  <c:v>0.33613574276547342</c:v>
                </c:pt>
                <c:pt idx="86">
                  <c:v>0.33623869235489262</c:v>
                </c:pt>
                <c:pt idx="87">
                  <c:v>0.33636817858162804</c:v>
                </c:pt>
                <c:pt idx="88">
                  <c:v>0.3360413935562116</c:v>
                </c:pt>
                <c:pt idx="89">
                  <c:v>0.33538485187523098</c:v>
                </c:pt>
                <c:pt idx="90">
                  <c:v>0.33504769510019777</c:v>
                </c:pt>
                <c:pt idx="91">
                  <c:v>0.33481459561230698</c:v>
                </c:pt>
                <c:pt idx="92">
                  <c:v>0.33477804480204459</c:v>
                </c:pt>
                <c:pt idx="93">
                  <c:v>0.33437298919311303</c:v>
                </c:pt>
                <c:pt idx="94">
                  <c:v>0.33403086847307739</c:v>
                </c:pt>
                <c:pt idx="95">
                  <c:v>0.33394176804458259</c:v>
                </c:pt>
                <c:pt idx="96">
                  <c:v>0.33379362599862222</c:v>
                </c:pt>
                <c:pt idx="97">
                  <c:v>0.33350264979508043</c:v>
                </c:pt>
                <c:pt idx="98">
                  <c:v>0.33341960421603539</c:v>
                </c:pt>
                <c:pt idx="99">
                  <c:v>0.33359591696577601</c:v>
                </c:pt>
                <c:pt idx="100">
                  <c:v>0.33312500122546324</c:v>
                </c:pt>
                <c:pt idx="101">
                  <c:v>0.33256131907692443</c:v>
                </c:pt>
                <c:pt idx="102">
                  <c:v>0.33203200438885699</c:v>
                </c:pt>
                <c:pt idx="103">
                  <c:v>0.33165563550032962</c:v>
                </c:pt>
                <c:pt idx="104">
                  <c:v>0.33119033895345196</c:v>
                </c:pt>
                <c:pt idx="105">
                  <c:v>0.33107573709181121</c:v>
                </c:pt>
                <c:pt idx="106">
                  <c:v>0.33103832122065158</c:v>
                </c:pt>
                <c:pt idx="107">
                  <c:v>0.33090994112885458</c:v>
                </c:pt>
                <c:pt idx="108">
                  <c:v>0.33080343931577721</c:v>
                </c:pt>
                <c:pt idx="109">
                  <c:v>0.33071467240040603</c:v>
                </c:pt>
                <c:pt idx="110">
                  <c:v>0.3307176000968442</c:v>
                </c:pt>
                <c:pt idx="111">
                  <c:v>0.3307108272059246</c:v>
                </c:pt>
                <c:pt idx="112">
                  <c:v>0.33075976845462018</c:v>
                </c:pt>
                <c:pt idx="113">
                  <c:v>0.33110974931965942</c:v>
                </c:pt>
                <c:pt idx="114">
                  <c:v>0.33140349251148798</c:v>
                </c:pt>
                <c:pt idx="115">
                  <c:v>0.33184511671563843</c:v>
                </c:pt>
                <c:pt idx="116">
                  <c:v>0.33198823142538403</c:v>
                </c:pt>
                <c:pt idx="117">
                  <c:v>0.33199441670293145</c:v>
                </c:pt>
                <c:pt idx="118">
                  <c:v>0.3319670076528724</c:v>
                </c:pt>
                <c:pt idx="119">
                  <c:v>0.33189433395931539</c:v>
                </c:pt>
                <c:pt idx="120">
                  <c:v>0.33195891726538279</c:v>
                </c:pt>
                <c:pt idx="121">
                  <c:v>0.33205097802773703</c:v>
                </c:pt>
                <c:pt idx="122">
                  <c:v>0.3320585405485616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  <c:pt idx="4">
                  <c:v>43846</c:v>
                </c:pt>
                <c:pt idx="5">
                  <c:v>43845</c:v>
                </c:pt>
                <c:pt idx="6">
                  <c:v>43844</c:v>
                </c:pt>
                <c:pt idx="7">
                  <c:v>43840</c:v>
                </c:pt>
                <c:pt idx="8">
                  <c:v>43839</c:v>
                </c:pt>
                <c:pt idx="9">
                  <c:v>43838</c:v>
                </c:pt>
                <c:pt idx="10">
                  <c:v>43837</c:v>
                </c:pt>
                <c:pt idx="11">
                  <c:v>43836</c:v>
                </c:pt>
                <c:pt idx="12">
                  <c:v>43829</c:v>
                </c:pt>
                <c:pt idx="13">
                  <c:v>43826</c:v>
                </c:pt>
                <c:pt idx="14">
                  <c:v>43825</c:v>
                </c:pt>
                <c:pt idx="15">
                  <c:v>43824</c:v>
                </c:pt>
                <c:pt idx="16">
                  <c:v>43823</c:v>
                </c:pt>
                <c:pt idx="17">
                  <c:v>43822</c:v>
                </c:pt>
                <c:pt idx="18">
                  <c:v>43819</c:v>
                </c:pt>
                <c:pt idx="19">
                  <c:v>43818</c:v>
                </c:pt>
                <c:pt idx="20">
                  <c:v>43817</c:v>
                </c:pt>
                <c:pt idx="21">
                  <c:v>43816</c:v>
                </c:pt>
                <c:pt idx="22">
                  <c:v>43815</c:v>
                </c:pt>
                <c:pt idx="23">
                  <c:v>43812</c:v>
                </c:pt>
                <c:pt idx="24">
                  <c:v>43811</c:v>
                </c:pt>
                <c:pt idx="25">
                  <c:v>43810</c:v>
                </c:pt>
                <c:pt idx="26">
                  <c:v>43809</c:v>
                </c:pt>
                <c:pt idx="27">
                  <c:v>43808</c:v>
                </c:pt>
                <c:pt idx="28">
                  <c:v>43805</c:v>
                </c:pt>
                <c:pt idx="29">
                  <c:v>43804</c:v>
                </c:pt>
                <c:pt idx="30">
                  <c:v>43803</c:v>
                </c:pt>
                <c:pt idx="31">
                  <c:v>43802</c:v>
                </c:pt>
                <c:pt idx="32">
                  <c:v>43801</c:v>
                </c:pt>
                <c:pt idx="33">
                  <c:v>43798</c:v>
                </c:pt>
                <c:pt idx="34">
                  <c:v>43797</c:v>
                </c:pt>
                <c:pt idx="35">
                  <c:v>43796</c:v>
                </c:pt>
                <c:pt idx="36">
                  <c:v>43795</c:v>
                </c:pt>
                <c:pt idx="37">
                  <c:v>43794</c:v>
                </c:pt>
                <c:pt idx="38">
                  <c:v>43791</c:v>
                </c:pt>
                <c:pt idx="39">
                  <c:v>43790</c:v>
                </c:pt>
                <c:pt idx="40">
                  <c:v>43789</c:v>
                </c:pt>
                <c:pt idx="41">
                  <c:v>43788</c:v>
                </c:pt>
                <c:pt idx="42">
                  <c:v>43787</c:v>
                </c:pt>
                <c:pt idx="43">
                  <c:v>43784</c:v>
                </c:pt>
                <c:pt idx="44">
                  <c:v>43783</c:v>
                </c:pt>
                <c:pt idx="45">
                  <c:v>43782</c:v>
                </c:pt>
                <c:pt idx="46">
                  <c:v>43781</c:v>
                </c:pt>
                <c:pt idx="47">
                  <c:v>43780</c:v>
                </c:pt>
                <c:pt idx="48">
                  <c:v>43777</c:v>
                </c:pt>
                <c:pt idx="49">
                  <c:v>43776</c:v>
                </c:pt>
                <c:pt idx="50">
                  <c:v>43775</c:v>
                </c:pt>
                <c:pt idx="51">
                  <c:v>43774</c:v>
                </c:pt>
                <c:pt idx="52">
                  <c:v>43770</c:v>
                </c:pt>
                <c:pt idx="53">
                  <c:v>43769</c:v>
                </c:pt>
                <c:pt idx="54">
                  <c:v>43768</c:v>
                </c:pt>
                <c:pt idx="55">
                  <c:v>43767</c:v>
                </c:pt>
                <c:pt idx="56">
                  <c:v>43766</c:v>
                </c:pt>
                <c:pt idx="57">
                  <c:v>43763</c:v>
                </c:pt>
                <c:pt idx="58">
                  <c:v>43762</c:v>
                </c:pt>
                <c:pt idx="59">
                  <c:v>43761</c:v>
                </c:pt>
                <c:pt idx="60">
                  <c:v>43759</c:v>
                </c:pt>
                <c:pt idx="61">
                  <c:v>43756</c:v>
                </c:pt>
                <c:pt idx="62">
                  <c:v>43755</c:v>
                </c:pt>
                <c:pt idx="63">
                  <c:v>43754</c:v>
                </c:pt>
                <c:pt idx="64">
                  <c:v>43753</c:v>
                </c:pt>
                <c:pt idx="65">
                  <c:v>43749</c:v>
                </c:pt>
                <c:pt idx="66">
                  <c:v>43748</c:v>
                </c:pt>
                <c:pt idx="67">
                  <c:v>43747</c:v>
                </c:pt>
                <c:pt idx="68">
                  <c:v>43746</c:v>
                </c:pt>
                <c:pt idx="69">
                  <c:v>43745</c:v>
                </c:pt>
                <c:pt idx="70">
                  <c:v>43742</c:v>
                </c:pt>
                <c:pt idx="71">
                  <c:v>43741</c:v>
                </c:pt>
                <c:pt idx="72">
                  <c:v>43740</c:v>
                </c:pt>
                <c:pt idx="73">
                  <c:v>43739</c:v>
                </c:pt>
                <c:pt idx="74">
                  <c:v>43738</c:v>
                </c:pt>
                <c:pt idx="75">
                  <c:v>43735</c:v>
                </c:pt>
                <c:pt idx="76">
                  <c:v>43734</c:v>
                </c:pt>
                <c:pt idx="77">
                  <c:v>43733</c:v>
                </c:pt>
                <c:pt idx="78">
                  <c:v>43732</c:v>
                </c:pt>
                <c:pt idx="79">
                  <c:v>43728</c:v>
                </c:pt>
                <c:pt idx="80">
                  <c:v>43727</c:v>
                </c:pt>
                <c:pt idx="81">
                  <c:v>43726</c:v>
                </c:pt>
                <c:pt idx="82">
                  <c:v>43725</c:v>
                </c:pt>
                <c:pt idx="83">
                  <c:v>43721</c:v>
                </c:pt>
                <c:pt idx="84">
                  <c:v>43720</c:v>
                </c:pt>
                <c:pt idx="85">
                  <c:v>43719</c:v>
                </c:pt>
                <c:pt idx="86">
                  <c:v>43718</c:v>
                </c:pt>
                <c:pt idx="87">
                  <c:v>43717</c:v>
                </c:pt>
                <c:pt idx="88">
                  <c:v>43714</c:v>
                </c:pt>
                <c:pt idx="89">
                  <c:v>43713</c:v>
                </c:pt>
                <c:pt idx="90">
                  <c:v>43712</c:v>
                </c:pt>
                <c:pt idx="91">
                  <c:v>43711</c:v>
                </c:pt>
                <c:pt idx="92">
                  <c:v>43710</c:v>
                </c:pt>
                <c:pt idx="93">
                  <c:v>43707</c:v>
                </c:pt>
                <c:pt idx="94">
                  <c:v>43706</c:v>
                </c:pt>
                <c:pt idx="95">
                  <c:v>43705</c:v>
                </c:pt>
                <c:pt idx="96">
                  <c:v>43704</c:v>
                </c:pt>
                <c:pt idx="97">
                  <c:v>43703</c:v>
                </c:pt>
                <c:pt idx="98">
                  <c:v>43700</c:v>
                </c:pt>
                <c:pt idx="99">
                  <c:v>43699</c:v>
                </c:pt>
                <c:pt idx="100">
                  <c:v>43698</c:v>
                </c:pt>
                <c:pt idx="101">
                  <c:v>43697</c:v>
                </c:pt>
                <c:pt idx="102">
                  <c:v>43696</c:v>
                </c:pt>
                <c:pt idx="103">
                  <c:v>43693</c:v>
                </c:pt>
                <c:pt idx="104">
                  <c:v>43692</c:v>
                </c:pt>
                <c:pt idx="105">
                  <c:v>43691</c:v>
                </c:pt>
                <c:pt idx="106">
                  <c:v>43690</c:v>
                </c:pt>
                <c:pt idx="107">
                  <c:v>43686</c:v>
                </c:pt>
                <c:pt idx="108">
                  <c:v>43685</c:v>
                </c:pt>
                <c:pt idx="109">
                  <c:v>43684</c:v>
                </c:pt>
                <c:pt idx="110">
                  <c:v>43683</c:v>
                </c:pt>
                <c:pt idx="111">
                  <c:v>43682</c:v>
                </c:pt>
                <c:pt idx="112">
                  <c:v>43679</c:v>
                </c:pt>
                <c:pt idx="113">
                  <c:v>43678</c:v>
                </c:pt>
                <c:pt idx="114">
                  <c:v>43677</c:v>
                </c:pt>
                <c:pt idx="115">
                  <c:v>43676</c:v>
                </c:pt>
                <c:pt idx="116">
                  <c:v>43675</c:v>
                </c:pt>
                <c:pt idx="117">
                  <c:v>43672</c:v>
                </c:pt>
                <c:pt idx="118">
                  <c:v>43671</c:v>
                </c:pt>
                <c:pt idx="119">
                  <c:v>43670</c:v>
                </c:pt>
                <c:pt idx="120">
                  <c:v>43669</c:v>
                </c:pt>
                <c:pt idx="121">
                  <c:v>43668</c:v>
                </c:pt>
                <c:pt idx="122">
                  <c:v>43665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0.27131169957407897</c:v>
                </c:pt>
                <c:pt idx="1">
                  <c:v>0.27134916528952452</c:v>
                </c:pt>
                <c:pt idx="2">
                  <c:v>0.27124426997437351</c:v>
                </c:pt>
                <c:pt idx="3">
                  <c:v>0.27103069973868221</c:v>
                </c:pt>
                <c:pt idx="4">
                  <c:v>0.27115391968193592</c:v>
                </c:pt>
                <c:pt idx="5">
                  <c:v>0.27130416599716822</c:v>
                </c:pt>
                <c:pt idx="6">
                  <c:v>0.2715250937454915</c:v>
                </c:pt>
                <c:pt idx="7">
                  <c:v>0.27149290004625914</c:v>
                </c:pt>
                <c:pt idx="8">
                  <c:v>0.27158927108157205</c:v>
                </c:pt>
                <c:pt idx="9">
                  <c:v>0.27160816606959187</c:v>
                </c:pt>
                <c:pt idx="10">
                  <c:v>0.27184990239469908</c:v>
                </c:pt>
                <c:pt idx="11">
                  <c:v>0.27182934457491448</c:v>
                </c:pt>
                <c:pt idx="12">
                  <c:v>0.27180846764879518</c:v>
                </c:pt>
                <c:pt idx="13">
                  <c:v>0.27081452854781413</c:v>
                </c:pt>
                <c:pt idx="14">
                  <c:v>0.26928568393575664</c:v>
                </c:pt>
                <c:pt idx="15">
                  <c:v>0.26842965461228646</c:v>
                </c:pt>
                <c:pt idx="16">
                  <c:v>0.26793357923258054</c:v>
                </c:pt>
                <c:pt idx="17">
                  <c:v>0.26769359956351668</c:v>
                </c:pt>
                <c:pt idx="18">
                  <c:v>0.26711034604049866</c:v>
                </c:pt>
                <c:pt idx="19">
                  <c:v>0.26675579539046518</c:v>
                </c:pt>
                <c:pt idx="20">
                  <c:v>0.26631781748851002</c:v>
                </c:pt>
                <c:pt idx="21">
                  <c:v>0.26565173384024832</c:v>
                </c:pt>
                <c:pt idx="22">
                  <c:v>0.26508559187042835</c:v>
                </c:pt>
                <c:pt idx="23">
                  <c:v>0.26472298226824764</c:v>
                </c:pt>
                <c:pt idx="24">
                  <c:v>0.26444500611920946</c:v>
                </c:pt>
                <c:pt idx="25">
                  <c:v>0.26410076782056213</c:v>
                </c:pt>
                <c:pt idx="26">
                  <c:v>0.26386916733075738</c:v>
                </c:pt>
                <c:pt idx="27">
                  <c:v>0.26381637108108613</c:v>
                </c:pt>
                <c:pt idx="28">
                  <c:v>0.26386478896019577</c:v>
                </c:pt>
                <c:pt idx="29">
                  <c:v>0.26398908715543057</c:v>
                </c:pt>
                <c:pt idx="30">
                  <c:v>0.26410565861070728</c:v>
                </c:pt>
                <c:pt idx="31">
                  <c:v>0.26424765836169545</c:v>
                </c:pt>
                <c:pt idx="32">
                  <c:v>0.264287803119794</c:v>
                </c:pt>
                <c:pt idx="33">
                  <c:v>0.26429594622721464</c:v>
                </c:pt>
                <c:pt idx="34">
                  <c:v>0.26445479666229871</c:v>
                </c:pt>
                <c:pt idx="35">
                  <c:v>0.26417908062138329</c:v>
                </c:pt>
                <c:pt idx="36">
                  <c:v>0.26414930277501197</c:v>
                </c:pt>
                <c:pt idx="37">
                  <c:v>0.26396451442813279</c:v>
                </c:pt>
                <c:pt idx="38">
                  <c:v>0.26373423709049232</c:v>
                </c:pt>
                <c:pt idx="39">
                  <c:v>0.26363558375712182</c:v>
                </c:pt>
                <c:pt idx="40">
                  <c:v>0.2633861647284797</c:v>
                </c:pt>
                <c:pt idx="41">
                  <c:v>0.26302515596062076</c:v>
                </c:pt>
                <c:pt idx="42">
                  <c:v>0.26299699551490702</c:v>
                </c:pt>
                <c:pt idx="43">
                  <c:v>0.26294567839764021</c:v>
                </c:pt>
                <c:pt idx="44">
                  <c:v>0.26292835414467403</c:v>
                </c:pt>
                <c:pt idx="45">
                  <c:v>0.26284809178626384</c:v>
                </c:pt>
                <c:pt idx="46">
                  <c:v>0.262684343511914</c:v>
                </c:pt>
                <c:pt idx="47">
                  <c:v>0.26257901084062957</c:v>
                </c:pt>
                <c:pt idx="48">
                  <c:v>0.26255895003037899</c:v>
                </c:pt>
                <c:pt idx="49">
                  <c:v>0.26255710064513399</c:v>
                </c:pt>
                <c:pt idx="50">
                  <c:v>0.26275930444418977</c:v>
                </c:pt>
                <c:pt idx="51">
                  <c:v>0.263024017818214</c:v>
                </c:pt>
                <c:pt idx="52">
                  <c:v>0.26300601134118701</c:v>
                </c:pt>
                <c:pt idx="53">
                  <c:v>0.26295404836614777</c:v>
                </c:pt>
                <c:pt idx="54">
                  <c:v>0.26267088411919243</c:v>
                </c:pt>
                <c:pt idx="55">
                  <c:v>0.2625140256793152</c:v>
                </c:pt>
                <c:pt idx="56">
                  <c:v>0.26241837340504937</c:v>
                </c:pt>
                <c:pt idx="57">
                  <c:v>0.26227803895202523</c:v>
                </c:pt>
                <c:pt idx="58">
                  <c:v>0.26221350148422462</c:v>
                </c:pt>
                <c:pt idx="59">
                  <c:v>0.26188080080601062</c:v>
                </c:pt>
                <c:pt idx="60">
                  <c:v>0.26112186476192883</c:v>
                </c:pt>
                <c:pt idx="61">
                  <c:v>0.26036835772891342</c:v>
                </c:pt>
                <c:pt idx="62">
                  <c:v>0.25955729945807782</c:v>
                </c:pt>
                <c:pt idx="63">
                  <c:v>0.2592484173574276</c:v>
                </c:pt>
                <c:pt idx="64">
                  <c:v>0.25918351806919798</c:v>
                </c:pt>
                <c:pt idx="65">
                  <c:v>0.25925622023238842</c:v>
                </c:pt>
                <c:pt idx="66">
                  <c:v>0.25941229906044461</c:v>
                </c:pt>
                <c:pt idx="67">
                  <c:v>0.25962525253095997</c:v>
                </c:pt>
                <c:pt idx="68">
                  <c:v>0.25984249360432476</c:v>
                </c:pt>
                <c:pt idx="69">
                  <c:v>0.259720267942674</c:v>
                </c:pt>
                <c:pt idx="70">
                  <c:v>0.25952268413409102</c:v>
                </c:pt>
                <c:pt idx="71">
                  <c:v>0.25923115259233598</c:v>
                </c:pt>
                <c:pt idx="72">
                  <c:v>0.25860298564722961</c:v>
                </c:pt>
                <c:pt idx="73">
                  <c:v>0.25790191454232519</c:v>
                </c:pt>
                <c:pt idx="74">
                  <c:v>0.25726818064088819</c:v>
                </c:pt>
                <c:pt idx="75">
                  <c:v>0.25694315484531738</c:v>
                </c:pt>
                <c:pt idx="76">
                  <c:v>0.25675943787213679</c:v>
                </c:pt>
                <c:pt idx="77">
                  <c:v>0.25682097971353357</c:v>
                </c:pt>
                <c:pt idx="78">
                  <c:v>0.25723113856862001</c:v>
                </c:pt>
                <c:pt idx="79">
                  <c:v>0.25755226461293323</c:v>
                </c:pt>
                <c:pt idx="80">
                  <c:v>0.25776890885708137</c:v>
                </c:pt>
                <c:pt idx="81">
                  <c:v>0.25806515905157679</c:v>
                </c:pt>
                <c:pt idx="82">
                  <c:v>0.25859373566145305</c:v>
                </c:pt>
                <c:pt idx="83">
                  <c:v>0.25883471725119678</c:v>
                </c:pt>
                <c:pt idx="84">
                  <c:v>0.25930685262406339</c:v>
                </c:pt>
                <c:pt idx="85">
                  <c:v>0.2595999947173766</c:v>
                </c:pt>
                <c:pt idx="86">
                  <c:v>0.25973277172437542</c:v>
                </c:pt>
                <c:pt idx="87">
                  <c:v>0.25991549540575798</c:v>
                </c:pt>
                <c:pt idx="88">
                  <c:v>0.26119916615197042</c:v>
                </c:pt>
                <c:pt idx="89">
                  <c:v>0.26291897205410902</c:v>
                </c:pt>
                <c:pt idx="90">
                  <c:v>0.26431668879988018</c:v>
                </c:pt>
                <c:pt idx="91">
                  <c:v>0.26549730014703699</c:v>
                </c:pt>
                <c:pt idx="92">
                  <c:v>0.26643965736351943</c:v>
                </c:pt>
                <c:pt idx="93">
                  <c:v>0.26779262314237101</c:v>
                </c:pt>
                <c:pt idx="94">
                  <c:v>0.26896069378517462</c:v>
                </c:pt>
                <c:pt idx="95">
                  <c:v>0.27029525071389943</c:v>
                </c:pt>
                <c:pt idx="96">
                  <c:v>0.27192948755030383</c:v>
                </c:pt>
                <c:pt idx="97">
                  <c:v>0.27365043068646561</c:v>
                </c:pt>
                <c:pt idx="98">
                  <c:v>0.27513148079561861</c:v>
                </c:pt>
                <c:pt idx="99">
                  <c:v>0.27644476423547998</c:v>
                </c:pt>
                <c:pt idx="100">
                  <c:v>0.2781525266206088</c:v>
                </c:pt>
                <c:pt idx="101">
                  <c:v>0.27977117544669361</c:v>
                </c:pt>
                <c:pt idx="102">
                  <c:v>0.28104124816931503</c:v>
                </c:pt>
                <c:pt idx="103">
                  <c:v>0.28213152494501836</c:v>
                </c:pt>
                <c:pt idx="104">
                  <c:v>0.28306941361325999</c:v>
                </c:pt>
                <c:pt idx="105">
                  <c:v>0.28334584574095084</c:v>
                </c:pt>
                <c:pt idx="106">
                  <c:v>0.28380295688926438</c:v>
                </c:pt>
                <c:pt idx="107">
                  <c:v>0.28438362636903941</c:v>
                </c:pt>
                <c:pt idx="108">
                  <c:v>0.28476909852837479</c:v>
                </c:pt>
                <c:pt idx="109">
                  <c:v>0.285025102134082</c:v>
                </c:pt>
                <c:pt idx="110">
                  <c:v>0.28500540245471778</c:v>
                </c:pt>
                <c:pt idx="111">
                  <c:v>0.28502528974008745</c:v>
                </c:pt>
                <c:pt idx="112">
                  <c:v>0.28488818207728583</c:v>
                </c:pt>
                <c:pt idx="113">
                  <c:v>0.28410133585672459</c:v>
                </c:pt>
                <c:pt idx="114">
                  <c:v>0.28333115033339401</c:v>
                </c:pt>
                <c:pt idx="115">
                  <c:v>0.28232208047601559</c:v>
                </c:pt>
                <c:pt idx="116">
                  <c:v>0.28180177514990601</c:v>
                </c:pt>
                <c:pt idx="117">
                  <c:v>0.2817854963434106</c:v>
                </c:pt>
                <c:pt idx="118">
                  <c:v>0.28187767604647557</c:v>
                </c:pt>
                <c:pt idx="119">
                  <c:v>0.28206822025587258</c:v>
                </c:pt>
                <c:pt idx="120">
                  <c:v>0.28189774745375124</c:v>
                </c:pt>
                <c:pt idx="121">
                  <c:v>0.28160363094294899</c:v>
                </c:pt>
                <c:pt idx="122">
                  <c:v>0.28157352686112042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43847</c:v>
                </c:pt>
                <c:pt idx="1">
                  <c:v>43847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33636817858162804"/>
          <c:min val="0.25675943787213679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sell(8572)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  <c:pt idx="4">
                  <c:v>43846</c:v>
                </c:pt>
                <c:pt idx="5">
                  <c:v>43845</c:v>
                </c:pt>
                <c:pt idx="6">
                  <c:v>43844</c:v>
                </c:pt>
                <c:pt idx="7">
                  <c:v>43840</c:v>
                </c:pt>
                <c:pt idx="8">
                  <c:v>43839</c:v>
                </c:pt>
                <c:pt idx="9">
                  <c:v>43838</c:v>
                </c:pt>
                <c:pt idx="10">
                  <c:v>43837</c:v>
                </c:pt>
                <c:pt idx="11">
                  <c:v>43836</c:v>
                </c:pt>
                <c:pt idx="12">
                  <c:v>43829</c:v>
                </c:pt>
                <c:pt idx="13">
                  <c:v>43826</c:v>
                </c:pt>
                <c:pt idx="14">
                  <c:v>43825</c:v>
                </c:pt>
                <c:pt idx="15">
                  <c:v>43824</c:v>
                </c:pt>
                <c:pt idx="16">
                  <c:v>43823</c:v>
                </c:pt>
                <c:pt idx="17">
                  <c:v>43822</c:v>
                </c:pt>
                <c:pt idx="18">
                  <c:v>43819</c:v>
                </c:pt>
                <c:pt idx="19">
                  <c:v>43818</c:v>
                </c:pt>
                <c:pt idx="20">
                  <c:v>43817</c:v>
                </c:pt>
                <c:pt idx="21">
                  <c:v>43816</c:v>
                </c:pt>
                <c:pt idx="22">
                  <c:v>43815</c:v>
                </c:pt>
                <c:pt idx="23">
                  <c:v>43812</c:v>
                </c:pt>
                <c:pt idx="24">
                  <c:v>43811</c:v>
                </c:pt>
                <c:pt idx="25">
                  <c:v>43810</c:v>
                </c:pt>
                <c:pt idx="26">
                  <c:v>43809</c:v>
                </c:pt>
                <c:pt idx="27">
                  <c:v>43808</c:v>
                </c:pt>
                <c:pt idx="28">
                  <c:v>43805</c:v>
                </c:pt>
                <c:pt idx="29">
                  <c:v>43804</c:v>
                </c:pt>
                <c:pt idx="30">
                  <c:v>43803</c:v>
                </c:pt>
                <c:pt idx="31">
                  <c:v>43802</c:v>
                </c:pt>
                <c:pt idx="32">
                  <c:v>43801</c:v>
                </c:pt>
                <c:pt idx="33">
                  <c:v>43798</c:v>
                </c:pt>
                <c:pt idx="34">
                  <c:v>43797</c:v>
                </c:pt>
                <c:pt idx="35">
                  <c:v>43796</c:v>
                </c:pt>
                <c:pt idx="36">
                  <c:v>43795</c:v>
                </c:pt>
                <c:pt idx="37">
                  <c:v>43794</c:v>
                </c:pt>
                <c:pt idx="38">
                  <c:v>43791</c:v>
                </c:pt>
                <c:pt idx="39">
                  <c:v>43790</c:v>
                </c:pt>
                <c:pt idx="40">
                  <c:v>43789</c:v>
                </c:pt>
                <c:pt idx="41">
                  <c:v>43788</c:v>
                </c:pt>
                <c:pt idx="42">
                  <c:v>43787</c:v>
                </c:pt>
                <c:pt idx="43">
                  <c:v>43784</c:v>
                </c:pt>
                <c:pt idx="44">
                  <c:v>43783</c:v>
                </c:pt>
                <c:pt idx="45">
                  <c:v>43782</c:v>
                </c:pt>
                <c:pt idx="46">
                  <c:v>43781</c:v>
                </c:pt>
                <c:pt idx="47">
                  <c:v>43780</c:v>
                </c:pt>
                <c:pt idx="48">
                  <c:v>43777</c:v>
                </c:pt>
                <c:pt idx="49">
                  <c:v>43776</c:v>
                </c:pt>
                <c:pt idx="50">
                  <c:v>43775</c:v>
                </c:pt>
                <c:pt idx="51">
                  <c:v>43774</c:v>
                </c:pt>
                <c:pt idx="52">
                  <c:v>43770</c:v>
                </c:pt>
                <c:pt idx="53">
                  <c:v>43769</c:v>
                </c:pt>
                <c:pt idx="54">
                  <c:v>43768</c:v>
                </c:pt>
                <c:pt idx="55">
                  <c:v>43767</c:v>
                </c:pt>
                <c:pt idx="56">
                  <c:v>43766</c:v>
                </c:pt>
                <c:pt idx="57">
                  <c:v>43763</c:v>
                </c:pt>
                <c:pt idx="58">
                  <c:v>43762</c:v>
                </c:pt>
                <c:pt idx="59">
                  <c:v>43761</c:v>
                </c:pt>
                <c:pt idx="60">
                  <c:v>43759</c:v>
                </c:pt>
                <c:pt idx="61">
                  <c:v>43756</c:v>
                </c:pt>
                <c:pt idx="62">
                  <c:v>43755</c:v>
                </c:pt>
                <c:pt idx="63">
                  <c:v>43754</c:v>
                </c:pt>
                <c:pt idx="64">
                  <c:v>43753</c:v>
                </c:pt>
                <c:pt idx="65">
                  <c:v>43749</c:v>
                </c:pt>
                <c:pt idx="66">
                  <c:v>43748</c:v>
                </c:pt>
                <c:pt idx="67">
                  <c:v>43747</c:v>
                </c:pt>
                <c:pt idx="68">
                  <c:v>43746</c:v>
                </c:pt>
                <c:pt idx="69">
                  <c:v>43745</c:v>
                </c:pt>
                <c:pt idx="70">
                  <c:v>43742</c:v>
                </c:pt>
                <c:pt idx="71">
                  <c:v>43741</c:v>
                </c:pt>
                <c:pt idx="72">
                  <c:v>43740</c:v>
                </c:pt>
                <c:pt idx="73">
                  <c:v>43739</c:v>
                </c:pt>
                <c:pt idx="74">
                  <c:v>43738</c:v>
                </c:pt>
                <c:pt idx="75">
                  <c:v>43735</c:v>
                </c:pt>
                <c:pt idx="76">
                  <c:v>43734</c:v>
                </c:pt>
                <c:pt idx="77">
                  <c:v>43733</c:v>
                </c:pt>
                <c:pt idx="78">
                  <c:v>43732</c:v>
                </c:pt>
                <c:pt idx="79">
                  <c:v>43728</c:v>
                </c:pt>
                <c:pt idx="80">
                  <c:v>43727</c:v>
                </c:pt>
                <c:pt idx="81">
                  <c:v>43726</c:v>
                </c:pt>
                <c:pt idx="82">
                  <c:v>43725</c:v>
                </c:pt>
                <c:pt idx="83">
                  <c:v>43721</c:v>
                </c:pt>
                <c:pt idx="84">
                  <c:v>43720</c:v>
                </c:pt>
                <c:pt idx="85">
                  <c:v>43719</c:v>
                </c:pt>
                <c:pt idx="86">
                  <c:v>43718</c:v>
                </c:pt>
                <c:pt idx="87">
                  <c:v>43717</c:v>
                </c:pt>
                <c:pt idx="88">
                  <c:v>43714</c:v>
                </c:pt>
                <c:pt idx="89">
                  <c:v>43713</c:v>
                </c:pt>
                <c:pt idx="90">
                  <c:v>43712</c:v>
                </c:pt>
                <c:pt idx="91">
                  <c:v>43711</c:v>
                </c:pt>
                <c:pt idx="92">
                  <c:v>43710</c:v>
                </c:pt>
                <c:pt idx="93">
                  <c:v>43707</c:v>
                </c:pt>
                <c:pt idx="94">
                  <c:v>43706</c:v>
                </c:pt>
                <c:pt idx="95">
                  <c:v>43705</c:v>
                </c:pt>
                <c:pt idx="96">
                  <c:v>43704</c:v>
                </c:pt>
                <c:pt idx="97">
                  <c:v>43703</c:v>
                </c:pt>
                <c:pt idx="98">
                  <c:v>43700</c:v>
                </c:pt>
                <c:pt idx="99">
                  <c:v>43699</c:v>
                </c:pt>
                <c:pt idx="100">
                  <c:v>43698</c:v>
                </c:pt>
                <c:pt idx="101">
                  <c:v>43697</c:v>
                </c:pt>
                <c:pt idx="102">
                  <c:v>43696</c:v>
                </c:pt>
                <c:pt idx="103">
                  <c:v>43693</c:v>
                </c:pt>
                <c:pt idx="104">
                  <c:v>43692</c:v>
                </c:pt>
                <c:pt idx="105">
                  <c:v>43691</c:v>
                </c:pt>
                <c:pt idx="106">
                  <c:v>43690</c:v>
                </c:pt>
                <c:pt idx="107">
                  <c:v>43686</c:v>
                </c:pt>
                <c:pt idx="108">
                  <c:v>43685</c:v>
                </c:pt>
                <c:pt idx="109">
                  <c:v>43684</c:v>
                </c:pt>
                <c:pt idx="110">
                  <c:v>43683</c:v>
                </c:pt>
                <c:pt idx="111">
                  <c:v>43682</c:v>
                </c:pt>
                <c:pt idx="112">
                  <c:v>43679</c:v>
                </c:pt>
                <c:pt idx="113">
                  <c:v>43678</c:v>
                </c:pt>
                <c:pt idx="114">
                  <c:v>43677</c:v>
                </c:pt>
                <c:pt idx="115">
                  <c:v>43676</c:v>
                </c:pt>
                <c:pt idx="116">
                  <c:v>43675</c:v>
                </c:pt>
                <c:pt idx="117">
                  <c:v>43672</c:v>
                </c:pt>
                <c:pt idx="118">
                  <c:v>43671</c:v>
                </c:pt>
                <c:pt idx="119">
                  <c:v>43670</c:v>
                </c:pt>
                <c:pt idx="120">
                  <c:v>43669</c:v>
                </c:pt>
                <c:pt idx="121">
                  <c:v>43668</c:v>
                </c:pt>
                <c:pt idx="122">
                  <c:v>43665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521</c:v>
                </c:pt>
                <c:pt idx="1">
                  <c:v>513</c:v>
                </c:pt>
                <c:pt idx="2">
                  <c:v>513</c:v>
                </c:pt>
                <c:pt idx="3">
                  <c:v>518</c:v>
                </c:pt>
                <c:pt idx="4">
                  <c:v>512</c:v>
                </c:pt>
                <c:pt idx="5">
                  <c:v>512</c:v>
                </c:pt>
                <c:pt idx="6">
                  <c:v>514</c:v>
                </c:pt>
                <c:pt idx="7">
                  <c:v>506</c:v>
                </c:pt>
                <c:pt idx="8">
                  <c:v>502</c:v>
                </c:pt>
                <c:pt idx="9">
                  <c:v>503</c:v>
                </c:pt>
                <c:pt idx="10">
                  <c:v>514</c:v>
                </c:pt>
                <c:pt idx="11">
                  <c:v>499</c:v>
                </c:pt>
                <c:pt idx="12">
                  <c:v>497</c:v>
                </c:pt>
                <c:pt idx="13">
                  <c:v>499</c:v>
                </c:pt>
                <c:pt idx="14">
                  <c:v>489</c:v>
                </c:pt>
                <c:pt idx="15">
                  <c:v>492</c:v>
                </c:pt>
                <c:pt idx="16">
                  <c:v>489</c:v>
                </c:pt>
                <c:pt idx="17">
                  <c:v>489</c:v>
                </c:pt>
                <c:pt idx="18">
                  <c:v>494</c:v>
                </c:pt>
                <c:pt idx="19">
                  <c:v>488</c:v>
                </c:pt>
                <c:pt idx="20">
                  <c:v>487</c:v>
                </c:pt>
                <c:pt idx="21">
                  <c:v>483</c:v>
                </c:pt>
                <c:pt idx="22">
                  <c:v>482</c:v>
                </c:pt>
                <c:pt idx="23">
                  <c:v>482</c:v>
                </c:pt>
                <c:pt idx="24">
                  <c:v>480</c:v>
                </c:pt>
                <c:pt idx="25">
                  <c:v>478</c:v>
                </c:pt>
                <c:pt idx="26">
                  <c:v>470</c:v>
                </c:pt>
                <c:pt idx="27">
                  <c:v>467</c:v>
                </c:pt>
                <c:pt idx="28">
                  <c:v>460</c:v>
                </c:pt>
                <c:pt idx="29">
                  <c:v>453</c:v>
                </c:pt>
                <c:pt idx="30">
                  <c:v>447</c:v>
                </c:pt>
                <c:pt idx="31">
                  <c:v>453</c:v>
                </c:pt>
                <c:pt idx="32">
                  <c:v>458</c:v>
                </c:pt>
                <c:pt idx="33">
                  <c:v>454</c:v>
                </c:pt>
                <c:pt idx="34">
                  <c:v>460</c:v>
                </c:pt>
                <c:pt idx="35">
                  <c:v>458</c:v>
                </c:pt>
                <c:pt idx="36">
                  <c:v>460</c:v>
                </c:pt>
                <c:pt idx="37">
                  <c:v>457</c:v>
                </c:pt>
                <c:pt idx="38">
                  <c:v>453</c:v>
                </c:pt>
                <c:pt idx="39">
                  <c:v>454</c:v>
                </c:pt>
                <c:pt idx="40">
                  <c:v>446</c:v>
                </c:pt>
                <c:pt idx="41">
                  <c:v>442</c:v>
                </c:pt>
                <c:pt idx="42">
                  <c:v>443</c:v>
                </c:pt>
                <c:pt idx="43">
                  <c:v>441</c:v>
                </c:pt>
                <c:pt idx="44">
                  <c:v>433</c:v>
                </c:pt>
                <c:pt idx="45">
                  <c:v>432</c:v>
                </c:pt>
                <c:pt idx="46">
                  <c:v>436</c:v>
                </c:pt>
                <c:pt idx="47">
                  <c:v>433</c:v>
                </c:pt>
                <c:pt idx="48">
                  <c:v>434</c:v>
                </c:pt>
                <c:pt idx="49">
                  <c:v>428</c:v>
                </c:pt>
                <c:pt idx="50">
                  <c:v>427</c:v>
                </c:pt>
                <c:pt idx="51">
                  <c:v>447</c:v>
                </c:pt>
                <c:pt idx="52">
                  <c:v>436</c:v>
                </c:pt>
                <c:pt idx="53">
                  <c:v>437</c:v>
                </c:pt>
                <c:pt idx="54">
                  <c:v>433</c:v>
                </c:pt>
                <c:pt idx="55">
                  <c:v>437</c:v>
                </c:pt>
                <c:pt idx="56">
                  <c:v>436</c:v>
                </c:pt>
                <c:pt idx="57">
                  <c:v>438</c:v>
                </c:pt>
                <c:pt idx="58">
                  <c:v>435</c:v>
                </c:pt>
                <c:pt idx="59">
                  <c:v>438</c:v>
                </c:pt>
                <c:pt idx="60">
                  <c:v>435</c:v>
                </c:pt>
                <c:pt idx="61">
                  <c:v>431</c:v>
                </c:pt>
                <c:pt idx="62">
                  <c:v>429</c:v>
                </c:pt>
                <c:pt idx="63">
                  <c:v>437</c:v>
                </c:pt>
                <c:pt idx="64">
                  <c:v>434</c:v>
                </c:pt>
                <c:pt idx="65">
                  <c:v>426</c:v>
                </c:pt>
                <c:pt idx="66">
                  <c:v>424</c:v>
                </c:pt>
                <c:pt idx="67">
                  <c:v>428</c:v>
                </c:pt>
                <c:pt idx="68">
                  <c:v>433</c:v>
                </c:pt>
                <c:pt idx="69">
                  <c:v>427</c:v>
                </c:pt>
                <c:pt idx="70">
                  <c:v>429</c:v>
                </c:pt>
                <c:pt idx="71">
                  <c:v>426</c:v>
                </c:pt>
                <c:pt idx="72">
                  <c:v>440</c:v>
                </c:pt>
                <c:pt idx="73">
                  <c:v>434</c:v>
                </c:pt>
                <c:pt idx="74">
                  <c:v>424</c:v>
                </c:pt>
                <c:pt idx="75">
                  <c:v>429</c:v>
                </c:pt>
                <c:pt idx="76">
                  <c:v>428</c:v>
                </c:pt>
                <c:pt idx="77">
                  <c:v>421</c:v>
                </c:pt>
                <c:pt idx="78">
                  <c:v>422</c:v>
                </c:pt>
                <c:pt idx="79">
                  <c:v>420</c:v>
                </c:pt>
                <c:pt idx="80">
                  <c:v>416</c:v>
                </c:pt>
                <c:pt idx="81">
                  <c:v>409</c:v>
                </c:pt>
                <c:pt idx="82">
                  <c:v>420</c:v>
                </c:pt>
                <c:pt idx="83">
                  <c:v>411</c:v>
                </c:pt>
                <c:pt idx="84">
                  <c:v>405</c:v>
                </c:pt>
                <c:pt idx="85">
                  <c:v>406</c:v>
                </c:pt>
                <c:pt idx="86">
                  <c:v>401</c:v>
                </c:pt>
                <c:pt idx="87">
                  <c:v>387</c:v>
                </c:pt>
                <c:pt idx="88">
                  <c:v>378</c:v>
                </c:pt>
                <c:pt idx="89">
                  <c:v>378</c:v>
                </c:pt>
                <c:pt idx="90">
                  <c:v>377</c:v>
                </c:pt>
                <c:pt idx="91">
                  <c:v>381</c:v>
                </c:pt>
                <c:pt idx="92">
                  <c:v>372</c:v>
                </c:pt>
                <c:pt idx="93">
                  <c:v>375</c:v>
                </c:pt>
                <c:pt idx="94">
                  <c:v>367</c:v>
                </c:pt>
                <c:pt idx="95">
                  <c:v>366</c:v>
                </c:pt>
                <c:pt idx="96">
                  <c:v>368</c:v>
                </c:pt>
                <c:pt idx="97">
                  <c:v>374</c:v>
                </c:pt>
                <c:pt idx="98">
                  <c:v>374</c:v>
                </c:pt>
                <c:pt idx="99">
                  <c:v>368</c:v>
                </c:pt>
                <c:pt idx="100">
                  <c:v>368</c:v>
                </c:pt>
                <c:pt idx="101">
                  <c:v>373</c:v>
                </c:pt>
                <c:pt idx="102">
                  <c:v>371</c:v>
                </c:pt>
                <c:pt idx="103">
                  <c:v>366</c:v>
                </c:pt>
                <c:pt idx="104">
                  <c:v>367</c:v>
                </c:pt>
                <c:pt idx="105">
                  <c:v>372</c:v>
                </c:pt>
                <c:pt idx="106">
                  <c:v>369</c:v>
                </c:pt>
                <c:pt idx="107">
                  <c:v>375</c:v>
                </c:pt>
                <c:pt idx="108">
                  <c:v>374</c:v>
                </c:pt>
                <c:pt idx="109">
                  <c:v>381</c:v>
                </c:pt>
                <c:pt idx="110">
                  <c:v>378</c:v>
                </c:pt>
                <c:pt idx="111">
                  <c:v>381</c:v>
                </c:pt>
                <c:pt idx="112">
                  <c:v>376</c:v>
                </c:pt>
                <c:pt idx="113">
                  <c:v>385</c:v>
                </c:pt>
                <c:pt idx="114">
                  <c:v>386</c:v>
                </c:pt>
                <c:pt idx="115">
                  <c:v>391</c:v>
                </c:pt>
                <c:pt idx="116">
                  <c:v>379</c:v>
                </c:pt>
                <c:pt idx="117">
                  <c:v>380</c:v>
                </c:pt>
                <c:pt idx="118">
                  <c:v>376</c:v>
                </c:pt>
                <c:pt idx="119">
                  <c:v>378</c:v>
                </c:pt>
                <c:pt idx="120">
                  <c:v>379</c:v>
                </c:pt>
                <c:pt idx="121">
                  <c:v>378</c:v>
                </c:pt>
                <c:pt idx="122">
                  <c:v>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buy(8804)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  <c:pt idx="4">
                  <c:v>43846</c:v>
                </c:pt>
                <c:pt idx="5">
                  <c:v>43845</c:v>
                </c:pt>
                <c:pt idx="6">
                  <c:v>43844</c:v>
                </c:pt>
                <c:pt idx="7">
                  <c:v>43840</c:v>
                </c:pt>
                <c:pt idx="8">
                  <c:v>43839</c:v>
                </c:pt>
                <c:pt idx="9">
                  <c:v>43838</c:v>
                </c:pt>
                <c:pt idx="10">
                  <c:v>43837</c:v>
                </c:pt>
                <c:pt idx="11">
                  <c:v>43836</c:v>
                </c:pt>
                <c:pt idx="12">
                  <c:v>43829</c:v>
                </c:pt>
                <c:pt idx="13">
                  <c:v>43826</c:v>
                </c:pt>
                <c:pt idx="14">
                  <c:v>43825</c:v>
                </c:pt>
                <c:pt idx="15">
                  <c:v>43824</c:v>
                </c:pt>
                <c:pt idx="16">
                  <c:v>43823</c:v>
                </c:pt>
                <c:pt idx="17">
                  <c:v>43822</c:v>
                </c:pt>
                <c:pt idx="18">
                  <c:v>43819</c:v>
                </c:pt>
                <c:pt idx="19">
                  <c:v>43818</c:v>
                </c:pt>
                <c:pt idx="20">
                  <c:v>43817</c:v>
                </c:pt>
                <c:pt idx="21">
                  <c:v>43816</c:v>
                </c:pt>
                <c:pt idx="22">
                  <c:v>43815</c:v>
                </c:pt>
                <c:pt idx="23">
                  <c:v>43812</c:v>
                </c:pt>
                <c:pt idx="24">
                  <c:v>43811</c:v>
                </c:pt>
                <c:pt idx="25">
                  <c:v>43810</c:v>
                </c:pt>
                <c:pt idx="26">
                  <c:v>43809</c:v>
                </c:pt>
                <c:pt idx="27">
                  <c:v>43808</c:v>
                </c:pt>
                <c:pt idx="28">
                  <c:v>43805</c:v>
                </c:pt>
                <c:pt idx="29">
                  <c:v>43804</c:v>
                </c:pt>
                <c:pt idx="30">
                  <c:v>43803</c:v>
                </c:pt>
                <c:pt idx="31">
                  <c:v>43802</c:v>
                </c:pt>
                <c:pt idx="32">
                  <c:v>43801</c:v>
                </c:pt>
                <c:pt idx="33">
                  <c:v>43798</c:v>
                </c:pt>
                <c:pt idx="34">
                  <c:v>43797</c:v>
                </c:pt>
                <c:pt idx="35">
                  <c:v>43796</c:v>
                </c:pt>
                <c:pt idx="36">
                  <c:v>43795</c:v>
                </c:pt>
                <c:pt idx="37">
                  <c:v>43794</c:v>
                </c:pt>
                <c:pt idx="38">
                  <c:v>43791</c:v>
                </c:pt>
                <c:pt idx="39">
                  <c:v>43790</c:v>
                </c:pt>
                <c:pt idx="40">
                  <c:v>43789</c:v>
                </c:pt>
                <c:pt idx="41">
                  <c:v>43788</c:v>
                </c:pt>
                <c:pt idx="42">
                  <c:v>43787</c:v>
                </c:pt>
                <c:pt idx="43">
                  <c:v>43784</c:v>
                </c:pt>
                <c:pt idx="44">
                  <c:v>43783</c:v>
                </c:pt>
                <c:pt idx="45">
                  <c:v>43782</c:v>
                </c:pt>
                <c:pt idx="46">
                  <c:v>43781</c:v>
                </c:pt>
                <c:pt idx="47">
                  <c:v>43780</c:v>
                </c:pt>
                <c:pt idx="48">
                  <c:v>43777</c:v>
                </c:pt>
                <c:pt idx="49">
                  <c:v>43776</c:v>
                </c:pt>
                <c:pt idx="50">
                  <c:v>43775</c:v>
                </c:pt>
                <c:pt idx="51">
                  <c:v>43774</c:v>
                </c:pt>
                <c:pt idx="52">
                  <c:v>43770</c:v>
                </c:pt>
                <c:pt idx="53">
                  <c:v>43769</c:v>
                </c:pt>
                <c:pt idx="54">
                  <c:v>43768</c:v>
                </c:pt>
                <c:pt idx="55">
                  <c:v>43767</c:v>
                </c:pt>
                <c:pt idx="56">
                  <c:v>43766</c:v>
                </c:pt>
                <c:pt idx="57">
                  <c:v>43763</c:v>
                </c:pt>
                <c:pt idx="58">
                  <c:v>43762</c:v>
                </c:pt>
                <c:pt idx="59">
                  <c:v>43761</c:v>
                </c:pt>
                <c:pt idx="60">
                  <c:v>43759</c:v>
                </c:pt>
                <c:pt idx="61">
                  <c:v>43756</c:v>
                </c:pt>
                <c:pt idx="62">
                  <c:v>43755</c:v>
                </c:pt>
                <c:pt idx="63">
                  <c:v>43754</c:v>
                </c:pt>
                <c:pt idx="64">
                  <c:v>43753</c:v>
                </c:pt>
                <c:pt idx="65">
                  <c:v>43749</c:v>
                </c:pt>
                <c:pt idx="66">
                  <c:v>43748</c:v>
                </c:pt>
                <c:pt idx="67">
                  <c:v>43747</c:v>
                </c:pt>
                <c:pt idx="68">
                  <c:v>43746</c:v>
                </c:pt>
                <c:pt idx="69">
                  <c:v>43745</c:v>
                </c:pt>
                <c:pt idx="70">
                  <c:v>43742</c:v>
                </c:pt>
                <c:pt idx="71">
                  <c:v>43741</c:v>
                </c:pt>
                <c:pt idx="72">
                  <c:v>43740</c:v>
                </c:pt>
                <c:pt idx="73">
                  <c:v>43739</c:v>
                </c:pt>
                <c:pt idx="74">
                  <c:v>43738</c:v>
                </c:pt>
                <c:pt idx="75">
                  <c:v>43735</c:v>
                </c:pt>
                <c:pt idx="76">
                  <c:v>43734</c:v>
                </c:pt>
                <c:pt idx="77">
                  <c:v>43733</c:v>
                </c:pt>
                <c:pt idx="78">
                  <c:v>43732</c:v>
                </c:pt>
                <c:pt idx="79">
                  <c:v>43728</c:v>
                </c:pt>
                <c:pt idx="80">
                  <c:v>43727</c:v>
                </c:pt>
                <c:pt idx="81">
                  <c:v>43726</c:v>
                </c:pt>
                <c:pt idx="82">
                  <c:v>43725</c:v>
                </c:pt>
                <c:pt idx="83">
                  <c:v>43721</c:v>
                </c:pt>
                <c:pt idx="84">
                  <c:v>43720</c:v>
                </c:pt>
                <c:pt idx="85">
                  <c:v>43719</c:v>
                </c:pt>
                <c:pt idx="86">
                  <c:v>43718</c:v>
                </c:pt>
                <c:pt idx="87">
                  <c:v>43717</c:v>
                </c:pt>
                <c:pt idx="88">
                  <c:v>43714</c:v>
                </c:pt>
                <c:pt idx="89">
                  <c:v>43713</c:v>
                </c:pt>
                <c:pt idx="90">
                  <c:v>43712</c:v>
                </c:pt>
                <c:pt idx="91">
                  <c:v>43711</c:v>
                </c:pt>
                <c:pt idx="92">
                  <c:v>43710</c:v>
                </c:pt>
                <c:pt idx="93">
                  <c:v>43707</c:v>
                </c:pt>
                <c:pt idx="94">
                  <c:v>43706</c:v>
                </c:pt>
                <c:pt idx="95">
                  <c:v>43705</c:v>
                </c:pt>
                <c:pt idx="96">
                  <c:v>43704</c:v>
                </c:pt>
                <c:pt idx="97">
                  <c:v>43703</c:v>
                </c:pt>
                <c:pt idx="98">
                  <c:v>43700</c:v>
                </c:pt>
                <c:pt idx="99">
                  <c:v>43699</c:v>
                </c:pt>
                <c:pt idx="100">
                  <c:v>43698</c:v>
                </c:pt>
                <c:pt idx="101">
                  <c:v>43697</c:v>
                </c:pt>
                <c:pt idx="102">
                  <c:v>43696</c:v>
                </c:pt>
                <c:pt idx="103">
                  <c:v>43693</c:v>
                </c:pt>
                <c:pt idx="104">
                  <c:v>43692</c:v>
                </c:pt>
                <c:pt idx="105">
                  <c:v>43691</c:v>
                </c:pt>
                <c:pt idx="106">
                  <c:v>43690</c:v>
                </c:pt>
                <c:pt idx="107">
                  <c:v>43686</c:v>
                </c:pt>
                <c:pt idx="108">
                  <c:v>43685</c:v>
                </c:pt>
                <c:pt idx="109">
                  <c:v>43684</c:v>
                </c:pt>
                <c:pt idx="110">
                  <c:v>43683</c:v>
                </c:pt>
                <c:pt idx="111">
                  <c:v>43682</c:v>
                </c:pt>
                <c:pt idx="112">
                  <c:v>43679</c:v>
                </c:pt>
                <c:pt idx="113">
                  <c:v>43678</c:v>
                </c:pt>
                <c:pt idx="114">
                  <c:v>43677</c:v>
                </c:pt>
                <c:pt idx="115">
                  <c:v>43676</c:v>
                </c:pt>
                <c:pt idx="116">
                  <c:v>43675</c:v>
                </c:pt>
                <c:pt idx="117">
                  <c:v>43672</c:v>
                </c:pt>
                <c:pt idx="118">
                  <c:v>43671</c:v>
                </c:pt>
                <c:pt idx="119">
                  <c:v>43670</c:v>
                </c:pt>
                <c:pt idx="120">
                  <c:v>43669</c:v>
                </c:pt>
                <c:pt idx="121">
                  <c:v>43668</c:v>
                </c:pt>
                <c:pt idx="122">
                  <c:v>43665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511.80414746543778</c:v>
                </c:pt>
                <c:pt idx="1">
                  <c:v>512.09677419354841</c:v>
                </c:pt>
                <c:pt idx="2">
                  <c:v>507.12211981566821</c:v>
                </c:pt>
                <c:pt idx="3">
                  <c:v>503.31797235023043</c:v>
                </c:pt>
                <c:pt idx="4">
                  <c:v>501.56221198156686</c:v>
                </c:pt>
                <c:pt idx="5">
                  <c:v>498.05069124423966</c:v>
                </c:pt>
                <c:pt idx="6">
                  <c:v>504.19585253456222</c:v>
                </c:pt>
                <c:pt idx="7">
                  <c:v>505.07373271889401</c:v>
                </c:pt>
                <c:pt idx="8">
                  <c:v>502.14746543778801</c:v>
                </c:pt>
                <c:pt idx="9">
                  <c:v>496.58755760368666</c:v>
                </c:pt>
                <c:pt idx="10">
                  <c:v>515.90092165898625</c:v>
                </c:pt>
                <c:pt idx="11">
                  <c:v>504.48847926267285</c:v>
                </c:pt>
                <c:pt idx="12">
                  <c:v>500.09907834101386</c:v>
                </c:pt>
                <c:pt idx="13">
                  <c:v>501.26958525345623</c:v>
                </c:pt>
                <c:pt idx="14">
                  <c:v>501.26958525345623</c:v>
                </c:pt>
                <c:pt idx="15">
                  <c:v>498.34331797235023</c:v>
                </c:pt>
                <c:pt idx="16">
                  <c:v>500.97695852534565</c:v>
                </c:pt>
                <c:pt idx="17">
                  <c:v>498.34331797235023</c:v>
                </c:pt>
                <c:pt idx="18">
                  <c:v>501.56221198156686</c:v>
                </c:pt>
                <c:pt idx="19">
                  <c:v>499.22119815668202</c:v>
                </c:pt>
                <c:pt idx="20">
                  <c:v>497.17281105990787</c:v>
                </c:pt>
                <c:pt idx="21">
                  <c:v>506.24423963133643</c:v>
                </c:pt>
                <c:pt idx="22">
                  <c:v>501.85483870967744</c:v>
                </c:pt>
                <c:pt idx="23">
                  <c:v>500.68433179723502</c:v>
                </c:pt>
                <c:pt idx="24">
                  <c:v>492.78341013824888</c:v>
                </c:pt>
                <c:pt idx="25">
                  <c:v>491.61290322580646</c:v>
                </c:pt>
                <c:pt idx="26">
                  <c:v>492.19815668202767</c:v>
                </c:pt>
                <c:pt idx="27">
                  <c:v>492.49078341013825</c:v>
                </c:pt>
                <c:pt idx="28">
                  <c:v>490.4423963133641</c:v>
                </c:pt>
                <c:pt idx="29">
                  <c:v>483.71198156682027</c:v>
                </c:pt>
                <c:pt idx="30">
                  <c:v>480.78571428571428</c:v>
                </c:pt>
                <c:pt idx="31">
                  <c:v>477.85944700460828</c:v>
                </c:pt>
                <c:pt idx="32">
                  <c:v>483.71198156682027</c:v>
                </c:pt>
                <c:pt idx="33">
                  <c:v>487.51612903225811</c:v>
                </c:pt>
                <c:pt idx="34">
                  <c:v>483.41935483870969</c:v>
                </c:pt>
                <c:pt idx="35">
                  <c:v>484.29723502304148</c:v>
                </c:pt>
                <c:pt idx="36">
                  <c:v>466.73963133640552</c:v>
                </c:pt>
                <c:pt idx="37">
                  <c:v>455.32718894009219</c:v>
                </c:pt>
                <c:pt idx="38">
                  <c:v>440.40322580645164</c:v>
                </c:pt>
                <c:pt idx="39">
                  <c:v>450.05990783410141</c:v>
                </c:pt>
                <c:pt idx="40">
                  <c:v>450.05990783410141</c:v>
                </c:pt>
                <c:pt idx="41">
                  <c:v>457.08294930875576</c:v>
                </c:pt>
                <c:pt idx="42">
                  <c:v>446.25576036866363</c:v>
                </c:pt>
                <c:pt idx="43">
                  <c:v>448.88940092165899</c:v>
                </c:pt>
                <c:pt idx="44">
                  <c:v>442.45161290322579</c:v>
                </c:pt>
                <c:pt idx="45">
                  <c:v>441.57373271889401</c:v>
                </c:pt>
                <c:pt idx="46">
                  <c:v>442.15898617511522</c:v>
                </c:pt>
                <c:pt idx="47">
                  <c:v>444.20737327188942</c:v>
                </c:pt>
                <c:pt idx="48">
                  <c:v>447.13364055299542</c:v>
                </c:pt>
                <c:pt idx="49">
                  <c:v>455.61981566820276</c:v>
                </c:pt>
                <c:pt idx="50">
                  <c:v>456.20506912442397</c:v>
                </c:pt>
                <c:pt idx="51">
                  <c:v>454.74193548387098</c:v>
                </c:pt>
                <c:pt idx="52">
                  <c:v>455.91244239631339</c:v>
                </c:pt>
                <c:pt idx="53">
                  <c:v>453.27880184331798</c:v>
                </c:pt>
                <c:pt idx="54">
                  <c:v>452.10829493087562</c:v>
                </c:pt>
                <c:pt idx="55">
                  <c:v>458.54608294930875</c:v>
                </c:pt>
                <c:pt idx="56">
                  <c:v>459.42396313364054</c:v>
                </c:pt>
                <c:pt idx="57">
                  <c:v>457.66820276497697</c:v>
                </c:pt>
                <c:pt idx="58">
                  <c:v>455.32718894009219</c:v>
                </c:pt>
                <c:pt idx="59">
                  <c:v>454.74193548387098</c:v>
                </c:pt>
                <c:pt idx="60">
                  <c:v>444.79262672811063</c:v>
                </c:pt>
                <c:pt idx="61">
                  <c:v>444.20737327188942</c:v>
                </c:pt>
                <c:pt idx="62">
                  <c:v>447.13364055299542</c:v>
                </c:pt>
                <c:pt idx="63">
                  <c:v>446.25576036866363</c:v>
                </c:pt>
                <c:pt idx="64">
                  <c:v>444.79262672811063</c:v>
                </c:pt>
                <c:pt idx="65">
                  <c:v>441.28110599078343</c:v>
                </c:pt>
                <c:pt idx="66">
                  <c:v>443.62211981566821</c:v>
                </c:pt>
                <c:pt idx="67">
                  <c:v>448.0115207373272</c:v>
                </c:pt>
                <c:pt idx="68">
                  <c:v>448.88940092165899</c:v>
                </c:pt>
                <c:pt idx="69">
                  <c:v>439.52534562211986</c:v>
                </c:pt>
                <c:pt idx="70">
                  <c:v>442.15898617511522</c:v>
                </c:pt>
                <c:pt idx="71">
                  <c:v>432.79493087557603</c:v>
                </c:pt>
                <c:pt idx="72">
                  <c:v>440.11059907834101</c:v>
                </c:pt>
                <c:pt idx="73">
                  <c:v>443.32949308755764</c:v>
                </c:pt>
                <c:pt idx="74">
                  <c:v>444.20737327188942</c:v>
                </c:pt>
                <c:pt idx="75">
                  <c:v>446.84101382488478</c:v>
                </c:pt>
                <c:pt idx="76">
                  <c:v>447.42626728110599</c:v>
                </c:pt>
                <c:pt idx="77">
                  <c:v>447.42626728110599</c:v>
                </c:pt>
                <c:pt idx="78">
                  <c:v>445.08525345622121</c:v>
                </c:pt>
                <c:pt idx="79">
                  <c:v>438.06221198156686</c:v>
                </c:pt>
                <c:pt idx="80">
                  <c:v>437.47695852534565</c:v>
                </c:pt>
                <c:pt idx="81">
                  <c:v>435.72119815668202</c:v>
                </c:pt>
                <c:pt idx="82">
                  <c:v>429.86866359447004</c:v>
                </c:pt>
                <c:pt idx="83">
                  <c:v>428.11290322580646</c:v>
                </c:pt>
                <c:pt idx="84">
                  <c:v>413.4815668202765</c:v>
                </c:pt>
                <c:pt idx="85">
                  <c:v>406.45852534562215</c:v>
                </c:pt>
                <c:pt idx="86">
                  <c:v>403.82488479262673</c:v>
                </c:pt>
                <c:pt idx="87">
                  <c:v>428.11290322580646</c:v>
                </c:pt>
                <c:pt idx="88">
                  <c:v>428.11290322580646</c:v>
                </c:pt>
                <c:pt idx="89">
                  <c:v>417.57834101382491</c:v>
                </c:pt>
                <c:pt idx="90">
                  <c:v>409.9700460829493</c:v>
                </c:pt>
                <c:pt idx="91">
                  <c:v>406.75115207373273</c:v>
                </c:pt>
                <c:pt idx="92">
                  <c:v>407.04377880184336</c:v>
                </c:pt>
                <c:pt idx="93">
                  <c:v>405.28801843317973</c:v>
                </c:pt>
                <c:pt idx="94">
                  <c:v>398.85023041474653</c:v>
                </c:pt>
                <c:pt idx="95">
                  <c:v>403.82488479262673</c:v>
                </c:pt>
                <c:pt idx="96">
                  <c:v>405.28801843317973</c:v>
                </c:pt>
                <c:pt idx="97">
                  <c:v>406.16589861751152</c:v>
                </c:pt>
                <c:pt idx="98">
                  <c:v>403.53225806451616</c:v>
                </c:pt>
                <c:pt idx="99">
                  <c:v>399.14285714285717</c:v>
                </c:pt>
                <c:pt idx="100">
                  <c:v>395.63133640552996</c:v>
                </c:pt>
                <c:pt idx="101">
                  <c:v>394.46082949308754</c:v>
                </c:pt>
                <c:pt idx="102">
                  <c:v>387.14516129032262</c:v>
                </c:pt>
                <c:pt idx="103">
                  <c:v>382.463133640553</c:v>
                </c:pt>
                <c:pt idx="104">
                  <c:v>370.75806451612902</c:v>
                </c:pt>
                <c:pt idx="105">
                  <c:v>372.22119815668202</c:v>
                </c:pt>
                <c:pt idx="106">
                  <c:v>372.51382488479265</c:v>
                </c:pt>
                <c:pt idx="107">
                  <c:v>375.44009216589865</c:v>
                </c:pt>
                <c:pt idx="108">
                  <c:v>373.68433179723502</c:v>
                </c:pt>
                <c:pt idx="109">
                  <c:v>371.05069124423966</c:v>
                </c:pt>
                <c:pt idx="110">
                  <c:v>373.68433179723502</c:v>
                </c:pt>
                <c:pt idx="111">
                  <c:v>374.85483870967744</c:v>
                </c:pt>
                <c:pt idx="112">
                  <c:v>365.78341013824888</c:v>
                </c:pt>
                <c:pt idx="113">
                  <c:v>371.63594470046087</c:v>
                </c:pt>
                <c:pt idx="114">
                  <c:v>373.68433179723502</c:v>
                </c:pt>
                <c:pt idx="115">
                  <c:v>377.4884792626728</c:v>
                </c:pt>
                <c:pt idx="116">
                  <c:v>378.36635944700464</c:v>
                </c:pt>
                <c:pt idx="117">
                  <c:v>378.07373271889401</c:v>
                </c:pt>
                <c:pt idx="118">
                  <c:v>378.36635944700464</c:v>
                </c:pt>
                <c:pt idx="119">
                  <c:v>374.85483870967744</c:v>
                </c:pt>
                <c:pt idx="120">
                  <c:v>371.34331797235023</c:v>
                </c:pt>
                <c:pt idx="121">
                  <c:v>372.80645161290323</c:v>
                </c:pt>
                <c:pt idx="122">
                  <c:v>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43847</c:v>
                </c:pt>
                <c:pt idx="1">
                  <c:v>43847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521"/>
          <c:min val="365.7834101382488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-16770</c:v>
                </c:pt>
                <c:pt idx="1">
                  <c:v>-770</c:v>
                </c:pt>
                <c:pt idx="2">
                  <c:v>-770</c:v>
                </c:pt>
                <c:pt idx="3">
                  <c:v>-10770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22030</c:v>
                </c:pt>
                <c:pt idx="1">
                  <c:v>22630</c:v>
                </c:pt>
                <c:pt idx="2">
                  <c:v>12430</c:v>
                </c:pt>
                <c:pt idx="3">
                  <c:v>4630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5260</c:v>
                </c:pt>
                <c:pt idx="1">
                  <c:v>21860</c:v>
                </c:pt>
                <c:pt idx="2">
                  <c:v>11660</c:v>
                </c:pt>
                <c:pt idx="3">
                  <c:v>-6140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43847</c:v>
                </c:pt>
                <c:pt idx="1">
                  <c:v>43847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  <c:pt idx="4">
                  <c:v>43846</c:v>
                </c:pt>
                <c:pt idx="5">
                  <c:v>43845</c:v>
                </c:pt>
                <c:pt idx="6">
                  <c:v>43844</c:v>
                </c:pt>
                <c:pt idx="7">
                  <c:v>43840</c:v>
                </c:pt>
                <c:pt idx="8">
                  <c:v>43839</c:v>
                </c:pt>
                <c:pt idx="9">
                  <c:v>43838</c:v>
                </c:pt>
                <c:pt idx="10">
                  <c:v>43837</c:v>
                </c:pt>
                <c:pt idx="11">
                  <c:v>43836</c:v>
                </c:pt>
                <c:pt idx="12">
                  <c:v>43829</c:v>
                </c:pt>
                <c:pt idx="13">
                  <c:v>43826</c:v>
                </c:pt>
                <c:pt idx="14">
                  <c:v>43825</c:v>
                </c:pt>
                <c:pt idx="15">
                  <c:v>43824</c:v>
                </c:pt>
                <c:pt idx="16">
                  <c:v>43823</c:v>
                </c:pt>
                <c:pt idx="17">
                  <c:v>43822</c:v>
                </c:pt>
                <c:pt idx="18">
                  <c:v>43819</c:v>
                </c:pt>
                <c:pt idx="19">
                  <c:v>43818</c:v>
                </c:pt>
                <c:pt idx="20">
                  <c:v>43817</c:v>
                </c:pt>
                <c:pt idx="21">
                  <c:v>43816</c:v>
                </c:pt>
                <c:pt idx="22">
                  <c:v>43815</c:v>
                </c:pt>
                <c:pt idx="23">
                  <c:v>43812</c:v>
                </c:pt>
                <c:pt idx="24">
                  <c:v>43811</c:v>
                </c:pt>
                <c:pt idx="25">
                  <c:v>43810</c:v>
                </c:pt>
                <c:pt idx="26">
                  <c:v>43809</c:v>
                </c:pt>
                <c:pt idx="27">
                  <c:v>43808</c:v>
                </c:pt>
                <c:pt idx="28">
                  <c:v>43805</c:v>
                </c:pt>
                <c:pt idx="29">
                  <c:v>43804</c:v>
                </c:pt>
                <c:pt idx="30">
                  <c:v>43803</c:v>
                </c:pt>
                <c:pt idx="31">
                  <c:v>43802</c:v>
                </c:pt>
                <c:pt idx="32">
                  <c:v>43801</c:v>
                </c:pt>
                <c:pt idx="33">
                  <c:v>43798</c:v>
                </c:pt>
                <c:pt idx="34">
                  <c:v>43797</c:v>
                </c:pt>
                <c:pt idx="35">
                  <c:v>43796</c:v>
                </c:pt>
                <c:pt idx="36">
                  <c:v>43795</c:v>
                </c:pt>
                <c:pt idx="37">
                  <c:v>43794</c:v>
                </c:pt>
                <c:pt idx="38">
                  <c:v>43791</c:v>
                </c:pt>
                <c:pt idx="39">
                  <c:v>43790</c:v>
                </c:pt>
                <c:pt idx="40">
                  <c:v>43789</c:v>
                </c:pt>
                <c:pt idx="41">
                  <c:v>43788</c:v>
                </c:pt>
                <c:pt idx="42">
                  <c:v>43787</c:v>
                </c:pt>
                <c:pt idx="43">
                  <c:v>43784</c:v>
                </c:pt>
                <c:pt idx="44">
                  <c:v>43783</c:v>
                </c:pt>
                <c:pt idx="45">
                  <c:v>43782</c:v>
                </c:pt>
                <c:pt idx="46">
                  <c:v>43781</c:v>
                </c:pt>
                <c:pt idx="47">
                  <c:v>43780</c:v>
                </c:pt>
                <c:pt idx="48">
                  <c:v>43777</c:v>
                </c:pt>
                <c:pt idx="49">
                  <c:v>43776</c:v>
                </c:pt>
                <c:pt idx="50">
                  <c:v>43775</c:v>
                </c:pt>
                <c:pt idx="51">
                  <c:v>43774</c:v>
                </c:pt>
                <c:pt idx="52">
                  <c:v>43770</c:v>
                </c:pt>
                <c:pt idx="53">
                  <c:v>43769</c:v>
                </c:pt>
                <c:pt idx="54">
                  <c:v>43768</c:v>
                </c:pt>
                <c:pt idx="55">
                  <c:v>43767</c:v>
                </c:pt>
                <c:pt idx="56">
                  <c:v>43766</c:v>
                </c:pt>
                <c:pt idx="57">
                  <c:v>43763</c:v>
                </c:pt>
                <c:pt idx="58">
                  <c:v>43762</c:v>
                </c:pt>
                <c:pt idx="59">
                  <c:v>43761</c:v>
                </c:pt>
                <c:pt idx="60">
                  <c:v>43759</c:v>
                </c:pt>
                <c:pt idx="61">
                  <c:v>43756</c:v>
                </c:pt>
                <c:pt idx="62">
                  <c:v>43755</c:v>
                </c:pt>
                <c:pt idx="63">
                  <c:v>43754</c:v>
                </c:pt>
                <c:pt idx="64">
                  <c:v>43753</c:v>
                </c:pt>
                <c:pt idx="65">
                  <c:v>43749</c:v>
                </c:pt>
                <c:pt idx="66">
                  <c:v>43748</c:v>
                </c:pt>
                <c:pt idx="67">
                  <c:v>43747</c:v>
                </c:pt>
                <c:pt idx="68">
                  <c:v>43746</c:v>
                </c:pt>
                <c:pt idx="69">
                  <c:v>43745</c:v>
                </c:pt>
                <c:pt idx="70">
                  <c:v>43742</c:v>
                </c:pt>
                <c:pt idx="71">
                  <c:v>43741</c:v>
                </c:pt>
                <c:pt idx="72">
                  <c:v>43740</c:v>
                </c:pt>
                <c:pt idx="73">
                  <c:v>43739</c:v>
                </c:pt>
                <c:pt idx="74">
                  <c:v>43738</c:v>
                </c:pt>
                <c:pt idx="75">
                  <c:v>43735</c:v>
                </c:pt>
                <c:pt idx="76">
                  <c:v>43734</c:v>
                </c:pt>
                <c:pt idx="77">
                  <c:v>43733</c:v>
                </c:pt>
                <c:pt idx="78">
                  <c:v>43732</c:v>
                </c:pt>
                <c:pt idx="79">
                  <c:v>43728</c:v>
                </c:pt>
                <c:pt idx="80">
                  <c:v>43727</c:v>
                </c:pt>
                <c:pt idx="81">
                  <c:v>43726</c:v>
                </c:pt>
                <c:pt idx="82">
                  <c:v>43725</c:v>
                </c:pt>
                <c:pt idx="83">
                  <c:v>43721</c:v>
                </c:pt>
                <c:pt idx="84">
                  <c:v>43720</c:v>
                </c:pt>
                <c:pt idx="85">
                  <c:v>43719</c:v>
                </c:pt>
                <c:pt idx="86">
                  <c:v>43718</c:v>
                </c:pt>
                <c:pt idx="87">
                  <c:v>43717</c:v>
                </c:pt>
                <c:pt idx="88">
                  <c:v>43714</c:v>
                </c:pt>
                <c:pt idx="89">
                  <c:v>43713</c:v>
                </c:pt>
                <c:pt idx="90">
                  <c:v>43712</c:v>
                </c:pt>
                <c:pt idx="91">
                  <c:v>43711</c:v>
                </c:pt>
                <c:pt idx="92">
                  <c:v>43710</c:v>
                </c:pt>
                <c:pt idx="93">
                  <c:v>43707</c:v>
                </c:pt>
                <c:pt idx="94">
                  <c:v>43706</c:v>
                </c:pt>
                <c:pt idx="95">
                  <c:v>43705</c:v>
                </c:pt>
                <c:pt idx="96">
                  <c:v>43704</c:v>
                </c:pt>
                <c:pt idx="97">
                  <c:v>43703</c:v>
                </c:pt>
                <c:pt idx="98">
                  <c:v>43700</c:v>
                </c:pt>
                <c:pt idx="99">
                  <c:v>43699</c:v>
                </c:pt>
                <c:pt idx="100">
                  <c:v>43698</c:v>
                </c:pt>
                <c:pt idx="101">
                  <c:v>43697</c:v>
                </c:pt>
                <c:pt idx="102">
                  <c:v>43696</c:v>
                </c:pt>
                <c:pt idx="103">
                  <c:v>43693</c:v>
                </c:pt>
                <c:pt idx="104">
                  <c:v>43692</c:v>
                </c:pt>
                <c:pt idx="105">
                  <c:v>43691</c:v>
                </c:pt>
                <c:pt idx="106">
                  <c:v>43690</c:v>
                </c:pt>
                <c:pt idx="107">
                  <c:v>43686</c:v>
                </c:pt>
                <c:pt idx="108">
                  <c:v>43685</c:v>
                </c:pt>
                <c:pt idx="109">
                  <c:v>43684</c:v>
                </c:pt>
                <c:pt idx="110">
                  <c:v>43683</c:v>
                </c:pt>
                <c:pt idx="111">
                  <c:v>43682</c:v>
                </c:pt>
                <c:pt idx="112">
                  <c:v>43679</c:v>
                </c:pt>
                <c:pt idx="113">
                  <c:v>43678</c:v>
                </c:pt>
                <c:pt idx="114">
                  <c:v>43677</c:v>
                </c:pt>
                <c:pt idx="115">
                  <c:v>43676</c:v>
                </c:pt>
                <c:pt idx="116">
                  <c:v>43675</c:v>
                </c:pt>
                <c:pt idx="117">
                  <c:v>43672</c:v>
                </c:pt>
                <c:pt idx="118">
                  <c:v>43671</c:v>
                </c:pt>
                <c:pt idx="119">
                  <c:v>43670</c:v>
                </c:pt>
                <c:pt idx="120">
                  <c:v>43669</c:v>
                </c:pt>
                <c:pt idx="121">
                  <c:v>43668</c:v>
                </c:pt>
                <c:pt idx="122">
                  <c:v>43665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0.90317988951234696</c:v>
                </c:pt>
                <c:pt idx="1">
                  <c:v>0.89953559495228597</c:v>
                </c:pt>
                <c:pt idx="2">
                  <c:v>0.89931219266120799</c:v>
                </c:pt>
                <c:pt idx="3">
                  <c:v>0.90341880464615298</c:v>
                </c:pt>
                <c:pt idx="4">
                  <c:v>0.90667629177257603</c:v>
                </c:pt>
                <c:pt idx="5">
                  <c:v>0.91159488921293796</c:v>
                </c:pt>
                <c:pt idx="6">
                  <c:v>0.91422946466935295</c:v>
                </c:pt>
                <c:pt idx="7">
                  <c:v>0.91501363498771704</c:v>
                </c:pt>
                <c:pt idx="8">
                  <c:v>0.91572601974785806</c:v>
                </c:pt>
                <c:pt idx="9">
                  <c:v>0.91932302890342199</c:v>
                </c:pt>
                <c:pt idx="10">
                  <c:v>0.91550594907726801</c:v>
                </c:pt>
                <c:pt idx="11">
                  <c:v>0.91437684232890504</c:v>
                </c:pt>
                <c:pt idx="12">
                  <c:v>0.91455945415612905</c:v>
                </c:pt>
                <c:pt idx="13">
                  <c:v>0.91383254251459201</c:v>
                </c:pt>
                <c:pt idx="14">
                  <c:v>0.91056123367160302</c:v>
                </c:pt>
                <c:pt idx="15">
                  <c:v>0.90836099240977897</c:v>
                </c:pt>
                <c:pt idx="16">
                  <c:v>0.90193479471408</c:v>
                </c:pt>
                <c:pt idx="17">
                  <c:v>0.89738009579923295</c:v>
                </c:pt>
                <c:pt idx="18">
                  <c:v>0.89154827603414599</c:v>
                </c:pt>
                <c:pt idx="19">
                  <c:v>0.88692226664351803</c:v>
                </c:pt>
                <c:pt idx="20">
                  <c:v>0.88195042565494697</c:v>
                </c:pt>
                <c:pt idx="21">
                  <c:v>0.86922504020883695</c:v>
                </c:pt>
                <c:pt idx="22">
                  <c:v>0.85903396137992005</c:v>
                </c:pt>
                <c:pt idx="23">
                  <c:v>0.84194540751446101</c:v>
                </c:pt>
                <c:pt idx="24">
                  <c:v>0.83464205598404595</c:v>
                </c:pt>
                <c:pt idx="25">
                  <c:v>0.834225344044907</c:v>
                </c:pt>
                <c:pt idx="26">
                  <c:v>0.83276826070210797</c:v>
                </c:pt>
                <c:pt idx="27">
                  <c:v>0.83554753506030199</c:v>
                </c:pt>
                <c:pt idx="28">
                  <c:v>0.810156050278939</c:v>
                </c:pt>
                <c:pt idx="29">
                  <c:v>0.78558668426181499</c:v>
                </c:pt>
                <c:pt idx="30">
                  <c:v>0.79619563323571696</c:v>
                </c:pt>
                <c:pt idx="31">
                  <c:v>0.80948443321425401</c:v>
                </c:pt>
                <c:pt idx="32">
                  <c:v>0.82104369774901897</c:v>
                </c:pt>
                <c:pt idx="33">
                  <c:v>0.85374916813396495</c:v>
                </c:pt>
                <c:pt idx="34">
                  <c:v>0.86596263902386805</c:v>
                </c:pt>
                <c:pt idx="35">
                  <c:v>0.87745900773407204</c:v>
                </c:pt>
                <c:pt idx="36">
                  <c:v>0.88097397231729002</c:v>
                </c:pt>
                <c:pt idx="37">
                  <c:v>0.88715917998060101</c:v>
                </c:pt>
                <c:pt idx="38">
                  <c:v>0.90444224440356802</c:v>
                </c:pt>
                <c:pt idx="39">
                  <c:v>0.91338324385421099</c:v>
                </c:pt>
                <c:pt idx="40">
                  <c:v>0.919046986746616</c:v>
                </c:pt>
                <c:pt idx="41">
                  <c:v>0.92079481444568601</c:v>
                </c:pt>
                <c:pt idx="42">
                  <c:v>0.92347739386634797</c:v>
                </c:pt>
                <c:pt idx="43">
                  <c:v>0.92561227710067295</c:v>
                </c:pt>
                <c:pt idx="44">
                  <c:v>0.922530528545915</c:v>
                </c:pt>
                <c:pt idx="45">
                  <c:v>0.91863570131330696</c:v>
                </c:pt>
                <c:pt idx="46">
                  <c:v>0.918640029655309</c:v>
                </c:pt>
                <c:pt idx="47">
                  <c:v>0.91837445033373599</c:v>
                </c:pt>
                <c:pt idx="48">
                  <c:v>0.91535277216858302</c:v>
                </c:pt>
                <c:pt idx="49">
                  <c:v>0.91341559909694403</c:v>
                </c:pt>
                <c:pt idx="50">
                  <c:v>0.90676243228007503</c:v>
                </c:pt>
                <c:pt idx="51">
                  <c:v>0.90244571991135902</c:v>
                </c:pt>
                <c:pt idx="52">
                  <c:v>0.89348143904632005</c:v>
                </c:pt>
                <c:pt idx="53">
                  <c:v>0.88514062912038005</c:v>
                </c:pt>
                <c:pt idx="54">
                  <c:v>0.87773898566251496</c:v>
                </c:pt>
                <c:pt idx="55">
                  <c:v>0.86800590718427895</c:v>
                </c:pt>
                <c:pt idx="56">
                  <c:v>0.86445655783469599</c:v>
                </c:pt>
                <c:pt idx="57">
                  <c:v>0.85976161326962397</c:v>
                </c:pt>
                <c:pt idx="58">
                  <c:v>0.85667449741653101</c:v>
                </c:pt>
                <c:pt idx="59">
                  <c:v>0.85148611487485903</c:v>
                </c:pt>
                <c:pt idx="60">
                  <c:v>0.84711693176907099</c:v>
                </c:pt>
                <c:pt idx="61">
                  <c:v>0.84344664223458599</c:v>
                </c:pt>
                <c:pt idx="62">
                  <c:v>0.84074119307054895</c:v>
                </c:pt>
                <c:pt idx="63">
                  <c:v>0.83492542903114897</c:v>
                </c:pt>
                <c:pt idx="64">
                  <c:v>0.82910939135083195</c:v>
                </c:pt>
                <c:pt idx="65">
                  <c:v>0.82287141735481195</c:v>
                </c:pt>
                <c:pt idx="66">
                  <c:v>0.812945841601871</c:v>
                </c:pt>
                <c:pt idx="67">
                  <c:v>0.79877449604539497</c:v>
                </c:pt>
                <c:pt idx="68">
                  <c:v>0.78269016003167502</c:v>
                </c:pt>
                <c:pt idx="69">
                  <c:v>0.76890447397224004</c:v>
                </c:pt>
                <c:pt idx="70">
                  <c:v>0.74830836119203104</c:v>
                </c:pt>
                <c:pt idx="71">
                  <c:v>0.73549470641673498</c:v>
                </c:pt>
                <c:pt idx="72">
                  <c:v>0.712676152659109</c:v>
                </c:pt>
                <c:pt idx="73">
                  <c:v>0.67066576359604402</c:v>
                </c:pt>
                <c:pt idx="74">
                  <c:v>0.62485883333484304</c:v>
                </c:pt>
                <c:pt idx="75">
                  <c:v>0.56941370266230096</c:v>
                </c:pt>
                <c:pt idx="76">
                  <c:v>0.51451654924228296</c:v>
                </c:pt>
                <c:pt idx="77">
                  <c:v>0.47489254638331602</c:v>
                </c:pt>
                <c:pt idx="78">
                  <c:v>0.421759529560018</c:v>
                </c:pt>
                <c:pt idx="79">
                  <c:v>0.36126528232396099</c:v>
                </c:pt>
                <c:pt idx="80">
                  <c:v>0.28511839280217899</c:v>
                </c:pt>
                <c:pt idx="81">
                  <c:v>0.208772606694823</c:v>
                </c:pt>
                <c:pt idx="82">
                  <c:v>0.106825092513081</c:v>
                </c:pt>
                <c:pt idx="83">
                  <c:v>-1.95096834693828E-2</c:v>
                </c:pt>
                <c:pt idx="84">
                  <c:v>-0.119301463478242</c:v>
                </c:pt>
                <c:pt idx="85">
                  <c:v>-0.23960714202790201</c:v>
                </c:pt>
                <c:pt idx="86">
                  <c:v>-0.34389597600577798</c:v>
                </c:pt>
                <c:pt idx="87">
                  <c:v>-0.41761355283929402</c:v>
                </c:pt>
                <c:pt idx="88">
                  <c:v>-0.41682851478687</c:v>
                </c:pt>
                <c:pt idx="89">
                  <c:v>-0.38543743335332997</c:v>
                </c:pt>
                <c:pt idx="90">
                  <c:v>-0.34614267157900502</c:v>
                </c:pt>
                <c:pt idx="91">
                  <c:v>-0.27769574357243798</c:v>
                </c:pt>
                <c:pt idx="92">
                  <c:v>-0.176191829102677</c:v>
                </c:pt>
                <c:pt idx="93">
                  <c:v>-0.104685993612159</c:v>
                </c:pt>
                <c:pt idx="94">
                  <c:v>-3.4091408636996501E-2</c:v>
                </c:pt>
                <c:pt idx="95">
                  <c:v>2.7840343809008801E-2</c:v>
                </c:pt>
                <c:pt idx="96">
                  <c:v>7.9810896962777003E-2</c:v>
                </c:pt>
                <c:pt idx="97">
                  <c:v>0.106276675426628</c:v>
                </c:pt>
                <c:pt idx="98">
                  <c:v>0.134999485541651</c:v>
                </c:pt>
                <c:pt idx="99">
                  <c:v>0.188859573583813</c:v>
                </c:pt>
                <c:pt idx="100">
                  <c:v>0.23529800842703899</c:v>
                </c:pt>
                <c:pt idx="101">
                  <c:v>0.26471711916644403</c:v>
                </c:pt>
                <c:pt idx="102">
                  <c:v>0.29665733088236201</c:v>
                </c:pt>
                <c:pt idx="103">
                  <c:v>0.34102872870185502</c:v>
                </c:pt>
                <c:pt idx="104">
                  <c:v>0.36847079858861898</c:v>
                </c:pt>
                <c:pt idx="105">
                  <c:v>0.38482323433194798</c:v>
                </c:pt>
                <c:pt idx="106">
                  <c:v>0.400178873971204</c:v>
                </c:pt>
                <c:pt idx="107">
                  <c:v>0.40133328415307601</c:v>
                </c:pt>
                <c:pt idx="108">
                  <c:v>0.40255676897883202</c:v>
                </c:pt>
                <c:pt idx="109">
                  <c:v>0.38728736946929398</c:v>
                </c:pt>
                <c:pt idx="110">
                  <c:v>0.38694711033471602</c:v>
                </c:pt>
                <c:pt idx="111">
                  <c:v>0.38666626864778703</c:v>
                </c:pt>
                <c:pt idx="112">
                  <c:v>0.39039691983289898</c:v>
                </c:pt>
                <c:pt idx="113">
                  <c:v>0.38466374026702899</c:v>
                </c:pt>
                <c:pt idx="114">
                  <c:v>0.37635771293736398</c:v>
                </c:pt>
                <c:pt idx="115">
                  <c:v>0.357005800099573</c:v>
                </c:pt>
                <c:pt idx="116">
                  <c:v>0.36195070058261702</c:v>
                </c:pt>
                <c:pt idx="117">
                  <c:v>0.36429609604660501</c:v>
                </c:pt>
                <c:pt idx="118">
                  <c:v>0.38560326084623903</c:v>
                </c:pt>
                <c:pt idx="119">
                  <c:v>0.402841502035863</c:v>
                </c:pt>
                <c:pt idx="120">
                  <c:v>0.40655922179415699</c:v>
                </c:pt>
                <c:pt idx="121">
                  <c:v>0.40055739752794201</c:v>
                </c:pt>
                <c:pt idx="122">
                  <c:v>0.385639038082561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  <c:pt idx="4">
                  <c:v>43846</c:v>
                </c:pt>
                <c:pt idx="5">
                  <c:v>43845</c:v>
                </c:pt>
                <c:pt idx="6">
                  <c:v>43844</c:v>
                </c:pt>
                <c:pt idx="7">
                  <c:v>43840</c:v>
                </c:pt>
                <c:pt idx="8">
                  <c:v>43839</c:v>
                </c:pt>
                <c:pt idx="9">
                  <c:v>43838</c:v>
                </c:pt>
                <c:pt idx="10">
                  <c:v>43837</c:v>
                </c:pt>
                <c:pt idx="11">
                  <c:v>43836</c:v>
                </c:pt>
                <c:pt idx="12">
                  <c:v>43829</c:v>
                </c:pt>
                <c:pt idx="13">
                  <c:v>43826</c:v>
                </c:pt>
                <c:pt idx="14">
                  <c:v>43825</c:v>
                </c:pt>
                <c:pt idx="15">
                  <c:v>43824</c:v>
                </c:pt>
                <c:pt idx="16">
                  <c:v>43823</c:v>
                </c:pt>
                <c:pt idx="17">
                  <c:v>43822</c:v>
                </c:pt>
                <c:pt idx="18">
                  <c:v>43819</c:v>
                </c:pt>
                <c:pt idx="19">
                  <c:v>43818</c:v>
                </c:pt>
                <c:pt idx="20">
                  <c:v>43817</c:v>
                </c:pt>
                <c:pt idx="21">
                  <c:v>43816</c:v>
                </c:pt>
                <c:pt idx="22">
                  <c:v>43815</c:v>
                </c:pt>
                <c:pt idx="23">
                  <c:v>43812</c:v>
                </c:pt>
                <c:pt idx="24">
                  <c:v>43811</c:v>
                </c:pt>
                <c:pt idx="25">
                  <c:v>43810</c:v>
                </c:pt>
                <c:pt idx="26">
                  <c:v>43809</c:v>
                </c:pt>
                <c:pt idx="27">
                  <c:v>43808</c:v>
                </c:pt>
                <c:pt idx="28">
                  <c:v>43805</c:v>
                </c:pt>
                <c:pt idx="29">
                  <c:v>43804</c:v>
                </c:pt>
                <c:pt idx="30">
                  <c:v>43803</c:v>
                </c:pt>
                <c:pt idx="31">
                  <c:v>43802</c:v>
                </c:pt>
                <c:pt idx="32">
                  <c:v>43801</c:v>
                </c:pt>
                <c:pt idx="33">
                  <c:v>43798</c:v>
                </c:pt>
                <c:pt idx="34">
                  <c:v>43797</c:v>
                </c:pt>
                <c:pt idx="35">
                  <c:v>43796</c:v>
                </c:pt>
                <c:pt idx="36">
                  <c:v>43795</c:v>
                </c:pt>
                <c:pt idx="37">
                  <c:v>43794</c:v>
                </c:pt>
                <c:pt idx="38">
                  <c:v>43791</c:v>
                </c:pt>
                <c:pt idx="39">
                  <c:v>43790</c:v>
                </c:pt>
                <c:pt idx="40">
                  <c:v>43789</c:v>
                </c:pt>
                <c:pt idx="41">
                  <c:v>43788</c:v>
                </c:pt>
                <c:pt idx="42">
                  <c:v>43787</c:v>
                </c:pt>
                <c:pt idx="43">
                  <c:v>43784</c:v>
                </c:pt>
                <c:pt idx="44">
                  <c:v>43783</c:v>
                </c:pt>
                <c:pt idx="45">
                  <c:v>43782</c:v>
                </c:pt>
                <c:pt idx="46">
                  <c:v>43781</c:v>
                </c:pt>
                <c:pt idx="47">
                  <c:v>43780</c:v>
                </c:pt>
                <c:pt idx="48">
                  <c:v>43777</c:v>
                </c:pt>
                <c:pt idx="49">
                  <c:v>43776</c:v>
                </c:pt>
                <c:pt idx="50">
                  <c:v>43775</c:v>
                </c:pt>
                <c:pt idx="51">
                  <c:v>43774</c:v>
                </c:pt>
                <c:pt idx="52">
                  <c:v>43770</c:v>
                </c:pt>
                <c:pt idx="53">
                  <c:v>43769</c:v>
                </c:pt>
                <c:pt idx="54">
                  <c:v>43768</c:v>
                </c:pt>
                <c:pt idx="55">
                  <c:v>43767</c:v>
                </c:pt>
                <c:pt idx="56">
                  <c:v>43766</c:v>
                </c:pt>
                <c:pt idx="57">
                  <c:v>43763</c:v>
                </c:pt>
                <c:pt idx="58">
                  <c:v>43762</c:v>
                </c:pt>
                <c:pt idx="59">
                  <c:v>43761</c:v>
                </c:pt>
                <c:pt idx="60">
                  <c:v>43759</c:v>
                </c:pt>
                <c:pt idx="61">
                  <c:v>43756</c:v>
                </c:pt>
                <c:pt idx="62">
                  <c:v>43755</c:v>
                </c:pt>
                <c:pt idx="63">
                  <c:v>43754</c:v>
                </c:pt>
                <c:pt idx="64">
                  <c:v>43753</c:v>
                </c:pt>
                <c:pt idx="65">
                  <c:v>43749</c:v>
                </c:pt>
                <c:pt idx="66">
                  <c:v>43748</c:v>
                </c:pt>
                <c:pt idx="67">
                  <c:v>43747</c:v>
                </c:pt>
                <c:pt idx="68">
                  <c:v>43746</c:v>
                </c:pt>
                <c:pt idx="69">
                  <c:v>43745</c:v>
                </c:pt>
                <c:pt idx="70">
                  <c:v>43742</c:v>
                </c:pt>
                <c:pt idx="71">
                  <c:v>43741</c:v>
                </c:pt>
                <c:pt idx="72">
                  <c:v>43740</c:v>
                </c:pt>
                <c:pt idx="73">
                  <c:v>43739</c:v>
                </c:pt>
                <c:pt idx="74">
                  <c:v>43738</c:v>
                </c:pt>
                <c:pt idx="75">
                  <c:v>43735</c:v>
                </c:pt>
                <c:pt idx="76">
                  <c:v>43734</c:v>
                </c:pt>
                <c:pt idx="77">
                  <c:v>43733</c:v>
                </c:pt>
                <c:pt idx="78">
                  <c:v>43732</c:v>
                </c:pt>
                <c:pt idx="79">
                  <c:v>43728</c:v>
                </c:pt>
                <c:pt idx="80">
                  <c:v>43727</c:v>
                </c:pt>
                <c:pt idx="81">
                  <c:v>43726</c:v>
                </c:pt>
                <c:pt idx="82">
                  <c:v>43725</c:v>
                </c:pt>
                <c:pt idx="83">
                  <c:v>43721</c:v>
                </c:pt>
                <c:pt idx="84">
                  <c:v>43720</c:v>
                </c:pt>
                <c:pt idx="85">
                  <c:v>43719</c:v>
                </c:pt>
                <c:pt idx="86">
                  <c:v>43718</c:v>
                </c:pt>
                <c:pt idx="87">
                  <c:v>43717</c:v>
                </c:pt>
                <c:pt idx="88">
                  <c:v>43714</c:v>
                </c:pt>
                <c:pt idx="89">
                  <c:v>43713</c:v>
                </c:pt>
                <c:pt idx="90">
                  <c:v>43712</c:v>
                </c:pt>
                <c:pt idx="91">
                  <c:v>43711</c:v>
                </c:pt>
                <c:pt idx="92">
                  <c:v>43710</c:v>
                </c:pt>
                <c:pt idx="93">
                  <c:v>43707</c:v>
                </c:pt>
                <c:pt idx="94">
                  <c:v>43706</c:v>
                </c:pt>
                <c:pt idx="95">
                  <c:v>43705</c:v>
                </c:pt>
                <c:pt idx="96">
                  <c:v>43704</c:v>
                </c:pt>
                <c:pt idx="97">
                  <c:v>43703</c:v>
                </c:pt>
                <c:pt idx="98">
                  <c:v>43700</c:v>
                </c:pt>
                <c:pt idx="99">
                  <c:v>43699</c:v>
                </c:pt>
                <c:pt idx="100">
                  <c:v>43698</c:v>
                </c:pt>
                <c:pt idx="101">
                  <c:v>43697</c:v>
                </c:pt>
                <c:pt idx="102">
                  <c:v>43696</c:v>
                </c:pt>
                <c:pt idx="103">
                  <c:v>43693</c:v>
                </c:pt>
                <c:pt idx="104">
                  <c:v>43692</c:v>
                </c:pt>
                <c:pt idx="105">
                  <c:v>43691</c:v>
                </c:pt>
                <c:pt idx="106">
                  <c:v>43690</c:v>
                </c:pt>
                <c:pt idx="107">
                  <c:v>43686</c:v>
                </c:pt>
                <c:pt idx="108">
                  <c:v>43685</c:v>
                </c:pt>
                <c:pt idx="109">
                  <c:v>43684</c:v>
                </c:pt>
                <c:pt idx="110">
                  <c:v>43683</c:v>
                </c:pt>
                <c:pt idx="111">
                  <c:v>43682</c:v>
                </c:pt>
                <c:pt idx="112">
                  <c:v>43679</c:v>
                </c:pt>
                <c:pt idx="113">
                  <c:v>43678</c:v>
                </c:pt>
                <c:pt idx="114">
                  <c:v>43677</c:v>
                </c:pt>
                <c:pt idx="115">
                  <c:v>43676</c:v>
                </c:pt>
                <c:pt idx="116">
                  <c:v>43675</c:v>
                </c:pt>
                <c:pt idx="117">
                  <c:v>43672</c:v>
                </c:pt>
                <c:pt idx="118">
                  <c:v>43671</c:v>
                </c:pt>
                <c:pt idx="119">
                  <c:v>43670</c:v>
                </c:pt>
                <c:pt idx="120">
                  <c:v>43669</c:v>
                </c:pt>
                <c:pt idx="121">
                  <c:v>43668</c:v>
                </c:pt>
                <c:pt idx="122">
                  <c:v>43665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0.92875414897291997</c:v>
                </c:pt>
                <c:pt idx="1">
                  <c:v>0.92764378147662696</c:v>
                </c:pt>
                <c:pt idx="2">
                  <c:v>0.92681752618567703</c:v>
                </c:pt>
                <c:pt idx="3">
                  <c:v>0.92608211999650702</c:v>
                </c:pt>
                <c:pt idx="4">
                  <c:v>0.92534904140882002</c:v>
                </c:pt>
                <c:pt idx="5">
                  <c:v>0.92506349372470398</c:v>
                </c:pt>
                <c:pt idx="6">
                  <c:v>0.92423934027529098</c:v>
                </c:pt>
                <c:pt idx="7">
                  <c:v>0.92291690989005604</c:v>
                </c:pt>
                <c:pt idx="8">
                  <c:v>0.92177881213425805</c:v>
                </c:pt>
                <c:pt idx="9">
                  <c:v>0.92123861316344602</c:v>
                </c:pt>
                <c:pt idx="10">
                  <c:v>0.91943522816064405</c:v>
                </c:pt>
                <c:pt idx="11">
                  <c:v>0.91804178237494005</c:v>
                </c:pt>
                <c:pt idx="12">
                  <c:v>0.91723386616681701</c:v>
                </c:pt>
                <c:pt idx="13">
                  <c:v>0.91645980384017001</c:v>
                </c:pt>
                <c:pt idx="14">
                  <c:v>0.91478381674168296</c:v>
                </c:pt>
                <c:pt idx="15">
                  <c:v>0.91439934772668896</c:v>
                </c:pt>
                <c:pt idx="16">
                  <c:v>0.91366423515704698</c:v>
                </c:pt>
                <c:pt idx="17">
                  <c:v>0.91194727303944201</c:v>
                </c:pt>
                <c:pt idx="18">
                  <c:v>0.91038447893562802</c:v>
                </c:pt>
                <c:pt idx="19">
                  <c:v>0.90765780082026903</c:v>
                </c:pt>
                <c:pt idx="20">
                  <c:v>0.90525405901878697</c:v>
                </c:pt>
                <c:pt idx="21">
                  <c:v>0.90229259824514796</c:v>
                </c:pt>
                <c:pt idx="22">
                  <c:v>0.89814235092900196</c:v>
                </c:pt>
                <c:pt idx="23">
                  <c:v>0.89402837485705999</c:v>
                </c:pt>
                <c:pt idx="24">
                  <c:v>0.88992788232537501</c:v>
                </c:pt>
                <c:pt idx="25">
                  <c:v>0.885791926955243</c:v>
                </c:pt>
                <c:pt idx="26">
                  <c:v>0.88144668929413195</c:v>
                </c:pt>
                <c:pt idx="27">
                  <c:v>0.87643769770912705</c:v>
                </c:pt>
                <c:pt idx="28">
                  <c:v>0.87032377100380598</c:v>
                </c:pt>
                <c:pt idx="29">
                  <c:v>0.86535087723648296</c:v>
                </c:pt>
                <c:pt idx="30">
                  <c:v>0.861361328069844</c:v>
                </c:pt>
                <c:pt idx="31">
                  <c:v>0.85564359659913403</c:v>
                </c:pt>
                <c:pt idx="32">
                  <c:v>0.84925180712325998</c:v>
                </c:pt>
                <c:pt idx="33">
                  <c:v>0.84203043833396296</c:v>
                </c:pt>
                <c:pt idx="34">
                  <c:v>0.833474781936413</c:v>
                </c:pt>
                <c:pt idx="35">
                  <c:v>0.82218097736237095</c:v>
                </c:pt>
                <c:pt idx="36">
                  <c:v>0.81104039390511296</c:v>
                </c:pt>
                <c:pt idx="37">
                  <c:v>0.80095956774958998</c:v>
                </c:pt>
                <c:pt idx="38">
                  <c:v>0.79952923915750995</c:v>
                </c:pt>
                <c:pt idx="39">
                  <c:v>0.79039250726088295</c:v>
                </c:pt>
                <c:pt idx="40">
                  <c:v>0.77939049988893505</c:v>
                </c:pt>
                <c:pt idx="41">
                  <c:v>0.76683397263083297</c:v>
                </c:pt>
                <c:pt idx="42">
                  <c:v>0.75252617568812497</c:v>
                </c:pt>
                <c:pt idx="43">
                  <c:v>0.73840957303349097</c:v>
                </c:pt>
                <c:pt idx="44">
                  <c:v>0.72402658381863505</c:v>
                </c:pt>
                <c:pt idx="45">
                  <c:v>0.70919305700538204</c:v>
                </c:pt>
                <c:pt idx="46">
                  <c:v>0.69391073095301303</c:v>
                </c:pt>
                <c:pt idx="47">
                  <c:v>0.67518814576288</c:v>
                </c:pt>
                <c:pt idx="48">
                  <c:v>0.65738981431241506</c:v>
                </c:pt>
                <c:pt idx="49">
                  <c:v>0.64089876648417399</c:v>
                </c:pt>
                <c:pt idx="50">
                  <c:v>0.62609742137909397</c:v>
                </c:pt>
                <c:pt idx="51">
                  <c:v>0.60524125884563995</c:v>
                </c:pt>
                <c:pt idx="52">
                  <c:v>0.57595497274018903</c:v>
                </c:pt>
                <c:pt idx="53">
                  <c:v>0.55695862572483901</c:v>
                </c:pt>
                <c:pt idx="54">
                  <c:v>0.542256203362112</c:v>
                </c:pt>
                <c:pt idx="55">
                  <c:v>0.52680125395737898</c:v>
                </c:pt>
                <c:pt idx="56">
                  <c:v>0.51267451390636598</c:v>
                </c:pt>
                <c:pt idx="57">
                  <c:v>0.49532783396115199</c:v>
                </c:pt>
                <c:pt idx="58">
                  <c:v>0.47573571540276099</c:v>
                </c:pt>
                <c:pt idx="59">
                  <c:v>0.45161809772307299</c:v>
                </c:pt>
                <c:pt idx="60">
                  <c:v>0.41757510904819301</c:v>
                </c:pt>
                <c:pt idx="61">
                  <c:v>0.39577989257940599</c:v>
                </c:pt>
                <c:pt idx="62">
                  <c:v>0.37648075764708699</c:v>
                </c:pt>
                <c:pt idx="63">
                  <c:v>0.35684406935000601</c:v>
                </c:pt>
                <c:pt idx="64">
                  <c:v>0.33881424140681998</c:v>
                </c:pt>
                <c:pt idx="65">
                  <c:v>0.31270433588414798</c:v>
                </c:pt>
                <c:pt idx="66">
                  <c:v>0.293987223011071</c:v>
                </c:pt>
                <c:pt idx="67">
                  <c:v>0.27444511975918701</c:v>
                </c:pt>
                <c:pt idx="68">
                  <c:v>0.25350366379994999</c:v>
                </c:pt>
                <c:pt idx="69">
                  <c:v>0.23947533769376</c:v>
                </c:pt>
                <c:pt idx="70">
                  <c:v>0.219515109272411</c:v>
                </c:pt>
                <c:pt idx="71">
                  <c:v>0.20591515298940299</c:v>
                </c:pt>
                <c:pt idx="72">
                  <c:v>0.187117554230286</c:v>
                </c:pt>
                <c:pt idx="73">
                  <c:v>0.17476067017375499</c:v>
                </c:pt>
                <c:pt idx="74">
                  <c:v>0.168871583295575</c:v>
                </c:pt>
                <c:pt idx="75">
                  <c:v>0.16410636354896599</c:v>
                </c:pt>
                <c:pt idx="76">
                  <c:v>0.15509876507131601</c:v>
                </c:pt>
                <c:pt idx="77">
                  <c:v>0.15556881435832301</c:v>
                </c:pt>
                <c:pt idx="78">
                  <c:v>0.154901097134307</c:v>
                </c:pt>
                <c:pt idx="79">
                  <c:v>0.15829806901777499</c:v>
                </c:pt>
                <c:pt idx="80">
                  <c:v>0.164449197728358</c:v>
                </c:pt>
                <c:pt idx="81">
                  <c:v>0.169418935693182</c:v>
                </c:pt>
                <c:pt idx="82">
                  <c:v>0.16820241649502399</c:v>
                </c:pt>
                <c:pt idx="83">
                  <c:v>0.16410556927335401</c:v>
                </c:pt>
                <c:pt idx="84">
                  <c:v>0.16150000697687</c:v>
                </c:pt>
                <c:pt idx="85">
                  <c:v>0.156273817668655</c:v>
                </c:pt>
                <c:pt idx="86">
                  <c:v>0.15512257780588901</c:v>
                </c:pt>
                <c:pt idx="87">
                  <c:v>0.16144904703832999</c:v>
                </c:pt>
                <c:pt idx="88">
                  <c:v>0.17304765167570599</c:v>
                </c:pt>
                <c:pt idx="89">
                  <c:v>0.18480529311854499</c:v>
                </c:pt>
                <c:pt idx="90">
                  <c:v>0.196386358844506</c:v>
                </c:pt>
                <c:pt idx="91">
                  <c:v>0.208871421853214</c:v>
                </c:pt>
                <c:pt idx="92">
                  <c:v>0.22409448886842501</c:v>
                </c:pt>
                <c:pt idx="93">
                  <c:v>0.24212316391428601</c:v>
                </c:pt>
                <c:pt idx="94">
                  <c:v>0.25868067967675201</c:v>
                </c:pt>
                <c:pt idx="95">
                  <c:v>0.276955942833775</c:v>
                </c:pt>
                <c:pt idx="96">
                  <c:v>0.29412670034069299</c:v>
                </c:pt>
                <c:pt idx="97">
                  <c:v>0.308383770099319</c:v>
                </c:pt>
                <c:pt idx="98">
                  <c:v>0.31962855491477399</c:v>
                </c:pt>
                <c:pt idx="99">
                  <c:v>0.33144336343466002</c:v>
                </c:pt>
                <c:pt idx="100">
                  <c:v>0.34253892709001199</c:v>
                </c:pt>
                <c:pt idx="101">
                  <c:v>0.35187791343936597</c:v>
                </c:pt>
                <c:pt idx="102">
                  <c:v>0.359876442049338</c:v>
                </c:pt>
                <c:pt idx="103">
                  <c:v>0.367014976239947</c:v>
                </c:pt>
                <c:pt idx="104">
                  <c:v>0.36979814977583603</c:v>
                </c:pt>
                <c:pt idx="105">
                  <c:v>0.37349358348351303</c:v>
                </c:pt>
                <c:pt idx="106">
                  <c:v>0.379005640721707</c:v>
                </c:pt>
                <c:pt idx="107">
                  <c:v>0.38677371375472502</c:v>
                </c:pt>
                <c:pt idx="108">
                  <c:v>0.39297915526909799</c:v>
                </c:pt>
                <c:pt idx="109">
                  <c:v>0.39944467811637202</c:v>
                </c:pt>
                <c:pt idx="110">
                  <c:v>0.40668477831848399</c:v>
                </c:pt>
                <c:pt idx="111">
                  <c:v>0.413185853729228</c:v>
                </c:pt>
                <c:pt idx="112">
                  <c:v>0.41888531214298302</c:v>
                </c:pt>
                <c:pt idx="113">
                  <c:v>0.42630653350854403</c:v>
                </c:pt>
                <c:pt idx="114">
                  <c:v>0.43512718362117198</c:v>
                </c:pt>
                <c:pt idx="115">
                  <c:v>0.44551199066671798</c:v>
                </c:pt>
                <c:pt idx="116">
                  <c:v>0.45805451611737902</c:v>
                </c:pt>
                <c:pt idx="117">
                  <c:v>0.46417392916921502</c:v>
                </c:pt>
                <c:pt idx="118">
                  <c:v>0.47149318345244701</c:v>
                </c:pt>
                <c:pt idx="119">
                  <c:v>0.47671072020778799</c:v>
                </c:pt>
                <c:pt idx="120">
                  <c:v>0.48117293468657002</c:v>
                </c:pt>
                <c:pt idx="121">
                  <c:v>0.48450370580589702</c:v>
                </c:pt>
                <c:pt idx="122">
                  <c:v>0.487889078457592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  <c:pt idx="4">
                  <c:v>43846</c:v>
                </c:pt>
                <c:pt idx="5">
                  <c:v>43845</c:v>
                </c:pt>
                <c:pt idx="6">
                  <c:v>43844</c:v>
                </c:pt>
                <c:pt idx="7">
                  <c:v>43840</c:v>
                </c:pt>
                <c:pt idx="8">
                  <c:v>43839</c:v>
                </c:pt>
                <c:pt idx="9">
                  <c:v>43838</c:v>
                </c:pt>
                <c:pt idx="10">
                  <c:v>43837</c:v>
                </c:pt>
                <c:pt idx="11">
                  <c:v>43836</c:v>
                </c:pt>
                <c:pt idx="12">
                  <c:v>43829</c:v>
                </c:pt>
                <c:pt idx="13">
                  <c:v>43826</c:v>
                </c:pt>
                <c:pt idx="14">
                  <c:v>43825</c:v>
                </c:pt>
                <c:pt idx="15">
                  <c:v>43824</c:v>
                </c:pt>
                <c:pt idx="16">
                  <c:v>43823</c:v>
                </c:pt>
                <c:pt idx="17">
                  <c:v>43822</c:v>
                </c:pt>
                <c:pt idx="18">
                  <c:v>43819</c:v>
                </c:pt>
                <c:pt idx="19">
                  <c:v>43818</c:v>
                </c:pt>
                <c:pt idx="20">
                  <c:v>43817</c:v>
                </c:pt>
                <c:pt idx="21">
                  <c:v>43816</c:v>
                </c:pt>
                <c:pt idx="22">
                  <c:v>43815</c:v>
                </c:pt>
                <c:pt idx="23">
                  <c:v>43812</c:v>
                </c:pt>
                <c:pt idx="24">
                  <c:v>43811</c:v>
                </c:pt>
                <c:pt idx="25">
                  <c:v>43810</c:v>
                </c:pt>
                <c:pt idx="26">
                  <c:v>43809</c:v>
                </c:pt>
                <c:pt idx="27">
                  <c:v>43808</c:v>
                </c:pt>
                <c:pt idx="28">
                  <c:v>43805</c:v>
                </c:pt>
                <c:pt idx="29">
                  <c:v>43804</c:v>
                </c:pt>
                <c:pt idx="30">
                  <c:v>43803</c:v>
                </c:pt>
                <c:pt idx="31">
                  <c:v>43802</c:v>
                </c:pt>
                <c:pt idx="32">
                  <c:v>43801</c:v>
                </c:pt>
                <c:pt idx="33">
                  <c:v>43798</c:v>
                </c:pt>
                <c:pt idx="34">
                  <c:v>43797</c:v>
                </c:pt>
                <c:pt idx="35">
                  <c:v>43796</c:v>
                </c:pt>
                <c:pt idx="36">
                  <c:v>43795</c:v>
                </c:pt>
                <c:pt idx="37">
                  <c:v>43794</c:v>
                </c:pt>
                <c:pt idx="38">
                  <c:v>43791</c:v>
                </c:pt>
                <c:pt idx="39">
                  <c:v>43790</c:v>
                </c:pt>
                <c:pt idx="40">
                  <c:v>43789</c:v>
                </c:pt>
                <c:pt idx="41">
                  <c:v>43788</c:v>
                </c:pt>
                <c:pt idx="42">
                  <c:v>43787</c:v>
                </c:pt>
                <c:pt idx="43">
                  <c:v>43784</c:v>
                </c:pt>
                <c:pt idx="44">
                  <c:v>43783</c:v>
                </c:pt>
                <c:pt idx="45">
                  <c:v>43782</c:v>
                </c:pt>
                <c:pt idx="46">
                  <c:v>43781</c:v>
                </c:pt>
                <c:pt idx="47">
                  <c:v>43780</c:v>
                </c:pt>
                <c:pt idx="48">
                  <c:v>43777</c:v>
                </c:pt>
                <c:pt idx="49">
                  <c:v>43776</c:v>
                </c:pt>
                <c:pt idx="50">
                  <c:v>43775</c:v>
                </c:pt>
                <c:pt idx="51">
                  <c:v>43774</c:v>
                </c:pt>
                <c:pt idx="52">
                  <c:v>43770</c:v>
                </c:pt>
                <c:pt idx="53">
                  <c:v>43769</c:v>
                </c:pt>
                <c:pt idx="54">
                  <c:v>43768</c:v>
                </c:pt>
                <c:pt idx="55">
                  <c:v>43767</c:v>
                </c:pt>
                <c:pt idx="56">
                  <c:v>43766</c:v>
                </c:pt>
                <c:pt idx="57">
                  <c:v>43763</c:v>
                </c:pt>
                <c:pt idx="58">
                  <c:v>43762</c:v>
                </c:pt>
                <c:pt idx="59">
                  <c:v>43761</c:v>
                </c:pt>
                <c:pt idx="60">
                  <c:v>43759</c:v>
                </c:pt>
                <c:pt idx="61">
                  <c:v>43756</c:v>
                </c:pt>
                <c:pt idx="62">
                  <c:v>43755</c:v>
                </c:pt>
                <c:pt idx="63">
                  <c:v>43754</c:v>
                </c:pt>
                <c:pt idx="64">
                  <c:v>43753</c:v>
                </c:pt>
                <c:pt idx="65">
                  <c:v>43749</c:v>
                </c:pt>
                <c:pt idx="66">
                  <c:v>43748</c:v>
                </c:pt>
                <c:pt idx="67">
                  <c:v>43747</c:v>
                </c:pt>
                <c:pt idx="68">
                  <c:v>43746</c:v>
                </c:pt>
                <c:pt idx="69">
                  <c:v>43745</c:v>
                </c:pt>
                <c:pt idx="70">
                  <c:v>43742</c:v>
                </c:pt>
                <c:pt idx="71">
                  <c:v>43741</c:v>
                </c:pt>
                <c:pt idx="72">
                  <c:v>43740</c:v>
                </c:pt>
                <c:pt idx="73">
                  <c:v>43739</c:v>
                </c:pt>
                <c:pt idx="74">
                  <c:v>43738</c:v>
                </c:pt>
                <c:pt idx="75">
                  <c:v>43735</c:v>
                </c:pt>
                <c:pt idx="76">
                  <c:v>43734</c:v>
                </c:pt>
                <c:pt idx="77">
                  <c:v>43733</c:v>
                </c:pt>
                <c:pt idx="78">
                  <c:v>43732</c:v>
                </c:pt>
                <c:pt idx="79">
                  <c:v>43728</c:v>
                </c:pt>
                <c:pt idx="80">
                  <c:v>43727</c:v>
                </c:pt>
                <c:pt idx="81">
                  <c:v>43726</c:v>
                </c:pt>
                <c:pt idx="82">
                  <c:v>43725</c:v>
                </c:pt>
                <c:pt idx="83">
                  <c:v>43721</c:v>
                </c:pt>
                <c:pt idx="84">
                  <c:v>43720</c:v>
                </c:pt>
                <c:pt idx="85">
                  <c:v>43719</c:v>
                </c:pt>
                <c:pt idx="86">
                  <c:v>43718</c:v>
                </c:pt>
                <c:pt idx="87">
                  <c:v>43717</c:v>
                </c:pt>
                <c:pt idx="88">
                  <c:v>43714</c:v>
                </c:pt>
                <c:pt idx="89">
                  <c:v>43713</c:v>
                </c:pt>
                <c:pt idx="90">
                  <c:v>43712</c:v>
                </c:pt>
                <c:pt idx="91">
                  <c:v>43711</c:v>
                </c:pt>
                <c:pt idx="92">
                  <c:v>43710</c:v>
                </c:pt>
                <c:pt idx="93">
                  <c:v>43707</c:v>
                </c:pt>
                <c:pt idx="94">
                  <c:v>43706</c:v>
                </c:pt>
                <c:pt idx="95">
                  <c:v>43705</c:v>
                </c:pt>
                <c:pt idx="96">
                  <c:v>43704</c:v>
                </c:pt>
                <c:pt idx="97">
                  <c:v>43703</c:v>
                </c:pt>
                <c:pt idx="98">
                  <c:v>43700</c:v>
                </c:pt>
                <c:pt idx="99">
                  <c:v>43699</c:v>
                </c:pt>
                <c:pt idx="100">
                  <c:v>43698</c:v>
                </c:pt>
                <c:pt idx="101">
                  <c:v>43697</c:v>
                </c:pt>
                <c:pt idx="102">
                  <c:v>43696</c:v>
                </c:pt>
                <c:pt idx="103">
                  <c:v>43693</c:v>
                </c:pt>
                <c:pt idx="104">
                  <c:v>43692</c:v>
                </c:pt>
                <c:pt idx="105">
                  <c:v>43691</c:v>
                </c:pt>
                <c:pt idx="106">
                  <c:v>43690</c:v>
                </c:pt>
                <c:pt idx="107">
                  <c:v>43686</c:v>
                </c:pt>
                <c:pt idx="108">
                  <c:v>43685</c:v>
                </c:pt>
                <c:pt idx="109">
                  <c:v>43684</c:v>
                </c:pt>
                <c:pt idx="110">
                  <c:v>43683</c:v>
                </c:pt>
                <c:pt idx="111">
                  <c:v>43682</c:v>
                </c:pt>
                <c:pt idx="112">
                  <c:v>43679</c:v>
                </c:pt>
                <c:pt idx="113">
                  <c:v>43678</c:v>
                </c:pt>
                <c:pt idx="114">
                  <c:v>43677</c:v>
                </c:pt>
                <c:pt idx="115">
                  <c:v>43676</c:v>
                </c:pt>
                <c:pt idx="116">
                  <c:v>43675</c:v>
                </c:pt>
                <c:pt idx="117">
                  <c:v>43672</c:v>
                </c:pt>
                <c:pt idx="118">
                  <c:v>43671</c:v>
                </c:pt>
                <c:pt idx="119">
                  <c:v>43670</c:v>
                </c:pt>
                <c:pt idx="120">
                  <c:v>43669</c:v>
                </c:pt>
                <c:pt idx="121">
                  <c:v>43668</c:v>
                </c:pt>
                <c:pt idx="122">
                  <c:v>43665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0.26883849547689498</c:v>
                </c:pt>
                <c:pt idx="1">
                  <c:v>0.233563132825508</c:v>
                </c:pt>
                <c:pt idx="2">
                  <c:v>0.122672962678099</c:v>
                </c:pt>
                <c:pt idx="3">
                  <c:v>0.127896933483165</c:v>
                </c:pt>
                <c:pt idx="4">
                  <c:v>6.6764240083068596E-2</c:v>
                </c:pt>
                <c:pt idx="5">
                  <c:v>6.3317255032415296E-2</c:v>
                </c:pt>
                <c:pt idx="6">
                  <c:v>0.107608683960567</c:v>
                </c:pt>
                <c:pt idx="7">
                  <c:v>9.7936025079017303E-2</c:v>
                </c:pt>
                <c:pt idx="8">
                  <c:v>4.7071258498991901E-2</c:v>
                </c:pt>
                <c:pt idx="9">
                  <c:v>7.4315476539715097E-2</c:v>
                </c:pt>
                <c:pt idx="10">
                  <c:v>7.8436972878744599E-2</c:v>
                </c:pt>
                <c:pt idx="11">
                  <c:v>5.5327445399575799E-2</c:v>
                </c:pt>
                <c:pt idx="12">
                  <c:v>2.8390287154643999E-2</c:v>
                </c:pt>
                <c:pt idx="13">
                  <c:v>6.0554281997913101E-2</c:v>
                </c:pt>
                <c:pt idx="14">
                  <c:v>3.4556950554722098E-2</c:v>
                </c:pt>
                <c:pt idx="15">
                  <c:v>4.9378231330647199E-2</c:v>
                </c:pt>
                <c:pt idx="16">
                  <c:v>5.77798224336342E-2</c:v>
                </c:pt>
                <c:pt idx="17">
                  <c:v>3.2689030110682998E-2</c:v>
                </c:pt>
                <c:pt idx="18">
                  <c:v>4.0734837261291797E-2</c:v>
                </c:pt>
                <c:pt idx="19">
                  <c:v>2.4683259267898799E-2</c:v>
                </c:pt>
                <c:pt idx="20">
                  <c:v>7.3716861665270694E-2</c:v>
                </c:pt>
                <c:pt idx="21" formatCode="0.00E+00">
                  <c:v>0.110748270135511</c:v>
                </c:pt>
                <c:pt idx="22" formatCode="0.00E+00">
                  <c:v>3.4327729311554298E-2</c:v>
                </c:pt>
                <c:pt idx="23">
                  <c:v>2.3491454592009599E-2</c:v>
                </c:pt>
                <c:pt idx="24">
                  <c:v>2.2848967459471299E-2</c:v>
                </c:pt>
                <c:pt idx="25">
                  <c:v>3.5000244887042502E-2</c:v>
                </c:pt>
                <c:pt idx="26">
                  <c:v>3.5395080808531397E-2</c:v>
                </c:pt>
                <c:pt idx="27" formatCode="0.00E+00">
                  <c:v>3.8959357903211797E-2</c:v>
                </c:pt>
                <c:pt idx="28">
                  <c:v>0.13005654501255801</c:v>
                </c:pt>
                <c:pt idx="29">
                  <c:v>0.364509797514037</c:v>
                </c:pt>
                <c:pt idx="30">
                  <c:v>0.10310331712788499</c:v>
                </c:pt>
                <c:pt idx="31" formatCode="0.00E+00">
                  <c:v>3.6253908551951403E-2</c:v>
                </c:pt>
                <c:pt idx="32">
                  <c:v>1.9850748278797799E-2</c:v>
                </c:pt>
                <c:pt idx="33">
                  <c:v>3.7510149568287E-3</c:v>
                </c:pt>
                <c:pt idx="34">
                  <c:v>4.6801572239194601E-3</c:v>
                </c:pt>
                <c:pt idx="35">
                  <c:v>3.23493080110622E-3</c:v>
                </c:pt>
                <c:pt idx="36">
                  <c:v>5.0309374559305705E-4</c:v>
                </c:pt>
                <c:pt idx="37">
                  <c:v>7.8197523929659303E-4</c:v>
                </c:pt>
                <c:pt idx="38">
                  <c:v>8.1005491339979595E-4</c:v>
                </c:pt>
                <c:pt idx="39">
                  <c:v>2.1366707049831498E-3</c:v>
                </c:pt>
                <c:pt idx="40">
                  <c:v>6.5384184474144395E-4</c:v>
                </c:pt>
                <c:pt idx="41">
                  <c:v>9.1939124243771799E-4</c:v>
                </c:pt>
                <c:pt idx="42">
                  <c:v>1.4157145979020499E-3</c:v>
                </c:pt>
                <c:pt idx="43" formatCode="0.00E+00">
                  <c:v>2.03205835641404E-3</c:v>
                </c:pt>
                <c:pt idx="44">
                  <c:v>1.14650163405668E-2</c:v>
                </c:pt>
                <c:pt idx="45">
                  <c:v>3.2095956599208698E-2</c:v>
                </c:pt>
                <c:pt idx="46">
                  <c:v>4.1511634702302201E-2</c:v>
                </c:pt>
                <c:pt idx="47">
                  <c:v>5.92008372457863E-2</c:v>
                </c:pt>
                <c:pt idx="48">
                  <c:v>0.112656953874405</c:v>
                </c:pt>
                <c:pt idx="49">
                  <c:v>0.18151271024347901</c:v>
                </c:pt>
                <c:pt idx="50">
                  <c:v>0.37698208033818498</c:v>
                </c:pt>
                <c:pt idx="51">
                  <c:v>0.40494626881812601</c:v>
                </c:pt>
                <c:pt idx="52">
                  <c:v>0.50173431556847103</c:v>
                </c:pt>
                <c:pt idx="53">
                  <c:v>0.59386504030091702</c:v>
                </c:pt>
                <c:pt idx="54">
                  <c:v>0.60417334803760203</c:v>
                </c:pt>
                <c:pt idx="55">
                  <c:v>0.65039688804807105</c:v>
                </c:pt>
                <c:pt idx="56">
                  <c:v>0.49140702191449698</c:v>
                </c:pt>
                <c:pt idx="57">
                  <c:v>0.50764079959528796</c:v>
                </c:pt>
                <c:pt idx="58">
                  <c:v>0.473815488670564</c:v>
                </c:pt>
                <c:pt idx="59">
                  <c:v>0.45961264612769898</c:v>
                </c:pt>
                <c:pt idx="60">
                  <c:v>0.494022671154071</c:v>
                </c:pt>
                <c:pt idx="61">
                  <c:v>0.5043846043893</c:v>
                </c:pt>
                <c:pt idx="62">
                  <c:v>0.41741883452467499</c:v>
                </c:pt>
                <c:pt idx="63">
                  <c:v>0.40741623603298399</c:v>
                </c:pt>
                <c:pt idx="64">
                  <c:v>0.44673493394910002</c:v>
                </c:pt>
                <c:pt idx="65">
                  <c:v>0.48119460056628699</c:v>
                </c:pt>
                <c:pt idx="66">
                  <c:v>0.52807564911361504</c:v>
                </c:pt>
                <c:pt idx="67">
                  <c:v>0.53805145140859501</c:v>
                </c:pt>
                <c:pt idx="68">
                  <c:v>0.52226403969256396</c:v>
                </c:pt>
                <c:pt idx="69">
                  <c:v>0.51803971370930002</c:v>
                </c:pt>
                <c:pt idx="70">
                  <c:v>0.53341426627566202</c:v>
                </c:pt>
                <c:pt idx="71">
                  <c:v>0.27378901885339002</c:v>
                </c:pt>
                <c:pt idx="72">
                  <c:v>0.42377365742358297</c:v>
                </c:pt>
                <c:pt idx="73">
                  <c:v>0.690346071973025</c:v>
                </c:pt>
                <c:pt idx="74">
                  <c:v>0.60712318154879497</c:v>
                </c:pt>
                <c:pt idx="75">
                  <c:v>0.51897800139119399</c:v>
                </c:pt>
                <c:pt idx="76">
                  <c:v>0.56617533006227205</c:v>
                </c:pt>
                <c:pt idx="77">
                  <c:v>0.37739147178200499</c:v>
                </c:pt>
                <c:pt idx="78">
                  <c:v>0.26105062511184401</c:v>
                </c:pt>
                <c:pt idx="79">
                  <c:v>0.22623316291135201</c:v>
                </c:pt>
                <c:pt idx="80">
                  <c:v>0.272160719860572</c:v>
                </c:pt>
                <c:pt idx="81">
                  <c:v>3.1704253568768097E-2</c:v>
                </c:pt>
                <c:pt idx="82">
                  <c:v>4.5014033077840097E-2</c:v>
                </c:pt>
                <c:pt idx="83">
                  <c:v>3.1529494403935703E-2</c:v>
                </c:pt>
                <c:pt idx="84">
                  <c:v>5.3647196061208302E-3</c:v>
                </c:pt>
                <c:pt idx="85">
                  <c:v>4.9779547059476603E-3</c:v>
                </c:pt>
                <c:pt idx="86">
                  <c:v>1.9689963708352898E-2</c:v>
                </c:pt>
                <c:pt idx="87">
                  <c:v>2.9504594992998599E-2</c:v>
                </c:pt>
                <c:pt idx="88">
                  <c:v>3.4562164287922803E-2</c:v>
                </c:pt>
                <c:pt idx="89">
                  <c:v>7.1104072426196402E-2</c:v>
                </c:pt>
                <c:pt idx="90">
                  <c:v>7.8851140202217507E-2</c:v>
                </c:pt>
                <c:pt idx="91">
                  <c:v>0.220492276366649</c:v>
                </c:pt>
                <c:pt idx="92">
                  <c:v>0.35735661580033801</c:v>
                </c:pt>
                <c:pt idx="93">
                  <c:v>0.26103835008800702</c:v>
                </c:pt>
                <c:pt idx="94">
                  <c:v>0.30743502325327898</c:v>
                </c:pt>
                <c:pt idx="95">
                  <c:v>0.257390376222703</c:v>
                </c:pt>
                <c:pt idx="96">
                  <c:v>0.14022198012952899</c:v>
                </c:pt>
                <c:pt idx="97">
                  <c:v>0.26798828908206401</c:v>
                </c:pt>
                <c:pt idx="98">
                  <c:v>0.20790824934795701</c:v>
                </c:pt>
                <c:pt idx="99">
                  <c:v>0.209587114282281</c:v>
                </c:pt>
                <c:pt idx="100">
                  <c:v>0.21779522371413401</c:v>
                </c:pt>
                <c:pt idx="101">
                  <c:v>0.16526216835697399</c:v>
                </c:pt>
                <c:pt idx="102">
                  <c:v>9.07993930794182E-2</c:v>
                </c:pt>
                <c:pt idx="103">
                  <c:v>9.4617269540891794E-2</c:v>
                </c:pt>
                <c:pt idx="104">
                  <c:v>0.17541831818155901</c:v>
                </c:pt>
                <c:pt idx="105">
                  <c:v>0.72474178704394698</c:v>
                </c:pt>
                <c:pt idx="106">
                  <c:v>8.3186103996937696E-2</c:v>
                </c:pt>
                <c:pt idx="107">
                  <c:v>6.9935045177173E-2</c:v>
                </c:pt>
                <c:pt idx="108">
                  <c:v>0.115686156617108</c:v>
                </c:pt>
                <c:pt idx="109">
                  <c:v>0.11788080484213199</c:v>
                </c:pt>
                <c:pt idx="110">
                  <c:v>0.138868010228997</c:v>
                </c:pt>
                <c:pt idx="111">
                  <c:v>0.11466558092788499</c:v>
                </c:pt>
                <c:pt idx="112">
                  <c:v>0.121367993222042</c:v>
                </c:pt>
                <c:pt idx="113">
                  <c:v>0.104404501652544</c:v>
                </c:pt>
                <c:pt idx="114">
                  <c:v>0.149627452771704</c:v>
                </c:pt>
                <c:pt idx="115">
                  <c:v>0.15310841501452699</c:v>
                </c:pt>
                <c:pt idx="116">
                  <c:v>0.13531316117247899</c:v>
                </c:pt>
                <c:pt idx="117">
                  <c:v>0.15303085853145201</c:v>
                </c:pt>
                <c:pt idx="118">
                  <c:v>0.180012437569051</c:v>
                </c:pt>
                <c:pt idx="119">
                  <c:v>0.13390641715875101</c:v>
                </c:pt>
                <c:pt idx="120">
                  <c:v>0.113494111033196</c:v>
                </c:pt>
                <c:pt idx="121">
                  <c:v>5.2239725396728803E-2</c:v>
                </c:pt>
                <c:pt idx="122">
                  <c:v>0.119412339986899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43852</c:v>
                </c:pt>
                <c:pt idx="1">
                  <c:v>43851</c:v>
                </c:pt>
                <c:pt idx="2">
                  <c:v>43850</c:v>
                </c:pt>
                <c:pt idx="3">
                  <c:v>43847</c:v>
                </c:pt>
                <c:pt idx="4">
                  <c:v>43846</c:v>
                </c:pt>
                <c:pt idx="5">
                  <c:v>43845</c:v>
                </c:pt>
                <c:pt idx="6">
                  <c:v>43844</c:v>
                </c:pt>
                <c:pt idx="7">
                  <c:v>43840</c:v>
                </c:pt>
                <c:pt idx="8">
                  <c:v>43839</c:v>
                </c:pt>
                <c:pt idx="9">
                  <c:v>43838</c:v>
                </c:pt>
                <c:pt idx="10">
                  <c:v>43837</c:v>
                </c:pt>
                <c:pt idx="11">
                  <c:v>43836</c:v>
                </c:pt>
                <c:pt idx="12">
                  <c:v>43829</c:v>
                </c:pt>
                <c:pt idx="13">
                  <c:v>43826</c:v>
                </c:pt>
                <c:pt idx="14">
                  <c:v>43825</c:v>
                </c:pt>
                <c:pt idx="15">
                  <c:v>43824</c:v>
                </c:pt>
                <c:pt idx="16">
                  <c:v>43823</c:v>
                </c:pt>
                <c:pt idx="17">
                  <c:v>43822</c:v>
                </c:pt>
                <c:pt idx="18">
                  <c:v>43819</c:v>
                </c:pt>
                <c:pt idx="19">
                  <c:v>43818</c:v>
                </c:pt>
                <c:pt idx="20">
                  <c:v>43817</c:v>
                </c:pt>
                <c:pt idx="21">
                  <c:v>43816</c:v>
                </c:pt>
                <c:pt idx="22">
                  <c:v>43815</c:v>
                </c:pt>
                <c:pt idx="23">
                  <c:v>43812</c:v>
                </c:pt>
                <c:pt idx="24">
                  <c:v>43811</c:v>
                </c:pt>
                <c:pt idx="25">
                  <c:v>43810</c:v>
                </c:pt>
                <c:pt idx="26">
                  <c:v>43809</c:v>
                </c:pt>
                <c:pt idx="27">
                  <c:v>43808</c:v>
                </c:pt>
                <c:pt idx="28">
                  <c:v>43805</c:v>
                </c:pt>
                <c:pt idx="29">
                  <c:v>43804</c:v>
                </c:pt>
                <c:pt idx="30">
                  <c:v>43803</c:v>
                </c:pt>
                <c:pt idx="31">
                  <c:v>43802</c:v>
                </c:pt>
                <c:pt idx="32">
                  <c:v>43801</c:v>
                </c:pt>
                <c:pt idx="33">
                  <c:v>43798</c:v>
                </c:pt>
                <c:pt idx="34">
                  <c:v>43797</c:v>
                </c:pt>
                <c:pt idx="35">
                  <c:v>43796</c:v>
                </c:pt>
                <c:pt idx="36">
                  <c:v>43795</c:v>
                </c:pt>
                <c:pt idx="37">
                  <c:v>43794</c:v>
                </c:pt>
                <c:pt idx="38">
                  <c:v>43791</c:v>
                </c:pt>
                <c:pt idx="39">
                  <c:v>43790</c:v>
                </c:pt>
                <c:pt idx="40">
                  <c:v>43789</c:v>
                </c:pt>
                <c:pt idx="41">
                  <c:v>43788</c:v>
                </c:pt>
                <c:pt idx="42">
                  <c:v>43787</c:v>
                </c:pt>
                <c:pt idx="43">
                  <c:v>43784</c:v>
                </c:pt>
                <c:pt idx="44">
                  <c:v>43783</c:v>
                </c:pt>
                <c:pt idx="45">
                  <c:v>43782</c:v>
                </c:pt>
                <c:pt idx="46">
                  <c:v>43781</c:v>
                </c:pt>
                <c:pt idx="47">
                  <c:v>43780</c:v>
                </c:pt>
                <c:pt idx="48">
                  <c:v>43777</c:v>
                </c:pt>
                <c:pt idx="49">
                  <c:v>43776</c:v>
                </c:pt>
                <c:pt idx="50">
                  <c:v>43775</c:v>
                </c:pt>
                <c:pt idx="51">
                  <c:v>43774</c:v>
                </c:pt>
                <c:pt idx="52">
                  <c:v>43770</c:v>
                </c:pt>
                <c:pt idx="53">
                  <c:v>43769</c:v>
                </c:pt>
                <c:pt idx="54">
                  <c:v>43768</c:v>
                </c:pt>
                <c:pt idx="55">
                  <c:v>43767</c:v>
                </c:pt>
                <c:pt idx="56">
                  <c:v>43766</c:v>
                </c:pt>
                <c:pt idx="57">
                  <c:v>43763</c:v>
                </c:pt>
                <c:pt idx="58">
                  <c:v>43762</c:v>
                </c:pt>
                <c:pt idx="59">
                  <c:v>43761</c:v>
                </c:pt>
                <c:pt idx="60">
                  <c:v>43759</c:v>
                </c:pt>
                <c:pt idx="61">
                  <c:v>43756</c:v>
                </c:pt>
                <c:pt idx="62">
                  <c:v>43755</c:v>
                </c:pt>
                <c:pt idx="63">
                  <c:v>43754</c:v>
                </c:pt>
                <c:pt idx="64">
                  <c:v>43753</c:v>
                </c:pt>
                <c:pt idx="65">
                  <c:v>43749</c:v>
                </c:pt>
                <c:pt idx="66">
                  <c:v>43748</c:v>
                </c:pt>
                <c:pt idx="67">
                  <c:v>43747</c:v>
                </c:pt>
                <c:pt idx="68">
                  <c:v>43746</c:v>
                </c:pt>
                <c:pt idx="69">
                  <c:v>43745</c:v>
                </c:pt>
                <c:pt idx="70">
                  <c:v>43742</c:v>
                </c:pt>
                <c:pt idx="71">
                  <c:v>43741</c:v>
                </c:pt>
                <c:pt idx="72">
                  <c:v>43740</c:v>
                </c:pt>
                <c:pt idx="73">
                  <c:v>43739</c:v>
                </c:pt>
                <c:pt idx="74">
                  <c:v>43738</c:v>
                </c:pt>
                <c:pt idx="75">
                  <c:v>43735</c:v>
                </c:pt>
                <c:pt idx="76">
                  <c:v>43734</c:v>
                </c:pt>
                <c:pt idx="77">
                  <c:v>43733</c:v>
                </c:pt>
                <c:pt idx="78">
                  <c:v>43732</c:v>
                </c:pt>
                <c:pt idx="79">
                  <c:v>43728</c:v>
                </c:pt>
                <c:pt idx="80">
                  <c:v>43727</c:v>
                </c:pt>
                <c:pt idx="81">
                  <c:v>43726</c:v>
                </c:pt>
                <c:pt idx="82">
                  <c:v>43725</c:v>
                </c:pt>
                <c:pt idx="83">
                  <c:v>43721</c:v>
                </c:pt>
                <c:pt idx="84">
                  <c:v>43720</c:v>
                </c:pt>
                <c:pt idx="85">
                  <c:v>43719</c:v>
                </c:pt>
                <c:pt idx="86">
                  <c:v>43718</c:v>
                </c:pt>
                <c:pt idx="87">
                  <c:v>43717</c:v>
                </c:pt>
                <c:pt idx="88">
                  <c:v>43714</c:v>
                </c:pt>
                <c:pt idx="89">
                  <c:v>43713</c:v>
                </c:pt>
                <c:pt idx="90">
                  <c:v>43712</c:v>
                </c:pt>
                <c:pt idx="91">
                  <c:v>43711</c:v>
                </c:pt>
                <c:pt idx="92">
                  <c:v>43710</c:v>
                </c:pt>
                <c:pt idx="93">
                  <c:v>43707</c:v>
                </c:pt>
                <c:pt idx="94">
                  <c:v>43706</c:v>
                </c:pt>
                <c:pt idx="95">
                  <c:v>43705</c:v>
                </c:pt>
                <c:pt idx="96">
                  <c:v>43704</c:v>
                </c:pt>
                <c:pt idx="97">
                  <c:v>43703</c:v>
                </c:pt>
                <c:pt idx="98">
                  <c:v>43700</c:v>
                </c:pt>
                <c:pt idx="99">
                  <c:v>43699</c:v>
                </c:pt>
                <c:pt idx="100">
                  <c:v>43698</c:v>
                </c:pt>
                <c:pt idx="101">
                  <c:v>43697</c:v>
                </c:pt>
                <c:pt idx="102">
                  <c:v>43696</c:v>
                </c:pt>
                <c:pt idx="103">
                  <c:v>43693</c:v>
                </c:pt>
                <c:pt idx="104">
                  <c:v>43692</c:v>
                </c:pt>
                <c:pt idx="105">
                  <c:v>43691</c:v>
                </c:pt>
                <c:pt idx="106">
                  <c:v>43690</c:v>
                </c:pt>
                <c:pt idx="107">
                  <c:v>43686</c:v>
                </c:pt>
                <c:pt idx="108">
                  <c:v>43685</c:v>
                </c:pt>
                <c:pt idx="109">
                  <c:v>43684</c:v>
                </c:pt>
                <c:pt idx="110">
                  <c:v>43683</c:v>
                </c:pt>
                <c:pt idx="111">
                  <c:v>43682</c:v>
                </c:pt>
                <c:pt idx="112">
                  <c:v>43679</c:v>
                </c:pt>
                <c:pt idx="113">
                  <c:v>43678</c:v>
                </c:pt>
                <c:pt idx="114">
                  <c:v>43677</c:v>
                </c:pt>
                <c:pt idx="115">
                  <c:v>43676</c:v>
                </c:pt>
                <c:pt idx="116">
                  <c:v>43675</c:v>
                </c:pt>
                <c:pt idx="117">
                  <c:v>43672</c:v>
                </c:pt>
                <c:pt idx="118">
                  <c:v>43671</c:v>
                </c:pt>
                <c:pt idx="119">
                  <c:v>43670</c:v>
                </c:pt>
                <c:pt idx="120">
                  <c:v>43669</c:v>
                </c:pt>
                <c:pt idx="121">
                  <c:v>43668</c:v>
                </c:pt>
                <c:pt idx="122">
                  <c:v>43665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1.2832134099126201E-2</c:v>
                </c:pt>
                <c:pt idx="1">
                  <c:v>5.6391983874811797E-3</c:v>
                </c:pt>
                <c:pt idx="2">
                  <c:v>7.0731489943748798E-3</c:v>
                </c:pt>
                <c:pt idx="3">
                  <c:v>5.4742055795819998E-3</c:v>
                </c:pt>
                <c:pt idx="4">
                  <c:v>5.15723977011556E-3</c:v>
                </c:pt>
                <c:pt idx="5">
                  <c:v>9.0738329884950293E-3</c:v>
                </c:pt>
                <c:pt idx="6">
                  <c:v>1.0122224991232E-2</c:v>
                </c:pt>
                <c:pt idx="7">
                  <c:v>5.6778250929940899E-3</c:v>
                </c:pt>
                <c:pt idx="8">
                  <c:v>5.4507150290632198E-3</c:v>
                </c:pt>
                <c:pt idx="9">
                  <c:v>8.0092658121117492E-3</c:v>
                </c:pt>
                <c:pt idx="10">
                  <c:v>7.3838718050224499E-3</c:v>
                </c:pt>
                <c:pt idx="11">
                  <c:v>5.0958546477240301E-3</c:v>
                </c:pt>
                <c:pt idx="12">
                  <c:v>9.0553371207071805E-3</c:v>
                </c:pt>
                <c:pt idx="13">
                  <c:v>1.3616180056931101E-2</c:v>
                </c:pt>
                <c:pt idx="14">
                  <c:v>1.04097541736097E-2</c:v>
                </c:pt>
                <c:pt idx="15">
                  <c:v>9.6120967939339799E-3</c:v>
                </c:pt>
                <c:pt idx="16">
                  <c:v>7.9107358115640906E-3</c:v>
                </c:pt>
                <c:pt idx="17">
                  <c:v>5.66366952799989E-3</c:v>
                </c:pt>
                <c:pt idx="18" formatCode="0.00E+00">
                  <c:v>6.2932005357106196E-3</c:v>
                </c:pt>
                <c:pt idx="19" formatCode="0.00E+00">
                  <c:v>6.4304969606892304E-3</c:v>
                </c:pt>
                <c:pt idx="20" formatCode="0.00E+00">
                  <c:v>4.3459389776432603E-3</c:v>
                </c:pt>
                <c:pt idx="21" formatCode="0.00E+00">
                  <c:v>3.03171065916154E-3</c:v>
                </c:pt>
                <c:pt idx="22">
                  <c:v>1.0770247855769501E-2</c:v>
                </c:pt>
                <c:pt idx="23">
                  <c:v>7.6868578784087399E-3</c:v>
                </c:pt>
                <c:pt idx="24">
                  <c:v>9.6557178533460304E-3</c:v>
                </c:pt>
                <c:pt idx="25">
                  <c:v>1.41635300209108E-2</c:v>
                </c:pt>
                <c:pt idx="26">
                  <c:v>1.4140088839994E-2</c:v>
                </c:pt>
                <c:pt idx="27">
                  <c:v>2.0620714935237799E-2</c:v>
                </c:pt>
                <c:pt idx="28">
                  <c:v>3.5028287575204799E-2</c:v>
                </c:pt>
                <c:pt idx="29">
                  <c:v>2.8839753657136799E-2</c:v>
                </c:pt>
                <c:pt idx="30">
                  <c:v>2.3336751232602398E-2</c:v>
                </c:pt>
                <c:pt idx="31">
                  <c:v>3.4503737199478503E-2</c:v>
                </c:pt>
                <c:pt idx="32">
                  <c:v>4.5973757912391097E-2</c:v>
                </c:pt>
                <c:pt idx="33">
                  <c:v>5.0572072705140497E-2</c:v>
                </c:pt>
                <c:pt idx="34">
                  <c:v>7.1128371050051806E-2</c:v>
                </c:pt>
                <c:pt idx="35">
                  <c:v>8.8115423915795105E-2</c:v>
                </c:pt>
                <c:pt idx="36">
                  <c:v>9.4205622290523094E-2</c:v>
                </c:pt>
                <c:pt idx="37">
                  <c:v>0.23725931250222301</c:v>
                </c:pt>
                <c:pt idx="38">
                  <c:v>0.31078568844782001</c:v>
                </c:pt>
                <c:pt idx="39">
                  <c:v>0.23825936817483401</c:v>
                </c:pt>
                <c:pt idx="40">
                  <c:v>0.31452424318788602</c:v>
                </c:pt>
                <c:pt idx="41">
                  <c:v>0.38033781285047102</c:v>
                </c:pt>
                <c:pt idx="42">
                  <c:v>0.49854532834932902</c:v>
                </c:pt>
                <c:pt idx="43">
                  <c:v>0.468183425114026</c:v>
                </c:pt>
                <c:pt idx="44">
                  <c:v>0.56290300122442505</c:v>
                </c:pt>
                <c:pt idx="45">
                  <c:v>0.57003454398231401</c:v>
                </c:pt>
                <c:pt idx="46">
                  <c:v>0.66584855114365304</c:v>
                </c:pt>
                <c:pt idx="47">
                  <c:v>0.81475141950635799</c:v>
                </c:pt>
                <c:pt idx="48">
                  <c:v>0.69798580600238103</c:v>
                </c:pt>
                <c:pt idx="49">
                  <c:v>0.76301325614673299</c:v>
                </c:pt>
                <c:pt idx="50">
                  <c:v>0.69856924408768595</c:v>
                </c:pt>
                <c:pt idx="51">
                  <c:v>0.81605886012031104</c:v>
                </c:pt>
                <c:pt idx="52">
                  <c:v>0.75357737857158602</c:v>
                </c:pt>
                <c:pt idx="53">
                  <c:v>0.81909099862246504</c:v>
                </c:pt>
                <c:pt idx="54">
                  <c:v>0.58404065408374795</c:v>
                </c:pt>
                <c:pt idx="55">
                  <c:v>0.52943291847254403</c:v>
                </c:pt>
                <c:pt idx="56">
                  <c:v>0.41180670344821302</c:v>
                </c:pt>
                <c:pt idx="57">
                  <c:v>0.439811499665898</c:v>
                </c:pt>
                <c:pt idx="58">
                  <c:v>0.50604499536814096</c:v>
                </c:pt>
                <c:pt idx="59">
                  <c:v>0.60776799748450405</c:v>
                </c:pt>
                <c:pt idx="60">
                  <c:v>0.56701913814943194</c:v>
                </c:pt>
                <c:pt idx="61">
                  <c:v>0.47710755179008901</c:v>
                </c:pt>
                <c:pt idx="62">
                  <c:v>0.44064434157501198</c:v>
                </c:pt>
                <c:pt idx="63">
                  <c:v>0.39580672292108499</c:v>
                </c:pt>
                <c:pt idx="64">
                  <c:v>0.344732922038608</c:v>
                </c:pt>
                <c:pt idx="65">
                  <c:v>0.46093066021281498</c:v>
                </c:pt>
                <c:pt idx="66">
                  <c:v>0.484726208560393</c:v>
                </c:pt>
                <c:pt idx="67">
                  <c:v>0.65116179759159898</c:v>
                </c:pt>
                <c:pt idx="68">
                  <c:v>0.51871934538083897</c:v>
                </c:pt>
                <c:pt idx="69">
                  <c:v>0.49945077878183602</c:v>
                </c:pt>
                <c:pt idx="70">
                  <c:v>0.66361099996919404</c:v>
                </c:pt>
                <c:pt idx="71">
                  <c:v>0.55788858637100303</c:v>
                </c:pt>
                <c:pt idx="72">
                  <c:v>0.50218796047570802</c:v>
                </c:pt>
                <c:pt idx="73">
                  <c:v>0.65758047017574806</c:v>
                </c:pt>
                <c:pt idx="74">
                  <c:v>0.68719490674307404</c:v>
                </c:pt>
                <c:pt idx="75">
                  <c:v>0.76346704736147697</c:v>
                </c:pt>
                <c:pt idx="76">
                  <c:v>0.79432532848568704</c:v>
                </c:pt>
                <c:pt idx="77">
                  <c:v>0.81404857570554001</c:v>
                </c:pt>
                <c:pt idx="78">
                  <c:v>0.81660736297164904</c:v>
                </c:pt>
                <c:pt idx="79">
                  <c:v>0.82829803490741405</c:v>
                </c:pt>
                <c:pt idx="80">
                  <c:v>0.84342019265474399</c:v>
                </c:pt>
                <c:pt idx="81">
                  <c:v>0.83223158133983199</c:v>
                </c:pt>
                <c:pt idx="82">
                  <c:v>0.82728465238274196</c:v>
                </c:pt>
                <c:pt idx="83">
                  <c:v>0.84825918927088395</c:v>
                </c:pt>
                <c:pt idx="84">
                  <c:v>0.72791118216795803</c:v>
                </c:pt>
                <c:pt idx="85">
                  <c:v>0.82384087224509095</c:v>
                </c:pt>
                <c:pt idx="86">
                  <c:v>0.84035994723116503</c:v>
                </c:pt>
                <c:pt idx="87">
                  <c:v>0.80934831213643499</c:v>
                </c:pt>
                <c:pt idx="88">
                  <c:v>0.81510057966348004</c:v>
                </c:pt>
                <c:pt idx="89">
                  <c:v>0.81659994001275304</c:v>
                </c:pt>
                <c:pt idx="90">
                  <c:v>0.83580405299707605</c:v>
                </c:pt>
                <c:pt idx="91">
                  <c:v>0.82208728346926396</c:v>
                </c:pt>
                <c:pt idx="92">
                  <c:v>0.80111663482279205</c:v>
                </c:pt>
                <c:pt idx="93">
                  <c:v>0.76246354582459597</c:v>
                </c:pt>
                <c:pt idx="94">
                  <c:v>0.74571295109740698</c:v>
                </c:pt>
                <c:pt idx="95">
                  <c:v>0.72137731285623696</c:v>
                </c:pt>
                <c:pt idx="96">
                  <c:v>0.68990389548777098</c:v>
                </c:pt>
                <c:pt idx="97">
                  <c:v>0.653762780034299</c:v>
                </c:pt>
                <c:pt idx="98">
                  <c:v>0.58680823082663403</c:v>
                </c:pt>
                <c:pt idx="99">
                  <c:v>0.61057429721683398</c:v>
                </c:pt>
                <c:pt idx="100">
                  <c:v>0.61885409926220902</c:v>
                </c:pt>
                <c:pt idx="101">
                  <c:v>0.58254807423003296</c:v>
                </c:pt>
                <c:pt idx="102">
                  <c:v>0.535709475653114</c:v>
                </c:pt>
                <c:pt idx="103">
                  <c:v>0.58194448150894995</c:v>
                </c:pt>
                <c:pt idx="104">
                  <c:v>0.60106285956967997</c:v>
                </c:pt>
                <c:pt idx="105">
                  <c:v>0.57639273315260098</c:v>
                </c:pt>
                <c:pt idx="106">
                  <c:v>0.59266417421726203</c:v>
                </c:pt>
                <c:pt idx="107">
                  <c:v>0.61194706970500301</c:v>
                </c:pt>
                <c:pt idx="108">
                  <c:v>0.65098853742456597</c:v>
                </c:pt>
                <c:pt idx="109">
                  <c:v>0.62133788085399599</c:v>
                </c:pt>
                <c:pt idx="110">
                  <c:v>0.60824723470396203</c:v>
                </c:pt>
                <c:pt idx="111">
                  <c:v>0.60180504023692305</c:v>
                </c:pt>
                <c:pt idx="112">
                  <c:v>0.61963387170417705</c:v>
                </c:pt>
                <c:pt idx="113">
                  <c:v>0.60948064580432804</c:v>
                </c:pt>
                <c:pt idx="114">
                  <c:v>0.61758518206065505</c:v>
                </c:pt>
                <c:pt idx="115">
                  <c:v>0.57176012260724596</c:v>
                </c:pt>
                <c:pt idx="116">
                  <c:v>0.57633325918183897</c:v>
                </c:pt>
                <c:pt idx="117">
                  <c:v>0.54165795035222597</c:v>
                </c:pt>
                <c:pt idx="118">
                  <c:v>0.555131087859702</c:v>
                </c:pt>
                <c:pt idx="119">
                  <c:v>0.56859736013348305</c:v>
                </c:pt>
                <c:pt idx="120">
                  <c:v>0.55749564109099603</c:v>
                </c:pt>
                <c:pt idx="121">
                  <c:v>0.54709986018283296</c:v>
                </c:pt>
                <c:pt idx="122">
                  <c:v>0.476006578649318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43850</c:v>
                </c:pt>
                <c:pt idx="1">
                  <c:v>43847</c:v>
                </c:pt>
                <c:pt idx="2">
                  <c:v>43846</c:v>
                </c:pt>
                <c:pt idx="3">
                  <c:v>43845</c:v>
                </c:pt>
                <c:pt idx="4">
                  <c:v>43844</c:v>
                </c:pt>
                <c:pt idx="5">
                  <c:v>43840</c:v>
                </c:pt>
                <c:pt idx="6">
                  <c:v>43839</c:v>
                </c:pt>
                <c:pt idx="7">
                  <c:v>43838</c:v>
                </c:pt>
                <c:pt idx="8">
                  <c:v>43837</c:v>
                </c:pt>
                <c:pt idx="9">
                  <c:v>43836</c:v>
                </c:pt>
                <c:pt idx="10">
                  <c:v>43829</c:v>
                </c:pt>
                <c:pt idx="11">
                  <c:v>43826</c:v>
                </c:pt>
                <c:pt idx="12">
                  <c:v>43825</c:v>
                </c:pt>
                <c:pt idx="13">
                  <c:v>43824</c:v>
                </c:pt>
                <c:pt idx="14">
                  <c:v>43823</c:v>
                </c:pt>
                <c:pt idx="15">
                  <c:v>43822</c:v>
                </c:pt>
                <c:pt idx="16">
                  <c:v>43819</c:v>
                </c:pt>
                <c:pt idx="17">
                  <c:v>43818</c:v>
                </c:pt>
                <c:pt idx="18">
                  <c:v>43817</c:v>
                </c:pt>
                <c:pt idx="19">
                  <c:v>43816</c:v>
                </c:pt>
                <c:pt idx="20">
                  <c:v>43815</c:v>
                </c:pt>
                <c:pt idx="21">
                  <c:v>43812</c:v>
                </c:pt>
                <c:pt idx="22">
                  <c:v>43811</c:v>
                </c:pt>
                <c:pt idx="23">
                  <c:v>43810</c:v>
                </c:pt>
                <c:pt idx="24">
                  <c:v>43809</c:v>
                </c:pt>
                <c:pt idx="25">
                  <c:v>43808</c:v>
                </c:pt>
                <c:pt idx="26">
                  <c:v>43805</c:v>
                </c:pt>
                <c:pt idx="27">
                  <c:v>43804</c:v>
                </c:pt>
                <c:pt idx="28">
                  <c:v>43803</c:v>
                </c:pt>
                <c:pt idx="29">
                  <c:v>43802</c:v>
                </c:pt>
                <c:pt idx="30">
                  <c:v>43801</c:v>
                </c:pt>
                <c:pt idx="31">
                  <c:v>43798</c:v>
                </c:pt>
                <c:pt idx="32">
                  <c:v>43797</c:v>
                </c:pt>
                <c:pt idx="33">
                  <c:v>43796</c:v>
                </c:pt>
                <c:pt idx="34">
                  <c:v>43795</c:v>
                </c:pt>
                <c:pt idx="35">
                  <c:v>43794</c:v>
                </c:pt>
                <c:pt idx="36">
                  <c:v>43791</c:v>
                </c:pt>
                <c:pt idx="37">
                  <c:v>43790</c:v>
                </c:pt>
                <c:pt idx="38">
                  <c:v>43789</c:v>
                </c:pt>
                <c:pt idx="39">
                  <c:v>43788</c:v>
                </c:pt>
                <c:pt idx="40">
                  <c:v>43787</c:v>
                </c:pt>
                <c:pt idx="41">
                  <c:v>43784</c:v>
                </c:pt>
                <c:pt idx="42">
                  <c:v>43783</c:v>
                </c:pt>
                <c:pt idx="43">
                  <c:v>43782</c:v>
                </c:pt>
                <c:pt idx="44">
                  <c:v>43781</c:v>
                </c:pt>
                <c:pt idx="45">
                  <c:v>43780</c:v>
                </c:pt>
                <c:pt idx="46">
                  <c:v>43777</c:v>
                </c:pt>
                <c:pt idx="47">
                  <c:v>43776</c:v>
                </c:pt>
                <c:pt idx="48">
                  <c:v>43775</c:v>
                </c:pt>
                <c:pt idx="49">
                  <c:v>43774</c:v>
                </c:pt>
                <c:pt idx="50">
                  <c:v>43770</c:v>
                </c:pt>
                <c:pt idx="51">
                  <c:v>43769</c:v>
                </c:pt>
                <c:pt idx="52">
                  <c:v>43768</c:v>
                </c:pt>
                <c:pt idx="53">
                  <c:v>43767</c:v>
                </c:pt>
                <c:pt idx="54">
                  <c:v>43766</c:v>
                </c:pt>
                <c:pt idx="55">
                  <c:v>43763</c:v>
                </c:pt>
                <c:pt idx="56">
                  <c:v>43762</c:v>
                </c:pt>
                <c:pt idx="57">
                  <c:v>43761</c:v>
                </c:pt>
                <c:pt idx="58">
                  <c:v>43759</c:v>
                </c:pt>
                <c:pt idx="59">
                  <c:v>43756</c:v>
                </c:pt>
                <c:pt idx="60">
                  <c:v>43755</c:v>
                </c:pt>
                <c:pt idx="61">
                  <c:v>43754</c:v>
                </c:pt>
                <c:pt idx="62">
                  <c:v>43753</c:v>
                </c:pt>
                <c:pt idx="63">
                  <c:v>43749</c:v>
                </c:pt>
                <c:pt idx="64">
                  <c:v>43748</c:v>
                </c:pt>
                <c:pt idx="65">
                  <c:v>43747</c:v>
                </c:pt>
                <c:pt idx="66">
                  <c:v>43746</c:v>
                </c:pt>
                <c:pt idx="67">
                  <c:v>43745</c:v>
                </c:pt>
                <c:pt idx="68">
                  <c:v>43742</c:v>
                </c:pt>
                <c:pt idx="69">
                  <c:v>43741</c:v>
                </c:pt>
                <c:pt idx="70">
                  <c:v>43740</c:v>
                </c:pt>
                <c:pt idx="71">
                  <c:v>43739</c:v>
                </c:pt>
                <c:pt idx="72">
                  <c:v>43738</c:v>
                </c:pt>
                <c:pt idx="73">
                  <c:v>43735</c:v>
                </c:pt>
                <c:pt idx="74">
                  <c:v>43734</c:v>
                </c:pt>
                <c:pt idx="75">
                  <c:v>43733</c:v>
                </c:pt>
                <c:pt idx="76">
                  <c:v>43732</c:v>
                </c:pt>
                <c:pt idx="77">
                  <c:v>43728</c:v>
                </c:pt>
                <c:pt idx="78">
                  <c:v>43727</c:v>
                </c:pt>
                <c:pt idx="79">
                  <c:v>43726</c:v>
                </c:pt>
                <c:pt idx="80">
                  <c:v>43725</c:v>
                </c:pt>
                <c:pt idx="81">
                  <c:v>43721</c:v>
                </c:pt>
                <c:pt idx="82">
                  <c:v>43720</c:v>
                </c:pt>
                <c:pt idx="83">
                  <c:v>43719</c:v>
                </c:pt>
                <c:pt idx="84">
                  <c:v>43718</c:v>
                </c:pt>
                <c:pt idx="85">
                  <c:v>43717</c:v>
                </c:pt>
                <c:pt idx="86">
                  <c:v>43714</c:v>
                </c:pt>
                <c:pt idx="87">
                  <c:v>43713</c:v>
                </c:pt>
                <c:pt idx="88">
                  <c:v>43712</c:v>
                </c:pt>
                <c:pt idx="89">
                  <c:v>43711</c:v>
                </c:pt>
                <c:pt idx="90">
                  <c:v>43710</c:v>
                </c:pt>
                <c:pt idx="91">
                  <c:v>43707</c:v>
                </c:pt>
                <c:pt idx="92">
                  <c:v>43706</c:v>
                </c:pt>
                <c:pt idx="93">
                  <c:v>43705</c:v>
                </c:pt>
                <c:pt idx="94">
                  <c:v>43704</c:v>
                </c:pt>
                <c:pt idx="95">
                  <c:v>43703</c:v>
                </c:pt>
                <c:pt idx="96">
                  <c:v>43700</c:v>
                </c:pt>
                <c:pt idx="97">
                  <c:v>43699</c:v>
                </c:pt>
                <c:pt idx="98">
                  <c:v>43698</c:v>
                </c:pt>
                <c:pt idx="99">
                  <c:v>43697</c:v>
                </c:pt>
                <c:pt idx="100">
                  <c:v>43696</c:v>
                </c:pt>
                <c:pt idx="101">
                  <c:v>43693</c:v>
                </c:pt>
                <c:pt idx="102">
                  <c:v>43692</c:v>
                </c:pt>
                <c:pt idx="103">
                  <c:v>43691</c:v>
                </c:pt>
                <c:pt idx="104">
                  <c:v>43690</c:v>
                </c:pt>
                <c:pt idx="105">
                  <c:v>43686</c:v>
                </c:pt>
                <c:pt idx="106">
                  <c:v>43685</c:v>
                </c:pt>
                <c:pt idx="107">
                  <c:v>43684</c:v>
                </c:pt>
                <c:pt idx="108">
                  <c:v>43683</c:v>
                </c:pt>
                <c:pt idx="109">
                  <c:v>43682</c:v>
                </c:pt>
                <c:pt idx="110">
                  <c:v>43679</c:v>
                </c:pt>
                <c:pt idx="111">
                  <c:v>43678</c:v>
                </c:pt>
                <c:pt idx="112">
                  <c:v>43677</c:v>
                </c:pt>
                <c:pt idx="113">
                  <c:v>43676</c:v>
                </c:pt>
                <c:pt idx="114">
                  <c:v>43675</c:v>
                </c:pt>
                <c:pt idx="115">
                  <c:v>43672</c:v>
                </c:pt>
                <c:pt idx="116">
                  <c:v>43671</c:v>
                </c:pt>
                <c:pt idx="117">
                  <c:v>43670</c:v>
                </c:pt>
                <c:pt idx="118">
                  <c:v>43669</c:v>
                </c:pt>
                <c:pt idx="119">
                  <c:v>43668</c:v>
                </c:pt>
                <c:pt idx="120">
                  <c:v>43665</c:v>
                </c:pt>
                <c:pt idx="121">
                  <c:v>43664</c:v>
                </c:pt>
                <c:pt idx="122">
                  <c:v>43663</c:v>
                </c:pt>
                <c:pt idx="123">
                  <c:v>43662</c:v>
                </c:pt>
                <c:pt idx="124">
                  <c:v>43658</c:v>
                </c:pt>
                <c:pt idx="125">
                  <c:v>43657</c:v>
                </c:pt>
                <c:pt idx="126">
                  <c:v>43656</c:v>
                </c:pt>
                <c:pt idx="127">
                  <c:v>43655</c:v>
                </c:pt>
                <c:pt idx="128">
                  <c:v>43654</c:v>
                </c:pt>
                <c:pt idx="129">
                  <c:v>43651</c:v>
                </c:pt>
                <c:pt idx="130">
                  <c:v>43650</c:v>
                </c:pt>
                <c:pt idx="131">
                  <c:v>43649</c:v>
                </c:pt>
                <c:pt idx="132">
                  <c:v>43648</c:v>
                </c:pt>
                <c:pt idx="133">
                  <c:v>43647</c:v>
                </c:pt>
                <c:pt idx="134">
                  <c:v>43644</c:v>
                </c:pt>
                <c:pt idx="135">
                  <c:v>43643</c:v>
                </c:pt>
                <c:pt idx="136">
                  <c:v>43642</c:v>
                </c:pt>
                <c:pt idx="137">
                  <c:v>43641</c:v>
                </c:pt>
                <c:pt idx="138">
                  <c:v>43640</c:v>
                </c:pt>
                <c:pt idx="139">
                  <c:v>43637</c:v>
                </c:pt>
                <c:pt idx="140">
                  <c:v>43636</c:v>
                </c:pt>
                <c:pt idx="141">
                  <c:v>43635</c:v>
                </c:pt>
                <c:pt idx="142">
                  <c:v>43634</c:v>
                </c:pt>
                <c:pt idx="143">
                  <c:v>43633</c:v>
                </c:pt>
                <c:pt idx="144">
                  <c:v>43630</c:v>
                </c:pt>
                <c:pt idx="145">
                  <c:v>43629</c:v>
                </c:pt>
                <c:pt idx="146">
                  <c:v>43628</c:v>
                </c:pt>
                <c:pt idx="147">
                  <c:v>43627</c:v>
                </c:pt>
                <c:pt idx="148">
                  <c:v>43626</c:v>
                </c:pt>
                <c:pt idx="149">
                  <c:v>43623</c:v>
                </c:pt>
                <c:pt idx="150">
                  <c:v>43622</c:v>
                </c:pt>
                <c:pt idx="151">
                  <c:v>43621</c:v>
                </c:pt>
                <c:pt idx="152">
                  <c:v>43620</c:v>
                </c:pt>
                <c:pt idx="153">
                  <c:v>43619</c:v>
                </c:pt>
                <c:pt idx="154">
                  <c:v>43616</c:v>
                </c:pt>
                <c:pt idx="155">
                  <c:v>43615</c:v>
                </c:pt>
                <c:pt idx="156">
                  <c:v>43614</c:v>
                </c:pt>
                <c:pt idx="157">
                  <c:v>43613</c:v>
                </c:pt>
                <c:pt idx="158">
                  <c:v>43612</c:v>
                </c:pt>
                <c:pt idx="159">
                  <c:v>43609</c:v>
                </c:pt>
                <c:pt idx="160">
                  <c:v>43608</c:v>
                </c:pt>
                <c:pt idx="161">
                  <c:v>43607</c:v>
                </c:pt>
                <c:pt idx="162">
                  <c:v>43606</c:v>
                </c:pt>
                <c:pt idx="163">
                  <c:v>43605</c:v>
                </c:pt>
                <c:pt idx="164">
                  <c:v>43602</c:v>
                </c:pt>
                <c:pt idx="165">
                  <c:v>43601</c:v>
                </c:pt>
                <c:pt idx="166">
                  <c:v>43600</c:v>
                </c:pt>
                <c:pt idx="167">
                  <c:v>43599</c:v>
                </c:pt>
                <c:pt idx="168">
                  <c:v>43598</c:v>
                </c:pt>
                <c:pt idx="169">
                  <c:v>43595</c:v>
                </c:pt>
                <c:pt idx="170">
                  <c:v>43594</c:v>
                </c:pt>
                <c:pt idx="171">
                  <c:v>43593</c:v>
                </c:pt>
                <c:pt idx="172">
                  <c:v>43592</c:v>
                </c:pt>
                <c:pt idx="173">
                  <c:v>43581</c:v>
                </c:pt>
                <c:pt idx="174">
                  <c:v>43580</c:v>
                </c:pt>
                <c:pt idx="175">
                  <c:v>43579</c:v>
                </c:pt>
                <c:pt idx="176">
                  <c:v>43578</c:v>
                </c:pt>
                <c:pt idx="177">
                  <c:v>43577</c:v>
                </c:pt>
                <c:pt idx="178">
                  <c:v>43574</c:v>
                </c:pt>
                <c:pt idx="179">
                  <c:v>43573</c:v>
                </c:pt>
                <c:pt idx="180">
                  <c:v>43572</c:v>
                </c:pt>
                <c:pt idx="181">
                  <c:v>43571</c:v>
                </c:pt>
                <c:pt idx="182">
                  <c:v>43570</c:v>
                </c:pt>
                <c:pt idx="183">
                  <c:v>43567</c:v>
                </c:pt>
                <c:pt idx="184">
                  <c:v>43566</c:v>
                </c:pt>
                <c:pt idx="185">
                  <c:v>43565</c:v>
                </c:pt>
                <c:pt idx="186">
                  <c:v>43564</c:v>
                </c:pt>
                <c:pt idx="187">
                  <c:v>43563</c:v>
                </c:pt>
                <c:pt idx="188">
                  <c:v>43560</c:v>
                </c:pt>
                <c:pt idx="189">
                  <c:v>43559</c:v>
                </c:pt>
                <c:pt idx="190">
                  <c:v>43558</c:v>
                </c:pt>
                <c:pt idx="191">
                  <c:v>43557</c:v>
                </c:pt>
                <c:pt idx="192">
                  <c:v>43556</c:v>
                </c:pt>
                <c:pt idx="193">
                  <c:v>43553</c:v>
                </c:pt>
                <c:pt idx="194">
                  <c:v>43552</c:v>
                </c:pt>
                <c:pt idx="195">
                  <c:v>43551</c:v>
                </c:pt>
                <c:pt idx="196">
                  <c:v>43550</c:v>
                </c:pt>
                <c:pt idx="197">
                  <c:v>43549</c:v>
                </c:pt>
                <c:pt idx="198">
                  <c:v>43546</c:v>
                </c:pt>
                <c:pt idx="199">
                  <c:v>43544</c:v>
                </c:pt>
                <c:pt idx="200">
                  <c:v>43543</c:v>
                </c:pt>
                <c:pt idx="201">
                  <c:v>43542</c:v>
                </c:pt>
                <c:pt idx="202">
                  <c:v>43539</c:v>
                </c:pt>
                <c:pt idx="203">
                  <c:v>43538</c:v>
                </c:pt>
                <c:pt idx="204">
                  <c:v>43537</c:v>
                </c:pt>
                <c:pt idx="205">
                  <c:v>43536</c:v>
                </c:pt>
                <c:pt idx="206">
                  <c:v>43535</c:v>
                </c:pt>
                <c:pt idx="207">
                  <c:v>43532</c:v>
                </c:pt>
                <c:pt idx="208">
                  <c:v>43531</c:v>
                </c:pt>
                <c:pt idx="209">
                  <c:v>43530</c:v>
                </c:pt>
                <c:pt idx="210">
                  <c:v>43529</c:v>
                </c:pt>
                <c:pt idx="211">
                  <c:v>43528</c:v>
                </c:pt>
                <c:pt idx="212">
                  <c:v>43525</c:v>
                </c:pt>
                <c:pt idx="213">
                  <c:v>43524</c:v>
                </c:pt>
                <c:pt idx="214">
                  <c:v>43523</c:v>
                </c:pt>
                <c:pt idx="215">
                  <c:v>43522</c:v>
                </c:pt>
                <c:pt idx="216">
                  <c:v>43521</c:v>
                </c:pt>
                <c:pt idx="217">
                  <c:v>43518</c:v>
                </c:pt>
                <c:pt idx="218">
                  <c:v>43517</c:v>
                </c:pt>
                <c:pt idx="219">
                  <c:v>43516</c:v>
                </c:pt>
                <c:pt idx="220">
                  <c:v>43515</c:v>
                </c:pt>
                <c:pt idx="221">
                  <c:v>43514</c:v>
                </c:pt>
                <c:pt idx="222">
                  <c:v>43511</c:v>
                </c:pt>
                <c:pt idx="223">
                  <c:v>43510</c:v>
                </c:pt>
                <c:pt idx="224">
                  <c:v>43509</c:v>
                </c:pt>
                <c:pt idx="225">
                  <c:v>43508</c:v>
                </c:pt>
                <c:pt idx="226">
                  <c:v>43504</c:v>
                </c:pt>
                <c:pt idx="227">
                  <c:v>43503</c:v>
                </c:pt>
                <c:pt idx="228">
                  <c:v>43502</c:v>
                </c:pt>
                <c:pt idx="229">
                  <c:v>43501</c:v>
                </c:pt>
                <c:pt idx="230">
                  <c:v>43500</c:v>
                </c:pt>
                <c:pt idx="231">
                  <c:v>43497</c:v>
                </c:pt>
                <c:pt idx="232">
                  <c:v>43496</c:v>
                </c:pt>
                <c:pt idx="233">
                  <c:v>43495</c:v>
                </c:pt>
                <c:pt idx="234">
                  <c:v>43494</c:v>
                </c:pt>
                <c:pt idx="235">
                  <c:v>43493</c:v>
                </c:pt>
                <c:pt idx="236">
                  <c:v>43490</c:v>
                </c:pt>
                <c:pt idx="237">
                  <c:v>43489</c:v>
                </c:pt>
                <c:pt idx="238">
                  <c:v>43488</c:v>
                </c:pt>
                <c:pt idx="239">
                  <c:v>43487</c:v>
                </c:pt>
                <c:pt idx="240">
                  <c:v>43486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1.40866873065015</c:v>
                </c:pt>
                <c:pt idx="1">
                  <c:v>1.4401123990164999</c:v>
                </c:pt>
                <c:pt idx="2">
                  <c:v>1.41289437585733</c:v>
                </c:pt>
                <c:pt idx="3">
                  <c:v>1.4091218515997199</c:v>
                </c:pt>
                <c:pt idx="4">
                  <c:v>1.3923622845555901</c:v>
                </c:pt>
                <c:pt idx="5">
                  <c:v>1.3773069036226899</c:v>
                </c:pt>
                <c:pt idx="6">
                  <c:v>1.3842975206611501</c:v>
                </c:pt>
                <c:pt idx="7">
                  <c:v>1.39025245441795</c:v>
                </c:pt>
                <c:pt idx="8">
                  <c:v>1.39341421143847</c:v>
                </c:pt>
                <c:pt idx="9">
                  <c:v>1.3793712469092101</c:v>
                </c:pt>
                <c:pt idx="10">
                  <c:v>1.3564668769716</c:v>
                </c:pt>
                <c:pt idx="11">
                  <c:v>1.3555166374781</c:v>
                </c:pt>
                <c:pt idx="12">
                  <c:v>1.3333333333333299</c:v>
                </c:pt>
                <c:pt idx="13">
                  <c:v>1.3371266002844899</c:v>
                </c:pt>
                <c:pt idx="14">
                  <c:v>1.3160714285714199</c:v>
                </c:pt>
                <c:pt idx="15">
                  <c:v>1.2592202318229699</c:v>
                </c:pt>
                <c:pt idx="16">
                  <c:v>1.2439193884642099</c:v>
                </c:pt>
                <c:pt idx="17">
                  <c:v>1.26595744680851</c:v>
                </c:pt>
                <c:pt idx="18">
                  <c:v>1.2916063675832099</c:v>
                </c:pt>
                <c:pt idx="19">
                  <c:v>1.3095238095238</c:v>
                </c:pt>
                <c:pt idx="20">
                  <c:v>1.32543502406516</c:v>
                </c:pt>
                <c:pt idx="21">
                  <c:v>1.3178294573643401</c:v>
                </c:pt>
                <c:pt idx="22">
                  <c:v>1.3179297597042501</c:v>
                </c:pt>
                <c:pt idx="23">
                  <c:v>1.3135593220338899</c:v>
                </c:pt>
                <c:pt idx="24">
                  <c:v>1.3460824359450401</c:v>
                </c:pt>
                <c:pt idx="25">
                  <c:v>1.3467317806160699</c:v>
                </c:pt>
                <c:pt idx="26">
                  <c:v>1.36259977194982</c:v>
                </c:pt>
                <c:pt idx="27">
                  <c:v>1.34920634920634</c:v>
                </c:pt>
                <c:pt idx="28">
                  <c:v>1.3645001900417999</c:v>
                </c:pt>
                <c:pt idx="29">
                  <c:v>1.3139931740614299</c:v>
                </c:pt>
                <c:pt idx="30">
                  <c:v>1.2835320417287599</c:v>
                </c:pt>
                <c:pt idx="31">
                  <c:v>1.31690412013862</c:v>
                </c:pt>
                <c:pt idx="32">
                  <c:v>1.32279213266486</c:v>
                </c:pt>
                <c:pt idx="33">
                  <c:v>1.3160919540229801</c:v>
                </c:pt>
                <c:pt idx="34">
                  <c:v>1.32075471698113</c:v>
                </c:pt>
                <c:pt idx="35">
                  <c:v>1.32763975155279</c:v>
                </c:pt>
                <c:pt idx="36">
                  <c:v>1.3668779714738499</c:v>
                </c:pt>
                <c:pt idx="37">
                  <c:v>1.37917485265225</c:v>
                </c:pt>
                <c:pt idx="38">
                  <c:v>1.3643471462079699</c:v>
                </c:pt>
                <c:pt idx="39">
                  <c:v>1.3650546021840799</c:v>
                </c:pt>
                <c:pt idx="40">
                  <c:v>1.3423212192262599</c:v>
                </c:pt>
                <c:pt idx="41">
                  <c:v>1.3383339913146399</c:v>
                </c:pt>
                <c:pt idx="42">
                  <c:v>1.31369426751592</c:v>
                </c:pt>
                <c:pt idx="43">
                  <c:v>1.3141153081510899</c:v>
                </c:pt>
                <c:pt idx="44">
                  <c:v>1.32580261593341</c:v>
                </c:pt>
                <c:pt idx="45">
                  <c:v>1.3305654408857199</c:v>
                </c:pt>
                <c:pt idx="46">
                  <c:v>1.35593220338983</c:v>
                </c:pt>
                <c:pt idx="47">
                  <c:v>1.3823411905713101</c:v>
                </c:pt>
                <c:pt idx="48">
                  <c:v>1.3739545997610501</c:v>
                </c:pt>
                <c:pt idx="49">
                  <c:v>1.3285492629945601</c:v>
                </c:pt>
                <c:pt idx="50">
                  <c:v>1.3511390416339299</c:v>
                </c:pt>
                <c:pt idx="51">
                  <c:v>1.3692614770459</c:v>
                </c:pt>
                <c:pt idx="52">
                  <c:v>1.3061797752808899</c:v>
                </c:pt>
                <c:pt idx="53">
                  <c:v>1.25403877221324</c:v>
                </c:pt>
                <c:pt idx="54">
                  <c:v>1.27611634575993</c:v>
                </c:pt>
                <c:pt idx="55">
                  <c:v>1.2794543199669199</c:v>
                </c:pt>
                <c:pt idx="56">
                  <c:v>1.27129206481096</c:v>
                </c:pt>
                <c:pt idx="57">
                  <c:v>1.2934282126412699</c:v>
                </c:pt>
                <c:pt idx="58">
                  <c:v>1.2726897689768899</c:v>
                </c:pt>
                <c:pt idx="59">
                  <c:v>1.28151260504201</c:v>
                </c:pt>
                <c:pt idx="60">
                  <c:v>1.28924236082042</c:v>
                </c:pt>
                <c:pt idx="61">
                  <c:v>1.30527210884353</c:v>
                </c:pt>
                <c:pt idx="62">
                  <c:v>1.30343671416596</c:v>
                </c:pt>
                <c:pt idx="63">
                  <c:v>1.3106382978723401</c:v>
                </c:pt>
                <c:pt idx="64">
                  <c:v>1.2889637742207201</c:v>
                </c:pt>
                <c:pt idx="65">
                  <c:v>1.31389945078158</c:v>
                </c:pt>
                <c:pt idx="66">
                  <c:v>1.3337684943429</c:v>
                </c:pt>
                <c:pt idx="67">
                  <c:v>1.32925229558373</c:v>
                </c:pt>
                <c:pt idx="68">
                  <c:v>1.32320563628357</c:v>
                </c:pt>
                <c:pt idx="69">
                  <c:v>1.3249113475177301</c:v>
                </c:pt>
                <c:pt idx="70">
                  <c:v>1.2985204525674401</c:v>
                </c:pt>
                <c:pt idx="71">
                  <c:v>1.26893287435456</c:v>
                </c:pt>
                <c:pt idx="72">
                  <c:v>1.2488282914358699</c:v>
                </c:pt>
                <c:pt idx="73">
                  <c:v>1.27369769427839</c:v>
                </c:pt>
                <c:pt idx="74">
                  <c:v>1.2770414707139801</c:v>
                </c:pt>
                <c:pt idx="75">
                  <c:v>1.27117194183062</c:v>
                </c:pt>
                <c:pt idx="76">
                  <c:v>1.2749569707401001</c:v>
                </c:pt>
                <c:pt idx="77">
                  <c:v>1.30459518599562</c:v>
                </c:pt>
                <c:pt idx="78">
                  <c:v>1.3014291901255901</c:v>
                </c:pt>
                <c:pt idx="79">
                  <c:v>1.2933097031457601</c:v>
                </c:pt>
                <c:pt idx="80">
                  <c:v>1.2734929078014099</c:v>
                </c:pt>
                <c:pt idx="81">
                  <c:v>1.256151142355</c:v>
                </c:pt>
                <c:pt idx="82">
                  <c:v>1.2426502852128101</c:v>
                </c:pt>
                <c:pt idx="83">
                  <c:v>1.2460035523978601</c:v>
                </c:pt>
                <c:pt idx="84">
                  <c:v>1.2592093441150001</c:v>
                </c:pt>
                <c:pt idx="85">
                  <c:v>1.2402283706631501</c:v>
                </c:pt>
                <c:pt idx="86">
                  <c:v>1.26313426133812</c:v>
                </c:pt>
                <c:pt idx="87">
                  <c:v>1.28294223826714</c:v>
                </c:pt>
                <c:pt idx="88">
                  <c:v>1.2987918215613301</c:v>
                </c:pt>
                <c:pt idx="89">
                  <c:v>1.2779053743683899</c:v>
                </c:pt>
                <c:pt idx="90">
                  <c:v>1.2796688132474701</c:v>
                </c:pt>
                <c:pt idx="91">
                  <c:v>1.2516914749661701</c:v>
                </c:pt>
                <c:pt idx="92">
                  <c:v>1.2464367816091899</c:v>
                </c:pt>
                <c:pt idx="93">
                  <c:v>1.23435358611238</c:v>
                </c:pt>
                <c:pt idx="94">
                  <c:v>1.2521779000458499</c:v>
                </c:pt>
                <c:pt idx="95">
                  <c:v>1.2611317254174299</c:v>
                </c:pt>
                <c:pt idx="96">
                  <c:v>1.27432808155699</c:v>
                </c:pt>
                <c:pt idx="97">
                  <c:v>1.3031309297912701</c:v>
                </c:pt>
                <c:pt idx="98">
                  <c:v>1.2974624060150299</c:v>
                </c:pt>
                <c:pt idx="99">
                  <c:v>1.29596622889305</c:v>
                </c:pt>
                <c:pt idx="100">
                  <c:v>1.31877100336053</c:v>
                </c:pt>
                <c:pt idx="101">
                  <c:v>1.2795801526717501</c:v>
                </c:pt>
                <c:pt idx="102">
                  <c:v>1.28140214216163</c:v>
                </c:pt>
                <c:pt idx="103">
                  <c:v>1.2910338069573699</c:v>
                </c:pt>
                <c:pt idx="104">
                  <c:v>1.2686131386861299</c:v>
                </c:pt>
                <c:pt idx="105">
                  <c:v>1.26470588235294</c:v>
                </c:pt>
                <c:pt idx="106">
                  <c:v>1.2621595330739299</c:v>
                </c:pt>
                <c:pt idx="107">
                  <c:v>1.24083011583011</c:v>
                </c:pt>
                <c:pt idx="108">
                  <c:v>1.26019417475728</c:v>
                </c:pt>
                <c:pt idx="109">
                  <c:v>1.2154280338664101</c:v>
                </c:pt>
                <c:pt idx="110">
                  <c:v>1.2919254658385</c:v>
                </c:pt>
                <c:pt idx="111">
                  <c:v>1.32163187855787</c:v>
                </c:pt>
                <c:pt idx="112">
                  <c:v>1.34681255946717</c:v>
                </c:pt>
                <c:pt idx="113">
                  <c:v>1.30824544582933</c:v>
                </c:pt>
                <c:pt idx="114">
                  <c:v>1.3165467625899201</c:v>
                </c:pt>
                <c:pt idx="115">
                  <c:v>1.33753637245392</c:v>
                </c:pt>
                <c:pt idx="116">
                  <c:v>1.3115069812229101</c:v>
                </c:pt>
                <c:pt idx="117">
                  <c:v>1.32553606237816</c:v>
                </c:pt>
                <c:pt idx="118">
                  <c:v>1.3148956817079001</c:v>
                </c:pt>
                <c:pt idx="119">
                  <c:v>1.3190123456790099</c:v>
                </c:pt>
                <c:pt idx="120">
                  <c:v>1.3539156626505999</c:v>
                </c:pt>
                <c:pt idx="121">
                  <c:v>1.3631284916201101</c:v>
                </c:pt>
                <c:pt idx="122">
                  <c:v>1.36576846307385</c:v>
                </c:pt>
                <c:pt idx="123">
                  <c:v>1.36597428288822</c:v>
                </c:pt>
                <c:pt idx="124">
                  <c:v>1.35205078125</c:v>
                </c:pt>
                <c:pt idx="125">
                  <c:v>1.3636803874092001</c:v>
                </c:pt>
                <c:pt idx="126">
                  <c:v>1.3773955773955699</c:v>
                </c:pt>
                <c:pt idx="127">
                  <c:v>1.3903530581800001</c:v>
                </c:pt>
                <c:pt idx="128">
                  <c:v>1.39360639360639</c:v>
                </c:pt>
                <c:pt idx="129">
                  <c:v>1.38658777120315</c:v>
                </c:pt>
                <c:pt idx="130">
                  <c:v>1.37974683544303</c:v>
                </c:pt>
                <c:pt idx="131">
                  <c:v>1.3701711491442501</c:v>
                </c:pt>
                <c:pt idx="132">
                  <c:v>1.35345243843553</c:v>
                </c:pt>
                <c:pt idx="133">
                  <c:v>1.3503614457831301</c:v>
                </c:pt>
                <c:pt idx="134">
                  <c:v>1.37107231920199</c:v>
                </c:pt>
                <c:pt idx="135">
                  <c:v>1.40414769853313</c:v>
                </c:pt>
                <c:pt idx="136">
                  <c:v>1.4221311475409799</c:v>
                </c:pt>
                <c:pt idx="137">
                  <c:v>1.42690355329949</c:v>
                </c:pt>
                <c:pt idx="138">
                  <c:v>1.4308240081383501</c:v>
                </c:pt>
                <c:pt idx="139">
                  <c:v>1.43893714869698</c:v>
                </c:pt>
                <c:pt idx="140">
                  <c:v>1.4658859470468399</c:v>
                </c:pt>
                <c:pt idx="141">
                  <c:v>1.48286445012787</c:v>
                </c:pt>
                <c:pt idx="142">
                  <c:v>1.42972699696663</c:v>
                </c:pt>
                <c:pt idx="143">
                  <c:v>1.4199698946312</c:v>
                </c:pt>
                <c:pt idx="144">
                  <c:v>1.4054726368159201</c:v>
                </c:pt>
                <c:pt idx="145">
                  <c:v>1.40329835082458</c:v>
                </c:pt>
                <c:pt idx="146">
                  <c:v>1.3888070692194401</c:v>
                </c:pt>
                <c:pt idx="147">
                  <c:v>1.37040666340029</c:v>
                </c:pt>
                <c:pt idx="148">
                  <c:v>1.3675171736997001</c:v>
                </c:pt>
                <c:pt idx="149">
                  <c:v>1.37917289486796</c:v>
                </c:pt>
                <c:pt idx="150">
                  <c:v>1.36508728179551</c:v>
                </c:pt>
                <c:pt idx="151">
                  <c:v>1.36084549572219</c:v>
                </c:pt>
                <c:pt idx="152">
                  <c:v>1.37233489339573</c:v>
                </c:pt>
                <c:pt idx="153">
                  <c:v>1.3358433734939701</c:v>
                </c:pt>
                <c:pt idx="154">
                  <c:v>1.38049519959575</c:v>
                </c:pt>
                <c:pt idx="155">
                  <c:v>1.3837675350701399</c:v>
                </c:pt>
                <c:pt idx="156">
                  <c:v>1.3992968357609199</c:v>
                </c:pt>
                <c:pt idx="157">
                  <c:v>1.41196834817012</c:v>
                </c:pt>
                <c:pt idx="158">
                  <c:v>1.4265664160400999</c:v>
                </c:pt>
                <c:pt idx="159">
                  <c:v>1.41779110444777</c:v>
                </c:pt>
                <c:pt idx="160">
                  <c:v>1.4043499752842299</c:v>
                </c:pt>
                <c:pt idx="161">
                  <c:v>1.42943548387096</c:v>
                </c:pt>
                <c:pt idx="162">
                  <c:v>1.42089402310396</c:v>
                </c:pt>
                <c:pt idx="163">
                  <c:v>1.4015984015984</c:v>
                </c:pt>
                <c:pt idx="164">
                  <c:v>1.4091365461847301</c:v>
                </c:pt>
                <c:pt idx="165">
                  <c:v>1.3955033214103201</c:v>
                </c:pt>
                <c:pt idx="166">
                  <c:v>1.4273058884835801</c:v>
                </c:pt>
                <c:pt idx="167">
                  <c:v>1.4648985959438301</c:v>
                </c:pt>
                <c:pt idx="168">
                  <c:v>1.4</c:v>
                </c:pt>
                <c:pt idx="169">
                  <c:v>1.40894901144641</c:v>
                </c:pt>
                <c:pt idx="170">
                  <c:v>1.4199790794978999</c:v>
                </c:pt>
                <c:pt idx="171">
                  <c:v>1.37326732673267</c:v>
                </c:pt>
                <c:pt idx="172">
                  <c:v>1.35421805624075</c:v>
                </c:pt>
                <c:pt idx="173">
                  <c:v>1.3239366963402499</c:v>
                </c:pt>
                <c:pt idx="174">
                  <c:v>1.28830548926014</c:v>
                </c:pt>
                <c:pt idx="175">
                  <c:v>1.2830459770114899</c:v>
                </c:pt>
                <c:pt idx="176">
                  <c:v>1.29681467181467</c:v>
                </c:pt>
                <c:pt idx="177">
                  <c:v>1.29656507014997</c:v>
                </c:pt>
                <c:pt idx="178">
                  <c:v>1.2913843175217801</c:v>
                </c:pt>
                <c:pt idx="179">
                  <c:v>1.2994626282364401</c:v>
                </c:pt>
                <c:pt idx="180">
                  <c:v>1.29942693409742</c:v>
                </c:pt>
                <c:pt idx="181">
                  <c:v>1.31075888568683</c:v>
                </c:pt>
                <c:pt idx="182">
                  <c:v>1.31255992329817</c:v>
                </c:pt>
                <c:pt idx="183">
                  <c:v>1.30720851475568</c:v>
                </c:pt>
                <c:pt idx="184">
                  <c:v>1.3251953125</c:v>
                </c:pt>
                <c:pt idx="185">
                  <c:v>1.3482758620689601</c:v>
                </c:pt>
                <c:pt idx="186">
                  <c:v>1.3354554358471999</c:v>
                </c:pt>
                <c:pt idx="187">
                  <c:v>1.3320425943852801</c:v>
                </c:pt>
                <c:pt idx="188">
                  <c:v>1.3215667311411901</c:v>
                </c:pt>
                <c:pt idx="189">
                  <c:v>1.3225181598062901</c:v>
                </c:pt>
                <c:pt idx="190">
                  <c:v>1.3186180422264799</c:v>
                </c:pt>
                <c:pt idx="191">
                  <c:v>1.31377303588748</c:v>
                </c:pt>
                <c:pt idx="192">
                  <c:v>1.2970532319391599</c:v>
                </c:pt>
                <c:pt idx="193">
                  <c:v>1.2535145267104</c:v>
                </c:pt>
                <c:pt idx="194">
                  <c:v>1.2877836793819399</c:v>
                </c:pt>
                <c:pt idx="195">
                  <c:v>1.3068783068783001</c:v>
                </c:pt>
                <c:pt idx="196">
                  <c:v>1.2589118198874201</c:v>
                </c:pt>
                <c:pt idx="197">
                  <c:v>1.26026074360212</c:v>
                </c:pt>
                <c:pt idx="198">
                  <c:v>1.27242366412213</c:v>
                </c:pt>
                <c:pt idx="199">
                  <c:v>1.3245869776482</c:v>
                </c:pt>
                <c:pt idx="200">
                  <c:v>1.31231527093596</c:v>
                </c:pt>
                <c:pt idx="201">
                  <c:v>1.3158415841584099</c:v>
                </c:pt>
                <c:pt idx="202">
                  <c:v>1.30485338725985</c:v>
                </c:pt>
                <c:pt idx="203">
                  <c:v>1.31362467866323</c:v>
                </c:pt>
                <c:pt idx="204">
                  <c:v>1.31107738998482</c:v>
                </c:pt>
                <c:pt idx="205">
                  <c:v>1.3426680244399101</c:v>
                </c:pt>
                <c:pt idx="206">
                  <c:v>1.35382231404958</c:v>
                </c:pt>
                <c:pt idx="207">
                  <c:v>1.34194214876033</c:v>
                </c:pt>
                <c:pt idx="208">
                  <c:v>1.3748103186646401</c:v>
                </c:pt>
                <c:pt idx="209">
                  <c:v>1.3819655521783101</c:v>
                </c:pt>
                <c:pt idx="210">
                  <c:v>1.40335707019328</c:v>
                </c:pt>
                <c:pt idx="211">
                  <c:v>1.3655207280080801</c:v>
                </c:pt>
                <c:pt idx="212">
                  <c:v>1.3532691332995399</c:v>
                </c:pt>
                <c:pt idx="213">
                  <c:v>1.35137844611528</c:v>
                </c:pt>
                <c:pt idx="214">
                  <c:v>1.3687179487179399</c:v>
                </c:pt>
                <c:pt idx="215">
                  <c:v>1.3682291666666599</c:v>
                </c:pt>
                <c:pt idx="216">
                  <c:v>1.3537906137184099</c:v>
                </c:pt>
                <c:pt idx="217">
                  <c:v>1.3633952254641899</c:v>
                </c:pt>
                <c:pt idx="218">
                  <c:v>1.3645998940116499</c:v>
                </c:pt>
                <c:pt idx="219">
                  <c:v>1.3712898003237901</c:v>
                </c:pt>
                <c:pt idx="220">
                  <c:v>1.31734317343173</c:v>
                </c:pt>
                <c:pt idx="221">
                  <c:v>1.3501082251082199</c:v>
                </c:pt>
                <c:pt idx="222">
                  <c:v>1.3492927094668099</c:v>
                </c:pt>
                <c:pt idx="223">
                  <c:v>1.3577235772357701</c:v>
                </c:pt>
                <c:pt idx="224">
                  <c:v>1.3147751605995699</c:v>
                </c:pt>
                <c:pt idx="225">
                  <c:v>1.3696969696969601</c:v>
                </c:pt>
                <c:pt idx="226">
                  <c:v>1.4056338028169</c:v>
                </c:pt>
                <c:pt idx="227">
                  <c:v>1.3778877887788701</c:v>
                </c:pt>
                <c:pt idx="228">
                  <c:v>1.3836956521739101</c:v>
                </c:pt>
                <c:pt idx="229">
                  <c:v>1.3546137339055699</c:v>
                </c:pt>
                <c:pt idx="230">
                  <c:v>1.4003232758620601</c:v>
                </c:pt>
                <c:pt idx="231">
                  <c:v>1.3846153846153799</c:v>
                </c:pt>
                <c:pt idx="232">
                  <c:v>1.31778265642151</c:v>
                </c:pt>
                <c:pt idx="233">
                  <c:v>1.2483258928571399</c:v>
                </c:pt>
                <c:pt idx="234">
                  <c:v>1.2723735408560299</c:v>
                </c:pt>
                <c:pt idx="235">
                  <c:v>1.2350081037277101</c:v>
                </c:pt>
                <c:pt idx="236">
                  <c:v>1.23646112600536</c:v>
                </c:pt>
                <c:pt idx="237">
                  <c:v>1.3052164261931101</c:v>
                </c:pt>
                <c:pt idx="238">
                  <c:v>1.28970427163198</c:v>
                </c:pt>
                <c:pt idx="239">
                  <c:v>1.29315960912052</c:v>
                </c:pt>
                <c:pt idx="240">
                  <c:v>1.27398720682302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43850</c:v>
                </c:pt>
                <c:pt idx="1">
                  <c:v>43847</c:v>
                </c:pt>
                <c:pt idx="2">
                  <c:v>43846</c:v>
                </c:pt>
                <c:pt idx="3">
                  <c:v>43845</c:v>
                </c:pt>
                <c:pt idx="4">
                  <c:v>43844</c:v>
                </c:pt>
                <c:pt idx="5">
                  <c:v>43840</c:v>
                </c:pt>
                <c:pt idx="6">
                  <c:v>43839</c:v>
                </c:pt>
                <c:pt idx="7">
                  <c:v>43838</c:v>
                </c:pt>
                <c:pt idx="8">
                  <c:v>43837</c:v>
                </c:pt>
                <c:pt idx="9">
                  <c:v>43836</c:v>
                </c:pt>
                <c:pt idx="10">
                  <c:v>43829</c:v>
                </c:pt>
                <c:pt idx="11">
                  <c:v>43826</c:v>
                </c:pt>
                <c:pt idx="12">
                  <c:v>43825</c:v>
                </c:pt>
                <c:pt idx="13">
                  <c:v>43824</c:v>
                </c:pt>
                <c:pt idx="14">
                  <c:v>43823</c:v>
                </c:pt>
                <c:pt idx="15">
                  <c:v>43822</c:v>
                </c:pt>
                <c:pt idx="16">
                  <c:v>43819</c:v>
                </c:pt>
                <c:pt idx="17">
                  <c:v>43818</c:v>
                </c:pt>
                <c:pt idx="18">
                  <c:v>43817</c:v>
                </c:pt>
                <c:pt idx="19">
                  <c:v>43816</c:v>
                </c:pt>
                <c:pt idx="20">
                  <c:v>43815</c:v>
                </c:pt>
                <c:pt idx="21">
                  <c:v>43812</c:v>
                </c:pt>
                <c:pt idx="22">
                  <c:v>43811</c:v>
                </c:pt>
                <c:pt idx="23">
                  <c:v>43810</c:v>
                </c:pt>
                <c:pt idx="24">
                  <c:v>43809</c:v>
                </c:pt>
                <c:pt idx="25">
                  <c:v>43808</c:v>
                </c:pt>
                <c:pt idx="26">
                  <c:v>43805</c:v>
                </c:pt>
                <c:pt idx="27">
                  <c:v>43804</c:v>
                </c:pt>
                <c:pt idx="28">
                  <c:v>43803</c:v>
                </c:pt>
                <c:pt idx="29">
                  <c:v>43802</c:v>
                </c:pt>
                <c:pt idx="30">
                  <c:v>43801</c:v>
                </c:pt>
                <c:pt idx="31">
                  <c:v>43798</c:v>
                </c:pt>
                <c:pt idx="32">
                  <c:v>43797</c:v>
                </c:pt>
                <c:pt idx="33">
                  <c:v>43796</c:v>
                </c:pt>
                <c:pt idx="34">
                  <c:v>43795</c:v>
                </c:pt>
                <c:pt idx="35">
                  <c:v>43794</c:v>
                </c:pt>
                <c:pt idx="36">
                  <c:v>43791</c:v>
                </c:pt>
                <c:pt idx="37">
                  <c:v>43790</c:v>
                </c:pt>
                <c:pt idx="38">
                  <c:v>43789</c:v>
                </c:pt>
                <c:pt idx="39">
                  <c:v>43788</c:v>
                </c:pt>
                <c:pt idx="40">
                  <c:v>43787</c:v>
                </c:pt>
                <c:pt idx="41">
                  <c:v>43784</c:v>
                </c:pt>
                <c:pt idx="42">
                  <c:v>43783</c:v>
                </c:pt>
                <c:pt idx="43">
                  <c:v>43782</c:v>
                </c:pt>
                <c:pt idx="44">
                  <c:v>43781</c:v>
                </c:pt>
                <c:pt idx="45">
                  <c:v>43780</c:v>
                </c:pt>
                <c:pt idx="46">
                  <c:v>43777</c:v>
                </c:pt>
                <c:pt idx="47">
                  <c:v>43776</c:v>
                </c:pt>
                <c:pt idx="48">
                  <c:v>43775</c:v>
                </c:pt>
                <c:pt idx="49">
                  <c:v>43774</c:v>
                </c:pt>
                <c:pt idx="50">
                  <c:v>43770</c:v>
                </c:pt>
                <c:pt idx="51">
                  <c:v>43769</c:v>
                </c:pt>
                <c:pt idx="52">
                  <c:v>43768</c:v>
                </c:pt>
                <c:pt idx="53">
                  <c:v>43767</c:v>
                </c:pt>
                <c:pt idx="54">
                  <c:v>43766</c:v>
                </c:pt>
                <c:pt idx="55">
                  <c:v>43763</c:v>
                </c:pt>
                <c:pt idx="56">
                  <c:v>43762</c:v>
                </c:pt>
                <c:pt idx="57">
                  <c:v>43761</c:v>
                </c:pt>
                <c:pt idx="58">
                  <c:v>43759</c:v>
                </c:pt>
                <c:pt idx="59">
                  <c:v>43756</c:v>
                </c:pt>
                <c:pt idx="60">
                  <c:v>43755</c:v>
                </c:pt>
                <c:pt idx="61">
                  <c:v>43754</c:v>
                </c:pt>
                <c:pt idx="62">
                  <c:v>43753</c:v>
                </c:pt>
                <c:pt idx="63">
                  <c:v>43749</c:v>
                </c:pt>
                <c:pt idx="64">
                  <c:v>43748</c:v>
                </c:pt>
                <c:pt idx="65">
                  <c:v>43747</c:v>
                </c:pt>
                <c:pt idx="66">
                  <c:v>43746</c:v>
                </c:pt>
                <c:pt idx="67">
                  <c:v>43745</c:v>
                </c:pt>
                <c:pt idx="68">
                  <c:v>43742</c:v>
                </c:pt>
                <c:pt idx="69">
                  <c:v>43741</c:v>
                </c:pt>
                <c:pt idx="70">
                  <c:v>43740</c:v>
                </c:pt>
                <c:pt idx="71">
                  <c:v>43739</c:v>
                </c:pt>
                <c:pt idx="72">
                  <c:v>43738</c:v>
                </c:pt>
                <c:pt idx="73">
                  <c:v>43735</c:v>
                </c:pt>
                <c:pt idx="74">
                  <c:v>43734</c:v>
                </c:pt>
                <c:pt idx="75">
                  <c:v>43733</c:v>
                </c:pt>
                <c:pt idx="76">
                  <c:v>43732</c:v>
                </c:pt>
                <c:pt idx="77">
                  <c:v>43728</c:v>
                </c:pt>
                <c:pt idx="78">
                  <c:v>43727</c:v>
                </c:pt>
                <c:pt idx="79">
                  <c:v>43726</c:v>
                </c:pt>
                <c:pt idx="80">
                  <c:v>43725</c:v>
                </c:pt>
                <c:pt idx="81">
                  <c:v>43721</c:v>
                </c:pt>
                <c:pt idx="82">
                  <c:v>43720</c:v>
                </c:pt>
                <c:pt idx="83">
                  <c:v>43719</c:v>
                </c:pt>
                <c:pt idx="84">
                  <c:v>43718</c:v>
                </c:pt>
                <c:pt idx="85">
                  <c:v>43717</c:v>
                </c:pt>
                <c:pt idx="86">
                  <c:v>43714</c:v>
                </c:pt>
                <c:pt idx="87">
                  <c:v>43713</c:v>
                </c:pt>
                <c:pt idx="88">
                  <c:v>43712</c:v>
                </c:pt>
                <c:pt idx="89">
                  <c:v>43711</c:v>
                </c:pt>
                <c:pt idx="90">
                  <c:v>43710</c:v>
                </c:pt>
                <c:pt idx="91">
                  <c:v>43707</c:v>
                </c:pt>
                <c:pt idx="92">
                  <c:v>43706</c:v>
                </c:pt>
                <c:pt idx="93">
                  <c:v>43705</c:v>
                </c:pt>
                <c:pt idx="94">
                  <c:v>43704</c:v>
                </c:pt>
                <c:pt idx="95">
                  <c:v>43703</c:v>
                </c:pt>
                <c:pt idx="96">
                  <c:v>43700</c:v>
                </c:pt>
                <c:pt idx="97">
                  <c:v>43699</c:v>
                </c:pt>
                <c:pt idx="98">
                  <c:v>43698</c:v>
                </c:pt>
                <c:pt idx="99">
                  <c:v>43697</c:v>
                </c:pt>
                <c:pt idx="100">
                  <c:v>43696</c:v>
                </c:pt>
                <c:pt idx="101">
                  <c:v>43693</c:v>
                </c:pt>
                <c:pt idx="102">
                  <c:v>43692</c:v>
                </c:pt>
                <c:pt idx="103">
                  <c:v>43691</c:v>
                </c:pt>
                <c:pt idx="104">
                  <c:v>43690</c:v>
                </c:pt>
                <c:pt idx="105">
                  <c:v>43686</c:v>
                </c:pt>
                <c:pt idx="106">
                  <c:v>43685</c:v>
                </c:pt>
                <c:pt idx="107">
                  <c:v>43684</c:v>
                </c:pt>
                <c:pt idx="108">
                  <c:v>43683</c:v>
                </c:pt>
                <c:pt idx="109">
                  <c:v>43682</c:v>
                </c:pt>
                <c:pt idx="110">
                  <c:v>43679</c:v>
                </c:pt>
                <c:pt idx="111">
                  <c:v>43678</c:v>
                </c:pt>
                <c:pt idx="112">
                  <c:v>43677</c:v>
                </c:pt>
                <c:pt idx="113">
                  <c:v>43676</c:v>
                </c:pt>
                <c:pt idx="114">
                  <c:v>43675</c:v>
                </c:pt>
                <c:pt idx="115">
                  <c:v>43672</c:v>
                </c:pt>
                <c:pt idx="116">
                  <c:v>43671</c:v>
                </c:pt>
                <c:pt idx="117">
                  <c:v>43670</c:v>
                </c:pt>
                <c:pt idx="118">
                  <c:v>43669</c:v>
                </c:pt>
                <c:pt idx="119">
                  <c:v>43668</c:v>
                </c:pt>
                <c:pt idx="120">
                  <c:v>43665</c:v>
                </c:pt>
                <c:pt idx="121">
                  <c:v>43664</c:v>
                </c:pt>
                <c:pt idx="122">
                  <c:v>43663</c:v>
                </c:pt>
                <c:pt idx="123">
                  <c:v>43662</c:v>
                </c:pt>
                <c:pt idx="124">
                  <c:v>43658</c:v>
                </c:pt>
                <c:pt idx="125">
                  <c:v>43657</c:v>
                </c:pt>
                <c:pt idx="126">
                  <c:v>43656</c:v>
                </c:pt>
                <c:pt idx="127">
                  <c:v>43655</c:v>
                </c:pt>
                <c:pt idx="128">
                  <c:v>43654</c:v>
                </c:pt>
                <c:pt idx="129">
                  <c:v>43651</c:v>
                </c:pt>
                <c:pt idx="130">
                  <c:v>43650</c:v>
                </c:pt>
                <c:pt idx="131">
                  <c:v>43649</c:v>
                </c:pt>
                <c:pt idx="132">
                  <c:v>43648</c:v>
                </c:pt>
                <c:pt idx="133">
                  <c:v>43647</c:v>
                </c:pt>
                <c:pt idx="134">
                  <c:v>43644</c:v>
                </c:pt>
                <c:pt idx="135">
                  <c:v>43643</c:v>
                </c:pt>
                <c:pt idx="136">
                  <c:v>43642</c:v>
                </c:pt>
                <c:pt idx="137">
                  <c:v>43641</c:v>
                </c:pt>
                <c:pt idx="138">
                  <c:v>43640</c:v>
                </c:pt>
                <c:pt idx="139">
                  <c:v>43637</c:v>
                </c:pt>
                <c:pt idx="140">
                  <c:v>43636</c:v>
                </c:pt>
                <c:pt idx="141">
                  <c:v>43635</c:v>
                </c:pt>
                <c:pt idx="142">
                  <c:v>43634</c:v>
                </c:pt>
                <c:pt idx="143">
                  <c:v>43633</c:v>
                </c:pt>
                <c:pt idx="144">
                  <c:v>43630</c:v>
                </c:pt>
                <c:pt idx="145">
                  <c:v>43629</c:v>
                </c:pt>
                <c:pt idx="146">
                  <c:v>43628</c:v>
                </c:pt>
                <c:pt idx="147">
                  <c:v>43627</c:v>
                </c:pt>
                <c:pt idx="148">
                  <c:v>43626</c:v>
                </c:pt>
                <c:pt idx="149">
                  <c:v>43623</c:v>
                </c:pt>
                <c:pt idx="150">
                  <c:v>43622</c:v>
                </c:pt>
                <c:pt idx="151">
                  <c:v>43621</c:v>
                </c:pt>
                <c:pt idx="152">
                  <c:v>43620</c:v>
                </c:pt>
                <c:pt idx="153">
                  <c:v>43619</c:v>
                </c:pt>
                <c:pt idx="154">
                  <c:v>43616</c:v>
                </c:pt>
                <c:pt idx="155">
                  <c:v>43615</c:v>
                </c:pt>
                <c:pt idx="156">
                  <c:v>43614</c:v>
                </c:pt>
                <c:pt idx="157">
                  <c:v>43613</c:v>
                </c:pt>
                <c:pt idx="158">
                  <c:v>43612</c:v>
                </c:pt>
                <c:pt idx="159">
                  <c:v>43609</c:v>
                </c:pt>
                <c:pt idx="160">
                  <c:v>43608</c:v>
                </c:pt>
                <c:pt idx="161">
                  <c:v>43607</c:v>
                </c:pt>
                <c:pt idx="162">
                  <c:v>43606</c:v>
                </c:pt>
                <c:pt idx="163">
                  <c:v>43605</c:v>
                </c:pt>
                <c:pt idx="164">
                  <c:v>43602</c:v>
                </c:pt>
                <c:pt idx="165">
                  <c:v>43601</c:v>
                </c:pt>
                <c:pt idx="166">
                  <c:v>43600</c:v>
                </c:pt>
                <c:pt idx="167">
                  <c:v>43599</c:v>
                </c:pt>
                <c:pt idx="168">
                  <c:v>43598</c:v>
                </c:pt>
                <c:pt idx="169">
                  <c:v>43595</c:v>
                </c:pt>
                <c:pt idx="170">
                  <c:v>43594</c:v>
                </c:pt>
                <c:pt idx="171">
                  <c:v>43593</c:v>
                </c:pt>
                <c:pt idx="172">
                  <c:v>43592</c:v>
                </c:pt>
                <c:pt idx="173">
                  <c:v>43581</c:v>
                </c:pt>
                <c:pt idx="174">
                  <c:v>43580</c:v>
                </c:pt>
                <c:pt idx="175">
                  <c:v>43579</c:v>
                </c:pt>
                <c:pt idx="176">
                  <c:v>43578</c:v>
                </c:pt>
                <c:pt idx="177">
                  <c:v>43577</c:v>
                </c:pt>
                <c:pt idx="178">
                  <c:v>43574</c:v>
                </c:pt>
                <c:pt idx="179">
                  <c:v>43573</c:v>
                </c:pt>
                <c:pt idx="180">
                  <c:v>43572</c:v>
                </c:pt>
                <c:pt idx="181">
                  <c:v>43571</c:v>
                </c:pt>
                <c:pt idx="182">
                  <c:v>43570</c:v>
                </c:pt>
                <c:pt idx="183">
                  <c:v>43567</c:v>
                </c:pt>
                <c:pt idx="184">
                  <c:v>43566</c:v>
                </c:pt>
                <c:pt idx="185">
                  <c:v>43565</c:v>
                </c:pt>
                <c:pt idx="186">
                  <c:v>43564</c:v>
                </c:pt>
                <c:pt idx="187">
                  <c:v>43563</c:v>
                </c:pt>
                <c:pt idx="188">
                  <c:v>43560</c:v>
                </c:pt>
                <c:pt idx="189">
                  <c:v>43559</c:v>
                </c:pt>
                <c:pt idx="190">
                  <c:v>43558</c:v>
                </c:pt>
                <c:pt idx="191">
                  <c:v>43557</c:v>
                </c:pt>
                <c:pt idx="192">
                  <c:v>43556</c:v>
                </c:pt>
                <c:pt idx="193">
                  <c:v>43553</c:v>
                </c:pt>
                <c:pt idx="194">
                  <c:v>43552</c:v>
                </c:pt>
                <c:pt idx="195">
                  <c:v>43551</c:v>
                </c:pt>
                <c:pt idx="196">
                  <c:v>43550</c:v>
                </c:pt>
                <c:pt idx="197">
                  <c:v>43549</c:v>
                </c:pt>
                <c:pt idx="198">
                  <c:v>43546</c:v>
                </c:pt>
                <c:pt idx="199">
                  <c:v>43544</c:v>
                </c:pt>
                <c:pt idx="200">
                  <c:v>43543</c:v>
                </c:pt>
                <c:pt idx="201">
                  <c:v>43542</c:v>
                </c:pt>
                <c:pt idx="202">
                  <c:v>43539</c:v>
                </c:pt>
                <c:pt idx="203">
                  <c:v>43538</c:v>
                </c:pt>
                <c:pt idx="204">
                  <c:v>43537</c:v>
                </c:pt>
                <c:pt idx="205">
                  <c:v>43536</c:v>
                </c:pt>
                <c:pt idx="206">
                  <c:v>43535</c:v>
                </c:pt>
                <c:pt idx="207">
                  <c:v>43532</c:v>
                </c:pt>
                <c:pt idx="208">
                  <c:v>43531</c:v>
                </c:pt>
                <c:pt idx="209">
                  <c:v>43530</c:v>
                </c:pt>
                <c:pt idx="210">
                  <c:v>43529</c:v>
                </c:pt>
                <c:pt idx="211">
                  <c:v>43528</c:v>
                </c:pt>
                <c:pt idx="212">
                  <c:v>43525</c:v>
                </c:pt>
                <c:pt idx="213">
                  <c:v>43524</c:v>
                </c:pt>
                <c:pt idx="214">
                  <c:v>43523</c:v>
                </c:pt>
                <c:pt idx="215">
                  <c:v>43522</c:v>
                </c:pt>
                <c:pt idx="216">
                  <c:v>43521</c:v>
                </c:pt>
                <c:pt idx="217">
                  <c:v>43518</c:v>
                </c:pt>
                <c:pt idx="218">
                  <c:v>43517</c:v>
                </c:pt>
                <c:pt idx="219">
                  <c:v>43516</c:v>
                </c:pt>
                <c:pt idx="220">
                  <c:v>43515</c:v>
                </c:pt>
                <c:pt idx="221">
                  <c:v>43514</c:v>
                </c:pt>
                <c:pt idx="222">
                  <c:v>43511</c:v>
                </c:pt>
                <c:pt idx="223">
                  <c:v>43510</c:v>
                </c:pt>
                <c:pt idx="224">
                  <c:v>43509</c:v>
                </c:pt>
                <c:pt idx="225">
                  <c:v>43508</c:v>
                </c:pt>
                <c:pt idx="226">
                  <c:v>43504</c:v>
                </c:pt>
                <c:pt idx="227">
                  <c:v>43503</c:v>
                </c:pt>
                <c:pt idx="228">
                  <c:v>43502</c:v>
                </c:pt>
                <c:pt idx="229">
                  <c:v>43501</c:v>
                </c:pt>
                <c:pt idx="230">
                  <c:v>43500</c:v>
                </c:pt>
                <c:pt idx="231">
                  <c:v>43497</c:v>
                </c:pt>
                <c:pt idx="232">
                  <c:v>43496</c:v>
                </c:pt>
                <c:pt idx="233">
                  <c:v>43495</c:v>
                </c:pt>
                <c:pt idx="234">
                  <c:v>43494</c:v>
                </c:pt>
                <c:pt idx="235">
                  <c:v>43493</c:v>
                </c:pt>
                <c:pt idx="236">
                  <c:v>43490</c:v>
                </c:pt>
                <c:pt idx="237">
                  <c:v>43489</c:v>
                </c:pt>
                <c:pt idx="238">
                  <c:v>43488</c:v>
                </c:pt>
                <c:pt idx="239">
                  <c:v>43487</c:v>
                </c:pt>
                <c:pt idx="240">
                  <c:v>43486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1.4136208638627252</c:v>
                </c:pt>
                <c:pt idx="1">
                  <c:v>1.4107085124556995</c:v>
                </c:pt>
                <c:pt idx="2">
                  <c:v>1.4050776939333804</c:v>
                </c:pt>
                <c:pt idx="3">
                  <c:v>1.4010802375360234</c:v>
                </c:pt>
                <c:pt idx="4">
                  <c:v>1.3971737456482385</c:v>
                </c:pt>
                <c:pt idx="5">
                  <c:v>1.3942994030763156</c:v>
                </c:pt>
                <c:pt idx="6">
                  <c:v>1.3924692404527927</c:v>
                </c:pt>
                <c:pt idx="7">
                  <c:v>1.3905446025264279</c:v>
                </c:pt>
                <c:pt idx="8">
                  <c:v>1.3885345827394246</c:v>
                </c:pt>
                <c:pt idx="9">
                  <c:v>1.3859655573697691</c:v>
                </c:pt>
                <c:pt idx="10">
                  <c:v>1.3837466759606398</c:v>
                </c:pt>
                <c:pt idx="11">
                  <c:v>1.3832519959487595</c:v>
                </c:pt>
                <c:pt idx="12">
                  <c:v>1.3820213461539548</c:v>
                </c:pt>
                <c:pt idx="13">
                  <c:v>1.3813587202037361</c:v>
                </c:pt>
                <c:pt idx="14">
                  <c:v>1.380563655174442</c:v>
                </c:pt>
                <c:pt idx="15">
                  <c:v>1.3803413438318475</c:v>
                </c:pt>
                <c:pt idx="16">
                  <c:v>1.3800505749577656</c:v>
                </c:pt>
                <c:pt idx="17">
                  <c:v>1.3798140582134606</c:v>
                </c:pt>
                <c:pt idx="18">
                  <c:v>1.3802846291034696</c:v>
                </c:pt>
                <c:pt idx="19">
                  <c:v>1.3813272081751908</c:v>
                </c:pt>
                <c:pt idx="20">
                  <c:v>1.3815822284544168</c:v>
                </c:pt>
                <c:pt idx="21">
                  <c:v>1.3812606946019976</c:v>
                </c:pt>
                <c:pt idx="22">
                  <c:v>1.3809349034867218</c:v>
                </c:pt>
                <c:pt idx="23">
                  <c:v>1.3806712880215393</c:v>
                </c:pt>
                <c:pt idx="24">
                  <c:v>1.3804384050478191</c:v>
                </c:pt>
                <c:pt idx="25">
                  <c:v>1.3791546169235824</c:v>
                </c:pt>
                <c:pt idx="26">
                  <c:v>1.3781945506710198</c:v>
                </c:pt>
                <c:pt idx="27">
                  <c:v>1.3759697236221846</c:v>
                </c:pt>
                <c:pt idx="28">
                  <c:v>1.3743750961924071</c:v>
                </c:pt>
                <c:pt idx="29">
                  <c:v>1.3719158468863824</c:v>
                </c:pt>
                <c:pt idx="30">
                  <c:v>1.3715830849245592</c:v>
                </c:pt>
                <c:pt idx="31">
                  <c:v>1.3716762355944991</c:v>
                </c:pt>
                <c:pt idx="32">
                  <c:v>1.3713059565596255</c:v>
                </c:pt>
                <c:pt idx="33">
                  <c:v>1.3711511568221724</c:v>
                </c:pt>
                <c:pt idx="34">
                  <c:v>1.3707489700997071</c:v>
                </c:pt>
                <c:pt idx="35">
                  <c:v>1.3713936453568549</c:v>
                </c:pt>
                <c:pt idx="36">
                  <c:v>1.3705402628017789</c:v>
                </c:pt>
                <c:pt idx="37">
                  <c:v>1.368330809742361</c:v>
                </c:pt>
                <c:pt idx="38">
                  <c:v>1.3662742531410799</c:v>
                </c:pt>
                <c:pt idx="39">
                  <c:v>1.3637274581440444</c:v>
                </c:pt>
                <c:pt idx="40">
                  <c:v>1.3612939081132867</c:v>
                </c:pt>
                <c:pt idx="41">
                  <c:v>1.3610532655125676</c:v>
                </c:pt>
                <c:pt idx="42">
                  <c:v>1.3600057044244473</c:v>
                </c:pt>
                <c:pt idx="43">
                  <c:v>1.3604211127753607</c:v>
                </c:pt>
                <c:pt idx="44">
                  <c:v>1.3604453074071903</c:v>
                </c:pt>
                <c:pt idx="45">
                  <c:v>1.3601927321204537</c:v>
                </c:pt>
                <c:pt idx="46">
                  <c:v>1.3614143047664098</c:v>
                </c:pt>
                <c:pt idx="47">
                  <c:v>1.3618823821460198</c:v>
                </c:pt>
                <c:pt idx="48">
                  <c:v>1.36061416586524</c:v>
                </c:pt>
                <c:pt idx="49">
                  <c:v>1.3600222278815428</c:v>
                </c:pt>
                <c:pt idx="50">
                  <c:v>1.3612183670499074</c:v>
                </c:pt>
                <c:pt idx="51">
                  <c:v>1.3620139596334004</c:v>
                </c:pt>
                <c:pt idx="52">
                  <c:v>1.3626244223299002</c:v>
                </c:pt>
                <c:pt idx="53">
                  <c:v>1.3671984076504311</c:v>
                </c:pt>
                <c:pt idx="54">
                  <c:v>1.3719731276961402</c:v>
                </c:pt>
                <c:pt idx="55">
                  <c:v>1.3761128139315439</c:v>
                </c:pt>
                <c:pt idx="56">
                  <c:v>1.3795886904447814</c:v>
                </c:pt>
                <c:pt idx="57">
                  <c:v>1.3823156320473304</c:v>
                </c:pt>
                <c:pt idx="58">
                  <c:v>1.3840225021786259</c:v>
                </c:pt>
                <c:pt idx="59">
                  <c:v>1.3855886497677419</c:v>
                </c:pt>
                <c:pt idx="60">
                  <c:v>1.3881548695034711</c:v>
                </c:pt>
                <c:pt idx="61">
                  <c:v>1.3927406157030076</c:v>
                </c:pt>
                <c:pt idx="62">
                  <c:v>1.3983446346214352</c:v>
                </c:pt>
                <c:pt idx="63">
                  <c:v>1.4040730381966728</c:v>
                </c:pt>
                <c:pt idx="64">
                  <c:v>1.4097406816722717</c:v>
                </c:pt>
                <c:pt idx="65">
                  <c:v>1.415943253235906</c:v>
                </c:pt>
                <c:pt idx="66">
                  <c:v>1.4238258659736966</c:v>
                </c:pt>
                <c:pt idx="67">
                  <c:v>1.4323884561403486</c:v>
                </c:pt>
                <c:pt idx="68">
                  <c:v>1.4366097010004044</c:v>
                </c:pt>
                <c:pt idx="69">
                  <c:v>1.4402245044470732</c:v>
                </c:pt>
                <c:pt idx="70">
                  <c:v>1.4429395161172753</c:v>
                </c:pt>
                <c:pt idx="71">
                  <c:v>1.4457514931239084</c:v>
                </c:pt>
                <c:pt idx="72">
                  <c:v>1.4477628772782483</c:v>
                </c:pt>
                <c:pt idx="73">
                  <c:v>1.4487288771496125</c:v>
                </c:pt>
                <c:pt idx="74">
                  <c:v>1.4498536090053098</c:v>
                </c:pt>
                <c:pt idx="75">
                  <c:v>1.4513467540835379</c:v>
                </c:pt>
                <c:pt idx="76">
                  <c:v>1.4522692189343198</c:v>
                </c:pt>
                <c:pt idx="77">
                  <c:v>1.4530597540814147</c:v>
                </c:pt>
                <c:pt idx="78">
                  <c:v>1.4542477041629402</c:v>
                </c:pt>
                <c:pt idx="79">
                  <c:v>1.4545502595072168</c:v>
                </c:pt>
                <c:pt idx="80">
                  <c:v>1.4559654267402353</c:v>
                </c:pt>
                <c:pt idx="81">
                  <c:v>1.4573048488023712</c:v>
                </c:pt>
                <c:pt idx="82">
                  <c:v>1.4588846692302992</c:v>
                </c:pt>
                <c:pt idx="83">
                  <c:v>1.46057082015233</c:v>
                </c:pt>
                <c:pt idx="84">
                  <c:v>1.4628823819133794</c:v>
                </c:pt>
                <c:pt idx="85">
                  <c:v>1.4649093639403887</c:v>
                </c:pt>
                <c:pt idx="86">
                  <c:v>1.46570381180675</c:v>
                </c:pt>
                <c:pt idx="87">
                  <c:v>1.4680763141230824</c:v>
                </c:pt>
                <c:pt idx="88">
                  <c:v>1.4702597428562396</c:v>
                </c:pt>
                <c:pt idx="89">
                  <c:v>1.4717383592057458</c:v>
                </c:pt>
                <c:pt idx="90">
                  <c:v>1.4731578042421152</c:v>
                </c:pt>
                <c:pt idx="91">
                  <c:v>1.4740275045011835</c:v>
                </c:pt>
                <c:pt idx="92">
                  <c:v>1.4753365312484381</c:v>
                </c:pt>
                <c:pt idx="93">
                  <c:v>1.4782608094179994</c:v>
                </c:pt>
                <c:pt idx="94">
                  <c:v>1.4774495650473174</c:v>
                </c:pt>
                <c:pt idx="95">
                  <c:v>1.4774209474579818</c:v>
                </c:pt>
                <c:pt idx="96">
                  <c:v>1.4779368019605947</c:v>
                </c:pt>
                <c:pt idx="97">
                  <c:v>1.4773844602252344</c:v>
                </c:pt>
                <c:pt idx="98">
                  <c:v>1.4771815305107949</c:v>
                </c:pt>
                <c:pt idx="99">
                  <c:v>1.476838763607476</c:v>
                </c:pt>
                <c:pt idx="100">
                  <c:v>1.4770070020704091</c:v>
                </c:pt>
                <c:pt idx="101">
                  <c:v>1.4776295280201821</c:v>
                </c:pt>
                <c:pt idx="102">
                  <c:v>1.4772271119162423</c:v>
                </c:pt>
                <c:pt idx="103">
                  <c:v>1.4768742403585089</c:v>
                </c:pt>
                <c:pt idx="104">
                  <c:v>1.4768664071577891</c:v>
                </c:pt>
                <c:pt idx="105">
                  <c:v>1.4760611191309372</c:v>
                </c:pt>
                <c:pt idx="106">
                  <c:v>1.4750974057360451</c:v>
                </c:pt>
                <c:pt idx="107">
                  <c:v>1.4738097121620661</c:v>
                </c:pt>
                <c:pt idx="108">
                  <c:v>1.4714527521752812</c:v>
                </c:pt>
                <c:pt idx="109">
                  <c:v>1.4700030271096141</c:v>
                </c:pt>
                <c:pt idx="110">
                  <c:v>1.4655618979893865</c:v>
                </c:pt>
                <c:pt idx="111">
                  <c:v>1.4647088944825528</c:v>
                </c:pt>
                <c:pt idx="112">
                  <c:v>1.4645583890839236</c:v>
                </c:pt>
                <c:pt idx="113">
                  <c:v>1.464627632795036</c:v>
                </c:pt>
                <c:pt idx="114">
                  <c:v>1.4643786659851312</c:v>
                </c:pt>
                <c:pt idx="115">
                  <c:v>1.4642818193091534</c:v>
                </c:pt>
                <c:pt idx="116">
                  <c:v>1.4644944576826362</c:v>
                </c:pt>
                <c:pt idx="117">
                  <c:v>1.4644492955841362</c:v>
                </c:pt>
                <c:pt idx="118">
                  <c:v>1.4650314104034825</c:v>
                </c:pt>
                <c:pt idx="119">
                  <c:v>1.4671480267332995</c:v>
                </c:pt>
                <c:pt idx="120">
                  <c:v>1.4678570223531349</c:v>
                </c:pt>
                <c:pt idx="121">
                  <c:v>1.4682094248057003</c:v>
                </c:pt>
                <c:pt idx="122">
                  <c:v>1.4699564272021712</c:v>
                </c:pt>
                <c:pt idx="123">
                  <c:v>1.4714495174501754</c:v>
                </c:pt>
                <c:pt idx="124">
                  <c:v>1.4723607858165584</c:v>
                </c:pt>
                <c:pt idx="125">
                  <c:v>1.4723502869683507</c:v>
                </c:pt>
                <c:pt idx="126">
                  <c:v>1.4723223729416839</c:v>
                </c:pt>
                <c:pt idx="127">
                  <c:v>1.4720022509477952</c:v>
                </c:pt>
                <c:pt idx="128">
                  <c:v>1.4714722301806846</c:v>
                </c:pt>
                <c:pt idx="129">
                  <c:v>1.4706979890306748</c:v>
                </c:pt>
                <c:pt idx="130">
                  <c:v>1.4701029466491857</c:v>
                </c:pt>
                <c:pt idx="131">
                  <c:v>1.4695754712347526</c:v>
                </c:pt>
                <c:pt idx="132">
                  <c:v>1.4693338496144954</c:v>
                </c:pt>
                <c:pt idx="133">
                  <c:v>1.4692421694383277</c:v>
                </c:pt>
                <c:pt idx="134">
                  <c:v>1.469611603892039</c:v>
                </c:pt>
                <c:pt idx="135">
                  <c:v>1.4698481513864883</c:v>
                </c:pt>
                <c:pt idx="136">
                  <c:v>1.4698206304864883</c:v>
                </c:pt>
                <c:pt idx="137">
                  <c:v>1.4681063141229387</c:v>
                </c:pt>
                <c:pt idx="138">
                  <c:v>1.4659677306319434</c:v>
                </c:pt>
                <c:pt idx="139">
                  <c:v>1.4635659303024016</c:v>
                </c:pt>
                <c:pt idx="140">
                  <c:v>1.4609427263405992</c:v>
                </c:pt>
                <c:pt idx="141">
                  <c:v>1.4565210623961515</c:v>
                </c:pt>
                <c:pt idx="142">
                  <c:v>1.4503293663134098</c:v>
                </c:pt>
                <c:pt idx="143">
                  <c:v>1.4478210757404884</c:v>
                </c:pt>
                <c:pt idx="144">
                  <c:v>1.4458137941815519</c:v>
                </c:pt>
                <c:pt idx="145">
                  <c:v>1.4446300322312979</c:v>
                </c:pt>
                <c:pt idx="146">
                  <c:v>1.4429706207423476</c:v>
                </c:pt>
                <c:pt idx="147">
                  <c:v>1.4420023468241068</c:v>
                </c:pt>
                <c:pt idx="148">
                  <c:v>1.4415845152937383</c:v>
                </c:pt>
                <c:pt idx="149">
                  <c:v>1.4413739360708271</c:v>
                </c:pt>
                <c:pt idx="150">
                  <c:v>1.4405481175891175</c:v>
                </c:pt>
                <c:pt idx="151">
                  <c:v>1.4406621791324565</c:v>
                </c:pt>
                <c:pt idx="152">
                  <c:v>1.442163755296977</c:v>
                </c:pt>
                <c:pt idx="153">
                  <c:v>1.4423226986133617</c:v>
                </c:pt>
                <c:pt idx="154">
                  <c:v>1.4432660778262341</c:v>
                </c:pt>
                <c:pt idx="155">
                  <c:v>1.4426440812578405</c:v>
                </c:pt>
                <c:pt idx="156">
                  <c:v>1.4432715239658944</c:v>
                </c:pt>
                <c:pt idx="157">
                  <c:v>1.4427160485272235</c:v>
                </c:pt>
                <c:pt idx="158">
                  <c:v>1.4405486134395031</c:v>
                </c:pt>
                <c:pt idx="159">
                  <c:v>1.4390435146064293</c:v>
                </c:pt>
                <c:pt idx="160">
                  <c:v>1.4370058183973591</c:v>
                </c:pt>
                <c:pt idx="161">
                  <c:v>1.4368463688641229</c:v>
                </c:pt>
                <c:pt idx="162">
                  <c:v>1.4349579543368929</c:v>
                </c:pt>
                <c:pt idx="163">
                  <c:v>1.4317619959015531</c:v>
                </c:pt>
                <c:pt idx="164">
                  <c:v>1.4296503095258055</c:v>
                </c:pt>
                <c:pt idx="165">
                  <c:v>1.4269942331032424</c:v>
                </c:pt>
                <c:pt idx="166">
                  <c:v>1.4252315779974685</c:v>
                </c:pt>
                <c:pt idx="167">
                  <c:v>1.4214729775228534</c:v>
                </c:pt>
                <c:pt idx="168">
                  <c:v>1.4142149262165664</c:v>
                </c:pt>
                <c:pt idx="169">
                  <c:v>1.4116880103177334</c:v>
                </c:pt>
                <c:pt idx="170">
                  <c:v>1.4082935907328644</c:v>
                </c:pt>
                <c:pt idx="171">
                  <c:v>1.4038667488445489</c:v>
                </c:pt>
                <c:pt idx="172">
                  <c:v>1.4026957915949501</c:v>
                </c:pt>
                <c:pt idx="173">
                  <c:v>1.4018623749678865</c:v>
                </c:pt>
                <c:pt idx="174">
                  <c:v>1.4017479147670413</c:v>
                </c:pt>
                <c:pt idx="175">
                  <c:v>1.4018393308638728</c:v>
                </c:pt>
                <c:pt idx="176">
                  <c:v>1.4017779843020806</c:v>
                </c:pt>
                <c:pt idx="177">
                  <c:v>1.4023390023440601</c:v>
                </c:pt>
                <c:pt idx="178">
                  <c:v>1.4024419993676631</c:v>
                </c:pt>
                <c:pt idx="179">
                  <c:v>1.4028853948359548</c:v>
                </c:pt>
                <c:pt idx="180">
                  <c:v>1.4031490177304555</c:v>
                </c:pt>
                <c:pt idx="181">
                  <c:v>1.4031417432156617</c:v>
                </c:pt>
                <c:pt idx="182">
                  <c:v>1.4031369586761524</c:v>
                </c:pt>
                <c:pt idx="183">
                  <c:v>1.4031727885019349</c:v>
                </c:pt>
                <c:pt idx="184">
                  <c:v>1.4036167263341239</c:v>
                </c:pt>
                <c:pt idx="185">
                  <c:v>1.4043232405464894</c:v>
                </c:pt>
                <c:pt idx="186">
                  <c:v>1.4036640939750404</c:v>
                </c:pt>
                <c:pt idx="187">
                  <c:v>1.4032894519938555</c:v>
                </c:pt>
                <c:pt idx="188">
                  <c:v>1.402996505760431</c:v>
                </c:pt>
                <c:pt idx="189">
                  <c:v>1.4028716380019082</c:v>
                </c:pt>
                <c:pt idx="190">
                  <c:v>1.4029427683156135</c:v>
                </c:pt>
                <c:pt idx="191">
                  <c:v>1.4029163789731374</c:v>
                </c:pt>
                <c:pt idx="192">
                  <c:v>1.4030735103596583</c:v>
                </c:pt>
                <c:pt idx="193">
                  <c:v>1.4031963832719707</c:v>
                </c:pt>
                <c:pt idx="194">
                  <c:v>1.4026525458084562</c:v>
                </c:pt>
                <c:pt idx="195">
                  <c:v>1.4030047460956043</c:v>
                </c:pt>
                <c:pt idx="196">
                  <c:v>1.4034912583888071</c:v>
                </c:pt>
                <c:pt idx="197">
                  <c:v>1.4060708820644634</c:v>
                </c:pt>
                <c:pt idx="198">
                  <c:v>1.4115097389974662</c:v>
                </c:pt>
                <c:pt idx="199">
                  <c:v>1.4187536926265172</c:v>
                </c:pt>
                <c:pt idx="200">
                  <c:v>1.4302619191964288</c:v>
                </c:pt>
                <c:pt idx="201">
                  <c:v>1.4383343205776906</c:v>
                </c:pt>
                <c:pt idx="202">
                  <c:v>1.445757561872834</c:v>
                </c:pt>
                <c:pt idx="203">
                  <c:v>1.4517677051500038</c:v>
                </c:pt>
                <c:pt idx="204">
                  <c:v>1.4568387716718634</c:v>
                </c:pt>
                <c:pt idx="205">
                  <c:v>1.4605450910133901</c:v>
                </c:pt>
                <c:pt idx="206">
                  <c:v>1.4639043082517778</c:v>
                </c:pt>
                <c:pt idx="207">
                  <c:v>1.4663470060722885</c:v>
                </c:pt>
                <c:pt idx="208">
                  <c:v>1.4688709800733626</c:v>
                </c:pt>
                <c:pt idx="209">
                  <c:v>1.4705319207715521</c:v>
                </c:pt>
                <c:pt idx="210">
                  <c:v>1.4709268204087647</c:v>
                </c:pt>
                <c:pt idx="211">
                  <c:v>1.4700052943873454</c:v>
                </c:pt>
                <c:pt idx="212">
                  <c:v>1.4706133664365137</c:v>
                </c:pt>
                <c:pt idx="213">
                  <c:v>1.4708955445609568</c:v>
                </c:pt>
                <c:pt idx="214">
                  <c:v>1.471178799023338</c:v>
                </c:pt>
                <c:pt idx="215">
                  <c:v>1.4715299007364919</c:v>
                </c:pt>
                <c:pt idx="216">
                  <c:v>1.4729176068151852</c:v>
                </c:pt>
                <c:pt idx="217">
                  <c:v>1.4733710498985926</c:v>
                </c:pt>
                <c:pt idx="218">
                  <c:v>1.4736189189934112</c:v>
                </c:pt>
                <c:pt idx="219">
                  <c:v>1.4732679878802504</c:v>
                </c:pt>
                <c:pt idx="220">
                  <c:v>1.4729898200758433</c:v>
                </c:pt>
                <c:pt idx="221">
                  <c:v>1.4730756619787229</c:v>
                </c:pt>
                <c:pt idx="222">
                  <c:v>1.4730089190625111</c:v>
                </c:pt>
                <c:pt idx="223">
                  <c:v>1.473361816392629</c:v>
                </c:pt>
                <c:pt idx="224">
                  <c:v>1.4741232205830377</c:v>
                </c:pt>
                <c:pt idx="225">
                  <c:v>1.4754520847992776</c:v>
                </c:pt>
                <c:pt idx="226">
                  <c:v>1.4753951551726872</c:v>
                </c:pt>
                <c:pt idx="227">
                  <c:v>1.4738616083349299</c:v>
                </c:pt>
                <c:pt idx="228">
                  <c:v>1.4728461552589218</c:v>
                </c:pt>
                <c:pt idx="229">
                  <c:v>1.4715757938230098</c:v>
                </c:pt>
                <c:pt idx="230">
                  <c:v>1.4710635019995968</c:v>
                </c:pt>
                <c:pt idx="231">
                  <c:v>1.4692567457876471</c:v>
                </c:pt>
                <c:pt idx="232">
                  <c:v>1.4679069944007785</c:v>
                </c:pt>
                <c:pt idx="233">
                  <c:v>1.4680081829611393</c:v>
                </c:pt>
                <c:pt idx="234">
                  <c:v>1.4675513348075999</c:v>
                </c:pt>
                <c:pt idx="235">
                  <c:v>1.4675227537306132</c:v>
                </c:pt>
                <c:pt idx="236">
                  <c:v>1.4667471119516657</c:v>
                </c:pt>
                <c:pt idx="237">
                  <c:v>1.4657615602012268</c:v>
                </c:pt>
                <c:pt idx="238">
                  <c:v>1.4657743761130191</c:v>
                </c:pt>
                <c:pt idx="239">
                  <c:v>1.4660548178259241</c:v>
                </c:pt>
                <c:pt idx="240">
                  <c:v>1.4667526987027388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43850</c:v>
                </c:pt>
                <c:pt idx="1">
                  <c:v>43847</c:v>
                </c:pt>
                <c:pt idx="2">
                  <c:v>43846</c:v>
                </c:pt>
                <c:pt idx="3">
                  <c:v>43845</c:v>
                </c:pt>
                <c:pt idx="4">
                  <c:v>43844</c:v>
                </c:pt>
                <c:pt idx="5">
                  <c:v>43840</c:v>
                </c:pt>
                <c:pt idx="6">
                  <c:v>43839</c:v>
                </c:pt>
                <c:pt idx="7">
                  <c:v>43838</c:v>
                </c:pt>
                <c:pt idx="8">
                  <c:v>43837</c:v>
                </c:pt>
                <c:pt idx="9">
                  <c:v>43836</c:v>
                </c:pt>
                <c:pt idx="10">
                  <c:v>43829</c:v>
                </c:pt>
                <c:pt idx="11">
                  <c:v>43826</c:v>
                </c:pt>
                <c:pt idx="12">
                  <c:v>43825</c:v>
                </c:pt>
                <c:pt idx="13">
                  <c:v>43824</c:v>
                </c:pt>
                <c:pt idx="14">
                  <c:v>43823</c:v>
                </c:pt>
                <c:pt idx="15">
                  <c:v>43822</c:v>
                </c:pt>
                <c:pt idx="16">
                  <c:v>43819</c:v>
                </c:pt>
                <c:pt idx="17">
                  <c:v>43818</c:v>
                </c:pt>
                <c:pt idx="18">
                  <c:v>43817</c:v>
                </c:pt>
                <c:pt idx="19">
                  <c:v>43816</c:v>
                </c:pt>
                <c:pt idx="20">
                  <c:v>43815</c:v>
                </c:pt>
                <c:pt idx="21">
                  <c:v>43812</c:v>
                </c:pt>
                <c:pt idx="22">
                  <c:v>43811</c:v>
                </c:pt>
                <c:pt idx="23">
                  <c:v>43810</c:v>
                </c:pt>
                <c:pt idx="24">
                  <c:v>43809</c:v>
                </c:pt>
                <c:pt idx="25">
                  <c:v>43808</c:v>
                </c:pt>
                <c:pt idx="26">
                  <c:v>43805</c:v>
                </c:pt>
                <c:pt idx="27">
                  <c:v>43804</c:v>
                </c:pt>
                <c:pt idx="28">
                  <c:v>43803</c:v>
                </c:pt>
                <c:pt idx="29">
                  <c:v>43802</c:v>
                </c:pt>
                <c:pt idx="30">
                  <c:v>43801</c:v>
                </c:pt>
                <c:pt idx="31">
                  <c:v>43798</c:v>
                </c:pt>
                <c:pt idx="32">
                  <c:v>43797</c:v>
                </c:pt>
                <c:pt idx="33">
                  <c:v>43796</c:v>
                </c:pt>
                <c:pt idx="34">
                  <c:v>43795</c:v>
                </c:pt>
                <c:pt idx="35">
                  <c:v>43794</c:v>
                </c:pt>
                <c:pt idx="36">
                  <c:v>43791</c:v>
                </c:pt>
                <c:pt idx="37">
                  <c:v>43790</c:v>
                </c:pt>
                <c:pt idx="38">
                  <c:v>43789</c:v>
                </c:pt>
                <c:pt idx="39">
                  <c:v>43788</c:v>
                </c:pt>
                <c:pt idx="40">
                  <c:v>43787</c:v>
                </c:pt>
                <c:pt idx="41">
                  <c:v>43784</c:v>
                </c:pt>
                <c:pt idx="42">
                  <c:v>43783</c:v>
                </c:pt>
                <c:pt idx="43">
                  <c:v>43782</c:v>
                </c:pt>
                <c:pt idx="44">
                  <c:v>43781</c:v>
                </c:pt>
                <c:pt idx="45">
                  <c:v>43780</c:v>
                </c:pt>
                <c:pt idx="46">
                  <c:v>43777</c:v>
                </c:pt>
                <c:pt idx="47">
                  <c:v>43776</c:v>
                </c:pt>
                <c:pt idx="48">
                  <c:v>43775</c:v>
                </c:pt>
                <c:pt idx="49">
                  <c:v>43774</c:v>
                </c:pt>
                <c:pt idx="50">
                  <c:v>43770</c:v>
                </c:pt>
                <c:pt idx="51">
                  <c:v>43769</c:v>
                </c:pt>
                <c:pt idx="52">
                  <c:v>43768</c:v>
                </c:pt>
                <c:pt idx="53">
                  <c:v>43767</c:v>
                </c:pt>
                <c:pt idx="54">
                  <c:v>43766</c:v>
                </c:pt>
                <c:pt idx="55">
                  <c:v>43763</c:v>
                </c:pt>
                <c:pt idx="56">
                  <c:v>43762</c:v>
                </c:pt>
                <c:pt idx="57">
                  <c:v>43761</c:v>
                </c:pt>
                <c:pt idx="58">
                  <c:v>43759</c:v>
                </c:pt>
                <c:pt idx="59">
                  <c:v>43756</c:v>
                </c:pt>
                <c:pt idx="60">
                  <c:v>43755</c:v>
                </c:pt>
                <c:pt idx="61">
                  <c:v>43754</c:v>
                </c:pt>
                <c:pt idx="62">
                  <c:v>43753</c:v>
                </c:pt>
                <c:pt idx="63">
                  <c:v>43749</c:v>
                </c:pt>
                <c:pt idx="64">
                  <c:v>43748</c:v>
                </c:pt>
                <c:pt idx="65">
                  <c:v>43747</c:v>
                </c:pt>
                <c:pt idx="66">
                  <c:v>43746</c:v>
                </c:pt>
                <c:pt idx="67">
                  <c:v>43745</c:v>
                </c:pt>
                <c:pt idx="68">
                  <c:v>43742</c:v>
                </c:pt>
                <c:pt idx="69">
                  <c:v>43741</c:v>
                </c:pt>
                <c:pt idx="70">
                  <c:v>43740</c:v>
                </c:pt>
                <c:pt idx="71">
                  <c:v>43739</c:v>
                </c:pt>
                <c:pt idx="72">
                  <c:v>43738</c:v>
                </c:pt>
                <c:pt idx="73">
                  <c:v>43735</c:v>
                </c:pt>
                <c:pt idx="74">
                  <c:v>43734</c:v>
                </c:pt>
                <c:pt idx="75">
                  <c:v>43733</c:v>
                </c:pt>
                <c:pt idx="76">
                  <c:v>43732</c:v>
                </c:pt>
                <c:pt idx="77">
                  <c:v>43728</c:v>
                </c:pt>
                <c:pt idx="78">
                  <c:v>43727</c:v>
                </c:pt>
                <c:pt idx="79">
                  <c:v>43726</c:v>
                </c:pt>
                <c:pt idx="80">
                  <c:v>43725</c:v>
                </c:pt>
                <c:pt idx="81">
                  <c:v>43721</c:v>
                </c:pt>
                <c:pt idx="82">
                  <c:v>43720</c:v>
                </c:pt>
                <c:pt idx="83">
                  <c:v>43719</c:v>
                </c:pt>
                <c:pt idx="84">
                  <c:v>43718</c:v>
                </c:pt>
                <c:pt idx="85">
                  <c:v>43717</c:v>
                </c:pt>
                <c:pt idx="86">
                  <c:v>43714</c:v>
                </c:pt>
                <c:pt idx="87">
                  <c:v>43713</c:v>
                </c:pt>
                <c:pt idx="88">
                  <c:v>43712</c:v>
                </c:pt>
                <c:pt idx="89">
                  <c:v>43711</c:v>
                </c:pt>
                <c:pt idx="90">
                  <c:v>43710</c:v>
                </c:pt>
                <c:pt idx="91">
                  <c:v>43707</c:v>
                </c:pt>
                <c:pt idx="92">
                  <c:v>43706</c:v>
                </c:pt>
                <c:pt idx="93">
                  <c:v>43705</c:v>
                </c:pt>
                <c:pt idx="94">
                  <c:v>43704</c:v>
                </c:pt>
                <c:pt idx="95">
                  <c:v>43703</c:v>
                </c:pt>
                <c:pt idx="96">
                  <c:v>43700</c:v>
                </c:pt>
                <c:pt idx="97">
                  <c:v>43699</c:v>
                </c:pt>
                <c:pt idx="98">
                  <c:v>43698</c:v>
                </c:pt>
                <c:pt idx="99">
                  <c:v>43697</c:v>
                </c:pt>
                <c:pt idx="100">
                  <c:v>43696</c:v>
                </c:pt>
                <c:pt idx="101">
                  <c:v>43693</c:v>
                </c:pt>
                <c:pt idx="102">
                  <c:v>43692</c:v>
                </c:pt>
                <c:pt idx="103">
                  <c:v>43691</c:v>
                </c:pt>
                <c:pt idx="104">
                  <c:v>43690</c:v>
                </c:pt>
                <c:pt idx="105">
                  <c:v>43686</c:v>
                </c:pt>
                <c:pt idx="106">
                  <c:v>43685</c:v>
                </c:pt>
                <c:pt idx="107">
                  <c:v>43684</c:v>
                </c:pt>
                <c:pt idx="108">
                  <c:v>43683</c:v>
                </c:pt>
                <c:pt idx="109">
                  <c:v>43682</c:v>
                </c:pt>
                <c:pt idx="110">
                  <c:v>43679</c:v>
                </c:pt>
                <c:pt idx="111">
                  <c:v>43678</c:v>
                </c:pt>
                <c:pt idx="112">
                  <c:v>43677</c:v>
                </c:pt>
                <c:pt idx="113">
                  <c:v>43676</c:v>
                </c:pt>
                <c:pt idx="114">
                  <c:v>43675</c:v>
                </c:pt>
                <c:pt idx="115">
                  <c:v>43672</c:v>
                </c:pt>
                <c:pt idx="116">
                  <c:v>43671</c:v>
                </c:pt>
                <c:pt idx="117">
                  <c:v>43670</c:v>
                </c:pt>
                <c:pt idx="118">
                  <c:v>43669</c:v>
                </c:pt>
                <c:pt idx="119">
                  <c:v>43668</c:v>
                </c:pt>
                <c:pt idx="120">
                  <c:v>43665</c:v>
                </c:pt>
                <c:pt idx="121">
                  <c:v>43664</c:v>
                </c:pt>
                <c:pt idx="122">
                  <c:v>43663</c:v>
                </c:pt>
                <c:pt idx="123">
                  <c:v>43662</c:v>
                </c:pt>
                <c:pt idx="124">
                  <c:v>43658</c:v>
                </c:pt>
                <c:pt idx="125">
                  <c:v>43657</c:v>
                </c:pt>
                <c:pt idx="126">
                  <c:v>43656</c:v>
                </c:pt>
                <c:pt idx="127">
                  <c:v>43655</c:v>
                </c:pt>
                <c:pt idx="128">
                  <c:v>43654</c:v>
                </c:pt>
                <c:pt idx="129">
                  <c:v>43651</c:v>
                </c:pt>
                <c:pt idx="130">
                  <c:v>43650</c:v>
                </c:pt>
                <c:pt idx="131">
                  <c:v>43649</c:v>
                </c:pt>
                <c:pt idx="132">
                  <c:v>43648</c:v>
                </c:pt>
                <c:pt idx="133">
                  <c:v>43647</c:v>
                </c:pt>
                <c:pt idx="134">
                  <c:v>43644</c:v>
                </c:pt>
                <c:pt idx="135">
                  <c:v>43643</c:v>
                </c:pt>
                <c:pt idx="136">
                  <c:v>43642</c:v>
                </c:pt>
                <c:pt idx="137">
                  <c:v>43641</c:v>
                </c:pt>
                <c:pt idx="138">
                  <c:v>43640</c:v>
                </c:pt>
                <c:pt idx="139">
                  <c:v>43637</c:v>
                </c:pt>
                <c:pt idx="140">
                  <c:v>43636</c:v>
                </c:pt>
                <c:pt idx="141">
                  <c:v>43635</c:v>
                </c:pt>
                <c:pt idx="142">
                  <c:v>43634</c:v>
                </c:pt>
                <c:pt idx="143">
                  <c:v>43633</c:v>
                </c:pt>
                <c:pt idx="144">
                  <c:v>43630</c:v>
                </c:pt>
                <c:pt idx="145">
                  <c:v>43629</c:v>
                </c:pt>
                <c:pt idx="146">
                  <c:v>43628</c:v>
                </c:pt>
                <c:pt idx="147">
                  <c:v>43627</c:v>
                </c:pt>
                <c:pt idx="148">
                  <c:v>43626</c:v>
                </c:pt>
                <c:pt idx="149">
                  <c:v>43623</c:v>
                </c:pt>
                <c:pt idx="150">
                  <c:v>43622</c:v>
                </c:pt>
                <c:pt idx="151">
                  <c:v>43621</c:v>
                </c:pt>
                <c:pt idx="152">
                  <c:v>43620</c:v>
                </c:pt>
                <c:pt idx="153">
                  <c:v>43619</c:v>
                </c:pt>
                <c:pt idx="154">
                  <c:v>43616</c:v>
                </c:pt>
                <c:pt idx="155">
                  <c:v>43615</c:v>
                </c:pt>
                <c:pt idx="156">
                  <c:v>43614</c:v>
                </c:pt>
                <c:pt idx="157">
                  <c:v>43613</c:v>
                </c:pt>
                <c:pt idx="158">
                  <c:v>43612</c:v>
                </c:pt>
                <c:pt idx="159">
                  <c:v>43609</c:v>
                </c:pt>
                <c:pt idx="160">
                  <c:v>43608</c:v>
                </c:pt>
                <c:pt idx="161">
                  <c:v>43607</c:v>
                </c:pt>
                <c:pt idx="162">
                  <c:v>43606</c:v>
                </c:pt>
                <c:pt idx="163">
                  <c:v>43605</c:v>
                </c:pt>
                <c:pt idx="164">
                  <c:v>43602</c:v>
                </c:pt>
                <c:pt idx="165">
                  <c:v>43601</c:v>
                </c:pt>
                <c:pt idx="166">
                  <c:v>43600</c:v>
                </c:pt>
                <c:pt idx="167">
                  <c:v>43599</c:v>
                </c:pt>
                <c:pt idx="168">
                  <c:v>43598</c:v>
                </c:pt>
                <c:pt idx="169">
                  <c:v>43595</c:v>
                </c:pt>
                <c:pt idx="170">
                  <c:v>43594</c:v>
                </c:pt>
                <c:pt idx="171">
                  <c:v>43593</c:v>
                </c:pt>
                <c:pt idx="172">
                  <c:v>43592</c:v>
                </c:pt>
                <c:pt idx="173">
                  <c:v>43581</c:v>
                </c:pt>
                <c:pt idx="174">
                  <c:v>43580</c:v>
                </c:pt>
                <c:pt idx="175">
                  <c:v>43579</c:v>
                </c:pt>
                <c:pt idx="176">
                  <c:v>43578</c:v>
                </c:pt>
                <c:pt idx="177">
                  <c:v>43577</c:v>
                </c:pt>
                <c:pt idx="178">
                  <c:v>43574</c:v>
                </c:pt>
                <c:pt idx="179">
                  <c:v>43573</c:v>
                </c:pt>
                <c:pt idx="180">
                  <c:v>43572</c:v>
                </c:pt>
                <c:pt idx="181">
                  <c:v>43571</c:v>
                </c:pt>
                <c:pt idx="182">
                  <c:v>43570</c:v>
                </c:pt>
                <c:pt idx="183">
                  <c:v>43567</c:v>
                </c:pt>
                <c:pt idx="184">
                  <c:v>43566</c:v>
                </c:pt>
                <c:pt idx="185">
                  <c:v>43565</c:v>
                </c:pt>
                <c:pt idx="186">
                  <c:v>43564</c:v>
                </c:pt>
                <c:pt idx="187">
                  <c:v>43563</c:v>
                </c:pt>
                <c:pt idx="188">
                  <c:v>43560</c:v>
                </c:pt>
                <c:pt idx="189">
                  <c:v>43559</c:v>
                </c:pt>
                <c:pt idx="190">
                  <c:v>43558</c:v>
                </c:pt>
                <c:pt idx="191">
                  <c:v>43557</c:v>
                </c:pt>
                <c:pt idx="192">
                  <c:v>43556</c:v>
                </c:pt>
                <c:pt idx="193">
                  <c:v>43553</c:v>
                </c:pt>
                <c:pt idx="194">
                  <c:v>43552</c:v>
                </c:pt>
                <c:pt idx="195">
                  <c:v>43551</c:v>
                </c:pt>
                <c:pt idx="196">
                  <c:v>43550</c:v>
                </c:pt>
                <c:pt idx="197">
                  <c:v>43549</c:v>
                </c:pt>
                <c:pt idx="198">
                  <c:v>43546</c:v>
                </c:pt>
                <c:pt idx="199">
                  <c:v>43544</c:v>
                </c:pt>
                <c:pt idx="200">
                  <c:v>43543</c:v>
                </c:pt>
                <c:pt idx="201">
                  <c:v>43542</c:v>
                </c:pt>
                <c:pt idx="202">
                  <c:v>43539</c:v>
                </c:pt>
                <c:pt idx="203">
                  <c:v>43538</c:v>
                </c:pt>
                <c:pt idx="204">
                  <c:v>43537</c:v>
                </c:pt>
                <c:pt idx="205">
                  <c:v>43536</c:v>
                </c:pt>
                <c:pt idx="206">
                  <c:v>43535</c:v>
                </c:pt>
                <c:pt idx="207">
                  <c:v>43532</c:v>
                </c:pt>
                <c:pt idx="208">
                  <c:v>43531</c:v>
                </c:pt>
                <c:pt idx="209">
                  <c:v>43530</c:v>
                </c:pt>
                <c:pt idx="210">
                  <c:v>43529</c:v>
                </c:pt>
                <c:pt idx="211">
                  <c:v>43528</c:v>
                </c:pt>
                <c:pt idx="212">
                  <c:v>43525</c:v>
                </c:pt>
                <c:pt idx="213">
                  <c:v>43524</c:v>
                </c:pt>
                <c:pt idx="214">
                  <c:v>43523</c:v>
                </c:pt>
                <c:pt idx="215">
                  <c:v>43522</c:v>
                </c:pt>
                <c:pt idx="216">
                  <c:v>43521</c:v>
                </c:pt>
                <c:pt idx="217">
                  <c:v>43518</c:v>
                </c:pt>
                <c:pt idx="218">
                  <c:v>43517</c:v>
                </c:pt>
                <c:pt idx="219">
                  <c:v>43516</c:v>
                </c:pt>
                <c:pt idx="220">
                  <c:v>43515</c:v>
                </c:pt>
                <c:pt idx="221">
                  <c:v>43514</c:v>
                </c:pt>
                <c:pt idx="222">
                  <c:v>43511</c:v>
                </c:pt>
                <c:pt idx="223">
                  <c:v>43510</c:v>
                </c:pt>
                <c:pt idx="224">
                  <c:v>43509</c:v>
                </c:pt>
                <c:pt idx="225">
                  <c:v>43508</c:v>
                </c:pt>
                <c:pt idx="226">
                  <c:v>43504</c:v>
                </c:pt>
                <c:pt idx="227">
                  <c:v>43503</c:v>
                </c:pt>
                <c:pt idx="228">
                  <c:v>43502</c:v>
                </c:pt>
                <c:pt idx="229">
                  <c:v>43501</c:v>
                </c:pt>
                <c:pt idx="230">
                  <c:v>43500</c:v>
                </c:pt>
                <c:pt idx="231">
                  <c:v>43497</c:v>
                </c:pt>
                <c:pt idx="232">
                  <c:v>43496</c:v>
                </c:pt>
                <c:pt idx="233">
                  <c:v>43495</c:v>
                </c:pt>
                <c:pt idx="234">
                  <c:v>43494</c:v>
                </c:pt>
                <c:pt idx="235">
                  <c:v>43493</c:v>
                </c:pt>
                <c:pt idx="236">
                  <c:v>43490</c:v>
                </c:pt>
                <c:pt idx="237">
                  <c:v>43489</c:v>
                </c:pt>
                <c:pt idx="238">
                  <c:v>43488</c:v>
                </c:pt>
                <c:pt idx="239">
                  <c:v>43487</c:v>
                </c:pt>
                <c:pt idx="240">
                  <c:v>43486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1.2431235201656547</c:v>
                </c:pt>
                <c:pt idx="1">
                  <c:v>1.2423692905375006</c:v>
                </c:pt>
                <c:pt idx="2">
                  <c:v>1.2435959643057797</c:v>
                </c:pt>
                <c:pt idx="3">
                  <c:v>1.2447054423068165</c:v>
                </c:pt>
                <c:pt idx="4">
                  <c:v>1.2457401298886215</c:v>
                </c:pt>
                <c:pt idx="5">
                  <c:v>1.2459730702896246</c:v>
                </c:pt>
                <c:pt idx="6">
                  <c:v>1.2450348596912473</c:v>
                </c:pt>
                <c:pt idx="7">
                  <c:v>1.2435422608627722</c:v>
                </c:pt>
                <c:pt idx="8">
                  <c:v>1.2416162228043155</c:v>
                </c:pt>
                <c:pt idx="9">
                  <c:v>1.2402542972662109</c:v>
                </c:pt>
                <c:pt idx="10">
                  <c:v>1.2392688612675</c:v>
                </c:pt>
                <c:pt idx="11">
                  <c:v>1.2366638477778205</c:v>
                </c:pt>
                <c:pt idx="12">
                  <c:v>1.235430967542225</c:v>
                </c:pt>
                <c:pt idx="13">
                  <c:v>1.2347498309573439</c:v>
                </c:pt>
                <c:pt idx="14">
                  <c:v>1.2345226352206982</c:v>
                </c:pt>
                <c:pt idx="15">
                  <c:v>1.2337271851178726</c:v>
                </c:pt>
                <c:pt idx="16">
                  <c:v>1.2345632494965946</c:v>
                </c:pt>
                <c:pt idx="17">
                  <c:v>1.2350070218809595</c:v>
                </c:pt>
                <c:pt idx="18">
                  <c:v>1.2340158999189705</c:v>
                </c:pt>
                <c:pt idx="19">
                  <c:v>1.231446580008029</c:v>
                </c:pt>
                <c:pt idx="20">
                  <c:v>1.2296623354760634</c:v>
                </c:pt>
                <c:pt idx="21">
                  <c:v>1.2282691146978622</c:v>
                </c:pt>
                <c:pt idx="22">
                  <c:v>1.2274348691249584</c:v>
                </c:pt>
                <c:pt idx="23">
                  <c:v>1.2273038491257806</c:v>
                </c:pt>
                <c:pt idx="24">
                  <c:v>1.2271074810056608</c:v>
                </c:pt>
                <c:pt idx="25">
                  <c:v>1.2270548369418577</c:v>
                </c:pt>
                <c:pt idx="26">
                  <c:v>1.2272692824676004</c:v>
                </c:pt>
                <c:pt idx="27">
                  <c:v>1.2272802530023552</c:v>
                </c:pt>
                <c:pt idx="28">
                  <c:v>1.2270667682442729</c:v>
                </c:pt>
                <c:pt idx="29">
                  <c:v>1.2275669140013776</c:v>
                </c:pt>
                <c:pt idx="30">
                  <c:v>1.2266895416865209</c:v>
                </c:pt>
                <c:pt idx="31">
                  <c:v>1.226094360099901</c:v>
                </c:pt>
                <c:pt idx="32">
                  <c:v>1.2250047834797144</c:v>
                </c:pt>
                <c:pt idx="33">
                  <c:v>1.2229739294349078</c:v>
                </c:pt>
                <c:pt idx="34">
                  <c:v>1.2218855087102929</c:v>
                </c:pt>
                <c:pt idx="35">
                  <c:v>1.2184321219034051</c:v>
                </c:pt>
                <c:pt idx="36">
                  <c:v>1.218333123506101</c:v>
                </c:pt>
                <c:pt idx="37">
                  <c:v>1.2193360140877592</c:v>
                </c:pt>
                <c:pt idx="38">
                  <c:v>1.2205295762041199</c:v>
                </c:pt>
                <c:pt idx="39">
                  <c:v>1.2215803258577158</c:v>
                </c:pt>
                <c:pt idx="40">
                  <c:v>1.2227203334992933</c:v>
                </c:pt>
                <c:pt idx="41">
                  <c:v>1.2228333801860924</c:v>
                </c:pt>
                <c:pt idx="42">
                  <c:v>1.2231655543384328</c:v>
                </c:pt>
                <c:pt idx="43">
                  <c:v>1.2230659271838391</c:v>
                </c:pt>
                <c:pt idx="44">
                  <c:v>1.2230625425135297</c:v>
                </c:pt>
                <c:pt idx="45">
                  <c:v>1.2231340439268061</c:v>
                </c:pt>
                <c:pt idx="46">
                  <c:v>1.2225351438612502</c:v>
                </c:pt>
                <c:pt idx="47">
                  <c:v>1.2222589675011202</c:v>
                </c:pt>
                <c:pt idx="48">
                  <c:v>1.22308524438196</c:v>
                </c:pt>
                <c:pt idx="49">
                  <c:v>1.2234643739157174</c:v>
                </c:pt>
                <c:pt idx="50">
                  <c:v>1.2228949419008326</c:v>
                </c:pt>
                <c:pt idx="51">
                  <c:v>1.2224337852046796</c:v>
                </c:pt>
                <c:pt idx="52">
                  <c:v>1.2220402318508397</c:v>
                </c:pt>
                <c:pt idx="53">
                  <c:v>1.2197108674076287</c:v>
                </c:pt>
                <c:pt idx="54">
                  <c:v>1.2186579505990596</c:v>
                </c:pt>
                <c:pt idx="55">
                  <c:v>1.2174641690421359</c:v>
                </c:pt>
                <c:pt idx="56">
                  <c:v>1.2166627596082784</c:v>
                </c:pt>
                <c:pt idx="57">
                  <c:v>1.2165725935879494</c:v>
                </c:pt>
                <c:pt idx="58">
                  <c:v>1.2164663694778339</c:v>
                </c:pt>
                <c:pt idx="59">
                  <c:v>1.2169714666035383</c:v>
                </c:pt>
                <c:pt idx="60">
                  <c:v>1.2167935059120887</c:v>
                </c:pt>
                <c:pt idx="61">
                  <c:v>1.2152719020515526</c:v>
                </c:pt>
                <c:pt idx="62">
                  <c:v>1.212784124165045</c:v>
                </c:pt>
                <c:pt idx="63">
                  <c:v>1.2103481696333671</c:v>
                </c:pt>
                <c:pt idx="64">
                  <c:v>1.2078854784315283</c:v>
                </c:pt>
                <c:pt idx="65">
                  <c:v>1.205682196853934</c:v>
                </c:pt>
                <c:pt idx="66">
                  <c:v>1.2018525573498833</c:v>
                </c:pt>
                <c:pt idx="67">
                  <c:v>1.1972658593374912</c:v>
                </c:pt>
                <c:pt idx="68">
                  <c:v>1.1957239398476556</c:v>
                </c:pt>
                <c:pt idx="69">
                  <c:v>1.1946895166235869</c:v>
                </c:pt>
                <c:pt idx="70">
                  <c:v>1.1941228060013447</c:v>
                </c:pt>
                <c:pt idx="71">
                  <c:v>1.1941049062815714</c:v>
                </c:pt>
                <c:pt idx="72">
                  <c:v>1.1952901673236118</c:v>
                </c:pt>
                <c:pt idx="73">
                  <c:v>1.1975662573713075</c:v>
                </c:pt>
                <c:pt idx="74">
                  <c:v>1.1989433783001702</c:v>
                </c:pt>
                <c:pt idx="75">
                  <c:v>1.200173737866062</c:v>
                </c:pt>
                <c:pt idx="76">
                  <c:v>1.201755682081</c:v>
                </c:pt>
                <c:pt idx="77">
                  <c:v>1.2032555076001055</c:v>
                </c:pt>
                <c:pt idx="78">
                  <c:v>1.2038739497159197</c:v>
                </c:pt>
                <c:pt idx="79">
                  <c:v>1.2044891059281233</c:v>
                </c:pt>
                <c:pt idx="80">
                  <c:v>1.2053988852671045</c:v>
                </c:pt>
                <c:pt idx="81">
                  <c:v>1.207000119932129</c:v>
                </c:pt>
                <c:pt idx="82">
                  <c:v>1.2092375179950408</c:v>
                </c:pt>
                <c:pt idx="83">
                  <c:v>1.2120665154185299</c:v>
                </c:pt>
                <c:pt idx="84">
                  <c:v>1.2145699633546008</c:v>
                </c:pt>
                <c:pt idx="85">
                  <c:v>1.2167718282698112</c:v>
                </c:pt>
                <c:pt idx="86">
                  <c:v>1.2203539565266699</c:v>
                </c:pt>
                <c:pt idx="87">
                  <c:v>1.2224161534778777</c:v>
                </c:pt>
                <c:pt idx="88">
                  <c:v>1.2239114390070402</c:v>
                </c:pt>
                <c:pt idx="89">
                  <c:v>1.2251743314585144</c:v>
                </c:pt>
                <c:pt idx="90">
                  <c:v>1.227254384337245</c:v>
                </c:pt>
                <c:pt idx="91">
                  <c:v>1.2294736042958565</c:v>
                </c:pt>
                <c:pt idx="92">
                  <c:v>1.2328476285757417</c:v>
                </c:pt>
                <c:pt idx="93">
                  <c:v>1.2357489987884405</c:v>
                </c:pt>
                <c:pt idx="94">
                  <c:v>1.2409774808627825</c:v>
                </c:pt>
                <c:pt idx="95">
                  <c:v>1.2451866614227982</c:v>
                </c:pt>
                <c:pt idx="96">
                  <c:v>1.2489067363623454</c:v>
                </c:pt>
                <c:pt idx="97">
                  <c:v>1.2520974579690456</c:v>
                </c:pt>
                <c:pt idx="98">
                  <c:v>1.2536627110554652</c:v>
                </c:pt>
                <c:pt idx="99">
                  <c:v>1.2547114590341242</c:v>
                </c:pt>
                <c:pt idx="100">
                  <c:v>1.254338934180991</c:v>
                </c:pt>
                <c:pt idx="101">
                  <c:v>1.2527637408618979</c:v>
                </c:pt>
                <c:pt idx="102">
                  <c:v>1.2536257441429977</c:v>
                </c:pt>
                <c:pt idx="103">
                  <c:v>1.2543829604470711</c:v>
                </c:pt>
                <c:pt idx="104">
                  <c:v>1.2544001405961911</c:v>
                </c:pt>
                <c:pt idx="105">
                  <c:v>1.256028081677703</c:v>
                </c:pt>
                <c:pt idx="106">
                  <c:v>1.2579176897857951</c:v>
                </c:pt>
                <c:pt idx="107">
                  <c:v>1.2605013660961137</c:v>
                </c:pt>
                <c:pt idx="108">
                  <c:v>1.2647711209487189</c:v>
                </c:pt>
                <c:pt idx="109">
                  <c:v>1.2674745617476659</c:v>
                </c:pt>
                <c:pt idx="110">
                  <c:v>1.2748428182981333</c:v>
                </c:pt>
                <c:pt idx="111">
                  <c:v>1.2771984990377674</c:v>
                </c:pt>
                <c:pt idx="112">
                  <c:v>1.2777176326307766</c:v>
                </c:pt>
                <c:pt idx="113">
                  <c:v>1.2772545231841441</c:v>
                </c:pt>
                <c:pt idx="114">
                  <c:v>1.2778587242690487</c:v>
                </c:pt>
                <c:pt idx="115">
                  <c:v>1.2781148082041265</c:v>
                </c:pt>
                <c:pt idx="116">
                  <c:v>1.2773976810245837</c:v>
                </c:pt>
                <c:pt idx="117">
                  <c:v>1.2775032712474637</c:v>
                </c:pt>
                <c:pt idx="118">
                  <c:v>1.2761616142830774</c:v>
                </c:pt>
                <c:pt idx="119">
                  <c:v>1.2724081671533205</c:v>
                </c:pt>
                <c:pt idx="120">
                  <c:v>1.2708664070989051</c:v>
                </c:pt>
                <c:pt idx="121">
                  <c:v>1.2692596751590797</c:v>
                </c:pt>
                <c:pt idx="122">
                  <c:v>1.2647335615164086</c:v>
                </c:pt>
                <c:pt idx="123">
                  <c:v>1.2604269320824848</c:v>
                </c:pt>
                <c:pt idx="124">
                  <c:v>1.2570209805490016</c:v>
                </c:pt>
                <c:pt idx="125">
                  <c:v>1.2562991113011692</c:v>
                </c:pt>
                <c:pt idx="126">
                  <c:v>1.2549572888885363</c:v>
                </c:pt>
                <c:pt idx="127">
                  <c:v>1.2536359710627849</c:v>
                </c:pt>
                <c:pt idx="128">
                  <c:v>1.2518860006053552</c:v>
                </c:pt>
                <c:pt idx="129">
                  <c:v>1.2505273960235452</c:v>
                </c:pt>
                <c:pt idx="130">
                  <c:v>1.2491088282392144</c:v>
                </c:pt>
                <c:pt idx="131">
                  <c:v>1.2486475353602275</c:v>
                </c:pt>
                <c:pt idx="132">
                  <c:v>1.2484531880446248</c:v>
                </c:pt>
                <c:pt idx="133">
                  <c:v>1.2482379271627924</c:v>
                </c:pt>
                <c:pt idx="134">
                  <c:v>1.2485204626525808</c:v>
                </c:pt>
                <c:pt idx="135">
                  <c:v>1.2485744013708315</c:v>
                </c:pt>
                <c:pt idx="136">
                  <c:v>1.2485808388484316</c:v>
                </c:pt>
                <c:pt idx="137">
                  <c:v>1.2487855440244415</c:v>
                </c:pt>
                <c:pt idx="138">
                  <c:v>1.2489605429821165</c:v>
                </c:pt>
                <c:pt idx="139">
                  <c:v>1.2492437949910384</c:v>
                </c:pt>
                <c:pt idx="140">
                  <c:v>1.249994486953401</c:v>
                </c:pt>
                <c:pt idx="141">
                  <c:v>1.2518119700877086</c:v>
                </c:pt>
                <c:pt idx="142">
                  <c:v>1.2545616971995304</c:v>
                </c:pt>
                <c:pt idx="143">
                  <c:v>1.2553011405323917</c:v>
                </c:pt>
                <c:pt idx="144">
                  <c:v>1.2558318887414681</c:v>
                </c:pt>
                <c:pt idx="145">
                  <c:v>1.256104108385262</c:v>
                </c:pt>
                <c:pt idx="146">
                  <c:v>1.2554713818104122</c:v>
                </c:pt>
                <c:pt idx="147">
                  <c:v>1.2554076865523531</c:v>
                </c:pt>
                <c:pt idx="148">
                  <c:v>1.2552624793111617</c:v>
                </c:pt>
                <c:pt idx="149">
                  <c:v>1.2552118959616929</c:v>
                </c:pt>
                <c:pt idx="150">
                  <c:v>1.2543204415295823</c:v>
                </c:pt>
                <c:pt idx="151">
                  <c:v>1.2543293049969435</c:v>
                </c:pt>
                <c:pt idx="152">
                  <c:v>1.2540220836882832</c:v>
                </c:pt>
                <c:pt idx="153">
                  <c:v>1.2540112175821183</c:v>
                </c:pt>
                <c:pt idx="154">
                  <c:v>1.2543438991340461</c:v>
                </c:pt>
                <c:pt idx="155">
                  <c:v>1.2542757232840396</c:v>
                </c:pt>
                <c:pt idx="156">
                  <c:v>1.2540897669971054</c:v>
                </c:pt>
                <c:pt idx="157">
                  <c:v>1.2542537370718967</c:v>
                </c:pt>
                <c:pt idx="158">
                  <c:v>1.2539095537129767</c:v>
                </c:pt>
                <c:pt idx="159">
                  <c:v>1.2506615719278309</c:v>
                </c:pt>
                <c:pt idx="160">
                  <c:v>1.248821466441121</c:v>
                </c:pt>
                <c:pt idx="161">
                  <c:v>1.2444651327328571</c:v>
                </c:pt>
                <c:pt idx="162">
                  <c:v>1.2412075643836671</c:v>
                </c:pt>
                <c:pt idx="163">
                  <c:v>1.2413187869013869</c:v>
                </c:pt>
                <c:pt idx="164">
                  <c:v>1.2404466298113745</c:v>
                </c:pt>
                <c:pt idx="165">
                  <c:v>1.2400099879122177</c:v>
                </c:pt>
                <c:pt idx="166">
                  <c:v>1.2385322132956713</c:v>
                </c:pt>
                <c:pt idx="167">
                  <c:v>1.2381545404938268</c:v>
                </c:pt>
                <c:pt idx="168">
                  <c:v>1.2403942132871935</c:v>
                </c:pt>
                <c:pt idx="169">
                  <c:v>1.2396028658204068</c:v>
                </c:pt>
                <c:pt idx="170">
                  <c:v>1.2397478924118555</c:v>
                </c:pt>
                <c:pt idx="171">
                  <c:v>1.2412069885284911</c:v>
                </c:pt>
                <c:pt idx="172">
                  <c:v>1.2415167126826101</c:v>
                </c:pt>
                <c:pt idx="173">
                  <c:v>1.2413634005552336</c:v>
                </c:pt>
                <c:pt idx="174">
                  <c:v>1.2412160692132586</c:v>
                </c:pt>
                <c:pt idx="175">
                  <c:v>1.2420496974670072</c:v>
                </c:pt>
                <c:pt idx="176">
                  <c:v>1.2429865496371792</c:v>
                </c:pt>
                <c:pt idx="177">
                  <c:v>1.24368815356266</c:v>
                </c:pt>
                <c:pt idx="178">
                  <c:v>1.2442675554746969</c:v>
                </c:pt>
                <c:pt idx="179">
                  <c:v>1.2451820566532652</c:v>
                </c:pt>
                <c:pt idx="180">
                  <c:v>1.2458109880275845</c:v>
                </c:pt>
                <c:pt idx="181">
                  <c:v>1.2458880261698382</c:v>
                </c:pt>
                <c:pt idx="182">
                  <c:v>1.2456087500192476</c:v>
                </c:pt>
                <c:pt idx="183">
                  <c:v>1.2457087429576652</c:v>
                </c:pt>
                <c:pt idx="184">
                  <c:v>1.2442179127860959</c:v>
                </c:pt>
                <c:pt idx="185">
                  <c:v>1.2415641612548904</c:v>
                </c:pt>
                <c:pt idx="186">
                  <c:v>1.2407160489296796</c:v>
                </c:pt>
                <c:pt idx="187">
                  <c:v>1.2402192478931446</c:v>
                </c:pt>
                <c:pt idx="188">
                  <c:v>1.2394774872278489</c:v>
                </c:pt>
                <c:pt idx="189">
                  <c:v>1.2392390666028119</c:v>
                </c:pt>
                <c:pt idx="190">
                  <c:v>1.2392884450119463</c:v>
                </c:pt>
                <c:pt idx="191">
                  <c:v>1.2392504455199427</c:v>
                </c:pt>
                <c:pt idx="192">
                  <c:v>1.2394262984284217</c:v>
                </c:pt>
                <c:pt idx="193">
                  <c:v>1.2399359916945694</c:v>
                </c:pt>
                <c:pt idx="194">
                  <c:v>1.2424676836919437</c:v>
                </c:pt>
                <c:pt idx="195">
                  <c:v>1.2434748653999759</c:v>
                </c:pt>
                <c:pt idx="196">
                  <c:v>1.2439202889856329</c:v>
                </c:pt>
                <c:pt idx="197">
                  <c:v>1.2452055808822164</c:v>
                </c:pt>
                <c:pt idx="198">
                  <c:v>1.2446564657817738</c:v>
                </c:pt>
                <c:pt idx="199">
                  <c:v>1.2425381437124829</c:v>
                </c:pt>
                <c:pt idx="200">
                  <c:v>1.2359552510240313</c:v>
                </c:pt>
                <c:pt idx="201">
                  <c:v>1.2324422705800895</c:v>
                </c:pt>
                <c:pt idx="202">
                  <c:v>1.2294396652002662</c:v>
                </c:pt>
                <c:pt idx="203">
                  <c:v>1.2278015837054961</c:v>
                </c:pt>
                <c:pt idx="204">
                  <c:v>1.2266157017479966</c:v>
                </c:pt>
                <c:pt idx="205">
                  <c:v>1.2263638419093297</c:v>
                </c:pt>
                <c:pt idx="206">
                  <c:v>1.2255934430864222</c:v>
                </c:pt>
                <c:pt idx="207">
                  <c:v>1.2251002169679717</c:v>
                </c:pt>
                <c:pt idx="208">
                  <c:v>1.2248236577816376</c:v>
                </c:pt>
                <c:pt idx="209">
                  <c:v>1.2244090275544277</c:v>
                </c:pt>
                <c:pt idx="210">
                  <c:v>1.2243539219392352</c:v>
                </c:pt>
                <c:pt idx="211">
                  <c:v>1.2244868969626148</c:v>
                </c:pt>
                <c:pt idx="212">
                  <c:v>1.2244971025759264</c:v>
                </c:pt>
                <c:pt idx="213">
                  <c:v>1.2246112640470033</c:v>
                </c:pt>
                <c:pt idx="214">
                  <c:v>1.2247425106053418</c:v>
                </c:pt>
                <c:pt idx="215">
                  <c:v>1.2247618288104483</c:v>
                </c:pt>
                <c:pt idx="216">
                  <c:v>1.2245532098585146</c:v>
                </c:pt>
                <c:pt idx="217">
                  <c:v>1.2246970254605274</c:v>
                </c:pt>
                <c:pt idx="218">
                  <c:v>1.2247511598984486</c:v>
                </c:pt>
                <c:pt idx="219">
                  <c:v>1.2244778184919096</c:v>
                </c:pt>
                <c:pt idx="220">
                  <c:v>1.2222279933870168</c:v>
                </c:pt>
                <c:pt idx="221">
                  <c:v>1.2215711226715371</c:v>
                </c:pt>
                <c:pt idx="222">
                  <c:v>1.2199146629621689</c:v>
                </c:pt>
                <c:pt idx="223">
                  <c:v>1.2171786503586108</c:v>
                </c:pt>
                <c:pt idx="224">
                  <c:v>1.2131761780953823</c:v>
                </c:pt>
                <c:pt idx="225">
                  <c:v>1.2095600736375225</c:v>
                </c:pt>
                <c:pt idx="226">
                  <c:v>1.2064042290148327</c:v>
                </c:pt>
                <c:pt idx="227">
                  <c:v>1.2040569711626303</c:v>
                </c:pt>
                <c:pt idx="228">
                  <c:v>1.2027165961625181</c:v>
                </c:pt>
                <c:pt idx="229">
                  <c:v>1.2018640653660702</c:v>
                </c:pt>
                <c:pt idx="230">
                  <c:v>1.2012614280130631</c:v>
                </c:pt>
                <c:pt idx="231">
                  <c:v>1.2010710577882329</c:v>
                </c:pt>
                <c:pt idx="232">
                  <c:v>1.2005520519623214</c:v>
                </c:pt>
                <c:pt idx="233">
                  <c:v>1.2007511185510005</c:v>
                </c:pt>
                <c:pt idx="234">
                  <c:v>1.2032668516776599</c:v>
                </c:pt>
                <c:pt idx="235">
                  <c:v>1.2048573727734069</c:v>
                </c:pt>
                <c:pt idx="236">
                  <c:v>1.2083289023490542</c:v>
                </c:pt>
                <c:pt idx="237">
                  <c:v>1.211437785821333</c:v>
                </c:pt>
                <c:pt idx="238">
                  <c:v>1.2116826825464209</c:v>
                </c:pt>
                <c:pt idx="239">
                  <c:v>1.2129569027677358</c:v>
                </c:pt>
                <c:pt idx="240">
                  <c:v>1.2142522338279611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43850</c:v>
                </c:pt>
                <c:pt idx="1">
                  <c:v>43847</c:v>
                </c:pt>
                <c:pt idx="2">
                  <c:v>43846</c:v>
                </c:pt>
                <c:pt idx="3">
                  <c:v>43845</c:v>
                </c:pt>
                <c:pt idx="4">
                  <c:v>43844</c:v>
                </c:pt>
                <c:pt idx="5">
                  <c:v>43840</c:v>
                </c:pt>
                <c:pt idx="6">
                  <c:v>43839</c:v>
                </c:pt>
                <c:pt idx="7">
                  <c:v>43838</c:v>
                </c:pt>
                <c:pt idx="8">
                  <c:v>43837</c:v>
                </c:pt>
                <c:pt idx="9">
                  <c:v>43836</c:v>
                </c:pt>
                <c:pt idx="10">
                  <c:v>43829</c:v>
                </c:pt>
                <c:pt idx="11">
                  <c:v>43826</c:v>
                </c:pt>
                <c:pt idx="12">
                  <c:v>43825</c:v>
                </c:pt>
                <c:pt idx="13">
                  <c:v>43824</c:v>
                </c:pt>
                <c:pt idx="14">
                  <c:v>43823</c:v>
                </c:pt>
                <c:pt idx="15">
                  <c:v>43822</c:v>
                </c:pt>
                <c:pt idx="16">
                  <c:v>43819</c:v>
                </c:pt>
                <c:pt idx="17">
                  <c:v>43818</c:v>
                </c:pt>
                <c:pt idx="18">
                  <c:v>43817</c:v>
                </c:pt>
                <c:pt idx="19">
                  <c:v>43816</c:v>
                </c:pt>
                <c:pt idx="20">
                  <c:v>43815</c:v>
                </c:pt>
                <c:pt idx="21">
                  <c:v>43812</c:v>
                </c:pt>
                <c:pt idx="22">
                  <c:v>43811</c:v>
                </c:pt>
                <c:pt idx="23">
                  <c:v>43810</c:v>
                </c:pt>
                <c:pt idx="24">
                  <c:v>43809</c:v>
                </c:pt>
                <c:pt idx="25">
                  <c:v>43808</c:v>
                </c:pt>
                <c:pt idx="26">
                  <c:v>43805</c:v>
                </c:pt>
                <c:pt idx="27">
                  <c:v>43804</c:v>
                </c:pt>
                <c:pt idx="28">
                  <c:v>43803</c:v>
                </c:pt>
                <c:pt idx="29">
                  <c:v>43802</c:v>
                </c:pt>
                <c:pt idx="30">
                  <c:v>43801</c:v>
                </c:pt>
                <c:pt idx="31">
                  <c:v>43798</c:v>
                </c:pt>
                <c:pt idx="32">
                  <c:v>43797</c:v>
                </c:pt>
                <c:pt idx="33">
                  <c:v>43796</c:v>
                </c:pt>
                <c:pt idx="34">
                  <c:v>43795</c:v>
                </c:pt>
                <c:pt idx="35">
                  <c:v>43794</c:v>
                </c:pt>
                <c:pt idx="36">
                  <c:v>43791</c:v>
                </c:pt>
                <c:pt idx="37">
                  <c:v>43790</c:v>
                </c:pt>
                <c:pt idx="38">
                  <c:v>43789</c:v>
                </c:pt>
                <c:pt idx="39">
                  <c:v>43788</c:v>
                </c:pt>
                <c:pt idx="40">
                  <c:v>43787</c:v>
                </c:pt>
                <c:pt idx="41">
                  <c:v>43784</c:v>
                </c:pt>
                <c:pt idx="42">
                  <c:v>43783</c:v>
                </c:pt>
                <c:pt idx="43">
                  <c:v>43782</c:v>
                </c:pt>
                <c:pt idx="44">
                  <c:v>43781</c:v>
                </c:pt>
                <c:pt idx="45">
                  <c:v>43780</c:v>
                </c:pt>
                <c:pt idx="46">
                  <c:v>43777</c:v>
                </c:pt>
                <c:pt idx="47">
                  <c:v>43776</c:v>
                </c:pt>
                <c:pt idx="48">
                  <c:v>43775</c:v>
                </c:pt>
                <c:pt idx="49">
                  <c:v>43774</c:v>
                </c:pt>
                <c:pt idx="50">
                  <c:v>43770</c:v>
                </c:pt>
                <c:pt idx="51">
                  <c:v>43769</c:v>
                </c:pt>
                <c:pt idx="52">
                  <c:v>43768</c:v>
                </c:pt>
                <c:pt idx="53">
                  <c:v>43767</c:v>
                </c:pt>
                <c:pt idx="54">
                  <c:v>43766</c:v>
                </c:pt>
                <c:pt idx="55">
                  <c:v>43763</c:v>
                </c:pt>
                <c:pt idx="56">
                  <c:v>43762</c:v>
                </c:pt>
                <c:pt idx="57">
                  <c:v>43761</c:v>
                </c:pt>
                <c:pt idx="58">
                  <c:v>43759</c:v>
                </c:pt>
                <c:pt idx="59">
                  <c:v>43756</c:v>
                </c:pt>
                <c:pt idx="60">
                  <c:v>43755</c:v>
                </c:pt>
                <c:pt idx="61">
                  <c:v>43754</c:v>
                </c:pt>
                <c:pt idx="62">
                  <c:v>43753</c:v>
                </c:pt>
                <c:pt idx="63">
                  <c:v>43749</c:v>
                </c:pt>
                <c:pt idx="64">
                  <c:v>43748</c:v>
                </c:pt>
                <c:pt idx="65">
                  <c:v>43747</c:v>
                </c:pt>
                <c:pt idx="66">
                  <c:v>43746</c:v>
                </c:pt>
                <c:pt idx="67">
                  <c:v>43745</c:v>
                </c:pt>
                <c:pt idx="68">
                  <c:v>43742</c:v>
                </c:pt>
                <c:pt idx="69">
                  <c:v>43741</c:v>
                </c:pt>
                <c:pt idx="70">
                  <c:v>43740</c:v>
                </c:pt>
                <c:pt idx="71">
                  <c:v>43739</c:v>
                </c:pt>
                <c:pt idx="72">
                  <c:v>43738</c:v>
                </c:pt>
                <c:pt idx="73">
                  <c:v>43735</c:v>
                </c:pt>
                <c:pt idx="74">
                  <c:v>43734</c:v>
                </c:pt>
                <c:pt idx="75">
                  <c:v>43733</c:v>
                </c:pt>
                <c:pt idx="76">
                  <c:v>43732</c:v>
                </c:pt>
                <c:pt idx="77">
                  <c:v>43728</c:v>
                </c:pt>
                <c:pt idx="78">
                  <c:v>43727</c:v>
                </c:pt>
                <c:pt idx="79">
                  <c:v>43726</c:v>
                </c:pt>
                <c:pt idx="80">
                  <c:v>43725</c:v>
                </c:pt>
                <c:pt idx="81">
                  <c:v>43721</c:v>
                </c:pt>
                <c:pt idx="82">
                  <c:v>43720</c:v>
                </c:pt>
                <c:pt idx="83">
                  <c:v>43719</c:v>
                </c:pt>
                <c:pt idx="84">
                  <c:v>43718</c:v>
                </c:pt>
                <c:pt idx="85">
                  <c:v>43717</c:v>
                </c:pt>
                <c:pt idx="86">
                  <c:v>43714</c:v>
                </c:pt>
                <c:pt idx="87">
                  <c:v>43713</c:v>
                </c:pt>
                <c:pt idx="88">
                  <c:v>43712</c:v>
                </c:pt>
                <c:pt idx="89">
                  <c:v>43711</c:v>
                </c:pt>
                <c:pt idx="90">
                  <c:v>43710</c:v>
                </c:pt>
                <c:pt idx="91">
                  <c:v>43707</c:v>
                </c:pt>
                <c:pt idx="92">
                  <c:v>43706</c:v>
                </c:pt>
                <c:pt idx="93">
                  <c:v>43705</c:v>
                </c:pt>
                <c:pt idx="94">
                  <c:v>43704</c:v>
                </c:pt>
                <c:pt idx="95">
                  <c:v>43703</c:v>
                </c:pt>
                <c:pt idx="96">
                  <c:v>43700</c:v>
                </c:pt>
                <c:pt idx="97">
                  <c:v>43699</c:v>
                </c:pt>
                <c:pt idx="98">
                  <c:v>43698</c:v>
                </c:pt>
                <c:pt idx="99">
                  <c:v>43697</c:v>
                </c:pt>
                <c:pt idx="100">
                  <c:v>43696</c:v>
                </c:pt>
                <c:pt idx="101">
                  <c:v>43693</c:v>
                </c:pt>
                <c:pt idx="102">
                  <c:v>43692</c:v>
                </c:pt>
                <c:pt idx="103">
                  <c:v>43691</c:v>
                </c:pt>
                <c:pt idx="104">
                  <c:v>43690</c:v>
                </c:pt>
                <c:pt idx="105">
                  <c:v>43686</c:v>
                </c:pt>
                <c:pt idx="106">
                  <c:v>43685</c:v>
                </c:pt>
                <c:pt idx="107">
                  <c:v>43684</c:v>
                </c:pt>
                <c:pt idx="108">
                  <c:v>43683</c:v>
                </c:pt>
                <c:pt idx="109">
                  <c:v>43682</c:v>
                </c:pt>
                <c:pt idx="110">
                  <c:v>43679</c:v>
                </c:pt>
                <c:pt idx="111">
                  <c:v>43678</c:v>
                </c:pt>
                <c:pt idx="112">
                  <c:v>43677</c:v>
                </c:pt>
                <c:pt idx="113">
                  <c:v>43676</c:v>
                </c:pt>
                <c:pt idx="114">
                  <c:v>43675</c:v>
                </c:pt>
                <c:pt idx="115">
                  <c:v>43672</c:v>
                </c:pt>
                <c:pt idx="116">
                  <c:v>43671</c:v>
                </c:pt>
                <c:pt idx="117">
                  <c:v>43670</c:v>
                </c:pt>
                <c:pt idx="118">
                  <c:v>43669</c:v>
                </c:pt>
                <c:pt idx="119">
                  <c:v>43668</c:v>
                </c:pt>
                <c:pt idx="120">
                  <c:v>43665</c:v>
                </c:pt>
                <c:pt idx="121">
                  <c:v>43664</c:v>
                </c:pt>
                <c:pt idx="122">
                  <c:v>43663</c:v>
                </c:pt>
                <c:pt idx="123">
                  <c:v>43662</c:v>
                </c:pt>
                <c:pt idx="124">
                  <c:v>43658</c:v>
                </c:pt>
                <c:pt idx="125">
                  <c:v>43657</c:v>
                </c:pt>
                <c:pt idx="126">
                  <c:v>43656</c:v>
                </c:pt>
                <c:pt idx="127">
                  <c:v>43655</c:v>
                </c:pt>
                <c:pt idx="128">
                  <c:v>43654</c:v>
                </c:pt>
                <c:pt idx="129">
                  <c:v>43651</c:v>
                </c:pt>
                <c:pt idx="130">
                  <c:v>43650</c:v>
                </c:pt>
                <c:pt idx="131">
                  <c:v>43649</c:v>
                </c:pt>
                <c:pt idx="132">
                  <c:v>43648</c:v>
                </c:pt>
                <c:pt idx="133">
                  <c:v>43647</c:v>
                </c:pt>
                <c:pt idx="134">
                  <c:v>43644</c:v>
                </c:pt>
                <c:pt idx="135">
                  <c:v>43643</c:v>
                </c:pt>
                <c:pt idx="136">
                  <c:v>43642</c:v>
                </c:pt>
                <c:pt idx="137">
                  <c:v>43641</c:v>
                </c:pt>
                <c:pt idx="138">
                  <c:v>43640</c:v>
                </c:pt>
                <c:pt idx="139">
                  <c:v>43637</c:v>
                </c:pt>
                <c:pt idx="140">
                  <c:v>43636</c:v>
                </c:pt>
                <c:pt idx="141">
                  <c:v>43635</c:v>
                </c:pt>
                <c:pt idx="142">
                  <c:v>43634</c:v>
                </c:pt>
                <c:pt idx="143">
                  <c:v>43633</c:v>
                </c:pt>
                <c:pt idx="144">
                  <c:v>43630</c:v>
                </c:pt>
                <c:pt idx="145">
                  <c:v>43629</c:v>
                </c:pt>
                <c:pt idx="146">
                  <c:v>43628</c:v>
                </c:pt>
                <c:pt idx="147">
                  <c:v>43627</c:v>
                </c:pt>
                <c:pt idx="148">
                  <c:v>43626</c:v>
                </c:pt>
                <c:pt idx="149">
                  <c:v>43623</c:v>
                </c:pt>
                <c:pt idx="150">
                  <c:v>43622</c:v>
                </c:pt>
                <c:pt idx="151">
                  <c:v>43621</c:v>
                </c:pt>
                <c:pt idx="152">
                  <c:v>43620</c:v>
                </c:pt>
                <c:pt idx="153">
                  <c:v>43619</c:v>
                </c:pt>
                <c:pt idx="154">
                  <c:v>43616</c:v>
                </c:pt>
                <c:pt idx="155">
                  <c:v>43615</c:v>
                </c:pt>
                <c:pt idx="156">
                  <c:v>43614</c:v>
                </c:pt>
                <c:pt idx="157">
                  <c:v>43613</c:v>
                </c:pt>
                <c:pt idx="158">
                  <c:v>43612</c:v>
                </c:pt>
                <c:pt idx="159">
                  <c:v>43609</c:v>
                </c:pt>
                <c:pt idx="160">
                  <c:v>43608</c:v>
                </c:pt>
                <c:pt idx="161">
                  <c:v>43607</c:v>
                </c:pt>
                <c:pt idx="162">
                  <c:v>43606</c:v>
                </c:pt>
                <c:pt idx="163">
                  <c:v>43605</c:v>
                </c:pt>
                <c:pt idx="164">
                  <c:v>43602</c:v>
                </c:pt>
                <c:pt idx="165">
                  <c:v>43601</c:v>
                </c:pt>
                <c:pt idx="166">
                  <c:v>43600</c:v>
                </c:pt>
                <c:pt idx="167">
                  <c:v>43599</c:v>
                </c:pt>
                <c:pt idx="168">
                  <c:v>43598</c:v>
                </c:pt>
                <c:pt idx="169">
                  <c:v>43595</c:v>
                </c:pt>
                <c:pt idx="170">
                  <c:v>43594</c:v>
                </c:pt>
                <c:pt idx="171">
                  <c:v>43593</c:v>
                </c:pt>
                <c:pt idx="172">
                  <c:v>43592</c:v>
                </c:pt>
                <c:pt idx="173">
                  <c:v>43581</c:v>
                </c:pt>
                <c:pt idx="174">
                  <c:v>43580</c:v>
                </c:pt>
                <c:pt idx="175">
                  <c:v>43579</c:v>
                </c:pt>
                <c:pt idx="176">
                  <c:v>43578</c:v>
                </c:pt>
                <c:pt idx="177">
                  <c:v>43577</c:v>
                </c:pt>
                <c:pt idx="178">
                  <c:v>43574</c:v>
                </c:pt>
                <c:pt idx="179">
                  <c:v>43573</c:v>
                </c:pt>
                <c:pt idx="180">
                  <c:v>43572</c:v>
                </c:pt>
                <c:pt idx="181">
                  <c:v>43571</c:v>
                </c:pt>
                <c:pt idx="182">
                  <c:v>43570</c:v>
                </c:pt>
                <c:pt idx="183">
                  <c:v>43567</c:v>
                </c:pt>
                <c:pt idx="184">
                  <c:v>43566</c:v>
                </c:pt>
                <c:pt idx="185">
                  <c:v>43565</c:v>
                </c:pt>
                <c:pt idx="186">
                  <c:v>43564</c:v>
                </c:pt>
                <c:pt idx="187">
                  <c:v>43563</c:v>
                </c:pt>
                <c:pt idx="188">
                  <c:v>43560</c:v>
                </c:pt>
                <c:pt idx="189">
                  <c:v>43559</c:v>
                </c:pt>
                <c:pt idx="190">
                  <c:v>43558</c:v>
                </c:pt>
                <c:pt idx="191">
                  <c:v>43557</c:v>
                </c:pt>
                <c:pt idx="192">
                  <c:v>43556</c:v>
                </c:pt>
                <c:pt idx="193">
                  <c:v>43553</c:v>
                </c:pt>
                <c:pt idx="194">
                  <c:v>43552</c:v>
                </c:pt>
                <c:pt idx="195">
                  <c:v>43551</c:v>
                </c:pt>
                <c:pt idx="196">
                  <c:v>43550</c:v>
                </c:pt>
                <c:pt idx="197">
                  <c:v>43549</c:v>
                </c:pt>
                <c:pt idx="198">
                  <c:v>43546</c:v>
                </c:pt>
                <c:pt idx="199">
                  <c:v>43544</c:v>
                </c:pt>
                <c:pt idx="200">
                  <c:v>43543</c:v>
                </c:pt>
                <c:pt idx="201">
                  <c:v>43542</c:v>
                </c:pt>
                <c:pt idx="202">
                  <c:v>43539</c:v>
                </c:pt>
                <c:pt idx="203">
                  <c:v>43538</c:v>
                </c:pt>
                <c:pt idx="204">
                  <c:v>43537</c:v>
                </c:pt>
                <c:pt idx="205">
                  <c:v>43536</c:v>
                </c:pt>
                <c:pt idx="206">
                  <c:v>43535</c:v>
                </c:pt>
                <c:pt idx="207">
                  <c:v>43532</c:v>
                </c:pt>
                <c:pt idx="208">
                  <c:v>43531</c:v>
                </c:pt>
                <c:pt idx="209">
                  <c:v>43530</c:v>
                </c:pt>
                <c:pt idx="210">
                  <c:v>43529</c:v>
                </c:pt>
                <c:pt idx="211">
                  <c:v>43528</c:v>
                </c:pt>
                <c:pt idx="212">
                  <c:v>43525</c:v>
                </c:pt>
                <c:pt idx="213">
                  <c:v>43524</c:v>
                </c:pt>
                <c:pt idx="214">
                  <c:v>43523</c:v>
                </c:pt>
                <c:pt idx="215">
                  <c:v>43522</c:v>
                </c:pt>
                <c:pt idx="216">
                  <c:v>43521</c:v>
                </c:pt>
                <c:pt idx="217">
                  <c:v>43518</c:v>
                </c:pt>
                <c:pt idx="218">
                  <c:v>43517</c:v>
                </c:pt>
                <c:pt idx="219">
                  <c:v>43516</c:v>
                </c:pt>
                <c:pt idx="220">
                  <c:v>43515</c:v>
                </c:pt>
                <c:pt idx="221">
                  <c:v>43514</c:v>
                </c:pt>
                <c:pt idx="222">
                  <c:v>43511</c:v>
                </c:pt>
                <c:pt idx="223">
                  <c:v>43510</c:v>
                </c:pt>
                <c:pt idx="224">
                  <c:v>43509</c:v>
                </c:pt>
                <c:pt idx="225">
                  <c:v>43508</c:v>
                </c:pt>
                <c:pt idx="226">
                  <c:v>43504</c:v>
                </c:pt>
                <c:pt idx="227">
                  <c:v>43503</c:v>
                </c:pt>
                <c:pt idx="228">
                  <c:v>43502</c:v>
                </c:pt>
                <c:pt idx="229">
                  <c:v>43501</c:v>
                </c:pt>
                <c:pt idx="230">
                  <c:v>43500</c:v>
                </c:pt>
                <c:pt idx="231">
                  <c:v>43497</c:v>
                </c:pt>
                <c:pt idx="232">
                  <c:v>43496</c:v>
                </c:pt>
                <c:pt idx="233">
                  <c:v>43495</c:v>
                </c:pt>
                <c:pt idx="234">
                  <c:v>43494</c:v>
                </c:pt>
                <c:pt idx="235">
                  <c:v>43493</c:v>
                </c:pt>
                <c:pt idx="236">
                  <c:v>43490</c:v>
                </c:pt>
                <c:pt idx="237">
                  <c:v>43489</c:v>
                </c:pt>
                <c:pt idx="238">
                  <c:v>43488</c:v>
                </c:pt>
                <c:pt idx="239">
                  <c:v>43487</c:v>
                </c:pt>
                <c:pt idx="240">
                  <c:v>43486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1.32837219201419</c:v>
                </c:pt>
                <c:pt idx="1">
                  <c:v>1.3265389014966</c:v>
                </c:pt>
                <c:pt idx="2">
                  <c:v>1.3243368291195801</c:v>
                </c:pt>
                <c:pt idx="3">
                  <c:v>1.3228928399214199</c:v>
                </c:pt>
                <c:pt idx="4">
                  <c:v>1.32145693776843</c:v>
                </c:pt>
                <c:pt idx="5">
                  <c:v>1.3201362366829701</c:v>
                </c:pt>
                <c:pt idx="6">
                  <c:v>1.31875205007202</c:v>
                </c:pt>
                <c:pt idx="7">
                  <c:v>1.3170434316946</c:v>
                </c:pt>
                <c:pt idx="8">
                  <c:v>1.3150754027718701</c:v>
                </c:pt>
                <c:pt idx="9">
                  <c:v>1.31310992731799</c:v>
                </c:pt>
                <c:pt idx="10">
                  <c:v>1.3115077686140699</c:v>
                </c:pt>
                <c:pt idx="11">
                  <c:v>1.30995792186329</c:v>
                </c:pt>
                <c:pt idx="12">
                  <c:v>1.3087261568480899</c:v>
                </c:pt>
                <c:pt idx="13">
                  <c:v>1.30805427558054</c:v>
                </c:pt>
                <c:pt idx="14">
                  <c:v>1.3075431451975701</c:v>
                </c:pt>
                <c:pt idx="15">
                  <c:v>1.30703426447486</c:v>
                </c:pt>
                <c:pt idx="16">
                  <c:v>1.3073069122271801</c:v>
                </c:pt>
                <c:pt idx="17">
                  <c:v>1.30741054004721</c:v>
                </c:pt>
                <c:pt idx="18">
                  <c:v>1.3071502645112201</c:v>
                </c:pt>
                <c:pt idx="19">
                  <c:v>1.3063868940916099</c:v>
                </c:pt>
                <c:pt idx="20">
                  <c:v>1.3056222819652401</c:v>
                </c:pt>
                <c:pt idx="21">
                  <c:v>1.3047649046499299</c:v>
                </c:pt>
                <c:pt idx="22">
                  <c:v>1.3041848863058401</c:v>
                </c:pt>
                <c:pt idx="23">
                  <c:v>1.3039875685736599</c:v>
                </c:pt>
                <c:pt idx="24">
                  <c:v>1.30377294302674</c:v>
                </c:pt>
                <c:pt idx="25">
                  <c:v>1.3031047269327201</c:v>
                </c:pt>
                <c:pt idx="26">
                  <c:v>1.3027319165693101</c:v>
                </c:pt>
                <c:pt idx="27">
                  <c:v>1.3016249883122699</c:v>
                </c:pt>
                <c:pt idx="28">
                  <c:v>1.30072093221834</c:v>
                </c:pt>
                <c:pt idx="29">
                  <c:v>1.29974138044388</c:v>
                </c:pt>
                <c:pt idx="30">
                  <c:v>1.29913631330554</c:v>
                </c:pt>
                <c:pt idx="31">
                  <c:v>1.2988852978472001</c:v>
                </c:pt>
                <c:pt idx="32">
                  <c:v>1.29815537001967</c:v>
                </c:pt>
                <c:pt idx="33">
                  <c:v>1.2970625431285401</c:v>
                </c:pt>
                <c:pt idx="34">
                  <c:v>1.296317239405</c:v>
                </c:pt>
                <c:pt idx="35">
                  <c:v>1.29491288363013</c:v>
                </c:pt>
                <c:pt idx="36">
                  <c:v>1.2944366931539399</c:v>
                </c:pt>
                <c:pt idx="37">
                  <c:v>1.2938334119150601</c:v>
                </c:pt>
                <c:pt idx="38">
                  <c:v>1.2934019146725999</c:v>
                </c:pt>
                <c:pt idx="39">
                  <c:v>1.2926538920008801</c:v>
                </c:pt>
                <c:pt idx="40">
                  <c:v>1.29200712080629</c:v>
                </c:pt>
                <c:pt idx="41">
                  <c:v>1.29194332284933</c:v>
                </c:pt>
                <c:pt idx="42">
                  <c:v>1.2915856293814401</c:v>
                </c:pt>
                <c:pt idx="43">
                  <c:v>1.2917435199795999</c:v>
                </c:pt>
                <c:pt idx="44">
                  <c:v>1.29175392496036</c:v>
                </c:pt>
                <c:pt idx="45">
                  <c:v>1.2916633880236299</c:v>
                </c:pt>
                <c:pt idx="46">
                  <c:v>1.29197472431383</c:v>
                </c:pt>
                <c:pt idx="47">
                  <c:v>1.29207067482357</c:v>
                </c:pt>
                <c:pt idx="48">
                  <c:v>1.2918497051236</c:v>
                </c:pt>
                <c:pt idx="49">
                  <c:v>1.2917433008986301</c:v>
                </c:pt>
                <c:pt idx="50">
                  <c:v>1.29205665447537</c:v>
                </c:pt>
                <c:pt idx="51">
                  <c:v>1.29222387241904</c:v>
                </c:pt>
                <c:pt idx="52">
                  <c:v>1.2923323270903699</c:v>
                </c:pt>
                <c:pt idx="53">
                  <c:v>1.2934546375290299</c:v>
                </c:pt>
                <c:pt idx="54">
                  <c:v>1.2953155391475999</c:v>
                </c:pt>
                <c:pt idx="55">
                  <c:v>1.2967884914868399</c:v>
                </c:pt>
                <c:pt idx="56">
                  <c:v>1.2981257250265299</c:v>
                </c:pt>
                <c:pt idx="57">
                  <c:v>1.2994441128176399</c:v>
                </c:pt>
                <c:pt idx="58">
                  <c:v>1.3002444358282299</c:v>
                </c:pt>
                <c:pt idx="59">
                  <c:v>1.3012800581856401</c:v>
                </c:pt>
                <c:pt idx="60">
                  <c:v>1.3024741877077799</c:v>
                </c:pt>
                <c:pt idx="61">
                  <c:v>1.3040062588772801</c:v>
                </c:pt>
                <c:pt idx="62">
                  <c:v>1.3055643793932401</c:v>
                </c:pt>
                <c:pt idx="63">
                  <c:v>1.30721060391502</c:v>
                </c:pt>
                <c:pt idx="64">
                  <c:v>1.3088130800519</c:v>
                </c:pt>
                <c:pt idx="65">
                  <c:v>1.31081272504492</c:v>
                </c:pt>
                <c:pt idx="66">
                  <c:v>1.31283921166179</c:v>
                </c:pt>
                <c:pt idx="67">
                  <c:v>1.3148271577389199</c:v>
                </c:pt>
                <c:pt idx="68">
                  <c:v>1.31616682042403</c:v>
                </c:pt>
                <c:pt idx="69">
                  <c:v>1.31745701053533</c:v>
                </c:pt>
                <c:pt idx="70">
                  <c:v>1.31853116105931</c:v>
                </c:pt>
                <c:pt idx="71">
                  <c:v>1.3199281997027399</c:v>
                </c:pt>
                <c:pt idx="72">
                  <c:v>1.32152652230093</c:v>
                </c:pt>
                <c:pt idx="73">
                  <c:v>1.32314756726046</c:v>
                </c:pt>
                <c:pt idx="74">
                  <c:v>1.32439849365274</c:v>
                </c:pt>
                <c:pt idx="75">
                  <c:v>1.3257602459747999</c:v>
                </c:pt>
                <c:pt idx="76">
                  <c:v>1.3270124505076599</c:v>
                </c:pt>
                <c:pt idx="77">
                  <c:v>1.3281576308407601</c:v>
                </c:pt>
                <c:pt idx="78">
                  <c:v>1.32906082693943</c:v>
                </c:pt>
                <c:pt idx="79">
                  <c:v>1.3295196827176701</c:v>
                </c:pt>
                <c:pt idx="80">
                  <c:v>1.3306821560036699</c:v>
                </c:pt>
                <c:pt idx="81">
                  <c:v>1.3321524843672501</c:v>
                </c:pt>
                <c:pt idx="82">
                  <c:v>1.33406109361267</c:v>
                </c:pt>
                <c:pt idx="83">
                  <c:v>1.33631866778543</c:v>
                </c:pt>
                <c:pt idx="84">
                  <c:v>1.3387261726339901</c:v>
                </c:pt>
                <c:pt idx="85">
                  <c:v>1.3408405961051</c:v>
                </c:pt>
                <c:pt idx="86">
                  <c:v>1.34302888416671</c:v>
                </c:pt>
                <c:pt idx="87">
                  <c:v>1.34524623380048</c:v>
                </c:pt>
                <c:pt idx="88">
                  <c:v>1.3470855909316399</c:v>
                </c:pt>
                <c:pt idx="89">
                  <c:v>1.3484563453321301</c:v>
                </c:pt>
                <c:pt idx="90">
                  <c:v>1.3502060942896801</c:v>
                </c:pt>
                <c:pt idx="91">
                  <c:v>1.35175055439852</c:v>
                </c:pt>
                <c:pt idx="92">
                  <c:v>1.3540920799120899</c:v>
                </c:pt>
                <c:pt idx="93">
                  <c:v>1.3570049041032199</c:v>
                </c:pt>
                <c:pt idx="94">
                  <c:v>1.3592135229550499</c:v>
                </c:pt>
                <c:pt idx="95">
                  <c:v>1.36130380444039</c:v>
                </c:pt>
                <c:pt idx="96">
                  <c:v>1.3634217691614701</c:v>
                </c:pt>
                <c:pt idx="97">
                  <c:v>1.36474095909714</c:v>
                </c:pt>
                <c:pt idx="98">
                  <c:v>1.3654221207831301</c:v>
                </c:pt>
                <c:pt idx="99">
                  <c:v>1.3657751113208001</c:v>
                </c:pt>
                <c:pt idx="100">
                  <c:v>1.3656729681257</c:v>
                </c:pt>
                <c:pt idx="101">
                  <c:v>1.36519663444104</c:v>
                </c:pt>
                <c:pt idx="102">
                  <c:v>1.36542642802962</c:v>
                </c:pt>
                <c:pt idx="103">
                  <c:v>1.36562860040279</c:v>
                </c:pt>
                <c:pt idx="104">
                  <c:v>1.3656332738769901</c:v>
                </c:pt>
                <c:pt idx="105">
                  <c:v>1.3660446004043201</c:v>
                </c:pt>
                <c:pt idx="106">
                  <c:v>1.3665075477609201</c:v>
                </c:pt>
                <c:pt idx="107">
                  <c:v>1.3671555391290899</c:v>
                </c:pt>
                <c:pt idx="108">
                  <c:v>1.368111936562</c:v>
                </c:pt>
                <c:pt idx="109">
                  <c:v>1.36873879442864</c:v>
                </c:pt>
                <c:pt idx="110">
                  <c:v>1.3702023581437599</c:v>
                </c:pt>
                <c:pt idx="111">
                  <c:v>1.3709536967601601</c:v>
                </c:pt>
                <c:pt idx="112">
                  <c:v>1.3711380108573501</c:v>
                </c:pt>
                <c:pt idx="113">
                  <c:v>1.3709410779895901</c:v>
                </c:pt>
                <c:pt idx="114">
                  <c:v>1.3711186951270899</c:v>
                </c:pt>
                <c:pt idx="115">
                  <c:v>1.3711983137566399</c:v>
                </c:pt>
                <c:pt idx="116">
                  <c:v>1.37094606935361</c:v>
                </c:pt>
                <c:pt idx="117">
                  <c:v>1.3709762834157999</c:v>
                </c:pt>
                <c:pt idx="118">
                  <c:v>1.3705965123432799</c:v>
                </c:pt>
                <c:pt idx="119">
                  <c:v>1.36977809694331</c:v>
                </c:pt>
                <c:pt idx="120">
                  <c:v>1.36936171472602</c:v>
                </c:pt>
                <c:pt idx="121">
                  <c:v>1.36873454998239</c:v>
                </c:pt>
                <c:pt idx="122">
                  <c:v>1.3673449943592899</c:v>
                </c:pt>
                <c:pt idx="123">
                  <c:v>1.3659382247663301</c:v>
                </c:pt>
                <c:pt idx="124">
                  <c:v>1.36469088318278</c:v>
                </c:pt>
                <c:pt idx="125">
                  <c:v>1.36432469913476</c:v>
                </c:pt>
                <c:pt idx="126">
                  <c:v>1.3636398309151101</c:v>
                </c:pt>
                <c:pt idx="127">
                  <c:v>1.3628191110052901</c:v>
                </c:pt>
                <c:pt idx="128">
                  <c:v>1.3616791153930199</c:v>
                </c:pt>
                <c:pt idx="129">
                  <c:v>1.36061269252711</c:v>
                </c:pt>
                <c:pt idx="130">
                  <c:v>1.3596058874442001</c:v>
                </c:pt>
                <c:pt idx="131">
                  <c:v>1.3591115032974901</c:v>
                </c:pt>
                <c:pt idx="132">
                  <c:v>1.3588935188295601</c:v>
                </c:pt>
                <c:pt idx="133">
                  <c:v>1.3587400483005601</c:v>
                </c:pt>
                <c:pt idx="134">
                  <c:v>1.3590660332723099</c:v>
                </c:pt>
                <c:pt idx="135">
                  <c:v>1.3592112763786599</c:v>
                </c:pt>
                <c:pt idx="136">
                  <c:v>1.3592007346674599</c:v>
                </c:pt>
                <c:pt idx="137">
                  <c:v>1.3584459290736901</c:v>
                </c:pt>
                <c:pt idx="138">
                  <c:v>1.3574641368070299</c:v>
                </c:pt>
                <c:pt idx="139">
                  <c:v>1.35640486264672</c:v>
                </c:pt>
                <c:pt idx="140">
                  <c:v>1.3554686066470001</c:v>
                </c:pt>
                <c:pt idx="141">
                  <c:v>1.3541665162419301</c:v>
                </c:pt>
                <c:pt idx="142">
                  <c:v>1.3524455317564701</c:v>
                </c:pt>
                <c:pt idx="143">
                  <c:v>1.35156110813644</c:v>
                </c:pt>
                <c:pt idx="144">
                  <c:v>1.35082284146151</c:v>
                </c:pt>
                <c:pt idx="145">
                  <c:v>1.35036707030828</c:v>
                </c:pt>
                <c:pt idx="146">
                  <c:v>1.3492210012763799</c:v>
                </c:pt>
                <c:pt idx="147">
                  <c:v>1.34870501668823</c:v>
                </c:pt>
                <c:pt idx="148">
                  <c:v>1.34842349730245</c:v>
                </c:pt>
                <c:pt idx="149">
                  <c:v>1.34829291601626</c:v>
                </c:pt>
                <c:pt idx="150">
                  <c:v>1.3474342795593499</c:v>
                </c:pt>
                <c:pt idx="151">
                  <c:v>1.3474957420647</c:v>
                </c:pt>
                <c:pt idx="152">
                  <c:v>1.3480929194926301</c:v>
                </c:pt>
                <c:pt idx="153">
                  <c:v>1.34816695809774</c:v>
                </c:pt>
                <c:pt idx="154">
                  <c:v>1.3488049884801401</c:v>
                </c:pt>
                <c:pt idx="155">
                  <c:v>1.34845990227094</c:v>
                </c:pt>
                <c:pt idx="156">
                  <c:v>1.3486806454814999</c:v>
                </c:pt>
                <c:pt idx="157">
                  <c:v>1.3484848927995601</c:v>
                </c:pt>
                <c:pt idx="158">
                  <c:v>1.3472290835762399</c:v>
                </c:pt>
                <c:pt idx="159">
                  <c:v>1.3448525432671301</c:v>
                </c:pt>
                <c:pt idx="160">
                  <c:v>1.3429136424192401</c:v>
                </c:pt>
                <c:pt idx="161">
                  <c:v>1.34065575079849</c:v>
                </c:pt>
                <c:pt idx="162">
                  <c:v>1.33808275936028</c:v>
                </c:pt>
                <c:pt idx="163">
                  <c:v>1.33654039140147</c:v>
                </c:pt>
                <c:pt idx="164">
                  <c:v>1.33504846966859</c:v>
                </c:pt>
                <c:pt idx="165">
                  <c:v>1.33350211050773</c:v>
                </c:pt>
                <c:pt idx="166">
                  <c:v>1.3318818956465699</c:v>
                </c:pt>
                <c:pt idx="167">
                  <c:v>1.3298137590083401</c:v>
                </c:pt>
                <c:pt idx="168">
                  <c:v>1.3273045697518799</c:v>
                </c:pt>
                <c:pt idx="169">
                  <c:v>1.3256454380690701</c:v>
                </c:pt>
                <c:pt idx="170">
                  <c:v>1.3240207415723599</c:v>
                </c:pt>
                <c:pt idx="171">
                  <c:v>1.32253686868652</c:v>
                </c:pt>
                <c:pt idx="172">
                  <c:v>1.3221062521387801</c:v>
                </c:pt>
                <c:pt idx="173">
                  <c:v>1.3216128877615601</c:v>
                </c:pt>
                <c:pt idx="174">
                  <c:v>1.3214819919901499</c:v>
                </c:pt>
                <c:pt idx="175">
                  <c:v>1.32194451416544</c:v>
                </c:pt>
                <c:pt idx="176">
                  <c:v>1.3223822669696299</c:v>
                </c:pt>
                <c:pt idx="177">
                  <c:v>1.3230135779533601</c:v>
                </c:pt>
                <c:pt idx="178">
                  <c:v>1.32335477742118</c:v>
                </c:pt>
                <c:pt idx="179">
                  <c:v>1.32403372574461</c:v>
                </c:pt>
                <c:pt idx="180">
                  <c:v>1.32448000287902</c:v>
                </c:pt>
                <c:pt idx="181">
                  <c:v>1.3245148846927499</c:v>
                </c:pt>
                <c:pt idx="182">
                  <c:v>1.3243728543477</c:v>
                </c:pt>
                <c:pt idx="183">
                  <c:v>1.3244407657298001</c:v>
                </c:pt>
                <c:pt idx="184">
                  <c:v>1.3239173195601099</c:v>
                </c:pt>
                <c:pt idx="185">
                  <c:v>1.3229437009006899</c:v>
                </c:pt>
                <c:pt idx="186">
                  <c:v>1.32219007145236</c:v>
                </c:pt>
                <c:pt idx="187">
                  <c:v>1.3217543499435001</c:v>
                </c:pt>
                <c:pt idx="188">
                  <c:v>1.3212369964941399</c:v>
                </c:pt>
                <c:pt idx="189">
                  <c:v>1.32105535230236</c:v>
                </c:pt>
                <c:pt idx="190">
                  <c:v>1.3211156066637799</c:v>
                </c:pt>
                <c:pt idx="191">
                  <c:v>1.32108341224654</c:v>
                </c:pt>
                <c:pt idx="192">
                  <c:v>1.32124990439404</c:v>
                </c:pt>
                <c:pt idx="193">
                  <c:v>1.32156618748327</c:v>
                </c:pt>
                <c:pt idx="194">
                  <c:v>1.3225601147502</c:v>
                </c:pt>
                <c:pt idx="195">
                  <c:v>1.3232398057477901</c:v>
                </c:pt>
                <c:pt idx="196">
                  <c:v>1.32370577368722</c:v>
                </c:pt>
                <c:pt idx="197">
                  <c:v>1.3256382314733399</c:v>
                </c:pt>
                <c:pt idx="198">
                  <c:v>1.32808310238962</c:v>
                </c:pt>
                <c:pt idx="199">
                  <c:v>1.3306459181695001</c:v>
                </c:pt>
                <c:pt idx="200">
                  <c:v>1.33310858511023</c:v>
                </c:pt>
                <c:pt idx="201">
                  <c:v>1.33538829557889</c:v>
                </c:pt>
                <c:pt idx="202">
                  <c:v>1.3375986135365501</c:v>
                </c:pt>
                <c:pt idx="203">
                  <c:v>1.3397846444277499</c:v>
                </c:pt>
                <c:pt idx="204">
                  <c:v>1.34172723670993</c:v>
                </c:pt>
                <c:pt idx="205">
                  <c:v>1.3434544664613599</c:v>
                </c:pt>
                <c:pt idx="206">
                  <c:v>1.3447488756691</c:v>
                </c:pt>
                <c:pt idx="207">
                  <c:v>1.3457236115201301</c:v>
                </c:pt>
                <c:pt idx="208">
                  <c:v>1.3468473189275001</c:v>
                </c:pt>
                <c:pt idx="209">
                  <c:v>1.3474704741629899</c:v>
                </c:pt>
                <c:pt idx="210">
                  <c:v>1.3476403711739999</c:v>
                </c:pt>
                <c:pt idx="211">
                  <c:v>1.3472460956749801</c:v>
                </c:pt>
                <c:pt idx="212">
                  <c:v>1.3475552345062201</c:v>
                </c:pt>
                <c:pt idx="213">
                  <c:v>1.3477534043039801</c:v>
                </c:pt>
                <c:pt idx="214">
                  <c:v>1.3479606548143399</c:v>
                </c:pt>
                <c:pt idx="215">
                  <c:v>1.3481458647734701</c:v>
                </c:pt>
                <c:pt idx="216">
                  <c:v>1.3487354083368499</c:v>
                </c:pt>
                <c:pt idx="217">
                  <c:v>1.34903403767956</c:v>
                </c:pt>
                <c:pt idx="218">
                  <c:v>1.3491850394459299</c:v>
                </c:pt>
                <c:pt idx="219">
                  <c:v>1.34887290318608</c:v>
                </c:pt>
                <c:pt idx="220">
                  <c:v>1.3476089067314301</c:v>
                </c:pt>
                <c:pt idx="221">
                  <c:v>1.34732339232513</c:v>
                </c:pt>
                <c:pt idx="222">
                  <c:v>1.34646179101234</c:v>
                </c:pt>
                <c:pt idx="223">
                  <c:v>1.3452702333756199</c:v>
                </c:pt>
                <c:pt idx="224">
                  <c:v>1.34364969933921</c:v>
                </c:pt>
                <c:pt idx="225">
                  <c:v>1.3425060792184</c:v>
                </c:pt>
                <c:pt idx="226">
                  <c:v>1.3408996920937599</c:v>
                </c:pt>
                <c:pt idx="227">
                  <c:v>1.3389592897487801</c:v>
                </c:pt>
                <c:pt idx="228">
                  <c:v>1.33778137571072</c:v>
                </c:pt>
                <c:pt idx="229">
                  <c:v>1.33671992959454</c:v>
                </c:pt>
                <c:pt idx="230">
                  <c:v>1.33616246500633</c:v>
                </c:pt>
                <c:pt idx="231">
                  <c:v>1.33516390178794</c:v>
                </c:pt>
                <c:pt idx="232">
                  <c:v>1.33422952318155</c:v>
                </c:pt>
                <c:pt idx="233">
                  <c:v>1.3343796507560699</c:v>
                </c:pt>
                <c:pt idx="234">
                  <c:v>1.3354090932426299</c:v>
                </c:pt>
                <c:pt idx="235">
                  <c:v>1.3361900632520101</c:v>
                </c:pt>
                <c:pt idx="236">
                  <c:v>1.33753800715036</c:v>
                </c:pt>
                <c:pt idx="237">
                  <c:v>1.3385996730112799</c:v>
                </c:pt>
                <c:pt idx="238">
                  <c:v>1.33872852932972</c:v>
                </c:pt>
                <c:pt idx="239">
                  <c:v>1.3395058602968299</c:v>
                </c:pt>
                <c:pt idx="240">
                  <c:v>1.34050246626535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4782608094179994"/>
          <c:min val="1.0941049062815713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CLOSE_1973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43850</c:v>
                </c:pt>
                <c:pt idx="1">
                  <c:v>43847</c:v>
                </c:pt>
                <c:pt idx="2">
                  <c:v>43846</c:v>
                </c:pt>
                <c:pt idx="3">
                  <c:v>43845</c:v>
                </c:pt>
                <c:pt idx="4">
                  <c:v>43844</c:v>
                </c:pt>
                <c:pt idx="5">
                  <c:v>43840</c:v>
                </c:pt>
                <c:pt idx="6">
                  <c:v>43839</c:v>
                </c:pt>
                <c:pt idx="7">
                  <c:v>43838</c:v>
                </c:pt>
                <c:pt idx="8">
                  <c:v>43837</c:v>
                </c:pt>
                <c:pt idx="9">
                  <c:v>43836</c:v>
                </c:pt>
                <c:pt idx="10">
                  <c:v>43829</c:v>
                </c:pt>
                <c:pt idx="11">
                  <c:v>43826</c:v>
                </c:pt>
                <c:pt idx="12">
                  <c:v>43825</c:v>
                </c:pt>
                <c:pt idx="13">
                  <c:v>43824</c:v>
                </c:pt>
                <c:pt idx="14">
                  <c:v>43823</c:v>
                </c:pt>
                <c:pt idx="15">
                  <c:v>43822</c:v>
                </c:pt>
                <c:pt idx="16">
                  <c:v>43819</c:v>
                </c:pt>
                <c:pt idx="17">
                  <c:v>43818</c:v>
                </c:pt>
                <c:pt idx="18">
                  <c:v>43817</c:v>
                </c:pt>
                <c:pt idx="19">
                  <c:v>43816</c:v>
                </c:pt>
                <c:pt idx="20">
                  <c:v>43815</c:v>
                </c:pt>
                <c:pt idx="21">
                  <c:v>43812</c:v>
                </c:pt>
                <c:pt idx="22">
                  <c:v>43811</c:v>
                </c:pt>
                <c:pt idx="23">
                  <c:v>43810</c:v>
                </c:pt>
                <c:pt idx="24">
                  <c:v>43809</c:v>
                </c:pt>
                <c:pt idx="25">
                  <c:v>43808</c:v>
                </c:pt>
                <c:pt idx="26">
                  <c:v>43805</c:v>
                </c:pt>
                <c:pt idx="27">
                  <c:v>43804</c:v>
                </c:pt>
                <c:pt idx="28">
                  <c:v>43803</c:v>
                </c:pt>
                <c:pt idx="29">
                  <c:v>43802</c:v>
                </c:pt>
                <c:pt idx="30">
                  <c:v>43801</c:v>
                </c:pt>
                <c:pt idx="31">
                  <c:v>43798</c:v>
                </c:pt>
                <c:pt idx="32">
                  <c:v>43797</c:v>
                </c:pt>
                <c:pt idx="33">
                  <c:v>43796</c:v>
                </c:pt>
                <c:pt idx="34">
                  <c:v>43795</c:v>
                </c:pt>
                <c:pt idx="35">
                  <c:v>43794</c:v>
                </c:pt>
                <c:pt idx="36">
                  <c:v>43791</c:v>
                </c:pt>
                <c:pt idx="37">
                  <c:v>43790</c:v>
                </c:pt>
                <c:pt idx="38">
                  <c:v>43789</c:v>
                </c:pt>
                <c:pt idx="39">
                  <c:v>43788</c:v>
                </c:pt>
                <c:pt idx="40">
                  <c:v>43787</c:v>
                </c:pt>
                <c:pt idx="41">
                  <c:v>43784</c:v>
                </c:pt>
                <c:pt idx="42">
                  <c:v>43783</c:v>
                </c:pt>
                <c:pt idx="43">
                  <c:v>43782</c:v>
                </c:pt>
                <c:pt idx="44">
                  <c:v>43781</c:v>
                </c:pt>
                <c:pt idx="45">
                  <c:v>43780</c:v>
                </c:pt>
                <c:pt idx="46">
                  <c:v>43777</c:v>
                </c:pt>
                <c:pt idx="47">
                  <c:v>43776</c:v>
                </c:pt>
                <c:pt idx="48">
                  <c:v>43775</c:v>
                </c:pt>
                <c:pt idx="49">
                  <c:v>43774</c:v>
                </c:pt>
                <c:pt idx="50">
                  <c:v>43770</c:v>
                </c:pt>
                <c:pt idx="51">
                  <c:v>43769</c:v>
                </c:pt>
                <c:pt idx="52">
                  <c:v>43768</c:v>
                </c:pt>
                <c:pt idx="53">
                  <c:v>43767</c:v>
                </c:pt>
                <c:pt idx="54">
                  <c:v>43766</c:v>
                </c:pt>
                <c:pt idx="55">
                  <c:v>43763</c:v>
                </c:pt>
                <c:pt idx="56">
                  <c:v>43762</c:v>
                </c:pt>
                <c:pt idx="57">
                  <c:v>43761</c:v>
                </c:pt>
                <c:pt idx="58">
                  <c:v>43759</c:v>
                </c:pt>
                <c:pt idx="59">
                  <c:v>43756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4095</c:v>
                </c:pt>
                <c:pt idx="1">
                  <c:v>4100</c:v>
                </c:pt>
                <c:pt idx="2">
                  <c:v>4120</c:v>
                </c:pt>
                <c:pt idx="3">
                  <c:v>4140</c:v>
                </c:pt>
                <c:pt idx="4">
                  <c:v>4120</c:v>
                </c:pt>
                <c:pt idx="5">
                  <c:v>4030</c:v>
                </c:pt>
                <c:pt idx="6">
                  <c:v>4020</c:v>
                </c:pt>
                <c:pt idx="7">
                  <c:v>3965</c:v>
                </c:pt>
                <c:pt idx="8">
                  <c:v>4020</c:v>
                </c:pt>
                <c:pt idx="9">
                  <c:v>3905</c:v>
                </c:pt>
                <c:pt idx="10">
                  <c:v>3870</c:v>
                </c:pt>
                <c:pt idx="11">
                  <c:v>3870</c:v>
                </c:pt>
                <c:pt idx="12">
                  <c:v>3760</c:v>
                </c:pt>
                <c:pt idx="13">
                  <c:v>3760</c:v>
                </c:pt>
                <c:pt idx="14">
                  <c:v>3685</c:v>
                </c:pt>
                <c:pt idx="15">
                  <c:v>3585</c:v>
                </c:pt>
                <c:pt idx="16">
                  <c:v>3580</c:v>
                </c:pt>
                <c:pt idx="17">
                  <c:v>3570</c:v>
                </c:pt>
                <c:pt idx="18">
                  <c:v>3570</c:v>
                </c:pt>
                <c:pt idx="19">
                  <c:v>3575</c:v>
                </c:pt>
                <c:pt idx="20">
                  <c:v>3580</c:v>
                </c:pt>
                <c:pt idx="21">
                  <c:v>3570</c:v>
                </c:pt>
                <c:pt idx="22">
                  <c:v>3565</c:v>
                </c:pt>
                <c:pt idx="23">
                  <c:v>3565</c:v>
                </c:pt>
                <c:pt idx="24">
                  <c:v>3625</c:v>
                </c:pt>
                <c:pt idx="25">
                  <c:v>3585</c:v>
                </c:pt>
                <c:pt idx="26">
                  <c:v>3585</c:v>
                </c:pt>
                <c:pt idx="27">
                  <c:v>3570</c:v>
                </c:pt>
                <c:pt idx="28">
                  <c:v>3590</c:v>
                </c:pt>
                <c:pt idx="29">
                  <c:v>3465</c:v>
                </c:pt>
                <c:pt idx="30">
                  <c:v>3445</c:v>
                </c:pt>
                <c:pt idx="31">
                  <c:v>3420</c:v>
                </c:pt>
                <c:pt idx="32">
                  <c:v>3430</c:v>
                </c:pt>
                <c:pt idx="33">
                  <c:v>3435</c:v>
                </c:pt>
                <c:pt idx="34">
                  <c:v>3430</c:v>
                </c:pt>
                <c:pt idx="35">
                  <c:v>3420</c:v>
                </c:pt>
                <c:pt idx="36">
                  <c:v>3450</c:v>
                </c:pt>
                <c:pt idx="37">
                  <c:v>3510</c:v>
                </c:pt>
                <c:pt idx="38">
                  <c:v>3490</c:v>
                </c:pt>
                <c:pt idx="39">
                  <c:v>3500</c:v>
                </c:pt>
                <c:pt idx="40">
                  <c:v>3435</c:v>
                </c:pt>
                <c:pt idx="41">
                  <c:v>3390</c:v>
                </c:pt>
                <c:pt idx="42">
                  <c:v>3300</c:v>
                </c:pt>
                <c:pt idx="43">
                  <c:v>3305</c:v>
                </c:pt>
                <c:pt idx="44">
                  <c:v>3345</c:v>
                </c:pt>
                <c:pt idx="45">
                  <c:v>3365</c:v>
                </c:pt>
                <c:pt idx="46">
                  <c:v>3360</c:v>
                </c:pt>
                <c:pt idx="47">
                  <c:v>3460</c:v>
                </c:pt>
                <c:pt idx="48">
                  <c:v>3450</c:v>
                </c:pt>
                <c:pt idx="49">
                  <c:v>3425</c:v>
                </c:pt>
                <c:pt idx="50">
                  <c:v>3440</c:v>
                </c:pt>
                <c:pt idx="51">
                  <c:v>3430</c:v>
                </c:pt>
                <c:pt idx="52">
                  <c:v>3255</c:v>
                </c:pt>
                <c:pt idx="53">
                  <c:v>3105</c:v>
                </c:pt>
                <c:pt idx="54">
                  <c:v>3115</c:v>
                </c:pt>
                <c:pt idx="55">
                  <c:v>3095</c:v>
                </c:pt>
                <c:pt idx="56">
                  <c:v>3060</c:v>
                </c:pt>
                <c:pt idx="57">
                  <c:v>3090</c:v>
                </c:pt>
                <c:pt idx="58">
                  <c:v>3085</c:v>
                </c:pt>
                <c:pt idx="59">
                  <c:v>3050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CLOSE_3635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43850</c:v>
                </c:pt>
                <c:pt idx="1">
                  <c:v>43847</c:v>
                </c:pt>
                <c:pt idx="2">
                  <c:v>43846</c:v>
                </c:pt>
                <c:pt idx="3">
                  <c:v>43845</c:v>
                </c:pt>
                <c:pt idx="4">
                  <c:v>43844</c:v>
                </c:pt>
                <c:pt idx="5">
                  <c:v>43840</c:v>
                </c:pt>
                <c:pt idx="6">
                  <c:v>43839</c:v>
                </c:pt>
                <c:pt idx="7">
                  <c:v>43838</c:v>
                </c:pt>
                <c:pt idx="8">
                  <c:v>43837</c:v>
                </c:pt>
                <c:pt idx="9">
                  <c:v>43836</c:v>
                </c:pt>
                <c:pt idx="10">
                  <c:v>43829</c:v>
                </c:pt>
                <c:pt idx="11">
                  <c:v>43826</c:v>
                </c:pt>
                <c:pt idx="12">
                  <c:v>43825</c:v>
                </c:pt>
                <c:pt idx="13">
                  <c:v>43824</c:v>
                </c:pt>
                <c:pt idx="14">
                  <c:v>43823</c:v>
                </c:pt>
                <c:pt idx="15">
                  <c:v>43822</c:v>
                </c:pt>
                <c:pt idx="16">
                  <c:v>43819</c:v>
                </c:pt>
                <c:pt idx="17">
                  <c:v>43818</c:v>
                </c:pt>
                <c:pt idx="18">
                  <c:v>43817</c:v>
                </c:pt>
                <c:pt idx="19">
                  <c:v>43816</c:v>
                </c:pt>
                <c:pt idx="20">
                  <c:v>43815</c:v>
                </c:pt>
                <c:pt idx="21">
                  <c:v>43812</c:v>
                </c:pt>
                <c:pt idx="22">
                  <c:v>43811</c:v>
                </c:pt>
                <c:pt idx="23">
                  <c:v>43810</c:v>
                </c:pt>
                <c:pt idx="24">
                  <c:v>43809</c:v>
                </c:pt>
                <c:pt idx="25">
                  <c:v>43808</c:v>
                </c:pt>
                <c:pt idx="26">
                  <c:v>43805</c:v>
                </c:pt>
                <c:pt idx="27">
                  <c:v>43804</c:v>
                </c:pt>
                <c:pt idx="28">
                  <c:v>43803</c:v>
                </c:pt>
                <c:pt idx="29">
                  <c:v>43802</c:v>
                </c:pt>
                <c:pt idx="30">
                  <c:v>43801</c:v>
                </c:pt>
                <c:pt idx="31">
                  <c:v>43798</c:v>
                </c:pt>
                <c:pt idx="32">
                  <c:v>43797</c:v>
                </c:pt>
                <c:pt idx="33">
                  <c:v>43796</c:v>
                </c:pt>
                <c:pt idx="34">
                  <c:v>43795</c:v>
                </c:pt>
                <c:pt idx="35">
                  <c:v>43794</c:v>
                </c:pt>
                <c:pt idx="36">
                  <c:v>43791</c:v>
                </c:pt>
                <c:pt idx="37">
                  <c:v>43790</c:v>
                </c:pt>
                <c:pt idx="38">
                  <c:v>43789</c:v>
                </c:pt>
                <c:pt idx="39">
                  <c:v>43788</c:v>
                </c:pt>
                <c:pt idx="40">
                  <c:v>43787</c:v>
                </c:pt>
                <c:pt idx="41">
                  <c:v>43784</c:v>
                </c:pt>
                <c:pt idx="42">
                  <c:v>43783</c:v>
                </c:pt>
                <c:pt idx="43">
                  <c:v>43782</c:v>
                </c:pt>
                <c:pt idx="44">
                  <c:v>43781</c:v>
                </c:pt>
                <c:pt idx="45">
                  <c:v>43780</c:v>
                </c:pt>
                <c:pt idx="46">
                  <c:v>43777</c:v>
                </c:pt>
                <c:pt idx="47">
                  <c:v>43776</c:v>
                </c:pt>
                <c:pt idx="48">
                  <c:v>43775</c:v>
                </c:pt>
                <c:pt idx="49">
                  <c:v>43774</c:v>
                </c:pt>
                <c:pt idx="50">
                  <c:v>43770</c:v>
                </c:pt>
                <c:pt idx="51">
                  <c:v>43769</c:v>
                </c:pt>
                <c:pt idx="52">
                  <c:v>43768</c:v>
                </c:pt>
                <c:pt idx="53">
                  <c:v>43767</c:v>
                </c:pt>
                <c:pt idx="54">
                  <c:v>43766</c:v>
                </c:pt>
                <c:pt idx="55">
                  <c:v>43763</c:v>
                </c:pt>
                <c:pt idx="56">
                  <c:v>43762</c:v>
                </c:pt>
                <c:pt idx="57">
                  <c:v>43761</c:v>
                </c:pt>
                <c:pt idx="58">
                  <c:v>43759</c:v>
                </c:pt>
                <c:pt idx="59">
                  <c:v>43756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3725.3571428571431</c:v>
                </c:pt>
                <c:pt idx="1">
                  <c:v>3648.4663865546222</c:v>
                </c:pt>
                <c:pt idx="2">
                  <c:v>3736.8907563025214</c:v>
                </c:pt>
                <c:pt idx="3">
                  <c:v>3765.0840336134456</c:v>
                </c:pt>
                <c:pt idx="4">
                  <c:v>3791.9957983193281</c:v>
                </c:pt>
                <c:pt idx="5">
                  <c:v>3749.7058823529414</c:v>
                </c:pt>
                <c:pt idx="6">
                  <c:v>3721.5126050420172</c:v>
                </c:pt>
                <c:pt idx="7">
                  <c:v>3654.8739495798322</c:v>
                </c:pt>
                <c:pt idx="8">
                  <c:v>3697.1638655462189</c:v>
                </c:pt>
                <c:pt idx="9">
                  <c:v>3627.9621848739498</c:v>
                </c:pt>
                <c:pt idx="10">
                  <c:v>3656.1554621848741</c:v>
                </c:pt>
                <c:pt idx="11">
                  <c:v>3658.7184873949582</c:v>
                </c:pt>
                <c:pt idx="12">
                  <c:v>3613.8655462184879</c:v>
                </c:pt>
                <c:pt idx="13">
                  <c:v>3603.6134453781515</c:v>
                </c:pt>
                <c:pt idx="14">
                  <c:v>3588.2352941176473</c:v>
                </c:pt>
                <c:pt idx="15">
                  <c:v>3648.4663865546222</c:v>
                </c:pt>
                <c:pt idx="16">
                  <c:v>3688.1932773109247</c:v>
                </c:pt>
                <c:pt idx="17">
                  <c:v>3613.8655462184879</c:v>
                </c:pt>
                <c:pt idx="18">
                  <c:v>3542.1008403361348</c:v>
                </c:pt>
                <c:pt idx="19">
                  <c:v>3498.5294117647063</c:v>
                </c:pt>
                <c:pt idx="20">
                  <c:v>3461.3655462184879</c:v>
                </c:pt>
                <c:pt idx="21">
                  <c:v>3471.6176470588239</c:v>
                </c:pt>
                <c:pt idx="22">
                  <c:v>3466.4915966386557</c:v>
                </c:pt>
                <c:pt idx="23">
                  <c:v>3478.0252100840339</c:v>
                </c:pt>
                <c:pt idx="24">
                  <c:v>3451.1134453781515</c:v>
                </c:pt>
                <c:pt idx="25">
                  <c:v>3411.386554621849</c:v>
                </c:pt>
                <c:pt idx="26">
                  <c:v>3371.6596638655465</c:v>
                </c:pt>
                <c:pt idx="27">
                  <c:v>3390.8823529411766</c:v>
                </c:pt>
                <c:pt idx="28">
                  <c:v>3371.6596638655465</c:v>
                </c:pt>
                <c:pt idx="29">
                  <c:v>3379.3487394957988</c:v>
                </c:pt>
                <c:pt idx="30">
                  <c:v>3439.5798319327732</c:v>
                </c:pt>
                <c:pt idx="31">
                  <c:v>3328.088235294118</c:v>
                </c:pt>
                <c:pt idx="32">
                  <c:v>3322.9621848739498</c:v>
                </c:pt>
                <c:pt idx="33">
                  <c:v>3344.747899159664</c:v>
                </c:pt>
                <c:pt idx="34">
                  <c:v>3328.088235294118</c:v>
                </c:pt>
                <c:pt idx="35">
                  <c:v>3301.1764705882356</c:v>
                </c:pt>
                <c:pt idx="36">
                  <c:v>3234.5378151260506</c:v>
                </c:pt>
                <c:pt idx="37">
                  <c:v>3261.4495798319331</c:v>
                </c:pt>
                <c:pt idx="38">
                  <c:v>3278.1092436974791</c:v>
                </c:pt>
                <c:pt idx="39">
                  <c:v>3285.7983193277314</c:v>
                </c:pt>
                <c:pt idx="40">
                  <c:v>3279.3907563025214</c:v>
                </c:pt>
                <c:pt idx="41">
                  <c:v>3246.0714285714289</c:v>
                </c:pt>
                <c:pt idx="42">
                  <c:v>3219.1596638655465</c:v>
                </c:pt>
                <c:pt idx="43">
                  <c:v>3223.0042016806724</c:v>
                </c:pt>
                <c:pt idx="44">
                  <c:v>3233.2563025210088</c:v>
                </c:pt>
                <c:pt idx="45">
                  <c:v>3240.9453781512607</c:v>
                </c:pt>
                <c:pt idx="46">
                  <c:v>3175.588235294118</c:v>
                </c:pt>
                <c:pt idx="47">
                  <c:v>3207.6260504201682</c:v>
                </c:pt>
                <c:pt idx="48">
                  <c:v>3217.8781512605046</c:v>
                </c:pt>
                <c:pt idx="49">
                  <c:v>3303.7394957983197</c:v>
                </c:pt>
                <c:pt idx="50">
                  <c:v>3262.7310924369749</c:v>
                </c:pt>
                <c:pt idx="51">
                  <c:v>3210.1890756302523</c:v>
                </c:pt>
                <c:pt idx="52">
                  <c:v>3193.5294117647063</c:v>
                </c:pt>
                <c:pt idx="53">
                  <c:v>3173.0252100840339</c:v>
                </c:pt>
                <c:pt idx="54">
                  <c:v>3128.1722689075632</c:v>
                </c:pt>
                <c:pt idx="55">
                  <c:v>3099.9789915966389</c:v>
                </c:pt>
                <c:pt idx="56">
                  <c:v>3084.6008403361348</c:v>
                </c:pt>
                <c:pt idx="57">
                  <c:v>3061.5336134453783</c:v>
                </c:pt>
                <c:pt idx="58">
                  <c:v>3106.386554621849</c:v>
                </c:pt>
                <c:pt idx="59">
                  <c:v>3050.0000000000005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4140"/>
          <c:min val="30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4" sqref="D34"/>
    </sheetView>
  </sheetViews>
  <sheetFormatPr defaultRowHeight="14.25" x14ac:dyDescent="0.2"/>
  <sheetData>
    <row r="2" spans="2:4" ht="22.5" x14ac:dyDescent="0.25">
      <c r="B2" s="224" t="s">
        <v>1554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X11"/>
  <sheetViews>
    <sheetView showGridLines="0" tabSelected="1" zoomScale="115" zoomScaleNormal="115" workbookViewId="0">
      <selection activeCell="F28" sqref="F28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4" ht="18.75" customHeight="1" thickBot="1" x14ac:dyDescent="0.25">
      <c r="C1" s="57" t="s">
        <v>91</v>
      </c>
      <c r="D1" s="13"/>
      <c r="H1" s="1"/>
      <c r="I1" s="13" t="s">
        <v>24</v>
      </c>
      <c r="J1" s="56"/>
      <c r="K1" s="288">
        <v>43852</v>
      </c>
      <c r="L1" s="289"/>
      <c r="M1" s="23"/>
      <c r="N1" s="13" t="s">
        <v>193</v>
      </c>
      <c r="P1" s="288">
        <f ca="1">TODAY()</f>
        <v>43852</v>
      </c>
      <c r="Q1" s="290"/>
      <c r="U1" s="57" t="s">
        <v>23</v>
      </c>
      <c r="V1" s="57"/>
    </row>
    <row r="2" spans="2:24" ht="16.5" customHeight="1" thickBot="1" x14ac:dyDescent="0.25">
      <c r="J2" s="178">
        <f>SUM(J4:J48)</f>
        <v>6119200</v>
      </c>
      <c r="R2" s="127">
        <f ca="1">SUM(R4:R48)</f>
        <v>31713.25315068493</v>
      </c>
      <c r="S2" s="91">
        <f ca="1">SUM(S4:S48)</f>
        <v>1.5487359169514102E-2</v>
      </c>
    </row>
    <row r="3" spans="2:24" ht="24.75" thickBot="1" x14ac:dyDescent="0.25">
      <c r="C3" s="58" t="s">
        <v>74</v>
      </c>
      <c r="D3" s="68" t="s">
        <v>98</v>
      </c>
      <c r="E3" s="60"/>
      <c r="F3" s="59" t="s">
        <v>42</v>
      </c>
      <c r="G3" s="61" t="s">
        <v>43</v>
      </c>
      <c r="H3" s="62" t="s">
        <v>75</v>
      </c>
      <c r="I3" s="62" t="s">
        <v>76</v>
      </c>
      <c r="J3" s="60" t="s">
        <v>22</v>
      </c>
      <c r="K3" s="60" t="s">
        <v>77</v>
      </c>
      <c r="L3" s="62" t="s">
        <v>78</v>
      </c>
      <c r="M3" s="63" t="s">
        <v>99</v>
      </c>
      <c r="N3" s="60" t="s">
        <v>79</v>
      </c>
      <c r="O3" s="63" t="s">
        <v>93</v>
      </c>
      <c r="P3" s="60" t="s">
        <v>186</v>
      </c>
      <c r="Q3" s="60" t="s">
        <v>80</v>
      </c>
      <c r="R3" s="63" t="s">
        <v>95</v>
      </c>
      <c r="S3" s="66" t="s">
        <v>96</v>
      </c>
      <c r="T3" s="65"/>
      <c r="U3" s="67" t="s">
        <v>192</v>
      </c>
      <c r="V3" s="67" t="s">
        <v>97</v>
      </c>
      <c r="W3" s="64" t="s">
        <v>94</v>
      </c>
    </row>
    <row r="4" spans="2:24" s="106" customFormat="1" x14ac:dyDescent="0.2">
      <c r="B4" s="124" t="s">
        <v>201</v>
      </c>
      <c r="C4" s="291">
        <f>ROW()/2-1</f>
        <v>1</v>
      </c>
      <c r="D4" s="293">
        <v>43845</v>
      </c>
      <c r="E4" s="33" t="s">
        <v>189</v>
      </c>
      <c r="F4" s="33">
        <v>3105</v>
      </c>
      <c r="G4" s="55" t="s">
        <v>4255</v>
      </c>
      <c r="H4" s="49">
        <v>1037</v>
      </c>
      <c r="I4" s="49">
        <v>1000</v>
      </c>
      <c r="J4" s="50">
        <f t="shared" ref="J4:J5" si="0">H4*I4</f>
        <v>1037000</v>
      </c>
      <c r="K4" s="52" t="s">
        <v>4257</v>
      </c>
      <c r="L4" s="49">
        <v>1024</v>
      </c>
      <c r="M4" s="33">
        <v>770</v>
      </c>
      <c r="N4" s="144">
        <f ca="1">IF(OR(K4="現物",J4=0),0,IF(E4="売",J4*Fee_Refer!$B$12/365*V4, J4*Fee_Refer!$B$11/365*#REF!))</f>
        <v>218.76438356164383</v>
      </c>
      <c r="O4" s="52">
        <v>0</v>
      </c>
      <c r="P4" s="147">
        <f ca="1">IF(L4 &gt;0,(H4-L4)*I4-M4-N4-O4,0)</f>
        <v>12011.235616438356</v>
      </c>
      <c r="Q4" s="51">
        <f t="shared" ref="Q4:Q5" ca="1" si="1">P4/J4</f>
        <v>1.1582676582872089E-2</v>
      </c>
      <c r="R4" s="295">
        <f ca="1">P4+P5</f>
        <v>19689.965479452054</v>
      </c>
      <c r="S4" s="296">
        <f ca="1">R4/(J4+J5)</f>
        <v>9.5415610968463144E-3</v>
      </c>
      <c r="U4" s="298">
        <f ca="1">$P$1</f>
        <v>43852</v>
      </c>
      <c r="V4" s="286">
        <f ca="1">IF(U4&gt;D4,DATEDIF(D4,U4,"d"),0)</f>
        <v>7</v>
      </c>
      <c r="W4" s="287"/>
    </row>
    <row r="5" spans="2:24" s="106" customFormat="1" x14ac:dyDescent="0.2">
      <c r="B5" s="124" t="s">
        <v>679</v>
      </c>
      <c r="C5" s="292"/>
      <c r="D5" s="294"/>
      <c r="E5" s="29" t="s">
        <v>191</v>
      </c>
      <c r="F5" s="29">
        <v>3116</v>
      </c>
      <c r="G5" s="54" t="s">
        <v>4256</v>
      </c>
      <c r="H5" s="46">
        <v>1711</v>
      </c>
      <c r="I5" s="46">
        <v>600</v>
      </c>
      <c r="J5" s="47">
        <f t="shared" si="0"/>
        <v>1026600</v>
      </c>
      <c r="K5" s="145" t="s">
        <v>4257</v>
      </c>
      <c r="L5" s="41">
        <v>1726</v>
      </c>
      <c r="M5" s="31">
        <v>770</v>
      </c>
      <c r="N5" s="146">
        <f ca="1">IF(OR(K5="現物",J5=0),0,IF(E5="売",J5*Fee_Refer!$B$12/365*V5, J5*Fee_Refer!$B$11/365*V4))</f>
        <v>551.2701369863014</v>
      </c>
      <c r="O5" s="283">
        <v>0</v>
      </c>
      <c r="P5" s="148">
        <f ca="1">IF(L5&gt;0,(L5-H5)*I5-M5-N5-O5,0)</f>
        <v>7678.7298630136984</v>
      </c>
      <c r="Q5" s="48">
        <f t="shared" ca="1" si="1"/>
        <v>7.4797680333271947E-3</v>
      </c>
      <c r="R5" s="295"/>
      <c r="S5" s="297"/>
      <c r="U5" s="286"/>
      <c r="V5" s="286"/>
      <c r="W5" s="286"/>
    </row>
    <row r="6" spans="2:24" s="106" customFormat="1" x14ac:dyDescent="0.2">
      <c r="B6" s="124" t="s">
        <v>201</v>
      </c>
      <c r="C6" s="291">
        <f>ROW()/2-1</f>
        <v>2</v>
      </c>
      <c r="D6" s="293">
        <v>43846</v>
      </c>
      <c r="E6" s="33" t="s">
        <v>189</v>
      </c>
      <c r="F6" s="33">
        <v>5333</v>
      </c>
      <c r="G6" s="55" t="s">
        <v>4290</v>
      </c>
      <c r="H6" s="49">
        <v>1958</v>
      </c>
      <c r="I6" s="49">
        <v>500</v>
      </c>
      <c r="J6" s="50">
        <f t="shared" ref="J6:J9" si="2">H6*I6</f>
        <v>979000</v>
      </c>
      <c r="K6" s="52" t="s">
        <v>4292</v>
      </c>
      <c r="L6" s="49">
        <v>1959</v>
      </c>
      <c r="M6" s="33">
        <v>770</v>
      </c>
      <c r="N6" s="144">
        <f ca="1">IF(OR(K6="現物",J6=0),0,IF(E6="売",J6*Fee_Refer!$B$12/365*V6, J6*Fee_Refer!$B$11/365*#REF!))</f>
        <v>177.02465753424659</v>
      </c>
      <c r="O6" s="52">
        <v>0</v>
      </c>
      <c r="P6" s="147">
        <f ca="1">IF(L6 &gt;0,(H6-L6)*I6-M6-N6-O6,0)</f>
        <v>-1447.0246575342467</v>
      </c>
      <c r="Q6" s="51">
        <f t="shared" ref="Q6:Q9" ca="1" si="3">P6/J6</f>
        <v>-1.4780640015671571E-3</v>
      </c>
      <c r="R6" s="295">
        <f ca="1">P6+P7</f>
        <v>7311.6547945205475</v>
      </c>
      <c r="S6" s="296">
        <f ca="1">R6/(J6+J7)</f>
        <v>3.6503518694560896E-3</v>
      </c>
      <c r="U6" s="298">
        <f ca="1">$P$1</f>
        <v>43852</v>
      </c>
      <c r="V6" s="286">
        <f ca="1">IF(U6&gt;D6,DATEDIF(D6,U6,"d"),0)</f>
        <v>6</v>
      </c>
      <c r="W6" s="287"/>
    </row>
    <row r="7" spans="2:24" s="106" customFormat="1" x14ac:dyDescent="0.2">
      <c r="B7" s="124" t="s">
        <v>679</v>
      </c>
      <c r="C7" s="292"/>
      <c r="D7" s="294"/>
      <c r="E7" s="29" t="s">
        <v>191</v>
      </c>
      <c r="F7" s="29">
        <v>9810</v>
      </c>
      <c r="G7" s="54" t="s">
        <v>4291</v>
      </c>
      <c r="H7" s="46">
        <v>5120</v>
      </c>
      <c r="I7" s="46">
        <v>200</v>
      </c>
      <c r="J7" s="47">
        <f t="shared" si="2"/>
        <v>1024000</v>
      </c>
      <c r="K7" s="145" t="s">
        <v>4292</v>
      </c>
      <c r="L7" s="41">
        <v>5170</v>
      </c>
      <c r="M7" s="31">
        <v>770</v>
      </c>
      <c r="N7" s="146">
        <f ca="1">IF(OR(K7="現物",J7=0),0,IF(E7="売",J7*Fee_Refer!$B$12/365*V7, J7*Fee_Refer!$B$11/365*V6))</f>
        <v>471.32054794520548</v>
      </c>
      <c r="O7" s="284">
        <v>0</v>
      </c>
      <c r="P7" s="148">
        <f ca="1">IF(L7&gt;0,(L7-H7)*I7-M7-N7-O7,0)</f>
        <v>8758.6794520547937</v>
      </c>
      <c r="Q7" s="48">
        <f t="shared" ca="1" si="3"/>
        <v>8.5533979023972601E-3</v>
      </c>
      <c r="R7" s="295"/>
      <c r="S7" s="297"/>
      <c r="U7" s="286"/>
      <c r="V7" s="286"/>
      <c r="W7" s="286"/>
    </row>
    <row r="8" spans="2:24" s="106" customFormat="1" x14ac:dyDescent="0.2">
      <c r="B8" s="124" t="s">
        <v>201</v>
      </c>
      <c r="C8" s="291">
        <f>ROW()/2-1</f>
        <v>3</v>
      </c>
      <c r="D8" s="293">
        <v>43847</v>
      </c>
      <c r="E8" s="33" t="s">
        <v>189</v>
      </c>
      <c r="F8" s="33">
        <v>8572</v>
      </c>
      <c r="G8" s="55" t="s">
        <v>4341</v>
      </c>
      <c r="H8" s="49">
        <v>513</v>
      </c>
      <c r="I8" s="49">
        <v>2000</v>
      </c>
      <c r="J8" s="50">
        <f t="shared" si="2"/>
        <v>1026000</v>
      </c>
      <c r="K8" s="52" t="s">
        <v>4343</v>
      </c>
      <c r="L8" s="49">
        <v>521</v>
      </c>
      <c r="M8" s="33">
        <v>770</v>
      </c>
      <c r="N8" s="144">
        <f ca="1">IF(OR(K8="現物",J8=0),0,IF(E8="売",J8*Fee_Refer!$B$12/365*V8, J8*Fee_Refer!$B$11/365*#REF!))</f>
        <v>154.60273972602741</v>
      </c>
      <c r="O8" s="52">
        <v>0</v>
      </c>
      <c r="P8" s="147">
        <f ca="1">IF(L8 &gt;0,(H8-L8)*I8-M8-N8-O8,0)</f>
        <v>-16924.602739726026</v>
      </c>
      <c r="Q8" s="51">
        <f t="shared" ca="1" si="3"/>
        <v>-1.6495714171272928E-2</v>
      </c>
      <c r="R8" s="295">
        <f ca="1">P8+P9</f>
        <v>4711.6328767123305</v>
      </c>
      <c r="S8" s="296">
        <f ca="1">R8/(J8+J9)</f>
        <v>2.2954462032116975E-3</v>
      </c>
      <c r="U8" s="298">
        <f ca="1">$P$1</f>
        <v>43852</v>
      </c>
      <c r="V8" s="286">
        <f ca="1">IF(U8&gt;D8,DATEDIF(D8,U8,"d"),0)</f>
        <v>5</v>
      </c>
      <c r="W8" s="287"/>
    </row>
    <row r="9" spans="2:24" s="106" customFormat="1" x14ac:dyDescent="0.2">
      <c r="B9" s="124" t="s">
        <v>679</v>
      </c>
      <c r="C9" s="292"/>
      <c r="D9" s="294"/>
      <c r="E9" s="29" t="s">
        <v>191</v>
      </c>
      <c r="F9" s="29">
        <v>8804</v>
      </c>
      <c r="G9" s="54" t="s">
        <v>4342</v>
      </c>
      <c r="H9" s="46">
        <v>1711</v>
      </c>
      <c r="I9" s="46">
        <v>600</v>
      </c>
      <c r="J9" s="47">
        <f t="shared" si="2"/>
        <v>1026600</v>
      </c>
      <c r="K9" s="145" t="s">
        <v>4343</v>
      </c>
      <c r="L9" s="41">
        <v>1749</v>
      </c>
      <c r="M9" s="31">
        <v>770</v>
      </c>
      <c r="N9" s="146">
        <f ca="1">IF(OR(K9="現物",J9=0),0,IF(E9="売",J9*Fee_Refer!$B$12/365*V9, J9*Fee_Refer!$B$11/365*V8))</f>
        <v>393.76438356164385</v>
      </c>
      <c r="O9" s="285">
        <v>0</v>
      </c>
      <c r="P9" s="148">
        <f ca="1">IF(L9&gt;0,(L9-H9)*I9-M9-N9-O9,0)</f>
        <v>21636.235616438356</v>
      </c>
      <c r="Q9" s="48">
        <f t="shared" ca="1" si="3"/>
        <v>2.107562401757097E-2</v>
      </c>
      <c r="R9" s="295"/>
      <c r="S9" s="297"/>
      <c r="U9" s="286"/>
      <c r="V9" s="286"/>
      <c r="W9" s="286"/>
      <c r="X9" s="106" t="s">
        <v>4344</v>
      </c>
    </row>
    <row r="11" spans="2:24" ht="12.75" customHeight="1" x14ac:dyDescent="0.2"/>
  </sheetData>
  <mergeCells count="23">
    <mergeCell ref="V8:V9"/>
    <mergeCell ref="W8:W9"/>
    <mergeCell ref="C8:C9"/>
    <mergeCell ref="D8:D9"/>
    <mergeCell ref="R8:R9"/>
    <mergeCell ref="S8:S9"/>
    <mergeCell ref="U8:U9"/>
    <mergeCell ref="V4:V5"/>
    <mergeCell ref="W4:W5"/>
    <mergeCell ref="K1:L1"/>
    <mergeCell ref="P1:Q1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41"/>
  <sheetViews>
    <sheetView showGridLines="0" topLeftCell="A19" zoomScaleNormal="100" workbookViewId="0">
      <selection activeCell="P52" sqref="P52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187</v>
      </c>
      <c r="R2" s="93">
        <f>SUM(R4:R1004)</f>
        <v>446178.06082191761</v>
      </c>
      <c r="S2" s="179"/>
      <c r="U2" s="57" t="s">
        <v>72</v>
      </c>
      <c r="X2" s="1" t="s">
        <v>1431</v>
      </c>
    </row>
    <row r="3" spans="2:29" ht="30" customHeight="1" thickBot="1" x14ac:dyDescent="0.25">
      <c r="C3" s="58" t="s">
        <v>74</v>
      </c>
      <c r="D3" s="92" t="s">
        <v>98</v>
      </c>
      <c r="E3" s="60"/>
      <c r="F3" s="61" t="s">
        <v>42</v>
      </c>
      <c r="G3" s="61" t="s">
        <v>43</v>
      </c>
      <c r="H3" s="63" t="s">
        <v>200</v>
      </c>
      <c r="I3" s="63" t="s">
        <v>197</v>
      </c>
      <c r="J3" s="60" t="s">
        <v>22</v>
      </c>
      <c r="K3" s="60" t="s">
        <v>77</v>
      </c>
      <c r="L3" s="63" t="s">
        <v>198</v>
      </c>
      <c r="M3" s="63" t="s">
        <v>99</v>
      </c>
      <c r="N3" s="60" t="s">
        <v>79</v>
      </c>
      <c r="O3" s="63" t="s">
        <v>93</v>
      </c>
      <c r="P3" s="62" t="s">
        <v>199</v>
      </c>
      <c r="Q3" s="62" t="s">
        <v>81</v>
      </c>
      <c r="R3" s="63" t="s">
        <v>95</v>
      </c>
      <c r="S3" s="66" t="s">
        <v>96</v>
      </c>
      <c r="T3" s="65"/>
      <c r="U3" s="67" t="s">
        <v>188</v>
      </c>
      <c r="V3" s="67" t="s">
        <v>1426</v>
      </c>
      <c r="W3" s="67" t="s">
        <v>94</v>
      </c>
      <c r="AA3" s="67" t="s">
        <v>194</v>
      </c>
      <c r="AB3" s="67" t="s">
        <v>195</v>
      </c>
      <c r="AC3" s="67" t="s">
        <v>196</v>
      </c>
    </row>
    <row r="4" spans="2:29" x14ac:dyDescent="0.2">
      <c r="B4" s="124" t="s">
        <v>201</v>
      </c>
      <c r="C4" s="307">
        <v>1</v>
      </c>
      <c r="D4" s="323">
        <v>43726</v>
      </c>
      <c r="E4" s="25" t="s">
        <v>189</v>
      </c>
      <c r="F4" s="25">
        <v>6472</v>
      </c>
      <c r="G4" s="53" t="s">
        <v>190</v>
      </c>
      <c r="H4" s="43">
        <v>320</v>
      </c>
      <c r="I4" s="26">
        <v>1200</v>
      </c>
      <c r="J4" s="44">
        <v>384000</v>
      </c>
      <c r="K4" s="37" t="s">
        <v>88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00">
        <f>P4+P5</f>
        <v>159</v>
      </c>
      <c r="S4" s="309">
        <f>R4/(J4+J5)</f>
        <v>2.1406645484409498E-4</v>
      </c>
      <c r="U4" s="315">
        <v>43742</v>
      </c>
      <c r="V4" s="319">
        <f>DATEDIF(D4,U4,"d")</f>
        <v>16</v>
      </c>
      <c r="W4" s="317" t="s">
        <v>801</v>
      </c>
      <c r="X4" s="170"/>
      <c r="AA4" s="300">
        <f>YEAR(U4)</f>
        <v>2019</v>
      </c>
      <c r="AB4" s="300">
        <f>MONTH(U4)</f>
        <v>10</v>
      </c>
      <c r="AC4" s="300" t="str">
        <f>IF(R4&gt;0,"○","☓")</f>
        <v>○</v>
      </c>
    </row>
    <row r="5" spans="2:29" ht="15" thickBot="1" x14ac:dyDescent="0.25">
      <c r="B5" s="106"/>
      <c r="C5" s="292"/>
      <c r="D5" s="293"/>
      <c r="E5" s="29" t="s">
        <v>191</v>
      </c>
      <c r="F5" s="29">
        <v>6752</v>
      </c>
      <c r="G5" s="54" t="s">
        <v>58</v>
      </c>
      <c r="H5" s="46">
        <v>896.9</v>
      </c>
      <c r="I5" s="30">
        <v>400</v>
      </c>
      <c r="J5" s="47">
        <v>358760</v>
      </c>
      <c r="K5" s="38" t="s">
        <v>89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297"/>
      <c r="S5" s="314"/>
      <c r="U5" s="316"/>
      <c r="V5" s="320"/>
      <c r="W5" s="318"/>
      <c r="X5" s="170"/>
      <c r="AA5" s="297"/>
      <c r="AB5" s="297"/>
      <c r="AC5" s="297"/>
    </row>
    <row r="6" spans="2:29" x14ac:dyDescent="0.2">
      <c r="B6" s="124" t="s">
        <v>201</v>
      </c>
      <c r="C6" s="307">
        <v>2</v>
      </c>
      <c r="D6" s="312">
        <v>43732</v>
      </c>
      <c r="E6" s="25" t="s">
        <v>82</v>
      </c>
      <c r="F6" s="25">
        <v>6305</v>
      </c>
      <c r="G6" s="53" t="s">
        <v>32</v>
      </c>
      <c r="H6" s="43">
        <v>2638</v>
      </c>
      <c r="I6" s="26">
        <v>300</v>
      </c>
      <c r="J6" s="44">
        <v>791400</v>
      </c>
      <c r="K6" s="37" t="s">
        <v>88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>IF(L6 &gt;0,(H6-L6)*I6-M6-N6-O6,0)</f>
        <v>50930</v>
      </c>
      <c r="Q6" s="45">
        <f t="shared" ref="Q6:Q41" si="0">P6/J6</f>
        <v>6.4354308819812994E-2</v>
      </c>
      <c r="R6" s="300">
        <f>P6+P7</f>
        <v>37649</v>
      </c>
      <c r="S6" s="296">
        <f>R6/(J6+J7)</f>
        <v>2.3845082019127242E-2</v>
      </c>
      <c r="T6" s="3"/>
      <c r="U6" s="321">
        <v>43748</v>
      </c>
      <c r="V6" s="322">
        <f>DATEDIF(D6,U6,"d")</f>
        <v>16</v>
      </c>
      <c r="W6" s="317" t="s">
        <v>801</v>
      </c>
      <c r="X6" s="170"/>
      <c r="AA6" s="300">
        <f>YEAR(U6)</f>
        <v>2019</v>
      </c>
      <c r="AB6" s="300">
        <f>MONTH(U6)</f>
        <v>10</v>
      </c>
      <c r="AC6" s="300" t="str">
        <f>IF(R6&gt;0,"○","☓")</f>
        <v>○</v>
      </c>
    </row>
    <row r="7" spans="2:29" x14ac:dyDescent="0.2">
      <c r="B7" s="106"/>
      <c r="C7" s="292"/>
      <c r="D7" s="294"/>
      <c r="E7" s="29" t="s">
        <v>83</v>
      </c>
      <c r="F7" s="29">
        <v>3861</v>
      </c>
      <c r="G7" s="54" t="s">
        <v>38</v>
      </c>
      <c r="H7" s="46">
        <v>525</v>
      </c>
      <c r="I7" s="30">
        <v>1500</v>
      </c>
      <c r="J7" s="47">
        <v>787500</v>
      </c>
      <c r="K7" s="38" t="s">
        <v>89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>IF(L7 &gt;0,(L7-H7)*I7-M7-N7-O7,0)</f>
        <v>-13281</v>
      </c>
      <c r="Q7" s="48">
        <f t="shared" si="0"/>
        <v>-1.6864761904761903E-2</v>
      </c>
      <c r="R7" s="297"/>
      <c r="S7" s="297"/>
      <c r="T7" s="3"/>
      <c r="U7" s="321"/>
      <c r="V7" s="322"/>
      <c r="W7" s="318"/>
      <c r="X7" s="170"/>
      <c r="AA7" s="297"/>
      <c r="AB7" s="297"/>
      <c r="AC7" s="297"/>
    </row>
    <row r="8" spans="2:29" x14ac:dyDescent="0.2">
      <c r="B8" s="124" t="s">
        <v>201</v>
      </c>
      <c r="C8" s="291">
        <f>ROW()/2-1</f>
        <v>3</v>
      </c>
      <c r="D8" s="312">
        <v>43747</v>
      </c>
      <c r="E8" s="33" t="s">
        <v>90</v>
      </c>
      <c r="F8" s="33">
        <v>3099</v>
      </c>
      <c r="G8" s="55" t="s">
        <v>37</v>
      </c>
      <c r="H8" s="49">
        <v>872</v>
      </c>
      <c r="I8" s="33">
        <v>1200</v>
      </c>
      <c r="J8" s="33">
        <f t="shared" ref="J8:J13" si="1">H8*I8</f>
        <v>1046400</v>
      </c>
      <c r="K8" s="52" t="s">
        <v>87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295">
        <f>P8+P9</f>
        <v>63304</v>
      </c>
      <c r="S8" s="309">
        <f>R8/(J8+J9)</f>
        <v>3.0952474085663994E-2</v>
      </c>
      <c r="U8" s="311">
        <v>43753</v>
      </c>
      <c r="V8" s="292">
        <f>DATEDIF(D8,U8,"d")</f>
        <v>6</v>
      </c>
      <c r="W8" s="305" t="s">
        <v>803</v>
      </c>
      <c r="X8" s="170"/>
      <c r="AA8" s="300">
        <f>YEAR(U8)</f>
        <v>2019</v>
      </c>
      <c r="AB8" s="300">
        <f>MONTH(U8)</f>
        <v>10</v>
      </c>
      <c r="AC8" s="300" t="str">
        <f>IF(R8&gt;0,"○","☓")</f>
        <v>○</v>
      </c>
    </row>
    <row r="9" spans="2:29" x14ac:dyDescent="0.2">
      <c r="B9" s="106"/>
      <c r="C9" s="292"/>
      <c r="D9" s="294">
        <v>43747</v>
      </c>
      <c r="E9" s="29" t="s">
        <v>83</v>
      </c>
      <c r="F9" s="29">
        <v>7211</v>
      </c>
      <c r="G9" s="54" t="s">
        <v>29</v>
      </c>
      <c r="H9" s="46">
        <v>454</v>
      </c>
      <c r="I9" s="46">
        <v>2200</v>
      </c>
      <c r="J9" s="47">
        <f t="shared" si="1"/>
        <v>998800</v>
      </c>
      <c r="K9" s="38" t="s">
        <v>87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295"/>
      <c r="S9" s="297"/>
      <c r="U9" s="298"/>
      <c r="V9" s="286"/>
      <c r="W9" s="286"/>
      <c r="X9" s="170"/>
      <c r="AA9" s="297"/>
      <c r="AB9" s="297"/>
      <c r="AC9" s="297"/>
    </row>
    <row r="10" spans="2:29" x14ac:dyDescent="0.2">
      <c r="B10" s="124" t="s">
        <v>201</v>
      </c>
      <c r="C10" s="291">
        <f>ROW()/2-1</f>
        <v>4</v>
      </c>
      <c r="D10" s="312">
        <v>43753</v>
      </c>
      <c r="E10" s="128" t="s">
        <v>82</v>
      </c>
      <c r="F10" s="33">
        <v>7453</v>
      </c>
      <c r="G10" s="55" t="s">
        <v>57</v>
      </c>
      <c r="H10" s="49">
        <v>2127</v>
      </c>
      <c r="I10" s="33">
        <v>500</v>
      </c>
      <c r="J10" s="33">
        <f t="shared" si="1"/>
        <v>1063500</v>
      </c>
      <c r="K10" s="52" t="s">
        <v>87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295">
        <f>P10+P11</f>
        <v>-93238.000000000029</v>
      </c>
      <c r="S10" s="296">
        <f>R10/(J10+J11)</f>
        <v>-4.3839777316989466E-2</v>
      </c>
      <c r="U10" s="310">
        <v>43759</v>
      </c>
      <c r="V10" s="286">
        <f>DATEDIF(D10,U10,"d")</f>
        <v>6</v>
      </c>
      <c r="W10" s="313" t="s">
        <v>206</v>
      </c>
      <c r="X10" s="170" t="s">
        <v>222</v>
      </c>
      <c r="AA10" s="300">
        <f>YEAR(U10)</f>
        <v>2019</v>
      </c>
      <c r="AB10" s="300">
        <f>MONTH(U10)</f>
        <v>10</v>
      </c>
      <c r="AC10" s="303" t="str">
        <f>IF(R10&gt;0,"○","☓")</f>
        <v>☓</v>
      </c>
    </row>
    <row r="11" spans="2:29" x14ac:dyDescent="0.2">
      <c r="B11" s="106"/>
      <c r="C11" s="292"/>
      <c r="D11" s="294">
        <v>43748</v>
      </c>
      <c r="E11" s="129" t="s">
        <v>83</v>
      </c>
      <c r="F11" s="29">
        <v>8308</v>
      </c>
      <c r="G11" s="54" t="s">
        <v>55</v>
      </c>
      <c r="H11" s="46">
        <v>462.3</v>
      </c>
      <c r="I11" s="46">
        <v>2300</v>
      </c>
      <c r="J11" s="47">
        <f t="shared" si="1"/>
        <v>1063290</v>
      </c>
      <c r="K11" s="38" t="s">
        <v>87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295"/>
      <c r="S11" s="297"/>
      <c r="U11" s="311"/>
      <c r="V11" s="286"/>
      <c r="W11" s="313"/>
      <c r="X11" s="170" t="s">
        <v>223</v>
      </c>
      <c r="AA11" s="297"/>
      <c r="AB11" s="297"/>
      <c r="AC11" s="304"/>
    </row>
    <row r="12" spans="2:29" x14ac:dyDescent="0.2">
      <c r="B12" s="124" t="s">
        <v>201</v>
      </c>
      <c r="C12" s="307">
        <f>ROW()/2-1</f>
        <v>5</v>
      </c>
      <c r="D12" s="293">
        <v>43742</v>
      </c>
      <c r="E12" s="25" t="s">
        <v>82</v>
      </c>
      <c r="F12" s="25">
        <v>8750</v>
      </c>
      <c r="G12" s="53" t="s">
        <v>31</v>
      </c>
      <c r="H12" s="43">
        <v>1635</v>
      </c>
      <c r="I12" s="26">
        <v>600</v>
      </c>
      <c r="J12" s="44">
        <f t="shared" si="1"/>
        <v>981000</v>
      </c>
      <c r="K12" s="37" t="s">
        <v>88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08">
        <f>P12+P13</f>
        <v>-11052.999999999898</v>
      </c>
      <c r="S12" s="309">
        <f>R12/(J12+J13)</f>
        <v>-5.6554672757562954E-3</v>
      </c>
      <c r="U12" s="310">
        <v>43759</v>
      </c>
      <c r="V12" s="286">
        <f>DATEDIF(D12,U12,"d")</f>
        <v>17</v>
      </c>
      <c r="W12" s="306" t="s">
        <v>801</v>
      </c>
      <c r="X12" s="170"/>
      <c r="AA12" s="300">
        <f>YEAR(U12)</f>
        <v>2019</v>
      </c>
      <c r="AB12" s="300">
        <f>MONTH(U12)</f>
        <v>10</v>
      </c>
      <c r="AC12" s="303" t="str">
        <f>IF(R12&gt;0,"○","☓")</f>
        <v>☓</v>
      </c>
    </row>
    <row r="13" spans="2:29" x14ac:dyDescent="0.2">
      <c r="B13" s="106"/>
      <c r="C13" s="292"/>
      <c r="D13" s="294"/>
      <c r="E13" s="29" t="s">
        <v>83</v>
      </c>
      <c r="F13" s="29">
        <v>8002</v>
      </c>
      <c r="G13" s="54" t="s">
        <v>30</v>
      </c>
      <c r="H13" s="46">
        <v>695.28</v>
      </c>
      <c r="I13" s="30">
        <v>1400</v>
      </c>
      <c r="J13" s="47">
        <f t="shared" si="1"/>
        <v>973392</v>
      </c>
      <c r="K13" s="172" t="s">
        <v>806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295"/>
      <c r="S13" s="297"/>
      <c r="U13" s="311"/>
      <c r="V13" s="286"/>
      <c r="W13" s="306"/>
      <c r="AA13" s="297"/>
      <c r="AB13" s="297"/>
      <c r="AC13" s="304"/>
    </row>
    <row r="14" spans="2:29" s="106" customFormat="1" x14ac:dyDescent="0.2">
      <c r="B14" s="124" t="s">
        <v>201</v>
      </c>
      <c r="C14" s="291">
        <f>ROW()/2-1</f>
        <v>6</v>
      </c>
      <c r="D14" s="293">
        <v>43745</v>
      </c>
      <c r="E14" s="33" t="s">
        <v>82</v>
      </c>
      <c r="F14" s="33">
        <v>6770</v>
      </c>
      <c r="G14" s="55" t="s">
        <v>25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88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295">
        <f>P14+P15</f>
        <v>-1197.0000000000437</v>
      </c>
      <c r="S14" s="296">
        <f>R14/(J14+J15)</f>
        <v>-7.1541831052504275E-4</v>
      </c>
      <c r="U14" s="298">
        <v>43761</v>
      </c>
      <c r="V14" s="286">
        <f>DATEDIF(D14,U14,"d")</f>
        <v>16</v>
      </c>
      <c r="W14" s="306" t="s">
        <v>801</v>
      </c>
      <c r="X14" s="170"/>
      <c r="AA14" s="300">
        <f>YEAR(U14)</f>
        <v>2019</v>
      </c>
      <c r="AB14" s="300">
        <f>MONTH(U14)</f>
        <v>10</v>
      </c>
      <c r="AC14" s="303" t="str">
        <f>IF(R14&gt;0,"○","☓")</f>
        <v>☓</v>
      </c>
    </row>
    <row r="15" spans="2:29" s="106" customFormat="1" x14ac:dyDescent="0.2">
      <c r="C15" s="292"/>
      <c r="D15" s="294">
        <v>43745</v>
      </c>
      <c r="E15" s="29" t="s">
        <v>83</v>
      </c>
      <c r="F15" s="29">
        <v>8601</v>
      </c>
      <c r="G15" s="54" t="s">
        <v>26</v>
      </c>
      <c r="H15" s="46">
        <v>488.91</v>
      </c>
      <c r="I15" s="30">
        <v>1700</v>
      </c>
      <c r="J15" s="47">
        <f t="shared" si="2"/>
        <v>831147</v>
      </c>
      <c r="K15" s="172" t="s">
        <v>73</v>
      </c>
      <c r="L15" s="41">
        <v>499</v>
      </c>
      <c r="M15" s="31">
        <f>487+582</f>
        <v>1069</v>
      </c>
      <c r="N15" s="169">
        <v>0</v>
      </c>
      <c r="O15" s="169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295"/>
      <c r="S15" s="297"/>
      <c r="U15" s="286"/>
      <c r="V15" s="286"/>
      <c r="W15" s="306"/>
      <c r="AA15" s="297"/>
      <c r="AB15" s="297"/>
      <c r="AC15" s="304"/>
    </row>
    <row r="16" spans="2:29" s="106" customFormat="1" x14ac:dyDescent="0.2">
      <c r="B16" s="124" t="s">
        <v>201</v>
      </c>
      <c r="C16" s="291">
        <f>ROW()/2-1</f>
        <v>7</v>
      </c>
      <c r="D16" s="293">
        <v>43745</v>
      </c>
      <c r="E16" s="33" t="s">
        <v>82</v>
      </c>
      <c r="F16" s="33">
        <v>5803</v>
      </c>
      <c r="G16" s="55" t="s">
        <v>27</v>
      </c>
      <c r="H16" s="49">
        <v>413</v>
      </c>
      <c r="I16" s="34">
        <v>1700</v>
      </c>
      <c r="J16" s="50">
        <f t="shared" si="2"/>
        <v>702100</v>
      </c>
      <c r="K16" s="39" t="s">
        <v>88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295">
        <f>P16+P17</f>
        <v>-16483</v>
      </c>
      <c r="S16" s="296">
        <f>R16/(J16+J17)</f>
        <v>-1.1926054554663194E-2</v>
      </c>
      <c r="U16" s="298">
        <v>43761</v>
      </c>
      <c r="V16" s="286">
        <f>DATEDIF(D16,U16,"d")</f>
        <v>16</v>
      </c>
      <c r="W16" s="306" t="s">
        <v>801</v>
      </c>
      <c r="X16" s="170"/>
      <c r="AA16" s="300">
        <f>YEAR(U16)</f>
        <v>2019</v>
      </c>
      <c r="AB16" s="300">
        <f>MONTH(U16)</f>
        <v>10</v>
      </c>
      <c r="AC16" s="303" t="str">
        <f>IF(R16&gt;0,"○","☓")</f>
        <v>☓</v>
      </c>
    </row>
    <row r="17" spans="2:29" s="106" customFormat="1" x14ac:dyDescent="0.2">
      <c r="C17" s="292"/>
      <c r="D17" s="294">
        <v>43745</v>
      </c>
      <c r="E17" s="29" t="s">
        <v>83</v>
      </c>
      <c r="F17" s="29">
        <v>7259</v>
      </c>
      <c r="G17" s="54" t="s">
        <v>28</v>
      </c>
      <c r="H17" s="46">
        <v>3400</v>
      </c>
      <c r="I17" s="46">
        <v>200</v>
      </c>
      <c r="J17" s="47">
        <f t="shared" si="2"/>
        <v>680000</v>
      </c>
      <c r="K17" s="172" t="s">
        <v>73</v>
      </c>
      <c r="L17" s="41">
        <v>3720</v>
      </c>
      <c r="M17" s="31">
        <f>487+582</f>
        <v>1069</v>
      </c>
      <c r="N17" s="169">
        <v>0</v>
      </c>
      <c r="O17" s="169">
        <v>0</v>
      </c>
      <c r="P17" s="29">
        <f>IF(L17 &gt;0,(L17-H17)*I17-M17-N17-O17,0)</f>
        <v>62931</v>
      </c>
      <c r="Q17" s="48">
        <f t="shared" si="0"/>
        <v>9.2545588235294116E-2</v>
      </c>
      <c r="R17" s="295"/>
      <c r="S17" s="297"/>
      <c r="U17" s="286"/>
      <c r="V17" s="286"/>
      <c r="W17" s="306"/>
      <c r="AA17" s="297"/>
      <c r="AB17" s="297"/>
      <c r="AC17" s="304"/>
    </row>
    <row r="18" spans="2:29" s="106" customFormat="1" x14ac:dyDescent="0.2">
      <c r="B18" s="124" t="s">
        <v>201</v>
      </c>
      <c r="C18" s="291">
        <f>ROW()/2-1</f>
        <v>8</v>
      </c>
      <c r="D18" s="293">
        <v>43748</v>
      </c>
      <c r="E18" s="33" t="s">
        <v>82</v>
      </c>
      <c r="F18" s="33">
        <v>7186</v>
      </c>
      <c r="G18" s="55" t="s">
        <v>84</v>
      </c>
      <c r="H18" s="49">
        <v>410</v>
      </c>
      <c r="I18" s="33">
        <v>1800</v>
      </c>
      <c r="J18" s="33">
        <f t="shared" si="2"/>
        <v>738000</v>
      </c>
      <c r="K18" s="52" t="s">
        <v>87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295">
        <f>P18+P19</f>
        <v>-4757</v>
      </c>
      <c r="S18" s="296">
        <f>R18/(J18+J19)</f>
        <v>-3.2102847887704143E-3</v>
      </c>
      <c r="U18" s="298">
        <v>43767</v>
      </c>
      <c r="V18" s="286">
        <f>DATEDIF(D18,U18,"d")</f>
        <v>19</v>
      </c>
      <c r="W18" s="306" t="s">
        <v>801</v>
      </c>
      <c r="X18" s="225"/>
      <c r="AA18" s="300">
        <f>YEAR(U18)</f>
        <v>2019</v>
      </c>
      <c r="AB18" s="300">
        <f>MONTH(U18)</f>
        <v>10</v>
      </c>
      <c r="AC18" s="303" t="str">
        <f>IF(R18&gt;0,"○","☓")</f>
        <v>☓</v>
      </c>
    </row>
    <row r="19" spans="2:29" s="106" customFormat="1" x14ac:dyDescent="0.2">
      <c r="C19" s="292"/>
      <c r="D19" s="294">
        <v>43748</v>
      </c>
      <c r="E19" s="29" t="s">
        <v>83</v>
      </c>
      <c r="F19" s="29">
        <v>8309</v>
      </c>
      <c r="G19" s="54" t="s">
        <v>85</v>
      </c>
      <c r="H19" s="46">
        <v>3719</v>
      </c>
      <c r="I19" s="46">
        <v>200</v>
      </c>
      <c r="J19" s="47">
        <f t="shared" si="2"/>
        <v>743800</v>
      </c>
      <c r="K19" s="38" t="s">
        <v>87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295"/>
      <c r="S19" s="297"/>
      <c r="U19" s="286"/>
      <c r="V19" s="286"/>
      <c r="W19" s="306"/>
      <c r="X19" s="225"/>
      <c r="AA19" s="297"/>
      <c r="AB19" s="297"/>
      <c r="AC19" s="304"/>
    </row>
    <row r="20" spans="2:29" x14ac:dyDescent="0.2">
      <c r="B20" s="124" t="s">
        <v>201</v>
      </c>
      <c r="C20" s="291">
        <f>ROW()/2-1</f>
        <v>9</v>
      </c>
      <c r="D20" s="293">
        <v>43782</v>
      </c>
      <c r="E20" s="33" t="s">
        <v>82</v>
      </c>
      <c r="F20" s="33">
        <v>1820</v>
      </c>
      <c r="G20" s="55" t="s">
        <v>65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87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295">
        <f>P20+P21</f>
        <v>485995</v>
      </c>
      <c r="S20" s="296">
        <f>R20/(J20+J21)</f>
        <v>0.25451000559299347</v>
      </c>
      <c r="U20" s="298">
        <v>43789</v>
      </c>
      <c r="V20" s="286">
        <f>DATEDIF(D20,U20,"d")</f>
        <v>7</v>
      </c>
      <c r="W20" s="305" t="s">
        <v>224</v>
      </c>
      <c r="X20" s="225" t="s">
        <v>1555</v>
      </c>
      <c r="AA20" s="300">
        <f>YEAR(U20)</f>
        <v>2019</v>
      </c>
      <c r="AB20" s="300">
        <f>MONTH(U20)</f>
        <v>11</v>
      </c>
      <c r="AC20" s="300" t="str">
        <f>IF(R20&gt;0,"○","☓")</f>
        <v>○</v>
      </c>
    </row>
    <row r="21" spans="2:29" x14ac:dyDescent="0.2">
      <c r="B21" s="106"/>
      <c r="C21" s="292"/>
      <c r="D21" s="294">
        <v>43748</v>
      </c>
      <c r="E21" s="29" t="s">
        <v>83</v>
      </c>
      <c r="F21" s="29">
        <v>4508</v>
      </c>
      <c r="G21" s="54" t="s">
        <v>231</v>
      </c>
      <c r="H21" s="46">
        <v>1338.76</v>
      </c>
      <c r="I21" s="46">
        <v>700</v>
      </c>
      <c r="J21" s="47">
        <f t="shared" si="3"/>
        <v>937132</v>
      </c>
      <c r="K21" s="172" t="s">
        <v>73</v>
      </c>
      <c r="L21" s="41">
        <v>2004</v>
      </c>
      <c r="M21" s="31">
        <f>487+582</f>
        <v>1069</v>
      </c>
      <c r="N21" s="169">
        <v>0</v>
      </c>
      <c r="O21" s="169">
        <v>0</v>
      </c>
      <c r="P21" s="29">
        <f>IF(L21 &gt;0,(L21-H21)*I21-M21-N21-O21,0)</f>
        <v>464599</v>
      </c>
      <c r="Q21" s="48">
        <f t="shared" si="0"/>
        <v>0.49576687168936712</v>
      </c>
      <c r="R21" s="295"/>
      <c r="S21" s="297"/>
      <c r="U21" s="286"/>
      <c r="V21" s="286"/>
      <c r="W21" s="286"/>
      <c r="X21" s="106" t="s">
        <v>667</v>
      </c>
      <c r="AA21" s="297"/>
      <c r="AB21" s="297"/>
      <c r="AC21" s="297"/>
    </row>
    <row r="22" spans="2:29" s="106" customFormat="1" x14ac:dyDescent="0.2">
      <c r="B22" s="124" t="s">
        <v>201</v>
      </c>
      <c r="C22" s="291">
        <f>ROW()/2-1</f>
        <v>10</v>
      </c>
      <c r="D22" s="293">
        <v>43782</v>
      </c>
      <c r="E22" s="33" t="s">
        <v>82</v>
      </c>
      <c r="F22" s="33">
        <v>8002</v>
      </c>
      <c r="G22" s="55" t="s">
        <v>30</v>
      </c>
      <c r="H22" s="49">
        <v>814</v>
      </c>
      <c r="I22" s="33">
        <v>1300</v>
      </c>
      <c r="J22" s="50">
        <f t="shared" si="3"/>
        <v>1058200</v>
      </c>
      <c r="K22" s="52" t="s">
        <v>87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295">
        <f>P22+P23</f>
        <v>60240.999999999913</v>
      </c>
      <c r="S22" s="296">
        <f>R22/(J22+J23)</f>
        <v>2.8847737807914758E-2</v>
      </c>
      <c r="U22" s="298">
        <v>43790</v>
      </c>
      <c r="V22" s="286">
        <f>DATEDIF(D22,U22,"d")</f>
        <v>8</v>
      </c>
      <c r="W22" s="305" t="s">
        <v>224</v>
      </c>
      <c r="X22" s="170"/>
      <c r="AA22" s="300">
        <f>YEAR(U22)</f>
        <v>2019</v>
      </c>
      <c r="AB22" s="300">
        <f>MONTH(U22)</f>
        <v>11</v>
      </c>
      <c r="AC22" s="300" t="str">
        <f>IF(R22&gt;0,"○","☓")</f>
        <v>○</v>
      </c>
    </row>
    <row r="23" spans="2:29" s="106" customFormat="1" x14ac:dyDescent="0.2">
      <c r="C23" s="292"/>
      <c r="D23" s="294">
        <v>43748</v>
      </c>
      <c r="E23" s="29" t="s">
        <v>83</v>
      </c>
      <c r="F23" s="29">
        <v>8601</v>
      </c>
      <c r="G23" s="54" t="s">
        <v>26</v>
      </c>
      <c r="H23" s="46">
        <v>515.02</v>
      </c>
      <c r="I23" s="46">
        <v>2000</v>
      </c>
      <c r="J23" s="47">
        <f t="shared" si="3"/>
        <v>1030040</v>
      </c>
      <c r="K23" s="172" t="s">
        <v>73</v>
      </c>
      <c r="L23" s="41">
        <v>533.29999999999995</v>
      </c>
      <c r="M23" s="31">
        <f>487+582</f>
        <v>1069</v>
      </c>
      <c r="N23" s="130">
        <v>0</v>
      </c>
      <c r="O23" s="169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295"/>
      <c r="S23" s="297"/>
      <c r="U23" s="286"/>
      <c r="V23" s="286"/>
      <c r="W23" s="286"/>
      <c r="AA23" s="297"/>
      <c r="AB23" s="297"/>
      <c r="AC23" s="297"/>
    </row>
    <row r="24" spans="2:29" s="106" customFormat="1" x14ac:dyDescent="0.2">
      <c r="B24" s="124" t="s">
        <v>201</v>
      </c>
      <c r="C24" s="291">
        <f>ROW()/2-1</f>
        <v>11</v>
      </c>
      <c r="D24" s="293">
        <v>43783</v>
      </c>
      <c r="E24" s="33" t="s">
        <v>82</v>
      </c>
      <c r="F24" s="33">
        <v>3105</v>
      </c>
      <c r="G24" s="55" t="s">
        <v>52</v>
      </c>
      <c r="H24" s="49">
        <v>970</v>
      </c>
      <c r="I24" s="33">
        <v>1100</v>
      </c>
      <c r="J24" s="50">
        <f t="shared" si="3"/>
        <v>1067000</v>
      </c>
      <c r="K24" s="52" t="s">
        <v>87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295">
        <f>P24+P25</f>
        <v>-59214</v>
      </c>
      <c r="S24" s="296">
        <f>R24/(J24+J25)</f>
        <v>-2.7894290559638213E-2</v>
      </c>
      <c r="U24" s="298">
        <v>43798</v>
      </c>
      <c r="V24" s="286">
        <f>DATEDIF(D24,U24,"d")</f>
        <v>15</v>
      </c>
      <c r="W24" s="324" t="s">
        <v>206</v>
      </c>
      <c r="X24" s="170"/>
      <c r="AA24" s="300">
        <f>YEAR(U24)</f>
        <v>2019</v>
      </c>
      <c r="AB24" s="300">
        <f>MONTH(U24)</f>
        <v>11</v>
      </c>
      <c r="AC24" s="300" t="str">
        <f>IF(R24&gt;0,"○","☓")</f>
        <v>☓</v>
      </c>
    </row>
    <row r="25" spans="2:29" s="106" customFormat="1" x14ac:dyDescent="0.2">
      <c r="C25" s="292"/>
      <c r="D25" s="294">
        <v>43748</v>
      </c>
      <c r="E25" s="29" t="s">
        <v>83</v>
      </c>
      <c r="F25" s="29">
        <v>6301</v>
      </c>
      <c r="G25" s="54" t="s">
        <v>59</v>
      </c>
      <c r="H25" s="46">
        <v>2639.5</v>
      </c>
      <c r="I25" s="46">
        <v>400</v>
      </c>
      <c r="J25" s="47">
        <f t="shared" si="3"/>
        <v>1055800</v>
      </c>
      <c r="K25" s="38" t="s">
        <v>73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295"/>
      <c r="S25" s="297"/>
      <c r="U25" s="286"/>
      <c r="V25" s="286"/>
      <c r="W25" s="325"/>
      <c r="X25" s="170"/>
      <c r="AA25" s="297"/>
      <c r="AB25" s="297"/>
      <c r="AC25" s="297"/>
    </row>
    <row r="26" spans="2:29" s="106" customFormat="1" x14ac:dyDescent="0.2">
      <c r="B26" s="124" t="s">
        <v>201</v>
      </c>
      <c r="C26" s="291">
        <f>ROW()/2-1</f>
        <v>12</v>
      </c>
      <c r="D26" s="293">
        <v>43784</v>
      </c>
      <c r="E26" s="33" t="s">
        <v>82</v>
      </c>
      <c r="F26" s="33">
        <v>6770</v>
      </c>
      <c r="G26" s="55" t="s">
        <v>25</v>
      </c>
      <c r="H26" s="49">
        <v>2386</v>
      </c>
      <c r="I26" s="33">
        <v>400</v>
      </c>
      <c r="J26" s="50">
        <f t="shared" si="3"/>
        <v>954400</v>
      </c>
      <c r="K26" s="52" t="s">
        <v>807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295">
        <f>P26+P27</f>
        <v>-23558</v>
      </c>
      <c r="S26" s="296">
        <f>R26/(J26+J27)</f>
        <v>-1.2410704878305763E-2</v>
      </c>
      <c r="U26" s="298">
        <v>43802</v>
      </c>
      <c r="V26" s="286">
        <f>DATEDIF(D26,U26,"d")</f>
        <v>18</v>
      </c>
      <c r="W26" s="301" t="s">
        <v>801</v>
      </c>
      <c r="X26" s="170"/>
      <c r="AA26" s="300">
        <f>YEAR(U26)</f>
        <v>2019</v>
      </c>
      <c r="AB26" s="300">
        <f>MONTH(U26)</f>
        <v>12</v>
      </c>
      <c r="AC26" s="300" t="str">
        <f>IF(R26&gt;0,"○","☓")</f>
        <v>☓</v>
      </c>
    </row>
    <row r="27" spans="2:29" s="106" customFormat="1" x14ac:dyDescent="0.2">
      <c r="C27" s="292"/>
      <c r="D27" s="294">
        <v>43748</v>
      </c>
      <c r="E27" s="29" t="s">
        <v>83</v>
      </c>
      <c r="F27" s="29">
        <v>1911</v>
      </c>
      <c r="G27" s="54" t="s">
        <v>56</v>
      </c>
      <c r="H27" s="46">
        <v>1573</v>
      </c>
      <c r="I27" s="46">
        <v>600</v>
      </c>
      <c r="J27" s="47">
        <f t="shared" si="3"/>
        <v>943800</v>
      </c>
      <c r="K27" s="171" t="s">
        <v>88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295"/>
      <c r="S27" s="297"/>
      <c r="U27" s="286"/>
      <c r="V27" s="286"/>
      <c r="W27" s="302"/>
      <c r="X27" s="170"/>
      <c r="AA27" s="297"/>
      <c r="AB27" s="297"/>
      <c r="AC27" s="297"/>
    </row>
    <row r="28" spans="2:29" s="106" customFormat="1" x14ac:dyDescent="0.2">
      <c r="B28" s="124" t="s">
        <v>201</v>
      </c>
      <c r="C28" s="291">
        <v>13</v>
      </c>
      <c r="D28" s="293">
        <v>43789</v>
      </c>
      <c r="E28" s="33" t="s">
        <v>82</v>
      </c>
      <c r="F28" s="33">
        <v>4182</v>
      </c>
      <c r="G28" s="55" t="s">
        <v>50</v>
      </c>
      <c r="H28" s="49">
        <v>1627</v>
      </c>
      <c r="I28" s="33">
        <v>600</v>
      </c>
      <c r="J28" s="50">
        <v>976200</v>
      </c>
      <c r="K28" s="52" t="s">
        <v>87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295">
        <v>54150</v>
      </c>
      <c r="S28" s="296">
        <v>2.7799999999999998E-2</v>
      </c>
      <c r="U28" s="298">
        <v>43805</v>
      </c>
      <c r="V28" s="286">
        <v>15</v>
      </c>
      <c r="W28" s="305" t="s">
        <v>777</v>
      </c>
      <c r="X28" s="170"/>
      <c r="AA28" s="300">
        <f>YEAR(U28)</f>
        <v>2019</v>
      </c>
      <c r="AB28" s="300">
        <f>MONTH(U28)</f>
        <v>12</v>
      </c>
      <c r="AC28" s="300" t="str">
        <f>IF(R28&gt;0,"○","☓")</f>
        <v>○</v>
      </c>
    </row>
    <row r="29" spans="2:29" s="106" customFormat="1" x14ac:dyDescent="0.2">
      <c r="C29" s="292"/>
      <c r="D29" s="294">
        <v>43748</v>
      </c>
      <c r="E29" s="29" t="s">
        <v>83</v>
      </c>
      <c r="F29" s="29">
        <v>1824</v>
      </c>
      <c r="G29" s="54" t="s">
        <v>233</v>
      </c>
      <c r="H29" s="46">
        <v>973</v>
      </c>
      <c r="I29" s="46">
        <v>1000</v>
      </c>
      <c r="J29" s="47">
        <v>973000</v>
      </c>
      <c r="K29" s="145" t="s">
        <v>87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295"/>
      <c r="S29" s="297"/>
      <c r="U29" s="286"/>
      <c r="V29" s="286"/>
      <c r="W29" s="286"/>
      <c r="X29" s="170"/>
      <c r="AA29" s="297"/>
      <c r="AB29" s="297"/>
      <c r="AC29" s="297"/>
    </row>
    <row r="30" spans="2:29" s="106" customFormat="1" x14ac:dyDescent="0.2">
      <c r="B30" s="124" t="s">
        <v>201</v>
      </c>
      <c r="C30" s="291">
        <v>14</v>
      </c>
      <c r="D30" s="293">
        <v>43790</v>
      </c>
      <c r="E30" s="33" t="s">
        <v>82</v>
      </c>
      <c r="F30" s="33">
        <v>6995</v>
      </c>
      <c r="G30" s="55" t="s">
        <v>53</v>
      </c>
      <c r="H30" s="49">
        <v>2050</v>
      </c>
      <c r="I30" s="33">
        <v>500</v>
      </c>
      <c r="J30" s="50">
        <f t="shared" ref="J30:J41" si="5">H30*I30</f>
        <v>1025000</v>
      </c>
      <c r="K30" s="52" t="s">
        <v>87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295">
        <f>P30+P31</f>
        <v>33712.972602739726</v>
      </c>
      <c r="S30" s="296">
        <f>R30/(J30+J31)</f>
        <v>1.6402146834066229E-2</v>
      </c>
      <c r="U30" s="298">
        <v>43808</v>
      </c>
      <c r="V30" s="286">
        <f>IF(U30&gt;D30,DATEDIF(D30,U30,"d"),0)</f>
        <v>18</v>
      </c>
      <c r="W30" s="299" t="s">
        <v>802</v>
      </c>
      <c r="AA30" s="300">
        <f>YEAR(U30)</f>
        <v>2019</v>
      </c>
      <c r="AB30" s="300">
        <f>MONTH(U30)</f>
        <v>12</v>
      </c>
      <c r="AC30" s="300" t="str">
        <f>IF(R30&gt;0,"○","☓")</f>
        <v>○</v>
      </c>
    </row>
    <row r="31" spans="2:29" s="106" customFormat="1" x14ac:dyDescent="0.2">
      <c r="C31" s="292"/>
      <c r="D31" s="294">
        <v>43748</v>
      </c>
      <c r="E31" s="29" t="s">
        <v>83</v>
      </c>
      <c r="F31" s="29">
        <v>6472</v>
      </c>
      <c r="G31" s="54" t="s">
        <v>67</v>
      </c>
      <c r="H31" s="46">
        <v>322</v>
      </c>
      <c r="I31" s="46">
        <v>3200</v>
      </c>
      <c r="J31" s="47">
        <f t="shared" si="5"/>
        <v>1030400</v>
      </c>
      <c r="K31" s="172" t="s">
        <v>73</v>
      </c>
      <c r="L31" s="41">
        <v>353</v>
      </c>
      <c r="M31" s="31">
        <f>487+582</f>
        <v>1069</v>
      </c>
      <c r="N31" s="169">
        <v>0</v>
      </c>
      <c r="O31" s="169">
        <v>0</v>
      </c>
      <c r="P31" s="29">
        <f>IF(L31 &gt;0,(L31-H31)*I31-M31-N31-O31,0)</f>
        <v>98131</v>
      </c>
      <c r="Q31" s="48">
        <f t="shared" si="0"/>
        <v>9.5235830745341615E-2</v>
      </c>
      <c r="R31" s="295"/>
      <c r="S31" s="297"/>
      <c r="U31" s="286"/>
      <c r="V31" s="286"/>
      <c r="W31" s="286"/>
      <c r="AA31" s="297"/>
      <c r="AB31" s="297"/>
      <c r="AC31" s="297"/>
    </row>
    <row r="32" spans="2:29" s="106" customFormat="1" x14ac:dyDescent="0.2">
      <c r="B32" s="124" t="s">
        <v>201</v>
      </c>
      <c r="C32" s="291">
        <v>15</v>
      </c>
      <c r="D32" s="293">
        <v>43791</v>
      </c>
      <c r="E32" s="33" t="s">
        <v>82</v>
      </c>
      <c r="F32" s="33">
        <v>8601</v>
      </c>
      <c r="G32" s="55" t="s">
        <v>26</v>
      </c>
      <c r="H32" s="49">
        <v>533.79999999999995</v>
      </c>
      <c r="I32" s="33">
        <v>2000</v>
      </c>
      <c r="J32" s="50">
        <f t="shared" si="5"/>
        <v>1067600</v>
      </c>
      <c r="K32" s="52" t="s">
        <v>87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295">
        <f>P32+P33</f>
        <v>-7387.9621917808836</v>
      </c>
      <c r="S32" s="296">
        <f>R32/(J32+J33)</f>
        <v>-3.4469872261972761E-3</v>
      </c>
      <c r="U32" s="298">
        <v>43808</v>
      </c>
      <c r="V32" s="286">
        <f>IF(U32&gt;D32,DATEDIF(D32,U32,"d"),0)</f>
        <v>17</v>
      </c>
      <c r="W32" s="299" t="s">
        <v>802</v>
      </c>
      <c r="AA32" s="300">
        <f>YEAR(U32)</f>
        <v>2019</v>
      </c>
      <c r="AB32" s="300">
        <f>MONTH(U32)</f>
        <v>12</v>
      </c>
      <c r="AC32" s="300" t="str">
        <f>IF(R32&gt;0,"○","☓")</f>
        <v>☓</v>
      </c>
    </row>
    <row r="33" spans="2:29" s="106" customFormat="1" x14ac:dyDescent="0.2">
      <c r="C33" s="292"/>
      <c r="D33" s="294">
        <v>43748</v>
      </c>
      <c r="E33" s="29" t="s">
        <v>83</v>
      </c>
      <c r="F33" s="29">
        <v>8308</v>
      </c>
      <c r="G33" s="54" t="s">
        <v>55</v>
      </c>
      <c r="H33" s="46">
        <v>467.7</v>
      </c>
      <c r="I33" s="46">
        <v>2300</v>
      </c>
      <c r="J33" s="47">
        <f t="shared" si="5"/>
        <v>1075710</v>
      </c>
      <c r="K33" s="172" t="s">
        <v>73</v>
      </c>
      <c r="L33" s="41">
        <v>484</v>
      </c>
      <c r="M33" s="31">
        <f>487+582</f>
        <v>1069</v>
      </c>
      <c r="N33" s="169">
        <v>0</v>
      </c>
      <c r="O33" s="169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295"/>
      <c r="S33" s="297"/>
      <c r="U33" s="286"/>
      <c r="V33" s="286"/>
      <c r="W33" s="286"/>
      <c r="AA33" s="297"/>
      <c r="AB33" s="297"/>
      <c r="AC33" s="297"/>
    </row>
    <row r="34" spans="2:29" s="106" customFormat="1" x14ac:dyDescent="0.2">
      <c r="B34" s="124" t="s">
        <v>201</v>
      </c>
      <c r="C34" s="291">
        <v>16</v>
      </c>
      <c r="D34" s="293">
        <v>43802</v>
      </c>
      <c r="E34" s="33" t="s">
        <v>189</v>
      </c>
      <c r="F34" s="33">
        <v>3861</v>
      </c>
      <c r="G34" s="55" t="s">
        <v>38</v>
      </c>
      <c r="H34" s="49">
        <v>616</v>
      </c>
      <c r="I34" s="49">
        <v>1700</v>
      </c>
      <c r="J34" s="50">
        <f t="shared" si="5"/>
        <v>1047200</v>
      </c>
      <c r="K34" s="52" t="s">
        <v>87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295">
        <f>P34+P35</f>
        <v>29274.382465753424</v>
      </c>
      <c r="S34" s="296">
        <f>R34/(J34+J35)</f>
        <v>1.4002861602292846E-2</v>
      </c>
      <c r="U34" s="298">
        <v>43818</v>
      </c>
      <c r="V34" s="286">
        <f>IF(U34&gt;D34,DATEDIF(D34,U34,"d"),0)</f>
        <v>16</v>
      </c>
      <c r="W34" s="287" t="s">
        <v>802</v>
      </c>
      <c r="AA34" s="300">
        <f>YEAR(U34)</f>
        <v>2019</v>
      </c>
      <c r="AB34" s="300">
        <f>MONTH(U34)</f>
        <v>12</v>
      </c>
      <c r="AC34" s="300" t="str">
        <f>IF(R34&gt;0,"○","☓")</f>
        <v>○</v>
      </c>
    </row>
    <row r="35" spans="2:29" s="106" customFormat="1" x14ac:dyDescent="0.2">
      <c r="C35" s="292"/>
      <c r="D35" s="294">
        <v>43748</v>
      </c>
      <c r="E35" s="29" t="s">
        <v>191</v>
      </c>
      <c r="F35" s="29">
        <v>5703</v>
      </c>
      <c r="G35" s="54" t="s">
        <v>228</v>
      </c>
      <c r="H35" s="46">
        <v>222</v>
      </c>
      <c r="I35" s="46">
        <v>4700</v>
      </c>
      <c r="J35" s="47">
        <f t="shared" si="5"/>
        <v>1043400</v>
      </c>
      <c r="K35" s="145" t="s">
        <v>87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1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295"/>
      <c r="S35" s="297"/>
      <c r="U35" s="286"/>
      <c r="V35" s="286"/>
      <c r="W35" s="286"/>
      <c r="AA35" s="297"/>
      <c r="AB35" s="297"/>
      <c r="AC35" s="297"/>
    </row>
    <row r="36" spans="2:29" s="106" customFormat="1" x14ac:dyDescent="0.2">
      <c r="B36" s="124" t="s">
        <v>201</v>
      </c>
      <c r="C36" s="291">
        <v>17</v>
      </c>
      <c r="D36" s="293">
        <v>43808</v>
      </c>
      <c r="E36" s="33" t="s">
        <v>189</v>
      </c>
      <c r="F36" s="33">
        <v>5991</v>
      </c>
      <c r="G36" s="55" t="s">
        <v>1624</v>
      </c>
      <c r="H36" s="49">
        <v>1013</v>
      </c>
      <c r="I36" s="49">
        <v>900</v>
      </c>
      <c r="J36" s="50">
        <f t="shared" si="5"/>
        <v>911700</v>
      </c>
      <c r="K36" s="52" t="s">
        <v>87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295">
        <f>P36+P37</f>
        <v>-25646.869041095888</v>
      </c>
      <c r="S36" s="296">
        <f>R36/(J36+J37)</f>
        <v>-1.376865251575449E-2</v>
      </c>
      <c r="U36" s="298">
        <v>43824</v>
      </c>
      <c r="V36" s="286">
        <f>IF(U36&gt;D36,DATEDIF(D36,U36,"d"),0)</f>
        <v>16</v>
      </c>
      <c r="W36" s="287" t="s">
        <v>802</v>
      </c>
      <c r="AA36" s="300">
        <f>YEAR(U36)</f>
        <v>2019</v>
      </c>
      <c r="AB36" s="300">
        <f>MONTH(U36)</f>
        <v>12</v>
      </c>
      <c r="AC36" s="300" t="str">
        <f>IF(R36&gt;0,"○","☓")</f>
        <v>☓</v>
      </c>
    </row>
    <row r="37" spans="2:29" s="106" customFormat="1" x14ac:dyDescent="0.2">
      <c r="B37" s="124"/>
      <c r="C37" s="292"/>
      <c r="D37" s="294">
        <v>43748</v>
      </c>
      <c r="E37" s="29" t="s">
        <v>191</v>
      </c>
      <c r="F37" s="29">
        <v>7267</v>
      </c>
      <c r="G37" s="54" t="s">
        <v>64</v>
      </c>
      <c r="H37" s="46">
        <v>3170</v>
      </c>
      <c r="I37" s="46">
        <v>300</v>
      </c>
      <c r="J37" s="47">
        <f t="shared" si="5"/>
        <v>951000</v>
      </c>
      <c r="K37" s="145" t="s">
        <v>87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8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295"/>
      <c r="S37" s="297"/>
      <c r="U37" s="286"/>
      <c r="V37" s="286"/>
      <c r="W37" s="286"/>
      <c r="AA37" s="297"/>
      <c r="AB37" s="297"/>
      <c r="AC37" s="297"/>
    </row>
    <row r="38" spans="2:29" s="106" customFormat="1" x14ac:dyDescent="0.2">
      <c r="B38" s="124" t="s">
        <v>201</v>
      </c>
      <c r="C38" s="291">
        <v>18</v>
      </c>
      <c r="D38" s="293">
        <v>43809</v>
      </c>
      <c r="E38" s="33" t="s">
        <v>189</v>
      </c>
      <c r="F38" s="33">
        <v>6471</v>
      </c>
      <c r="G38" s="55" t="s">
        <v>1683</v>
      </c>
      <c r="H38" s="49">
        <v>1067</v>
      </c>
      <c r="I38" s="49">
        <v>1000</v>
      </c>
      <c r="J38" s="50">
        <f t="shared" si="5"/>
        <v>1067000</v>
      </c>
      <c r="K38" s="52" t="s">
        <v>87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295">
        <f>P38+P39</f>
        <v>-12105.526027397262</v>
      </c>
      <c r="S38" s="296">
        <f>R38/(J38+J39)</f>
        <v>-5.6174134697899126E-3</v>
      </c>
      <c r="U38" s="298">
        <v>43826</v>
      </c>
      <c r="V38" s="286">
        <f>IF(U38&gt;D38,DATEDIF(D38,U38,"d"),0)</f>
        <v>17</v>
      </c>
      <c r="W38" s="287" t="s">
        <v>802</v>
      </c>
      <c r="X38" s="278" t="s">
        <v>1685</v>
      </c>
      <c r="AA38" s="300">
        <f>YEAR(U38)</f>
        <v>2019</v>
      </c>
      <c r="AB38" s="300">
        <f>MONTH(U38)</f>
        <v>12</v>
      </c>
      <c r="AC38" s="300" t="str">
        <f>IF(R38&gt;0,"○","☓")</f>
        <v>☓</v>
      </c>
    </row>
    <row r="39" spans="2:29" s="106" customFormat="1" x14ac:dyDescent="0.2">
      <c r="B39" s="124"/>
      <c r="C39" s="292"/>
      <c r="D39" s="294">
        <v>43748</v>
      </c>
      <c r="E39" s="29" t="s">
        <v>191</v>
      </c>
      <c r="F39" s="29">
        <v>6473</v>
      </c>
      <c r="G39" s="54" t="s">
        <v>1684</v>
      </c>
      <c r="H39" s="46">
        <v>1360</v>
      </c>
      <c r="I39" s="46">
        <v>800</v>
      </c>
      <c r="J39" s="47">
        <f t="shared" si="5"/>
        <v>1088000</v>
      </c>
      <c r="K39" s="145" t="s">
        <v>87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8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295"/>
      <c r="S39" s="297"/>
      <c r="U39" s="286"/>
      <c r="V39" s="286"/>
      <c r="W39" s="286"/>
      <c r="AA39" s="297"/>
      <c r="AB39" s="297"/>
      <c r="AC39" s="297"/>
    </row>
    <row r="40" spans="2:29" s="106" customFormat="1" x14ac:dyDescent="0.2">
      <c r="B40" s="124" t="s">
        <v>201</v>
      </c>
      <c r="C40" s="291">
        <v>19</v>
      </c>
      <c r="D40" s="293">
        <v>43811</v>
      </c>
      <c r="E40" s="33" t="s">
        <v>189</v>
      </c>
      <c r="F40" s="33">
        <v>1860</v>
      </c>
      <c r="G40" s="55" t="s">
        <v>60</v>
      </c>
      <c r="H40" s="49">
        <v>730</v>
      </c>
      <c r="I40" s="49">
        <v>1400</v>
      </c>
      <c r="J40" s="50">
        <f t="shared" si="5"/>
        <v>1022000</v>
      </c>
      <c r="K40" s="52" t="s">
        <v>87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295">
        <f>P40+P41</f>
        <v>-63666.936986301371</v>
      </c>
      <c r="S40" s="296">
        <f>R40/(J40+J41)</f>
        <v>-3.158082191780822E-2</v>
      </c>
      <c r="U40" s="298">
        <v>43829</v>
      </c>
      <c r="V40" s="286">
        <f>IF(U40&gt;D40,DATEDIF(D40,U40,"d"),0)</f>
        <v>18</v>
      </c>
      <c r="W40" s="287" t="s">
        <v>802</v>
      </c>
      <c r="AA40" s="300">
        <f>YEAR(U40)</f>
        <v>2019</v>
      </c>
      <c r="AB40" s="300">
        <f>MONTH(U40)</f>
        <v>12</v>
      </c>
      <c r="AC40" s="300" t="str">
        <f>IF(R40&gt;0,"○","☓")</f>
        <v>☓</v>
      </c>
    </row>
    <row r="41" spans="2:29" s="106" customFormat="1" x14ac:dyDescent="0.2">
      <c r="B41" s="124"/>
      <c r="C41" s="292"/>
      <c r="D41" s="294">
        <v>43748</v>
      </c>
      <c r="E41" s="29" t="s">
        <v>191</v>
      </c>
      <c r="F41" s="29">
        <v>5110</v>
      </c>
      <c r="G41" s="54" t="s">
        <v>1686</v>
      </c>
      <c r="H41" s="46">
        <v>1420</v>
      </c>
      <c r="I41" s="46">
        <v>700</v>
      </c>
      <c r="J41" s="47">
        <f t="shared" si="5"/>
        <v>994000</v>
      </c>
      <c r="K41" s="145" t="s">
        <v>87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8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295"/>
      <c r="S41" s="297"/>
      <c r="U41" s="286"/>
      <c r="V41" s="286"/>
      <c r="W41" s="286"/>
      <c r="AA41" s="297"/>
      <c r="AB41" s="297"/>
      <c r="AC41" s="297"/>
    </row>
  </sheetData>
  <autoFilter ref="B3:AC23"/>
  <mergeCells count="190"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U30:U31"/>
    <mergeCell ref="C26:C27"/>
    <mergeCell ref="D26:D27"/>
    <mergeCell ref="R26:R27"/>
    <mergeCell ref="S26:S27"/>
    <mergeCell ref="U26:U27"/>
    <mergeCell ref="V30:V31"/>
    <mergeCell ref="W30:W31"/>
    <mergeCell ref="C32:C33"/>
    <mergeCell ref="D32:D33"/>
    <mergeCell ref="R32:R33"/>
    <mergeCell ref="AA40:AA41"/>
    <mergeCell ref="AA28:AA29"/>
    <mergeCell ref="AA38:AA3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41" sqref="G41"/>
    </sheetView>
  </sheetViews>
  <sheetFormatPr defaultRowHeight="14.25" x14ac:dyDescent="0.2"/>
  <sheetData>
    <row r="27" spans="1:1" x14ac:dyDescent="0.2">
      <c r="A27" s="16" t="s">
        <v>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F7" sqref="F7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8" t="s">
        <v>800</v>
      </c>
    </row>
    <row r="2" spans="1:23" ht="59.25" customHeight="1" x14ac:dyDescent="0.2">
      <c r="A2" s="152" t="s">
        <v>778</v>
      </c>
      <c r="B2" s="153" t="s">
        <v>779</v>
      </c>
      <c r="C2" s="154" t="s">
        <v>786</v>
      </c>
      <c r="D2" s="153" t="s">
        <v>787</v>
      </c>
      <c r="E2" s="153" t="s">
        <v>788</v>
      </c>
      <c r="F2" s="154" t="s">
        <v>796</v>
      </c>
      <c r="G2" s="154" t="s">
        <v>797</v>
      </c>
      <c r="H2" s="154" t="s">
        <v>789</v>
      </c>
      <c r="I2" s="154" t="s">
        <v>790</v>
      </c>
      <c r="J2" s="154" t="s">
        <v>791</v>
      </c>
      <c r="K2" s="154" t="s">
        <v>798</v>
      </c>
      <c r="L2" s="154" t="s">
        <v>792</v>
      </c>
      <c r="M2" s="154" t="s">
        <v>780</v>
      </c>
      <c r="N2" s="154" t="s">
        <v>781</v>
      </c>
      <c r="O2" s="154" t="s">
        <v>782</v>
      </c>
      <c r="P2" s="154" t="s">
        <v>793</v>
      </c>
      <c r="Q2" s="155" t="s">
        <v>794</v>
      </c>
      <c r="R2" s="155" t="s">
        <v>783</v>
      </c>
      <c r="S2" s="156" t="s">
        <v>784</v>
      </c>
      <c r="T2" s="156" t="s">
        <v>785</v>
      </c>
      <c r="U2" s="156" t="s">
        <v>799</v>
      </c>
      <c r="V2" s="157" t="s">
        <v>795</v>
      </c>
      <c r="W2" s="151"/>
    </row>
    <row r="3" spans="1:23" x14ac:dyDescent="0.2">
      <c r="A3" s="158">
        <v>2019</v>
      </c>
      <c r="B3" s="158">
        <v>10</v>
      </c>
      <c r="C3" s="159">
        <v>5000000</v>
      </c>
      <c r="D3" s="160">
        <v>-25615.999999999971</v>
      </c>
      <c r="E3" s="161">
        <f>IF(D3 &lt;&gt; 0,D3/C3, 0)</f>
        <v>-5.1231999999999944E-3</v>
      </c>
      <c r="F3" s="160">
        <v>101112</v>
      </c>
      <c r="G3" s="160">
        <v>-126727.99999999997</v>
      </c>
      <c r="H3" s="158">
        <v>8</v>
      </c>
      <c r="I3" s="158">
        <v>3</v>
      </c>
      <c r="J3" s="158">
        <v>5</v>
      </c>
      <c r="K3" s="162">
        <f>IF(H3&lt;&gt;0,I3/H3,0)</f>
        <v>0.375</v>
      </c>
      <c r="L3" s="163">
        <f t="shared" ref="L3:M5" si="0">IF(I3&lt;&gt;0,F3/I3,0)</f>
        <v>33704</v>
      </c>
      <c r="M3" s="164">
        <f t="shared" si="0"/>
        <v>-25345.599999999995</v>
      </c>
      <c r="N3" s="165">
        <v>14</v>
      </c>
      <c r="O3" s="165">
        <v>-93238.000000000029</v>
      </c>
      <c r="P3" s="166">
        <f>IF(C3&lt;&gt;0,O3/C3,0)</f>
        <v>-1.8647600000000007E-2</v>
      </c>
      <c r="Q3" s="167">
        <v>3</v>
      </c>
      <c r="R3" s="167">
        <v>5</v>
      </c>
      <c r="S3" s="167">
        <v>1</v>
      </c>
      <c r="T3" s="167">
        <v>1</v>
      </c>
      <c r="U3" s="167">
        <v>6</v>
      </c>
      <c r="V3" s="167">
        <f>IF(H3&lt;&gt;0,H3-S3-T3-U3,0)</f>
        <v>0</v>
      </c>
    </row>
    <row r="4" spans="1:23" x14ac:dyDescent="0.2">
      <c r="A4" s="158">
        <v>2019</v>
      </c>
      <c r="B4" s="158">
        <v>11</v>
      </c>
      <c r="C4" s="159">
        <f>IF(D3 &lt;&gt; 0,C3+D3, 0)</f>
        <v>4974384</v>
      </c>
      <c r="D4" s="160">
        <v>487021.99999999988</v>
      </c>
      <c r="E4" s="161">
        <f>IF(D4 &lt;&gt; 0,D4/C4, 0)</f>
        <v>9.7905991978102194E-2</v>
      </c>
      <c r="F4" s="160">
        <v>546235.99999999988</v>
      </c>
      <c r="G4" s="160">
        <v>-59214</v>
      </c>
      <c r="H4" s="158">
        <v>3</v>
      </c>
      <c r="I4" s="158">
        <v>2</v>
      </c>
      <c r="J4" s="158">
        <v>1</v>
      </c>
      <c r="K4" s="162">
        <f>IF(H4&lt;&gt;0,I4/H4,0)</f>
        <v>0.66666666666666663</v>
      </c>
      <c r="L4" s="163">
        <f t="shared" si="0"/>
        <v>273117.99999999994</v>
      </c>
      <c r="M4" s="164">
        <f t="shared" si="0"/>
        <v>-59214</v>
      </c>
      <c r="N4" s="165">
        <v>10</v>
      </c>
      <c r="O4" s="165">
        <v>-59214</v>
      </c>
      <c r="P4" s="166">
        <f>IF(C4&lt;&gt;0,O4/C4,0)</f>
        <v>-1.190378547373906E-2</v>
      </c>
      <c r="Q4" s="167">
        <v>2</v>
      </c>
      <c r="R4" s="167">
        <v>1</v>
      </c>
      <c r="S4" s="167">
        <v>2</v>
      </c>
      <c r="T4" s="167">
        <v>1</v>
      </c>
      <c r="U4" s="167">
        <v>0</v>
      </c>
      <c r="V4" s="167">
        <f>IF(H4&lt;&gt;0,H4-S4-T4-U4,0)</f>
        <v>0</v>
      </c>
    </row>
    <row r="5" spans="1:23" x14ac:dyDescent="0.2">
      <c r="A5" s="158">
        <v>2019</v>
      </c>
      <c r="B5" s="158">
        <v>12</v>
      </c>
      <c r="C5" s="159">
        <f>IF(D4 &lt;&gt; 0,C4+D4, 0)</f>
        <v>5461406</v>
      </c>
      <c r="D5" s="160">
        <v>-15227.939178082248</v>
      </c>
      <c r="E5" s="161">
        <f>IF(D5 &lt;&gt; 0,D5/C5, 0)</f>
        <v>-2.788281841357747E-3</v>
      </c>
      <c r="F5" s="160">
        <v>117137.35506849315</v>
      </c>
      <c r="G5" s="160">
        <v>-132365.29424657539</v>
      </c>
      <c r="H5" s="158">
        <v>8</v>
      </c>
      <c r="I5" s="158">
        <v>3</v>
      </c>
      <c r="J5" s="158">
        <v>5</v>
      </c>
      <c r="K5" s="162">
        <f>IF(H5&lt;&gt;0,I5/H5,0)</f>
        <v>0.375</v>
      </c>
      <c r="L5" s="163">
        <f t="shared" si="0"/>
        <v>39045.785022831049</v>
      </c>
      <c r="M5" s="164">
        <f t="shared" si="0"/>
        <v>-26473.058849315079</v>
      </c>
      <c r="N5" s="165">
        <v>16.875</v>
      </c>
      <c r="O5" s="165">
        <v>-63666.936986301371</v>
      </c>
      <c r="P5" s="166">
        <f>IF(C5&lt;&gt;0,O5/C5,0)</f>
        <v>-1.1657609228521259E-2</v>
      </c>
      <c r="Q5" s="167">
        <v>2</v>
      </c>
      <c r="R5" s="167">
        <v>3</v>
      </c>
      <c r="S5" s="167">
        <v>1</v>
      </c>
      <c r="T5" s="167">
        <v>0</v>
      </c>
      <c r="U5" s="167">
        <v>7</v>
      </c>
      <c r="V5" s="167">
        <f>IF(H5&lt;&gt;0,H5-S5-T5-U5,0)</f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topLeftCell="A4" zoomScale="70" zoomScaleNormal="70" workbookViewId="0">
      <selection activeCell="U3" sqref="U3:W4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91"/>
      <c r="C1" s="189"/>
      <c r="D1" s="241">
        <v>3</v>
      </c>
      <c r="E1" s="242" t="s">
        <v>1558</v>
      </c>
      <c r="F1" s="243">
        <v>3</v>
      </c>
      <c r="G1" s="188"/>
      <c r="H1" s="192"/>
      <c r="I1" s="136"/>
      <c r="J1" s="137"/>
      <c r="N1" s="173"/>
      <c r="O1" s="193"/>
      <c r="P1" s="135"/>
      <c r="Q1" s="214"/>
      <c r="R1" s="215"/>
      <c r="S1" s="10"/>
      <c r="T1" s="216"/>
      <c r="U1" s="135"/>
    </row>
    <row r="2" spans="1:31" ht="33" customHeight="1" thickBot="1" x14ac:dyDescent="0.25">
      <c r="A2" s="134"/>
      <c r="B2" s="68" t="s">
        <v>1425</v>
      </c>
      <c r="C2" s="60"/>
      <c r="D2" s="59" t="s">
        <v>42</v>
      </c>
      <c r="E2" s="61" t="s">
        <v>43</v>
      </c>
      <c r="F2" s="62" t="s">
        <v>75</v>
      </c>
      <c r="G2" s="62" t="s">
        <v>76</v>
      </c>
      <c r="H2" s="60" t="s">
        <v>22</v>
      </c>
      <c r="I2" s="60" t="s">
        <v>77</v>
      </c>
      <c r="J2" s="62" t="s">
        <v>78</v>
      </c>
      <c r="K2" s="63" t="s">
        <v>99</v>
      </c>
      <c r="L2" s="60" t="s">
        <v>79</v>
      </c>
      <c r="M2" s="63" t="s">
        <v>93</v>
      </c>
      <c r="N2" s="60" t="s">
        <v>186</v>
      </c>
      <c r="O2" s="60" t="s">
        <v>80</v>
      </c>
      <c r="P2" s="63" t="s">
        <v>95</v>
      </c>
      <c r="Q2" s="66" t="s">
        <v>96</v>
      </c>
      <c r="R2" s="66" t="s">
        <v>1426</v>
      </c>
      <c r="S2" s="10"/>
      <c r="T2" s="10"/>
      <c r="U2" s="327" t="s">
        <v>1600</v>
      </c>
      <c r="V2" s="328"/>
      <c r="W2" s="329"/>
      <c r="X2" s="279" t="s">
        <v>1601</v>
      </c>
      <c r="Y2" s="279" t="s">
        <v>1602</v>
      </c>
      <c r="Z2" s="279" t="s">
        <v>1603</v>
      </c>
    </row>
    <row r="3" spans="1:31" ht="22.5" customHeight="1" x14ac:dyDescent="0.2">
      <c r="A3" s="134"/>
      <c r="B3" s="232">
        <v>43847</v>
      </c>
      <c r="C3" s="36" t="s">
        <v>82</v>
      </c>
      <c r="D3" s="36">
        <v>8572</v>
      </c>
      <c r="E3" s="230" t="s">
        <v>4780</v>
      </c>
      <c r="F3" s="233">
        <v>513</v>
      </c>
      <c r="G3" s="233">
        <v>2000</v>
      </c>
      <c r="H3" s="234">
        <f>F3*G3</f>
        <v>1026000</v>
      </c>
      <c r="I3" s="230" t="s">
        <v>4782</v>
      </c>
      <c r="J3" s="233">
        <v>521</v>
      </c>
      <c r="K3" s="36">
        <v>770</v>
      </c>
      <c r="L3" s="235">
        <f>IF(OR(I3="現物",H3=0),0,IF(C3="売",H3*Fee_Refer!$B$12/365*T3, H3*Fee_Refer!$B$11/365*#REF!))</f>
        <v>0</v>
      </c>
      <c r="M3" s="230">
        <v>92</v>
      </c>
      <c r="N3" s="236">
        <v>-16924.602739726026</v>
      </c>
      <c r="O3" s="237">
        <v>-1.6495714171272928E-2</v>
      </c>
      <c r="P3" s="326">
        <v>4711.6328767123305</v>
      </c>
      <c r="Q3" s="296">
        <v>2.2954462032116975E-3</v>
      </c>
      <c r="R3" s="295">
        <v>5</v>
      </c>
      <c r="S3" s="10"/>
      <c r="T3" s="10"/>
      <c r="U3" s="330"/>
      <c r="V3" s="331"/>
      <c r="W3" s="332"/>
      <c r="X3" s="336">
        <v>2.14548448371503</v>
      </c>
      <c r="Y3" s="336"/>
      <c r="Z3" s="336">
        <v>1.76016269749053</v>
      </c>
    </row>
    <row r="4" spans="1:31" ht="22.5" customHeight="1" x14ac:dyDescent="0.2">
      <c r="A4" s="134"/>
      <c r="B4" s="223"/>
      <c r="C4" s="222" t="s">
        <v>83</v>
      </c>
      <c r="D4" s="222">
        <v>8804</v>
      </c>
      <c r="E4" s="231" t="s">
        <v>4781</v>
      </c>
      <c r="F4" s="238">
        <v>1711</v>
      </c>
      <c r="G4" s="238">
        <v>600</v>
      </c>
      <c r="H4" s="239">
        <f>F4*G4</f>
        <v>1026600</v>
      </c>
      <c r="I4" s="231" t="s">
        <v>4782</v>
      </c>
      <c r="J4" s="240">
        <v>1749</v>
      </c>
      <c r="K4" s="31">
        <v>770</v>
      </c>
      <c r="L4" s="146">
        <f>IF(OR(I4="現物",H4=0),0,IF(C4="売",H4*Fee_Refer!$B$12/365*T4, H4*Fee_Refer!$B$11/365*T3))</f>
        <v>0</v>
      </c>
      <c r="M4" s="222">
        <v>408</v>
      </c>
      <c r="N4" s="220">
        <v>21636.235616438356</v>
      </c>
      <c r="O4" s="221">
        <v>2.107562401757097E-2</v>
      </c>
      <c r="P4" s="326"/>
      <c r="Q4" s="296"/>
      <c r="R4" s="295"/>
      <c r="S4" s="10"/>
      <c r="T4" s="10"/>
      <c r="U4" s="333"/>
      <c r="V4" s="334"/>
      <c r="W4" s="335"/>
      <c r="X4" s="336"/>
      <c r="Y4" s="336"/>
      <c r="Z4" s="336"/>
    </row>
    <row r="5" spans="1:31" ht="22.5" customHeight="1" thickBot="1" x14ac:dyDescent="0.25">
      <c r="A5" s="134"/>
      <c r="B5" s="191"/>
      <c r="C5" s="189"/>
      <c r="D5" s="190"/>
      <c r="E5" s="188"/>
      <c r="F5" s="188"/>
      <c r="G5" s="188"/>
      <c r="H5" s="192"/>
      <c r="I5" s="136"/>
      <c r="J5" s="137"/>
      <c r="N5" s="173"/>
      <c r="O5" s="193"/>
      <c r="P5" s="135"/>
      <c r="Q5" s="214"/>
    </row>
    <row r="6" spans="1:31" x14ac:dyDescent="0.2">
      <c r="A6" s="204" t="s">
        <v>1557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4783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4" t="s">
        <v>1560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4" t="s">
        <v>1418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18" t="s">
        <v>1687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4" t="s">
        <v>1406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5">
        <v>0.33636817858162804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4" t="s">
        <v>1407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5">
        <v>0.25675943787213679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4" t="s">
        <v>1561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6">
        <f>B3</f>
        <v>43847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6">
        <f>B3</f>
        <v>43847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7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28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29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29">
        <f>B4</f>
        <v>0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5" t="s">
        <v>1562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4" t="s">
        <v>1556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0.29262672811059909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4" t="s">
        <v>1406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521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4" t="s">
        <v>1407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365.78341013824888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7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771</v>
      </c>
      <c r="B81" s="106" t="s">
        <v>4772</v>
      </c>
      <c r="C81" s="106" t="s">
        <v>4773</v>
      </c>
      <c r="D81" s="106" t="s">
        <v>4774</v>
      </c>
      <c r="E81" s="106" t="s">
        <v>4775</v>
      </c>
      <c r="F81" s="106" t="s">
        <v>772</v>
      </c>
      <c r="G81" s="106" t="s">
        <v>773</v>
      </c>
      <c r="H81" s="106" t="s">
        <v>774</v>
      </c>
      <c r="I81" s="106" t="s">
        <v>775</v>
      </c>
      <c r="J81" s="106" t="s">
        <v>776</v>
      </c>
      <c r="K81" s="106" t="s">
        <v>33</v>
      </c>
      <c r="L81" s="106" t="s">
        <v>35</v>
      </c>
      <c r="M81" s="106" t="s">
        <v>34</v>
      </c>
      <c r="N81" s="106" t="s">
        <v>36</v>
      </c>
      <c r="P81" s="106" t="s">
        <v>202</v>
      </c>
      <c r="Q81" s="106" t="s">
        <v>203</v>
      </c>
      <c r="R81" s="106" t="s">
        <v>204</v>
      </c>
      <c r="S81" s="106" t="s">
        <v>205</v>
      </c>
      <c r="U81" s="106" t="s">
        <v>1427</v>
      </c>
      <c r="V81" s="106" t="s">
        <v>1428</v>
      </c>
      <c r="W81" s="106" t="s">
        <v>1429</v>
      </c>
      <c r="X81" s="106" t="s">
        <v>1430</v>
      </c>
      <c r="Y81" s="106" t="s">
        <v>771</v>
      </c>
      <c r="AA81" s="106" t="s">
        <v>4776</v>
      </c>
      <c r="AB81" s="106" t="s">
        <v>4777</v>
      </c>
    </row>
    <row r="82" spans="1:28" x14ac:dyDescent="0.2">
      <c r="A82" s="14">
        <v>43852</v>
      </c>
      <c r="B82" s="106">
        <v>514</v>
      </c>
      <c r="C82" s="106">
        <v>521</v>
      </c>
      <c r="D82" s="106">
        <v>1746</v>
      </c>
      <c r="E82" s="106">
        <v>1749</v>
      </c>
      <c r="F82" s="106">
        <v>0.297884505431675</v>
      </c>
      <c r="G82" s="106">
        <v>0.285445559194212</v>
      </c>
      <c r="H82" s="106">
        <v>7.0669298100665204E-3</v>
      </c>
      <c r="I82" s="106">
        <v>1.76016269749053</v>
      </c>
      <c r="J82" s="106">
        <v>4.18</v>
      </c>
      <c r="K82" s="106">
        <v>0.90317988951234696</v>
      </c>
      <c r="L82" s="106">
        <v>0.26883849547689498</v>
      </c>
      <c r="M82" s="106">
        <v>0.92875414897291997</v>
      </c>
      <c r="N82" s="106">
        <v>1.2832134099126201E-2</v>
      </c>
      <c r="P82" s="106">
        <v>0.29251248900427851</v>
      </c>
      <c r="Q82" s="106">
        <v>0.27837862938414548</v>
      </c>
      <c r="R82" s="106">
        <v>0.29957941881434502</v>
      </c>
      <c r="S82" s="106">
        <v>0.27131169957407897</v>
      </c>
      <c r="U82" s="106">
        <v>-16770</v>
      </c>
      <c r="V82" s="106">
        <v>22030</v>
      </c>
      <c r="W82" s="106">
        <v>5260</v>
      </c>
      <c r="X82" s="106">
        <v>0.25626035272337522</v>
      </c>
      <c r="Y82" s="14">
        <v>43852</v>
      </c>
      <c r="AA82" s="106">
        <v>521</v>
      </c>
      <c r="AB82" s="106">
        <v>511.80414746543778</v>
      </c>
    </row>
    <row r="83" spans="1:28" x14ac:dyDescent="0.2">
      <c r="A83" s="14">
        <v>43851</v>
      </c>
      <c r="B83" s="106">
        <v>514</v>
      </c>
      <c r="C83" s="106">
        <v>513</v>
      </c>
      <c r="D83" s="106">
        <v>1735</v>
      </c>
      <c r="E83" s="106">
        <v>1750</v>
      </c>
      <c r="F83" s="106">
        <v>0.29314285714285698</v>
      </c>
      <c r="G83" s="106">
        <v>0.28521967279566002</v>
      </c>
      <c r="H83" s="106">
        <v>6.9352537530677598E-3</v>
      </c>
      <c r="I83" s="106">
        <v>1.1424505330741599</v>
      </c>
      <c r="J83" s="106">
        <v>2.7</v>
      </c>
      <c r="K83" s="106">
        <v>0.89953559495228597</v>
      </c>
      <c r="L83" s="106">
        <v>0.233563132825508</v>
      </c>
      <c r="M83" s="106">
        <v>0.92764378147662696</v>
      </c>
      <c r="N83" s="106">
        <v>5.6391983874811797E-3</v>
      </c>
      <c r="P83" s="106">
        <v>0.29215492654872777</v>
      </c>
      <c r="Q83" s="106">
        <v>0.27828441904259227</v>
      </c>
      <c r="R83" s="106">
        <v>0.29909018030179552</v>
      </c>
      <c r="S83" s="106">
        <v>0.27134916528952452</v>
      </c>
      <c r="U83" s="106">
        <v>-770</v>
      </c>
      <c r="V83" s="106">
        <v>22630</v>
      </c>
      <c r="W83" s="106">
        <v>21860</v>
      </c>
      <c r="X83" s="106">
        <v>1.0649907434473351</v>
      </c>
      <c r="Y83" s="14">
        <v>43851</v>
      </c>
      <c r="AA83" s="106">
        <v>513</v>
      </c>
      <c r="AB83" s="106">
        <v>512.09677419354841</v>
      </c>
    </row>
    <row r="84" spans="1:28" x14ac:dyDescent="0.2">
      <c r="A84" s="14">
        <v>43850</v>
      </c>
      <c r="B84" s="106">
        <v>519</v>
      </c>
      <c r="C84" s="106">
        <v>513</v>
      </c>
      <c r="D84" s="106">
        <v>1718</v>
      </c>
      <c r="E84" s="106">
        <v>1733</v>
      </c>
      <c r="F84" s="106">
        <v>0.29601846508944002</v>
      </c>
      <c r="G84" s="106">
        <v>0.28504338826484299</v>
      </c>
      <c r="H84" s="106">
        <v>6.8995591452347396E-3</v>
      </c>
      <c r="I84" s="106">
        <v>1.59069247666018</v>
      </c>
      <c r="J84" s="106">
        <v>3.71</v>
      </c>
      <c r="K84" s="106">
        <v>0.89931219266120799</v>
      </c>
      <c r="L84" s="106">
        <v>0.122672962678099</v>
      </c>
      <c r="M84" s="106">
        <v>0.92681752618567703</v>
      </c>
      <c r="N84" s="106">
        <v>7.0731489943748798E-3</v>
      </c>
      <c r="P84" s="106">
        <v>0.2919429474100777</v>
      </c>
      <c r="Q84" s="106">
        <v>0.27814382911960828</v>
      </c>
      <c r="R84" s="106">
        <v>0.29884250655531247</v>
      </c>
      <c r="S84" s="106">
        <v>0.27124426997437351</v>
      </c>
      <c r="U84" s="106">
        <v>-770</v>
      </c>
      <c r="V84" s="106">
        <v>12430</v>
      </c>
      <c r="W84" s="106">
        <v>11660</v>
      </c>
      <c r="X84" s="106">
        <v>0.56806002143622725</v>
      </c>
      <c r="Y84" s="14">
        <v>43850</v>
      </c>
      <c r="AA84" s="106">
        <v>513</v>
      </c>
      <c r="AB84" s="106">
        <v>507.12211981566821</v>
      </c>
    </row>
    <row r="85" spans="1:28" x14ac:dyDescent="0.2">
      <c r="A85" s="14">
        <v>43847</v>
      </c>
      <c r="B85" s="106">
        <v>513</v>
      </c>
      <c r="C85" s="106">
        <v>518</v>
      </c>
      <c r="D85" s="106">
        <v>1711</v>
      </c>
      <c r="E85" s="106">
        <v>1720</v>
      </c>
      <c r="F85" s="106">
        <v>0.30116279069767399</v>
      </c>
      <c r="G85" s="106">
        <v>0.28476772021930802</v>
      </c>
      <c r="H85" s="106">
        <v>6.8685102403128898E-3</v>
      </c>
      <c r="I85" s="106">
        <v>2.3869907599670999</v>
      </c>
      <c r="J85" s="106">
        <v>5.44</v>
      </c>
      <c r="K85" s="106">
        <v>0.90341880464615298</v>
      </c>
      <c r="L85" s="106">
        <v>0.127896933483165</v>
      </c>
      <c r="M85" s="106">
        <v>0.92608211999650702</v>
      </c>
      <c r="N85" s="106">
        <v>5.4742055795819998E-3</v>
      </c>
      <c r="P85" s="106">
        <v>0.29163623045962089</v>
      </c>
      <c r="Q85" s="106">
        <v>0.27789920997899514</v>
      </c>
      <c r="R85" s="106">
        <v>0.29850474069993382</v>
      </c>
      <c r="S85" s="106">
        <v>0.27103069973868221</v>
      </c>
      <c r="U85" s="106">
        <v>-10770</v>
      </c>
      <c r="V85" s="106">
        <v>4630</v>
      </c>
      <c r="W85" s="106">
        <v>-6140</v>
      </c>
      <c r="X85" s="106">
        <v>-0.2991328071713924</v>
      </c>
      <c r="Y85" s="14">
        <v>43847</v>
      </c>
      <c r="AA85" s="106">
        <v>518</v>
      </c>
      <c r="AB85" s="106">
        <v>503.31797235023043</v>
      </c>
    </row>
    <row r="86" spans="1:28" x14ac:dyDescent="0.2">
      <c r="A86" s="14">
        <v>43846</v>
      </c>
      <c r="B86" s="106">
        <v>516</v>
      </c>
      <c r="C86" s="106">
        <v>512</v>
      </c>
      <c r="D86" s="106">
        <v>1719</v>
      </c>
      <c r="E86" s="106">
        <v>1714</v>
      </c>
      <c r="F86" s="106">
        <v>0.298716452742123</v>
      </c>
      <c r="G86" s="106">
        <v>0.284451536965736</v>
      </c>
      <c r="H86" s="106">
        <v>6.6488086419000296E-3</v>
      </c>
      <c r="I86" s="106">
        <v>2.14548448371503</v>
      </c>
      <c r="J86" s="106">
        <v>4.78</v>
      </c>
      <c r="K86" s="106">
        <v>0.90667629177257603</v>
      </c>
      <c r="L86" s="106">
        <v>6.6764240083068596E-2</v>
      </c>
      <c r="M86" s="106">
        <v>0.92534904140882002</v>
      </c>
      <c r="N86" s="106">
        <v>5.15723977011556E-3</v>
      </c>
      <c r="P86" s="106">
        <v>0.29110034560763604</v>
      </c>
      <c r="Q86" s="106">
        <v>0.27780272832383596</v>
      </c>
      <c r="R86" s="106">
        <v>0.29774915424953607</v>
      </c>
      <c r="S86" s="106">
        <v>0.27115391968193592</v>
      </c>
      <c r="Y86" s="14"/>
      <c r="AA86" s="106">
        <v>512</v>
      </c>
      <c r="AB86" s="106">
        <v>501.56221198156686</v>
      </c>
    </row>
    <row r="87" spans="1:28" x14ac:dyDescent="0.2">
      <c r="A87" s="14">
        <v>43845</v>
      </c>
      <c r="B87" s="106">
        <v>512</v>
      </c>
      <c r="C87" s="106">
        <v>512</v>
      </c>
      <c r="D87" s="106">
        <v>1715</v>
      </c>
      <c r="E87" s="106">
        <v>1702</v>
      </c>
      <c r="F87" s="106">
        <v>0.30082256169212601</v>
      </c>
      <c r="G87" s="106">
        <v>0.28420946589243401</v>
      </c>
      <c r="H87" s="106">
        <v>6.4526499476328901E-3</v>
      </c>
      <c r="I87" s="106">
        <v>2.5746160003281102</v>
      </c>
      <c r="J87" s="106">
        <v>5.52</v>
      </c>
      <c r="K87" s="106">
        <v>0.91159488921293796</v>
      </c>
      <c r="L87" s="106">
        <v>6.3317255032415296E-2</v>
      </c>
      <c r="M87" s="106">
        <v>0.92506349372470398</v>
      </c>
      <c r="N87" s="106">
        <v>9.0738329884950293E-3</v>
      </c>
      <c r="P87" s="106">
        <v>0.2906621158400669</v>
      </c>
      <c r="Q87" s="106">
        <v>0.27775681594480112</v>
      </c>
      <c r="R87" s="106">
        <v>0.2971147657876998</v>
      </c>
      <c r="S87" s="106">
        <v>0.27130416599716822</v>
      </c>
      <c r="Y87" s="14"/>
      <c r="AA87" s="106">
        <v>512</v>
      </c>
      <c r="AB87" s="106">
        <v>498.05069124423966</v>
      </c>
    </row>
    <row r="88" spans="1:28" x14ac:dyDescent="0.2">
      <c r="A88" s="14">
        <v>43844</v>
      </c>
      <c r="B88" s="106">
        <v>506</v>
      </c>
      <c r="C88" s="106">
        <v>514</v>
      </c>
      <c r="D88" s="106">
        <v>1729</v>
      </c>
      <c r="E88" s="106">
        <v>1723</v>
      </c>
      <c r="F88" s="106">
        <v>0.29831688914683602</v>
      </c>
      <c r="G88" s="106">
        <v>0.28390864333074201</v>
      </c>
      <c r="H88" s="106">
        <v>6.1917747926252403E-3</v>
      </c>
      <c r="I88" s="106">
        <v>2.3269977185305799</v>
      </c>
      <c r="J88" s="106">
        <v>4.83</v>
      </c>
      <c r="K88" s="106">
        <v>0.91422946466935295</v>
      </c>
      <c r="L88" s="106">
        <v>0.107608683960567</v>
      </c>
      <c r="M88" s="106">
        <v>0.92423934027529098</v>
      </c>
      <c r="N88" s="106">
        <v>1.0122224991232E-2</v>
      </c>
      <c r="P88" s="106">
        <v>0.29010041812336723</v>
      </c>
      <c r="Q88" s="106">
        <v>0.27771686853811678</v>
      </c>
      <c r="R88" s="106">
        <v>0.29629219291599251</v>
      </c>
      <c r="S88" s="106">
        <v>0.2715250937454915</v>
      </c>
      <c r="Y88" s="14"/>
      <c r="AA88" s="106">
        <v>514</v>
      </c>
      <c r="AB88" s="106">
        <v>504.19585253456222</v>
      </c>
    </row>
    <row r="89" spans="1:28" x14ac:dyDescent="0.2">
      <c r="A89" s="14">
        <v>43840</v>
      </c>
      <c r="B89" s="106">
        <v>500</v>
      </c>
      <c r="C89" s="106">
        <v>506</v>
      </c>
      <c r="D89" s="106">
        <v>1729</v>
      </c>
      <c r="E89" s="106">
        <v>1726</v>
      </c>
      <c r="F89" s="106">
        <v>0.29316338354576998</v>
      </c>
      <c r="G89" s="106">
        <v>0.28359349806152701</v>
      </c>
      <c r="H89" s="106">
        <v>6.0502990076339198E-3</v>
      </c>
      <c r="I89" s="106">
        <v>1.58172108058933</v>
      </c>
      <c r="J89" s="106">
        <v>3.26</v>
      </c>
      <c r="K89" s="106">
        <v>0.91501363498771704</v>
      </c>
      <c r="L89" s="106">
        <v>9.7936025079017303E-2</v>
      </c>
      <c r="M89" s="106">
        <v>0.92291690989005604</v>
      </c>
      <c r="N89" s="106">
        <v>5.6778250929940899E-3</v>
      </c>
      <c r="P89" s="106">
        <v>0.28964379706916094</v>
      </c>
      <c r="Q89" s="106">
        <v>0.27754319905389307</v>
      </c>
      <c r="R89" s="106">
        <v>0.29569409607679487</v>
      </c>
      <c r="S89" s="106">
        <v>0.27149290004625914</v>
      </c>
      <c r="Y89" s="14"/>
      <c r="AA89" s="106">
        <v>506</v>
      </c>
      <c r="AB89" s="106">
        <v>505.07373271889401</v>
      </c>
    </row>
    <row r="90" spans="1:28" ht="15" customHeight="1" x14ac:dyDescent="0.2">
      <c r="A90" s="14">
        <v>43839</v>
      </c>
      <c r="B90" s="106">
        <v>513</v>
      </c>
      <c r="C90" s="106">
        <v>502</v>
      </c>
      <c r="D90" s="106">
        <v>1705</v>
      </c>
      <c r="E90" s="106">
        <v>1716</v>
      </c>
      <c r="F90" s="106">
        <v>0.29254079254079202</v>
      </c>
      <c r="G90" s="106">
        <v>0.283496770034037</v>
      </c>
      <c r="H90" s="106">
        <v>5.9537494762324896E-3</v>
      </c>
      <c r="I90" s="106">
        <v>1.5190465340974499</v>
      </c>
      <c r="J90" s="106">
        <v>3.09</v>
      </c>
      <c r="K90" s="106">
        <v>0.91572601974785806</v>
      </c>
      <c r="L90" s="106">
        <v>4.7071258498991901E-2</v>
      </c>
      <c r="M90" s="106">
        <v>0.92177881213425805</v>
      </c>
      <c r="N90" s="106">
        <v>5.4507150290632198E-3</v>
      </c>
      <c r="P90" s="106">
        <v>0.28945051951026951</v>
      </c>
      <c r="Q90" s="106">
        <v>0.2775430205578045</v>
      </c>
      <c r="R90" s="106">
        <v>0.29540426898650196</v>
      </c>
      <c r="S90" s="106">
        <v>0.27158927108157205</v>
      </c>
      <c r="Y90" s="14"/>
      <c r="AA90" s="106">
        <v>502</v>
      </c>
      <c r="AB90" s="106">
        <v>502.14746543778801</v>
      </c>
    </row>
    <row r="91" spans="1:28" x14ac:dyDescent="0.2">
      <c r="A91" s="14">
        <v>43838</v>
      </c>
      <c r="B91" s="106">
        <v>511</v>
      </c>
      <c r="C91" s="106">
        <v>503</v>
      </c>
      <c r="D91" s="106">
        <v>1728</v>
      </c>
      <c r="E91" s="106">
        <v>1697</v>
      </c>
      <c r="F91" s="106">
        <v>0.29640542133176101</v>
      </c>
      <c r="G91" s="106">
        <v>0.28334195408974699</v>
      </c>
      <c r="H91" s="106">
        <v>5.86689401007755E-3</v>
      </c>
      <c r="I91" s="106">
        <v>2.2266410846310598</v>
      </c>
      <c r="J91" s="106">
        <v>4.41</v>
      </c>
      <c r="K91" s="106">
        <v>0.91932302890342199</v>
      </c>
      <c r="L91" s="106">
        <v>7.4315476539715097E-2</v>
      </c>
      <c r="M91" s="106">
        <v>0.92123861316344602</v>
      </c>
      <c r="N91" s="106">
        <v>8.0092658121117492E-3</v>
      </c>
      <c r="P91" s="106">
        <v>0.28920884809982456</v>
      </c>
      <c r="Q91" s="106">
        <v>0.27747506007966943</v>
      </c>
      <c r="R91" s="106">
        <v>0.29507574210990212</v>
      </c>
      <c r="S91" s="106">
        <v>0.27160816606959187</v>
      </c>
      <c r="Y91" s="14"/>
      <c r="AA91" s="106">
        <v>503</v>
      </c>
      <c r="AB91" s="106">
        <v>496.58755760368666</v>
      </c>
    </row>
    <row r="92" spans="1:28" x14ac:dyDescent="0.2">
      <c r="A92" s="14">
        <v>43837</v>
      </c>
      <c r="B92" s="106">
        <v>498</v>
      </c>
      <c r="C92" s="106">
        <v>514</v>
      </c>
      <c r="D92" s="106">
        <v>1731</v>
      </c>
      <c r="E92" s="106">
        <v>1763</v>
      </c>
      <c r="F92" s="106">
        <v>0.29154849688031698</v>
      </c>
      <c r="G92" s="106">
        <v>0.28321153785627901</v>
      </c>
      <c r="H92" s="106">
        <v>5.6808177307899497E-3</v>
      </c>
      <c r="I92" s="106">
        <v>1.4675631958497899</v>
      </c>
      <c r="J92" s="106">
        <v>2.86</v>
      </c>
      <c r="K92" s="106">
        <v>0.91550594907726801</v>
      </c>
      <c r="L92" s="106">
        <v>7.8436972878744599E-2</v>
      </c>
      <c r="M92" s="106">
        <v>0.91943522816064405</v>
      </c>
      <c r="N92" s="106">
        <v>7.3838718050224499E-3</v>
      </c>
      <c r="P92" s="106">
        <v>0.28889235558706894</v>
      </c>
      <c r="Q92" s="106">
        <v>0.27753072012548907</v>
      </c>
      <c r="R92" s="106">
        <v>0.29457317331785893</v>
      </c>
      <c r="S92" s="106">
        <v>0.27184990239469908</v>
      </c>
      <c r="Y92" s="14"/>
      <c r="AA92" s="106">
        <v>514</v>
      </c>
      <c r="AB92" s="106">
        <v>515.90092165898625</v>
      </c>
    </row>
    <row r="93" spans="1:28" x14ac:dyDescent="0.2">
      <c r="A93" s="14">
        <v>43836</v>
      </c>
      <c r="B93" s="106">
        <v>492</v>
      </c>
      <c r="C93" s="106">
        <v>499</v>
      </c>
      <c r="D93" s="106">
        <v>1705</v>
      </c>
      <c r="E93" s="106">
        <v>1724</v>
      </c>
      <c r="F93" s="106">
        <v>0.28944315545243599</v>
      </c>
      <c r="G93" s="106">
        <v>0.283221512781484</v>
      </c>
      <c r="H93" s="106">
        <v>5.6960841032847502E-3</v>
      </c>
      <c r="I93" s="106">
        <v>1.0922666446171301</v>
      </c>
      <c r="J93" s="106">
        <v>2.15</v>
      </c>
      <c r="K93" s="106">
        <v>0.91437684232890504</v>
      </c>
      <c r="L93" s="106">
        <v>5.5327445399575799E-2</v>
      </c>
      <c r="M93" s="106">
        <v>0.91804178237494005</v>
      </c>
      <c r="N93" s="106">
        <v>5.0958546477240301E-3</v>
      </c>
      <c r="P93" s="106">
        <v>0.28891759688476876</v>
      </c>
      <c r="Q93" s="106">
        <v>0.27752542867819924</v>
      </c>
      <c r="R93" s="106">
        <v>0.29461368098805352</v>
      </c>
      <c r="S93" s="106">
        <v>0.27182934457491448</v>
      </c>
      <c r="Y93" s="14"/>
      <c r="AA93" s="106">
        <v>499</v>
      </c>
      <c r="AB93" s="106">
        <v>504.48847926267285</v>
      </c>
    </row>
    <row r="94" spans="1:28" x14ac:dyDescent="0.2">
      <c r="A94" s="14">
        <v>43829</v>
      </c>
      <c r="B94" s="106">
        <v>495</v>
      </c>
      <c r="C94" s="106">
        <v>497</v>
      </c>
      <c r="D94" s="106">
        <v>1715</v>
      </c>
      <c r="E94" s="106">
        <v>1709</v>
      </c>
      <c r="F94" s="106">
        <v>0.29081334113516599</v>
      </c>
      <c r="G94" s="106">
        <v>0.28323666684405002</v>
      </c>
      <c r="H94" s="106">
        <v>5.7140995976274296E-3</v>
      </c>
      <c r="I94" s="106">
        <v>1.3259611880516899</v>
      </c>
      <c r="J94" s="106">
        <v>2.61</v>
      </c>
      <c r="K94" s="106">
        <v>0.91455945415612905</v>
      </c>
      <c r="L94" s="106">
        <v>2.8390287154643999E-2</v>
      </c>
      <c r="M94" s="106">
        <v>0.91723386616681701</v>
      </c>
      <c r="N94" s="106">
        <v>9.0553371207071805E-3</v>
      </c>
      <c r="P94" s="106">
        <v>0.28895076644167744</v>
      </c>
      <c r="Q94" s="106">
        <v>0.2775225672464226</v>
      </c>
      <c r="R94" s="106">
        <v>0.29466486603930486</v>
      </c>
      <c r="S94" s="106">
        <v>0.27180846764879518</v>
      </c>
      <c r="Y94" s="14"/>
      <c r="AA94" s="106">
        <v>497</v>
      </c>
      <c r="AB94" s="106">
        <v>500.09907834101386</v>
      </c>
    </row>
    <row r="95" spans="1:28" x14ac:dyDescent="0.2">
      <c r="A95" s="14">
        <v>43826</v>
      </c>
      <c r="B95" s="106">
        <v>491</v>
      </c>
      <c r="C95" s="106">
        <v>499</v>
      </c>
      <c r="D95" s="106">
        <v>1695</v>
      </c>
      <c r="E95" s="106">
        <v>1713</v>
      </c>
      <c r="F95" s="106">
        <v>0.29130180969060099</v>
      </c>
      <c r="G95" s="106">
        <v>0.28288615494538799</v>
      </c>
      <c r="H95" s="106">
        <v>6.0358131987869202E-3</v>
      </c>
      <c r="I95" s="106">
        <v>1.39428681240569</v>
      </c>
      <c r="J95" s="106">
        <v>2.89</v>
      </c>
      <c r="K95" s="106">
        <v>0.91383254251459201</v>
      </c>
      <c r="L95" s="106">
        <v>6.0554281997913101E-2</v>
      </c>
      <c r="M95" s="106">
        <v>0.91645980384017001</v>
      </c>
      <c r="N95" s="106">
        <v>1.3616180056931101E-2</v>
      </c>
      <c r="P95" s="106">
        <v>0.28892196814417492</v>
      </c>
      <c r="Q95" s="106">
        <v>0.27685034174660106</v>
      </c>
      <c r="R95" s="106">
        <v>0.29495778134296186</v>
      </c>
      <c r="S95" s="106">
        <v>0.27081452854781413</v>
      </c>
      <c r="Y95" s="14"/>
      <c r="AA95" s="106">
        <v>499</v>
      </c>
      <c r="AB95" s="106">
        <v>501.26958525345623</v>
      </c>
    </row>
    <row r="96" spans="1:28" x14ac:dyDescent="0.2">
      <c r="A96" s="14">
        <v>43825</v>
      </c>
      <c r="B96" s="106">
        <v>487</v>
      </c>
      <c r="C96" s="106">
        <v>489</v>
      </c>
      <c r="D96" s="106">
        <v>1701</v>
      </c>
      <c r="E96" s="106">
        <v>1713</v>
      </c>
      <c r="F96" s="106">
        <v>0.28546409807355499</v>
      </c>
      <c r="G96" s="106">
        <v>0.282447106892735</v>
      </c>
      <c r="H96" s="106">
        <v>6.5807114784891801E-3</v>
      </c>
      <c r="I96" s="106">
        <v>0.45845972592501799</v>
      </c>
      <c r="J96" s="106">
        <v>1.06</v>
      </c>
      <c r="K96" s="106">
        <v>0.91056123367160302</v>
      </c>
      <c r="L96" s="106">
        <v>3.4556950554722098E-2</v>
      </c>
      <c r="M96" s="106">
        <v>0.91478381674168296</v>
      </c>
      <c r="N96" s="106">
        <v>1.04097541736097E-2</v>
      </c>
      <c r="P96" s="106">
        <v>0.28902781837122415</v>
      </c>
      <c r="Q96" s="106">
        <v>0.27586639541424585</v>
      </c>
      <c r="R96" s="106">
        <v>0.29560852984971336</v>
      </c>
      <c r="S96" s="106">
        <v>0.26928568393575664</v>
      </c>
      <c r="Y96" s="14"/>
      <c r="AA96" s="106">
        <v>489</v>
      </c>
      <c r="AB96" s="106">
        <v>501.26958525345623</v>
      </c>
    </row>
    <row r="97" spans="1:28" x14ac:dyDescent="0.2">
      <c r="A97" s="14">
        <v>43824</v>
      </c>
      <c r="B97" s="106">
        <v>487</v>
      </c>
      <c r="C97" s="106">
        <v>492</v>
      </c>
      <c r="D97" s="106">
        <v>1707</v>
      </c>
      <c r="E97" s="106">
        <v>1703</v>
      </c>
      <c r="F97" s="106">
        <v>0.28890193775689899</v>
      </c>
      <c r="G97" s="106">
        <v>0.28217280399200201</v>
      </c>
      <c r="H97" s="106">
        <v>6.87157468985777E-3</v>
      </c>
      <c r="I97" s="106">
        <v>0.979270992255865</v>
      </c>
      <c r="J97" s="106">
        <v>2.33</v>
      </c>
      <c r="K97" s="106">
        <v>0.90836099240977897</v>
      </c>
      <c r="L97" s="106">
        <v>4.9378231330647199E-2</v>
      </c>
      <c r="M97" s="106">
        <v>0.91439934772668896</v>
      </c>
      <c r="N97" s="106">
        <v>9.6120967939339799E-3</v>
      </c>
      <c r="P97" s="106">
        <v>0.28904437868185978</v>
      </c>
      <c r="Q97" s="106">
        <v>0.27530122930214423</v>
      </c>
      <c r="R97" s="106">
        <v>0.29591595337171755</v>
      </c>
      <c r="S97" s="106">
        <v>0.26842965461228646</v>
      </c>
      <c r="Y97" s="14"/>
      <c r="AA97" s="106">
        <v>492</v>
      </c>
      <c r="AB97" s="106">
        <v>498.34331797235023</v>
      </c>
    </row>
    <row r="98" spans="1:28" x14ac:dyDescent="0.2">
      <c r="A98" s="14">
        <v>43823</v>
      </c>
      <c r="B98" s="106">
        <v>488</v>
      </c>
      <c r="C98" s="106">
        <v>489</v>
      </c>
      <c r="D98" s="106">
        <v>1698</v>
      </c>
      <c r="E98" s="106">
        <v>1712</v>
      </c>
      <c r="F98" s="106">
        <v>0.285630841121495</v>
      </c>
      <c r="G98" s="106">
        <v>0.28190869155043702</v>
      </c>
      <c r="H98" s="106">
        <v>6.9875561589282298E-3</v>
      </c>
      <c r="I98" s="106">
        <v>0.53268259837910603</v>
      </c>
      <c r="J98" s="106">
        <v>1.3</v>
      </c>
      <c r="K98" s="106">
        <v>0.90193479471408</v>
      </c>
      <c r="L98" s="106">
        <v>5.77798224336342E-2</v>
      </c>
      <c r="M98" s="106">
        <v>0.91366423515704698</v>
      </c>
      <c r="N98" s="106">
        <v>7.9107358115640906E-3</v>
      </c>
      <c r="P98" s="106">
        <v>0.28889624770936523</v>
      </c>
      <c r="Q98" s="106">
        <v>0.27492113539150881</v>
      </c>
      <c r="R98" s="106">
        <v>0.29588380386829349</v>
      </c>
      <c r="S98" s="106">
        <v>0.26793357923258054</v>
      </c>
      <c r="Y98" s="14"/>
      <c r="AA98" s="106">
        <v>489</v>
      </c>
      <c r="AB98" s="106">
        <v>500.97695852534565</v>
      </c>
    </row>
    <row r="99" spans="1:28" x14ac:dyDescent="0.2">
      <c r="A99" s="14">
        <v>43822</v>
      </c>
      <c r="B99" s="106">
        <v>492</v>
      </c>
      <c r="C99" s="106">
        <v>489</v>
      </c>
      <c r="D99" s="106">
        <v>1725</v>
      </c>
      <c r="E99" s="106">
        <v>1703</v>
      </c>
      <c r="F99" s="106">
        <v>0.28714034057545501</v>
      </c>
      <c r="G99" s="106">
        <v>0.28175495659447702</v>
      </c>
      <c r="H99" s="106">
        <v>7.0306785154801597E-3</v>
      </c>
      <c r="I99" s="106">
        <v>0.76598353474995196</v>
      </c>
      <c r="J99" s="106">
        <v>1.88</v>
      </c>
      <c r="K99" s="106">
        <v>0.89738009579923295</v>
      </c>
      <c r="L99" s="106">
        <v>3.2689030110682998E-2</v>
      </c>
      <c r="M99" s="106">
        <v>0.91194727303944201</v>
      </c>
      <c r="N99" s="106">
        <v>5.66366952799989E-3</v>
      </c>
      <c r="P99" s="106">
        <v>0.28878563510995719</v>
      </c>
      <c r="Q99" s="106">
        <v>0.27472427807899685</v>
      </c>
      <c r="R99" s="106">
        <v>0.29581631362543737</v>
      </c>
      <c r="S99" s="106">
        <v>0.26769359956351668</v>
      </c>
      <c r="Y99" s="14"/>
      <c r="AA99" s="106">
        <v>489</v>
      </c>
      <c r="AB99" s="106">
        <v>498.34331797235023</v>
      </c>
    </row>
    <row r="100" spans="1:28" x14ac:dyDescent="0.2">
      <c r="A100" s="14">
        <v>43819</v>
      </c>
      <c r="B100" s="106">
        <v>488</v>
      </c>
      <c r="C100" s="106">
        <v>494</v>
      </c>
      <c r="D100" s="106">
        <v>1708</v>
      </c>
      <c r="E100" s="106">
        <v>1714</v>
      </c>
      <c r="F100" s="106">
        <v>0.28821470245040798</v>
      </c>
      <c r="G100" s="106">
        <v>0.28149219873451498</v>
      </c>
      <c r="H100" s="106">
        <v>7.1909263470081699E-3</v>
      </c>
      <c r="I100" s="106">
        <v>0.93485920888197505</v>
      </c>
      <c r="J100" s="106">
        <v>2.33</v>
      </c>
      <c r="K100" s="106">
        <v>0.89154827603414599</v>
      </c>
      <c r="L100" s="106">
        <v>4.0734837261291797E-2</v>
      </c>
      <c r="M100" s="106">
        <v>0.91038447893562802</v>
      </c>
      <c r="N100" s="15">
        <v>6.2932005357106196E-3</v>
      </c>
      <c r="P100" s="106">
        <v>0.28868312508152316</v>
      </c>
      <c r="Q100" s="106">
        <v>0.27430127238750679</v>
      </c>
      <c r="R100" s="106">
        <v>0.29587405142853129</v>
      </c>
      <c r="S100" s="106">
        <v>0.26711034604049866</v>
      </c>
      <c r="Y100" s="14"/>
      <c r="AA100" s="106">
        <v>494</v>
      </c>
      <c r="AB100" s="106">
        <v>501.56221198156686</v>
      </c>
    </row>
    <row r="101" spans="1:28" x14ac:dyDescent="0.2">
      <c r="A101" s="14">
        <v>43818</v>
      </c>
      <c r="B101" s="106">
        <v>490</v>
      </c>
      <c r="C101" s="106">
        <v>488</v>
      </c>
      <c r="D101" s="106">
        <v>1716</v>
      </c>
      <c r="E101" s="106">
        <v>1706</v>
      </c>
      <c r="F101" s="106">
        <v>0.286049237983587</v>
      </c>
      <c r="G101" s="106">
        <v>0.28125944433842598</v>
      </c>
      <c r="H101" s="106">
        <v>7.2518244739803901E-3</v>
      </c>
      <c r="I101" s="106">
        <v>0.66049497782895905</v>
      </c>
      <c r="J101" s="106">
        <v>1.67</v>
      </c>
      <c r="K101" s="106">
        <v>0.88692226664351803</v>
      </c>
      <c r="L101" s="106">
        <v>2.4683259267898799E-2</v>
      </c>
      <c r="M101" s="106">
        <v>0.90765780082026903</v>
      </c>
      <c r="N101" s="15">
        <v>6.4304969606892304E-3</v>
      </c>
      <c r="P101" s="106">
        <v>0.28851126881240635</v>
      </c>
      <c r="Q101" s="106">
        <v>0.27400761986444561</v>
      </c>
      <c r="R101" s="106">
        <v>0.29576309328638678</v>
      </c>
      <c r="S101" s="106">
        <v>0.26675579539046518</v>
      </c>
      <c r="Y101" s="14"/>
      <c r="AA101" s="106">
        <v>488</v>
      </c>
      <c r="AB101" s="106">
        <v>499.22119815668202</v>
      </c>
    </row>
    <row r="102" spans="1:28" ht="15" customHeight="1" x14ac:dyDescent="0.2">
      <c r="A102" s="14">
        <v>43817</v>
      </c>
      <c r="B102" s="106">
        <v>485</v>
      </c>
      <c r="C102" s="106">
        <v>487</v>
      </c>
      <c r="D102" s="106">
        <v>1706</v>
      </c>
      <c r="E102" s="106">
        <v>1699</v>
      </c>
      <c r="F102" s="106">
        <v>0.28663919952913403</v>
      </c>
      <c r="G102" s="106">
        <v>0.281035574332345</v>
      </c>
      <c r="H102" s="106">
        <v>7.3588784219175002E-3</v>
      </c>
      <c r="I102" s="106">
        <v>0.76147815951136399</v>
      </c>
      <c r="J102" s="106">
        <v>1.95</v>
      </c>
      <c r="K102" s="106">
        <v>0.88195042565494697</v>
      </c>
      <c r="L102" s="106">
        <v>7.3716861665270694E-2</v>
      </c>
      <c r="M102" s="106">
        <v>0.90525405901878697</v>
      </c>
      <c r="N102" s="15">
        <v>4.3459389776432603E-3</v>
      </c>
      <c r="P102" s="106">
        <v>0.28839445275426251</v>
      </c>
      <c r="Q102" s="106">
        <v>0.27367669591042748</v>
      </c>
      <c r="R102" s="106">
        <v>0.29575333117617997</v>
      </c>
      <c r="S102" s="106">
        <v>0.26631781748851002</v>
      </c>
      <c r="Y102" s="14"/>
      <c r="AA102" s="106">
        <v>487</v>
      </c>
      <c r="AB102" s="106">
        <v>497.17281105990787</v>
      </c>
    </row>
    <row r="103" spans="1:28" x14ac:dyDescent="0.2">
      <c r="A103" s="14">
        <v>43816</v>
      </c>
      <c r="B103" s="106">
        <v>483</v>
      </c>
      <c r="C103" s="106">
        <v>483</v>
      </c>
      <c r="D103" s="106">
        <v>1729</v>
      </c>
      <c r="E103" s="106">
        <v>1730</v>
      </c>
      <c r="F103" s="106">
        <v>0.27919075144508598</v>
      </c>
      <c r="G103" s="106">
        <v>0.28074995022268101</v>
      </c>
      <c r="H103" s="106">
        <v>7.5491081912163601E-3</v>
      </c>
      <c r="I103" s="106">
        <v>-0.20654079105777801</v>
      </c>
      <c r="J103" s="106">
        <v>-0.56000000000000005</v>
      </c>
      <c r="K103" s="106">
        <v>0.86922504020883695</v>
      </c>
      <c r="L103" s="15">
        <v>0.110748270135511</v>
      </c>
      <c r="M103" s="106">
        <v>0.90229259824514796</v>
      </c>
      <c r="N103" s="15">
        <v>3.03171065916154E-3</v>
      </c>
      <c r="P103" s="106">
        <v>0.28829905841389736</v>
      </c>
      <c r="Q103" s="106">
        <v>0.27320084203146466</v>
      </c>
      <c r="R103" s="106">
        <v>0.2958481666051137</v>
      </c>
      <c r="S103" s="106">
        <v>0.26565173384024832</v>
      </c>
      <c r="Y103" s="14"/>
      <c r="AA103" s="106">
        <v>483</v>
      </c>
      <c r="AB103" s="106">
        <v>506.24423963133643</v>
      </c>
    </row>
    <row r="104" spans="1:28" x14ac:dyDescent="0.2">
      <c r="A104" s="14">
        <v>43815</v>
      </c>
      <c r="B104" s="106">
        <v>480</v>
      </c>
      <c r="C104" s="106">
        <v>482</v>
      </c>
      <c r="D104" s="106">
        <v>1712</v>
      </c>
      <c r="E104" s="106">
        <v>1715</v>
      </c>
      <c r="F104" s="106">
        <v>0.28104956268221498</v>
      </c>
      <c r="G104" s="106">
        <v>0.28057012648500101</v>
      </c>
      <c r="H104" s="106">
        <v>7.7422673072863298E-3</v>
      </c>
      <c r="I104" s="106">
        <v>6.1924521355985397E-2</v>
      </c>
      <c r="J104" s="106">
        <v>0.17</v>
      </c>
      <c r="K104" s="106">
        <v>0.85903396137992005</v>
      </c>
      <c r="L104" s="15">
        <v>3.4327729311554298E-2</v>
      </c>
      <c r="M104" s="106">
        <v>0.89814235092900196</v>
      </c>
      <c r="N104" s="106">
        <v>1.0770247855769501E-2</v>
      </c>
      <c r="P104" s="106">
        <v>0.28831239379228735</v>
      </c>
      <c r="Q104" s="106">
        <v>0.27282785917771468</v>
      </c>
      <c r="R104" s="106">
        <v>0.29605466109957368</v>
      </c>
      <c r="S104" s="106">
        <v>0.26508559187042835</v>
      </c>
      <c r="Y104" s="14"/>
      <c r="AA104" s="106">
        <v>482</v>
      </c>
      <c r="AB104" s="106">
        <v>501.85483870967744</v>
      </c>
    </row>
    <row r="105" spans="1:28" x14ac:dyDescent="0.2">
      <c r="A105" s="14">
        <v>43812</v>
      </c>
      <c r="B105" s="106">
        <v>485</v>
      </c>
      <c r="C105" s="106">
        <v>482</v>
      </c>
      <c r="D105" s="106">
        <v>1710</v>
      </c>
      <c r="E105" s="106">
        <v>1711</v>
      </c>
      <c r="F105" s="106">
        <v>0.28170660432495598</v>
      </c>
      <c r="G105" s="106">
        <v>0.28041549831014201</v>
      </c>
      <c r="H105" s="106">
        <v>7.8462580209471798E-3</v>
      </c>
      <c r="I105" s="106">
        <v>0.164550542611167</v>
      </c>
      <c r="J105" s="106">
        <v>0.46</v>
      </c>
      <c r="K105" s="106">
        <v>0.84194540751446101</v>
      </c>
      <c r="L105" s="106">
        <v>2.3491454592009599E-2</v>
      </c>
      <c r="M105" s="106">
        <v>0.89402837485705999</v>
      </c>
      <c r="N105" s="106">
        <v>7.6868578784087399E-3</v>
      </c>
      <c r="P105" s="106">
        <v>0.28826175633108919</v>
      </c>
      <c r="Q105" s="106">
        <v>0.27256924028919483</v>
      </c>
      <c r="R105" s="106">
        <v>0.29610801435203637</v>
      </c>
      <c r="S105" s="106">
        <v>0.26472298226824764</v>
      </c>
      <c r="Y105" s="14"/>
      <c r="AA105" s="106">
        <v>482</v>
      </c>
      <c r="AB105" s="106">
        <v>500.68433179723502</v>
      </c>
    </row>
    <row r="106" spans="1:28" x14ac:dyDescent="0.2">
      <c r="A106" s="14">
        <v>43811</v>
      </c>
      <c r="B106" s="106">
        <v>478</v>
      </c>
      <c r="C106" s="106">
        <v>480</v>
      </c>
      <c r="D106" s="106">
        <v>1700</v>
      </c>
      <c r="E106" s="106">
        <v>1684</v>
      </c>
      <c r="F106" s="106">
        <v>0.28503562945368099</v>
      </c>
      <c r="G106" s="106">
        <v>0.28027555721887598</v>
      </c>
      <c r="H106" s="106">
        <v>7.9152755498332599E-3</v>
      </c>
      <c r="I106" s="106">
        <v>0.60137795643832404</v>
      </c>
      <c r="J106" s="106">
        <v>1.67</v>
      </c>
      <c r="K106" s="106">
        <v>0.83464205598404595</v>
      </c>
      <c r="L106" s="106">
        <v>2.2848967459471299E-2</v>
      </c>
      <c r="M106" s="106">
        <v>0.88992788232537501</v>
      </c>
      <c r="N106" s="106">
        <v>9.6557178533460304E-3</v>
      </c>
      <c r="P106" s="106">
        <v>0.28819083276870922</v>
      </c>
      <c r="Q106" s="106">
        <v>0.27236028166904275</v>
      </c>
      <c r="R106" s="106">
        <v>0.2961061083185425</v>
      </c>
      <c r="S106" s="106">
        <v>0.26444500611920946</v>
      </c>
      <c r="Y106" s="14"/>
      <c r="AA106" s="106">
        <v>480</v>
      </c>
      <c r="AB106" s="106">
        <v>492.78341013824888</v>
      </c>
    </row>
    <row r="107" spans="1:28" x14ac:dyDescent="0.2">
      <c r="A107" s="14">
        <v>43810</v>
      </c>
      <c r="B107" s="106">
        <v>471</v>
      </c>
      <c r="C107" s="106">
        <v>478</v>
      </c>
      <c r="D107" s="106">
        <v>1677</v>
      </c>
      <c r="E107" s="106">
        <v>1680</v>
      </c>
      <c r="F107" s="106">
        <v>0.28452380952380901</v>
      </c>
      <c r="G107" s="106">
        <v>0.28007234511159601</v>
      </c>
      <c r="H107" s="106">
        <v>7.9857886455169495E-3</v>
      </c>
      <c r="I107" s="106">
        <v>0.55742326898576899</v>
      </c>
      <c r="J107" s="106">
        <v>1.56</v>
      </c>
      <c r="K107" s="106">
        <v>0.834225344044907</v>
      </c>
      <c r="L107" s="106">
        <v>3.5000244887042502E-2</v>
      </c>
      <c r="M107" s="106">
        <v>0.885791926955243</v>
      </c>
      <c r="N107" s="106">
        <v>1.41635300209108E-2</v>
      </c>
      <c r="P107" s="106">
        <v>0.28805813375711298</v>
      </c>
      <c r="Q107" s="106">
        <v>0.27208655646607904</v>
      </c>
      <c r="R107" s="106">
        <v>0.29604392240262989</v>
      </c>
      <c r="S107" s="106">
        <v>0.26410076782056213</v>
      </c>
      <c r="Y107" s="14"/>
      <c r="AA107" s="106">
        <v>478</v>
      </c>
      <c r="AB107" s="106">
        <v>491.61290322580646</v>
      </c>
    </row>
    <row r="108" spans="1:28" x14ac:dyDescent="0.2">
      <c r="A108" s="14">
        <v>43809</v>
      </c>
      <c r="B108" s="106">
        <v>465</v>
      </c>
      <c r="C108" s="106">
        <v>470</v>
      </c>
      <c r="D108" s="106">
        <v>1683</v>
      </c>
      <c r="E108" s="106">
        <v>1682</v>
      </c>
      <c r="F108" s="106">
        <v>0.27942925089179499</v>
      </c>
      <c r="G108" s="106">
        <v>0.27990788563944402</v>
      </c>
      <c r="H108" s="106">
        <v>8.0193591543433092E-3</v>
      </c>
      <c r="I108" s="106">
        <v>-5.96849122775008E-2</v>
      </c>
      <c r="J108" s="106">
        <v>-0.17</v>
      </c>
      <c r="K108" s="106">
        <v>0.83276826070210797</v>
      </c>
      <c r="L108" s="106">
        <v>3.5395080808531397E-2</v>
      </c>
      <c r="M108" s="106">
        <v>0.88144668929413195</v>
      </c>
      <c r="N108" s="106">
        <v>1.4140088839994E-2</v>
      </c>
      <c r="P108" s="106">
        <v>0.28792724479378734</v>
      </c>
      <c r="Q108" s="106">
        <v>0.2718885264851007</v>
      </c>
      <c r="R108" s="106">
        <v>0.29594660394813066</v>
      </c>
      <c r="S108" s="106">
        <v>0.26386916733075738</v>
      </c>
      <c r="Y108" s="14"/>
      <c r="AA108" s="106">
        <v>470</v>
      </c>
      <c r="AB108" s="106">
        <v>492.19815668202767</v>
      </c>
    </row>
    <row r="109" spans="1:28" x14ac:dyDescent="0.2">
      <c r="A109" s="14">
        <v>43808</v>
      </c>
      <c r="B109" s="106">
        <v>465</v>
      </c>
      <c r="C109" s="106">
        <v>467</v>
      </c>
      <c r="D109" s="106">
        <v>1680</v>
      </c>
      <c r="E109" s="106">
        <v>1683</v>
      </c>
      <c r="F109" s="106">
        <v>0.27748068924539498</v>
      </c>
      <c r="G109" s="106">
        <v>0.27987157871360702</v>
      </c>
      <c r="H109" s="106">
        <v>8.0276038162604303E-3</v>
      </c>
      <c r="I109" s="106">
        <v>-0.29783351582062501</v>
      </c>
      <c r="J109" s="106">
        <v>-0.86</v>
      </c>
      <c r="K109" s="106">
        <v>0.83554753506030199</v>
      </c>
      <c r="L109" s="15">
        <v>3.8959357903211797E-2</v>
      </c>
      <c r="M109" s="106">
        <v>0.87643769770912705</v>
      </c>
      <c r="N109" s="106">
        <v>2.0620714935237799E-2</v>
      </c>
      <c r="P109" s="106">
        <v>0.28789918252986746</v>
      </c>
      <c r="Q109" s="106">
        <v>0.27184397489734657</v>
      </c>
      <c r="R109" s="106">
        <v>0.2959267863461279</v>
      </c>
      <c r="S109" s="106">
        <v>0.26381637108108613</v>
      </c>
      <c r="Y109" s="14"/>
      <c r="AA109" s="106">
        <v>467</v>
      </c>
      <c r="AB109" s="106">
        <v>492.49078341013825</v>
      </c>
    </row>
    <row r="110" spans="1:28" x14ac:dyDescent="0.2">
      <c r="A110" s="14">
        <v>43805</v>
      </c>
      <c r="B110" s="106">
        <v>457</v>
      </c>
      <c r="C110" s="106">
        <v>460</v>
      </c>
      <c r="D110" s="106">
        <v>1663</v>
      </c>
      <c r="E110" s="106">
        <v>1676</v>
      </c>
      <c r="F110" s="106">
        <v>0.27446300715990402</v>
      </c>
      <c r="G110" s="106">
        <v>0.279910813262645</v>
      </c>
      <c r="H110" s="106">
        <v>8.0230121512246001E-3</v>
      </c>
      <c r="I110" s="106">
        <v>-0.67902254166592002</v>
      </c>
      <c r="J110" s="106">
        <v>-1.98</v>
      </c>
      <c r="K110" s="106">
        <v>0.810156050278939</v>
      </c>
      <c r="L110" s="106">
        <v>0.13005654501255801</v>
      </c>
      <c r="M110" s="106">
        <v>0.87032377100380598</v>
      </c>
      <c r="N110" s="106">
        <v>3.5028287575204799E-2</v>
      </c>
      <c r="P110" s="106">
        <v>0.28793382541386958</v>
      </c>
      <c r="Q110" s="106">
        <v>0.27188780111142041</v>
      </c>
      <c r="R110" s="106">
        <v>0.29595683756509422</v>
      </c>
      <c r="S110" s="106">
        <v>0.26386478896019577</v>
      </c>
      <c r="Y110" s="14"/>
      <c r="AA110" s="106">
        <v>460</v>
      </c>
      <c r="AB110" s="106">
        <v>490.4423963133641</v>
      </c>
    </row>
    <row r="111" spans="1:28" x14ac:dyDescent="0.2">
      <c r="A111" s="14">
        <v>43804</v>
      </c>
      <c r="B111" s="106">
        <v>450</v>
      </c>
      <c r="C111" s="106">
        <v>453</v>
      </c>
      <c r="D111" s="106">
        <v>1659</v>
      </c>
      <c r="E111" s="106">
        <v>1653</v>
      </c>
      <c r="F111" s="106">
        <v>0.27404718693284902</v>
      </c>
      <c r="G111" s="106">
        <v>0.27998504789301498</v>
      </c>
      <c r="H111" s="106">
        <v>7.9979803687921999E-3</v>
      </c>
      <c r="I111" s="106">
        <v>-0.74242004685774998</v>
      </c>
      <c r="J111" s="106">
        <v>-2.17</v>
      </c>
      <c r="K111" s="106">
        <v>0.78558668426181499</v>
      </c>
      <c r="L111" s="106">
        <v>0.364509797514037</v>
      </c>
      <c r="M111" s="106">
        <v>0.86535087723648296</v>
      </c>
      <c r="N111" s="106">
        <v>2.8839753657136799E-2</v>
      </c>
      <c r="P111" s="106">
        <v>0.28798302826180716</v>
      </c>
      <c r="Q111" s="106">
        <v>0.2719870675242228</v>
      </c>
      <c r="R111" s="106">
        <v>0.2959810086305994</v>
      </c>
      <c r="S111" s="106">
        <v>0.26398908715543057</v>
      </c>
      <c r="Y111" s="14"/>
      <c r="AA111" s="106">
        <v>453</v>
      </c>
      <c r="AB111" s="106">
        <v>483.71198156682027</v>
      </c>
    </row>
    <row r="112" spans="1:28" x14ac:dyDescent="0.2">
      <c r="A112" s="14">
        <v>43803</v>
      </c>
      <c r="B112" s="106">
        <v>447</v>
      </c>
      <c r="C112" s="106">
        <v>447</v>
      </c>
      <c r="D112" s="106">
        <v>1623</v>
      </c>
      <c r="E112" s="106">
        <v>1643</v>
      </c>
      <c r="F112" s="106">
        <v>0.27206329884357799</v>
      </c>
      <c r="G112" s="106">
        <v>0.280193226942276</v>
      </c>
      <c r="H112" s="106">
        <v>8.0437841657843602E-3</v>
      </c>
      <c r="I112" s="106">
        <v>-1.01070937896123</v>
      </c>
      <c r="J112" s="106">
        <v>-2.99</v>
      </c>
      <c r="K112" s="106">
        <v>0.79619563323571696</v>
      </c>
      <c r="L112" s="106">
        <v>0.10310331712788499</v>
      </c>
      <c r="M112" s="106">
        <v>0.861361328069844</v>
      </c>
      <c r="N112" s="106">
        <v>2.3336751232602398E-2</v>
      </c>
      <c r="P112" s="106">
        <v>0.28823701110806038</v>
      </c>
      <c r="Q112" s="106">
        <v>0.27214944277649161</v>
      </c>
      <c r="R112" s="106">
        <v>0.29628079527384471</v>
      </c>
      <c r="S112" s="106">
        <v>0.26410565861070728</v>
      </c>
      <c r="Y112" s="14"/>
      <c r="AA112" s="106">
        <v>447</v>
      </c>
      <c r="AB112" s="106">
        <v>480.78571428571428</v>
      </c>
    </row>
    <row r="113" spans="1:28" x14ac:dyDescent="0.2">
      <c r="A113" s="14">
        <v>43802</v>
      </c>
      <c r="B113" s="106">
        <v>451</v>
      </c>
      <c r="C113" s="106">
        <v>453</v>
      </c>
      <c r="D113" s="106">
        <v>1629</v>
      </c>
      <c r="E113" s="106">
        <v>1633</v>
      </c>
      <c r="F113" s="106">
        <v>0.277403551745254</v>
      </c>
      <c r="G113" s="106">
        <v>0.28046508736021097</v>
      </c>
      <c r="H113" s="106">
        <v>8.1087144992577596E-3</v>
      </c>
      <c r="I113" s="106">
        <v>-0.37756115537644902</v>
      </c>
      <c r="J113" s="106">
        <v>-1.1000000000000001</v>
      </c>
      <c r="K113" s="106">
        <v>0.80948443321425401</v>
      </c>
      <c r="L113" s="15">
        <v>3.6253908551951403E-2</v>
      </c>
      <c r="M113" s="106">
        <v>0.85564359659913403</v>
      </c>
      <c r="N113" s="106">
        <v>3.4503737199478503E-2</v>
      </c>
      <c r="P113" s="106">
        <v>0.28857380185946874</v>
      </c>
      <c r="Q113" s="106">
        <v>0.27235637286095321</v>
      </c>
      <c r="R113" s="106">
        <v>0.2966825163587265</v>
      </c>
      <c r="S113" s="106">
        <v>0.26424765836169545</v>
      </c>
      <c r="Y113" s="14"/>
      <c r="AA113" s="106">
        <v>453</v>
      </c>
      <c r="AB113" s="106">
        <v>477.85944700460828</v>
      </c>
    </row>
    <row r="114" spans="1:28" x14ac:dyDescent="0.2">
      <c r="A114" s="14">
        <v>43801</v>
      </c>
      <c r="B114" s="106">
        <v>454</v>
      </c>
      <c r="C114" s="106">
        <v>458</v>
      </c>
      <c r="D114" s="106">
        <v>1674</v>
      </c>
      <c r="E114" s="106">
        <v>1653</v>
      </c>
      <c r="F114" s="106">
        <v>0.27707199032062901</v>
      </c>
      <c r="G114" s="106">
        <v>0.280631259432778</v>
      </c>
      <c r="H114" s="106">
        <v>8.17172815649201E-3</v>
      </c>
      <c r="I114" s="106">
        <v>-0.43555892266452001</v>
      </c>
      <c r="J114" s="106">
        <v>-1.28</v>
      </c>
      <c r="K114" s="106">
        <v>0.82104369774901897</v>
      </c>
      <c r="L114" s="106">
        <v>1.9850748278797799E-2</v>
      </c>
      <c r="M114" s="106">
        <v>0.84925180712325998</v>
      </c>
      <c r="N114" s="106">
        <v>4.5973757912391097E-2</v>
      </c>
      <c r="P114" s="106">
        <v>0.28880298758927003</v>
      </c>
      <c r="Q114" s="106">
        <v>0.27245953127628597</v>
      </c>
      <c r="R114" s="106">
        <v>0.29697471574576201</v>
      </c>
      <c r="S114" s="106">
        <v>0.264287803119794</v>
      </c>
      <c r="Y114" s="14"/>
      <c r="AA114" s="106">
        <v>458</v>
      </c>
      <c r="AB114" s="106">
        <v>483.71198156682027</v>
      </c>
    </row>
    <row r="115" spans="1:28" x14ac:dyDescent="0.2">
      <c r="A115" s="14">
        <v>43798</v>
      </c>
      <c r="B115" s="106">
        <v>458</v>
      </c>
      <c r="C115" s="106">
        <v>454</v>
      </c>
      <c r="D115" s="106">
        <v>1669</v>
      </c>
      <c r="E115" s="106">
        <v>1666</v>
      </c>
      <c r="F115" s="106">
        <v>0.27250900360143998</v>
      </c>
      <c r="G115" s="106">
        <v>0.28083408236256302</v>
      </c>
      <c r="H115" s="106">
        <v>8.2690680676741901E-3</v>
      </c>
      <c r="I115" s="106">
        <v>-1.0067735194571701</v>
      </c>
      <c r="J115" s="106">
        <v>-3.05</v>
      </c>
      <c r="K115" s="106">
        <v>0.85374916813396495</v>
      </c>
      <c r="L115" s="106">
        <v>3.7510149568287E-3</v>
      </c>
      <c r="M115" s="106">
        <v>0.84203043833396296</v>
      </c>
      <c r="N115" s="106">
        <v>5.0572072705140497E-2</v>
      </c>
      <c r="P115" s="106">
        <v>0.28910315043023721</v>
      </c>
      <c r="Q115" s="106">
        <v>0.27256501429488883</v>
      </c>
      <c r="R115" s="106">
        <v>0.2973722184979114</v>
      </c>
      <c r="S115" s="106">
        <v>0.26429594622721464</v>
      </c>
      <c r="Y115" s="14"/>
      <c r="AA115" s="106">
        <v>454</v>
      </c>
      <c r="AB115" s="106">
        <v>487.51612903225811</v>
      </c>
    </row>
    <row r="116" spans="1:28" x14ac:dyDescent="0.2">
      <c r="A116" s="14">
        <v>43797</v>
      </c>
      <c r="B116" s="106">
        <v>459</v>
      </c>
      <c r="C116" s="106">
        <v>460</v>
      </c>
      <c r="D116" s="106">
        <v>1648</v>
      </c>
      <c r="E116" s="106">
        <v>1652</v>
      </c>
      <c r="F116" s="106">
        <v>0.27845036319612498</v>
      </c>
      <c r="G116" s="106">
        <v>0.28110561462464601</v>
      </c>
      <c r="H116" s="106">
        <v>8.3254089811736608E-3</v>
      </c>
      <c r="I116" s="106">
        <v>-0.31893345234148401</v>
      </c>
      <c r="J116" s="106">
        <v>-0.95</v>
      </c>
      <c r="K116" s="106">
        <v>0.86596263902386805</v>
      </c>
      <c r="L116" s="106">
        <v>4.6801572239194601E-3</v>
      </c>
      <c r="M116" s="106">
        <v>0.833474781936413</v>
      </c>
      <c r="N116" s="106">
        <v>7.1128371050051806E-2</v>
      </c>
      <c r="P116" s="106">
        <v>0.28943102360581968</v>
      </c>
      <c r="Q116" s="106">
        <v>0.27278020564347233</v>
      </c>
      <c r="R116" s="106">
        <v>0.2977564325869933</v>
      </c>
      <c r="S116" s="106">
        <v>0.26445479666229871</v>
      </c>
      <c r="Y116" s="14"/>
      <c r="AA116" s="106">
        <v>460</v>
      </c>
      <c r="AB116" s="106">
        <v>483.41935483870969</v>
      </c>
    </row>
    <row r="117" spans="1:28" x14ac:dyDescent="0.2">
      <c r="A117" s="14">
        <v>43796</v>
      </c>
      <c r="B117" s="106">
        <v>460</v>
      </c>
      <c r="C117" s="106">
        <v>458</v>
      </c>
      <c r="D117" s="106">
        <v>1631</v>
      </c>
      <c r="E117" s="106">
        <v>1655</v>
      </c>
      <c r="F117" s="106">
        <v>0.27673716012084498</v>
      </c>
      <c r="G117" s="106">
        <v>0.281399252263629</v>
      </c>
      <c r="H117" s="106">
        <v>8.6100858211228502E-3</v>
      </c>
      <c r="I117" s="106">
        <v>-0.541468719318277</v>
      </c>
      <c r="J117" s="106">
        <v>-1.68</v>
      </c>
      <c r="K117" s="106">
        <v>0.87745900773407204</v>
      </c>
      <c r="L117" s="106">
        <v>3.23493080110622E-3</v>
      </c>
      <c r="M117" s="106">
        <v>0.82218097736237095</v>
      </c>
      <c r="N117" s="106">
        <v>8.8115423915795105E-2</v>
      </c>
      <c r="P117" s="106">
        <v>0.29000933808475182</v>
      </c>
      <c r="Q117" s="106">
        <v>0.27278916644250617</v>
      </c>
      <c r="R117" s="106">
        <v>0.2986194239058747</v>
      </c>
      <c r="S117" s="106">
        <v>0.26417908062138329</v>
      </c>
      <c r="Y117" s="14"/>
      <c r="AA117" s="106">
        <v>458</v>
      </c>
      <c r="AB117" s="106">
        <v>484.29723502304148</v>
      </c>
    </row>
    <row r="118" spans="1:28" x14ac:dyDescent="0.2">
      <c r="A118" s="14">
        <v>43795</v>
      </c>
      <c r="B118" s="106">
        <v>462</v>
      </c>
      <c r="C118" s="106">
        <v>460</v>
      </c>
      <c r="D118" s="106">
        <v>1579</v>
      </c>
      <c r="E118" s="106">
        <v>1595</v>
      </c>
      <c r="F118" s="106">
        <v>0.28840125391849503</v>
      </c>
      <c r="G118" s="106">
        <v>0.281656173657789</v>
      </c>
      <c r="H118" s="106">
        <v>8.7534354413885095E-3</v>
      </c>
      <c r="I118" s="106">
        <v>0.77056377531648601</v>
      </c>
      <c r="J118" s="106">
        <v>2.34</v>
      </c>
      <c r="K118" s="106">
        <v>0.88097397231729002</v>
      </c>
      <c r="L118" s="106">
        <v>5.0309374559305705E-4</v>
      </c>
      <c r="M118" s="106">
        <v>0.81104039390511296</v>
      </c>
      <c r="N118" s="106">
        <v>9.4205622290523094E-2</v>
      </c>
      <c r="P118" s="106">
        <v>0.29040960909917751</v>
      </c>
      <c r="Q118" s="106">
        <v>0.27290273821640049</v>
      </c>
      <c r="R118" s="106">
        <v>0.29916304454056603</v>
      </c>
      <c r="S118" s="106">
        <v>0.26414930277501197</v>
      </c>
      <c r="Y118" s="14"/>
      <c r="AA118" s="106">
        <v>460</v>
      </c>
      <c r="AB118" s="106">
        <v>466.73963133640552</v>
      </c>
    </row>
    <row r="119" spans="1:28" x14ac:dyDescent="0.2">
      <c r="A119" s="14">
        <v>43794</v>
      </c>
      <c r="B119" s="106">
        <v>455</v>
      </c>
      <c r="C119" s="106">
        <v>457</v>
      </c>
      <c r="D119" s="106">
        <v>1511</v>
      </c>
      <c r="E119" s="106">
        <v>1556</v>
      </c>
      <c r="F119" s="106">
        <v>0.293701799485861</v>
      </c>
      <c r="G119" s="106">
        <v>0.28177647544004703</v>
      </c>
      <c r="H119" s="106">
        <v>8.9059805059571295E-3</v>
      </c>
      <c r="I119" s="106">
        <v>1.3390242700213399</v>
      </c>
      <c r="J119" s="106">
        <v>4.0599999999999996</v>
      </c>
      <c r="K119" s="106">
        <v>0.88715917998060101</v>
      </c>
      <c r="L119" s="106">
        <v>7.8197523929659303E-4</v>
      </c>
      <c r="M119" s="106">
        <v>0.80095956774958998</v>
      </c>
      <c r="N119" s="106">
        <v>0.23725931250222301</v>
      </c>
      <c r="P119" s="106">
        <v>0.29068245594600417</v>
      </c>
      <c r="Q119" s="106">
        <v>0.27287049493408988</v>
      </c>
      <c r="R119" s="106">
        <v>0.29958843645196126</v>
      </c>
      <c r="S119" s="106">
        <v>0.26396451442813279</v>
      </c>
      <c r="Y119" s="14"/>
      <c r="AA119" s="106">
        <v>457</v>
      </c>
      <c r="AB119" s="106">
        <v>455.32718894009219</v>
      </c>
    </row>
    <row r="120" spans="1:28" x14ac:dyDescent="0.2">
      <c r="A120" s="14">
        <v>43791</v>
      </c>
      <c r="B120" s="106">
        <v>451</v>
      </c>
      <c r="C120" s="106">
        <v>453</v>
      </c>
      <c r="D120" s="106">
        <v>1537</v>
      </c>
      <c r="E120" s="106">
        <v>1505</v>
      </c>
      <c r="F120" s="106">
        <v>0.30099667774086297</v>
      </c>
      <c r="G120" s="106">
        <v>0.28187111811356902</v>
      </c>
      <c r="H120" s="106">
        <v>9.0684405115383504E-3</v>
      </c>
      <c r="I120" s="106">
        <v>2.1090241043054498</v>
      </c>
      <c r="J120" s="106">
        <v>6.35</v>
      </c>
      <c r="K120" s="106">
        <v>0.90444224440356802</v>
      </c>
      <c r="L120" s="106">
        <v>8.1005491339979595E-4</v>
      </c>
      <c r="M120" s="106">
        <v>0.79952923915750995</v>
      </c>
      <c r="N120" s="106">
        <v>0.31078568844782001</v>
      </c>
      <c r="P120" s="106">
        <v>0.29093955862510734</v>
      </c>
      <c r="Q120" s="106">
        <v>0.2728026776020307</v>
      </c>
      <c r="R120" s="106">
        <v>0.30000799913664572</v>
      </c>
      <c r="S120" s="106">
        <v>0.26373423709049232</v>
      </c>
      <c r="Y120" s="14"/>
      <c r="AA120" s="106">
        <v>453</v>
      </c>
      <c r="AB120" s="106">
        <v>440.40322580645164</v>
      </c>
    </row>
    <row r="121" spans="1:28" x14ac:dyDescent="0.2">
      <c r="A121" s="14">
        <v>43790</v>
      </c>
      <c r="B121" s="106">
        <v>444</v>
      </c>
      <c r="C121" s="106">
        <v>454</v>
      </c>
      <c r="D121" s="106">
        <v>1535</v>
      </c>
      <c r="E121" s="106">
        <v>1538</v>
      </c>
      <c r="F121" s="106">
        <v>0.29518855656697002</v>
      </c>
      <c r="G121" s="106">
        <v>0.28189982382767997</v>
      </c>
      <c r="H121" s="106">
        <v>9.1321200352790701E-3</v>
      </c>
      <c r="I121" s="106">
        <v>1.45516404602135</v>
      </c>
      <c r="J121" s="106">
        <v>4.5</v>
      </c>
      <c r="K121" s="106">
        <v>0.91338324385421099</v>
      </c>
      <c r="L121" s="106">
        <v>2.1366707049831498E-3</v>
      </c>
      <c r="M121" s="106">
        <v>0.79039250726088295</v>
      </c>
      <c r="N121" s="106">
        <v>0.23825936817483401</v>
      </c>
      <c r="P121" s="106">
        <v>0.29103194386295905</v>
      </c>
      <c r="Q121" s="106">
        <v>0.2727677037924009</v>
      </c>
      <c r="R121" s="106">
        <v>0.30016406389823813</v>
      </c>
      <c r="S121" s="106">
        <v>0.26363558375712182</v>
      </c>
      <c r="Y121" s="14"/>
      <c r="AA121" s="106">
        <v>454</v>
      </c>
      <c r="AB121" s="106">
        <v>450.05990783410141</v>
      </c>
    </row>
    <row r="122" spans="1:28" x14ac:dyDescent="0.2">
      <c r="A122" s="14">
        <v>43789</v>
      </c>
      <c r="B122" s="106">
        <v>442</v>
      </c>
      <c r="C122" s="106">
        <v>446</v>
      </c>
      <c r="D122" s="106">
        <v>1570</v>
      </c>
      <c r="E122" s="106">
        <v>1538</v>
      </c>
      <c r="F122" s="106">
        <v>0.289986996098829</v>
      </c>
      <c r="G122" s="106">
        <v>0.28199425570723102</v>
      </c>
      <c r="H122" s="106">
        <v>9.3040454893756602E-3</v>
      </c>
      <c r="I122" s="106">
        <v>0.85906076026015699</v>
      </c>
      <c r="J122" s="106">
        <v>2.76</v>
      </c>
      <c r="K122" s="106">
        <v>0.919046986746616</v>
      </c>
      <c r="L122" s="106">
        <v>6.5384184474144395E-4</v>
      </c>
      <c r="M122" s="106">
        <v>0.77939049988893505</v>
      </c>
      <c r="N122" s="106">
        <v>0.31452424318788602</v>
      </c>
      <c r="P122" s="106">
        <v>0.29129830119660666</v>
      </c>
      <c r="Q122" s="106">
        <v>0.27269021021785539</v>
      </c>
      <c r="R122" s="106">
        <v>0.30060234668598235</v>
      </c>
      <c r="S122" s="106">
        <v>0.2633861647284797</v>
      </c>
      <c r="Y122" s="14"/>
      <c r="AA122" s="106">
        <v>446</v>
      </c>
      <c r="AB122" s="106">
        <v>450.05990783410141</v>
      </c>
    </row>
    <row r="123" spans="1:28" x14ac:dyDescent="0.2">
      <c r="A123" s="14">
        <v>43788</v>
      </c>
      <c r="B123" s="106">
        <v>441</v>
      </c>
      <c r="C123" s="106">
        <v>442</v>
      </c>
      <c r="D123" s="106">
        <v>1525</v>
      </c>
      <c r="E123" s="106">
        <v>1562</v>
      </c>
      <c r="F123" s="106">
        <v>0.28297055057618398</v>
      </c>
      <c r="G123" s="106">
        <v>0.28216910609516399</v>
      </c>
      <c r="H123" s="106">
        <v>9.5719750672716101E-3</v>
      </c>
      <c r="I123" s="106">
        <v>8.3728224884352206E-2</v>
      </c>
      <c r="J123" s="106">
        <v>0.28000000000000003</v>
      </c>
      <c r="K123" s="106">
        <v>0.92079481444568601</v>
      </c>
      <c r="L123" s="106">
        <v>9.1939124243771799E-4</v>
      </c>
      <c r="M123" s="106">
        <v>0.76683397263083297</v>
      </c>
      <c r="N123" s="106">
        <v>0.38033781285047102</v>
      </c>
      <c r="P123" s="106">
        <v>0.29174108116243558</v>
      </c>
      <c r="Q123" s="106">
        <v>0.2725971310278924</v>
      </c>
      <c r="R123" s="106">
        <v>0.30131305622970722</v>
      </c>
      <c r="S123" s="106">
        <v>0.26302515596062076</v>
      </c>
      <c r="Y123" s="14"/>
      <c r="AA123" s="106">
        <v>442</v>
      </c>
      <c r="AB123" s="106">
        <v>457.08294930875576</v>
      </c>
    </row>
    <row r="124" spans="1:28" x14ac:dyDescent="0.2">
      <c r="A124" s="14">
        <v>43787</v>
      </c>
      <c r="B124" s="106">
        <v>439</v>
      </c>
      <c r="C124" s="106">
        <v>443</v>
      </c>
      <c r="D124" s="106">
        <v>1530</v>
      </c>
      <c r="E124" s="106">
        <v>1525</v>
      </c>
      <c r="F124" s="106">
        <v>0.29049180327868801</v>
      </c>
      <c r="G124" s="106">
        <v>0.28230438918982698</v>
      </c>
      <c r="H124" s="106">
        <v>9.6536968374599692E-3</v>
      </c>
      <c r="I124" s="106">
        <v>0.84811178833484202</v>
      </c>
      <c r="J124" s="106">
        <v>2.82</v>
      </c>
      <c r="K124" s="106">
        <v>0.92347739386634797</v>
      </c>
      <c r="L124" s="106">
        <v>1.4157145979020499E-3</v>
      </c>
      <c r="M124" s="106">
        <v>0.75252617568812497</v>
      </c>
      <c r="N124" s="106">
        <v>0.49854532834932902</v>
      </c>
      <c r="P124" s="106">
        <v>0.29195808602728696</v>
      </c>
      <c r="Q124" s="106">
        <v>0.272650692352367</v>
      </c>
      <c r="R124" s="106">
        <v>0.30161178286474694</v>
      </c>
      <c r="S124" s="106">
        <v>0.26299699551490702</v>
      </c>
      <c r="Y124" s="14"/>
      <c r="AA124" s="106">
        <v>443</v>
      </c>
      <c r="AB124" s="106">
        <v>446.25576036866363</v>
      </c>
    </row>
    <row r="125" spans="1:28" x14ac:dyDescent="0.2">
      <c r="A125" s="14">
        <v>43784</v>
      </c>
      <c r="B125" s="106">
        <v>433</v>
      </c>
      <c r="C125" s="106">
        <v>441</v>
      </c>
      <c r="D125" s="106">
        <v>1520</v>
      </c>
      <c r="E125" s="106">
        <v>1534</v>
      </c>
      <c r="F125" s="106">
        <v>0.28748370273793999</v>
      </c>
      <c r="G125" s="106">
        <v>0.28235273377356301</v>
      </c>
      <c r="H125" s="106">
        <v>9.7035276879613996E-3</v>
      </c>
      <c r="I125" s="106">
        <v>0.52877356868293002</v>
      </c>
      <c r="J125" s="106">
        <v>1.78</v>
      </c>
      <c r="K125" s="106">
        <v>0.92561227710067295</v>
      </c>
      <c r="L125" s="15">
        <v>2.03205835641404E-3</v>
      </c>
      <c r="M125" s="106">
        <v>0.73840957303349097</v>
      </c>
      <c r="N125" s="106">
        <v>0.468183425114026</v>
      </c>
      <c r="P125" s="106">
        <v>0.29205626146152441</v>
      </c>
      <c r="Q125" s="106">
        <v>0.27264920608560161</v>
      </c>
      <c r="R125" s="106">
        <v>0.30175978914948581</v>
      </c>
      <c r="S125" s="106">
        <v>0.26294567839764021</v>
      </c>
      <c r="Y125" s="14"/>
      <c r="AA125" s="106">
        <v>441</v>
      </c>
      <c r="AB125" s="106">
        <v>448.88940092165899</v>
      </c>
    </row>
    <row r="126" spans="1:28" x14ac:dyDescent="0.2">
      <c r="A126" s="14">
        <v>43783</v>
      </c>
      <c r="B126" s="106">
        <v>431</v>
      </c>
      <c r="C126" s="106">
        <v>433</v>
      </c>
      <c r="D126" s="106">
        <v>1516</v>
      </c>
      <c r="E126" s="106">
        <v>1512</v>
      </c>
      <c r="F126" s="106">
        <v>0.28637566137566101</v>
      </c>
      <c r="G126" s="106">
        <v>0.28239690569787101</v>
      </c>
      <c r="H126" s="106">
        <v>9.7342757765984892E-3</v>
      </c>
      <c r="I126" s="106">
        <v>0.408736691778817</v>
      </c>
      <c r="J126" s="106">
        <v>1.39</v>
      </c>
      <c r="K126" s="106">
        <v>0.922530528545915</v>
      </c>
      <c r="L126" s="106">
        <v>1.14650163405668E-2</v>
      </c>
      <c r="M126" s="106">
        <v>0.72402658381863505</v>
      </c>
      <c r="N126" s="106">
        <v>0.56290300122442505</v>
      </c>
      <c r="P126" s="106">
        <v>0.29213118147446948</v>
      </c>
      <c r="Q126" s="106">
        <v>0.27266262992127255</v>
      </c>
      <c r="R126" s="106">
        <v>0.301865457251068</v>
      </c>
      <c r="S126" s="106">
        <v>0.26292835414467403</v>
      </c>
      <c r="Y126" s="14"/>
      <c r="AA126" s="106">
        <v>433</v>
      </c>
      <c r="AB126" s="106">
        <v>442.45161290322579</v>
      </c>
    </row>
    <row r="127" spans="1:28" x14ac:dyDescent="0.2">
      <c r="A127" s="14">
        <v>43782</v>
      </c>
      <c r="B127" s="106">
        <v>433</v>
      </c>
      <c r="C127" s="106">
        <v>432</v>
      </c>
      <c r="D127" s="106">
        <v>1512</v>
      </c>
      <c r="E127" s="106">
        <v>1509</v>
      </c>
      <c r="F127" s="106">
        <v>0.28628230616302103</v>
      </c>
      <c r="G127" s="106">
        <v>0.28251298977570399</v>
      </c>
      <c r="H127" s="106">
        <v>9.8324489947200899E-3</v>
      </c>
      <c r="I127" s="106">
        <v>0.38335478672112999</v>
      </c>
      <c r="J127" s="106">
        <v>1.32</v>
      </c>
      <c r="K127" s="106">
        <v>0.91863570131330696</v>
      </c>
      <c r="L127" s="106">
        <v>3.2095956599208698E-2</v>
      </c>
      <c r="M127" s="106">
        <v>0.70919305700538204</v>
      </c>
      <c r="N127" s="106">
        <v>0.57003454398231401</v>
      </c>
      <c r="P127" s="106">
        <v>0.29234543877042407</v>
      </c>
      <c r="Q127" s="106">
        <v>0.27268054078098392</v>
      </c>
      <c r="R127" s="106">
        <v>0.30217788776514415</v>
      </c>
      <c r="S127" s="106">
        <v>0.26284809178626384</v>
      </c>
      <c r="Y127" s="14"/>
      <c r="AA127" s="106">
        <v>432</v>
      </c>
      <c r="AB127" s="106">
        <v>441.57373271889401</v>
      </c>
    </row>
    <row r="128" spans="1:28" x14ac:dyDescent="0.2">
      <c r="A128" s="14">
        <v>43781</v>
      </c>
      <c r="B128" s="106">
        <v>430</v>
      </c>
      <c r="C128" s="106">
        <v>436</v>
      </c>
      <c r="D128" s="106">
        <v>1517</v>
      </c>
      <c r="E128" s="106">
        <v>1511</v>
      </c>
      <c r="F128" s="106">
        <v>0.28855062872269999</v>
      </c>
      <c r="G128" s="106">
        <v>0.28267803052673202</v>
      </c>
      <c r="H128" s="106">
        <v>9.9968435074090107E-3</v>
      </c>
      <c r="I128" s="106">
        <v>0.58744524625346595</v>
      </c>
      <c r="J128" s="106">
        <v>2.04</v>
      </c>
      <c r="K128" s="106">
        <v>0.918640029655309</v>
      </c>
      <c r="L128" s="106">
        <v>4.1511634702302201E-2</v>
      </c>
      <c r="M128" s="106">
        <v>0.69391073095301303</v>
      </c>
      <c r="N128" s="106">
        <v>0.66584855114365304</v>
      </c>
      <c r="P128" s="106">
        <v>0.29267487403414105</v>
      </c>
      <c r="Q128" s="106">
        <v>0.27268118701932298</v>
      </c>
      <c r="R128" s="106">
        <v>0.30267171754155003</v>
      </c>
      <c r="S128" s="106">
        <v>0.262684343511914</v>
      </c>
      <c r="Y128" s="14"/>
      <c r="AA128" s="106">
        <v>436</v>
      </c>
      <c r="AB128" s="106">
        <v>442.15898617511522</v>
      </c>
    </row>
    <row r="129" spans="1:28" x14ac:dyDescent="0.2">
      <c r="A129" s="14">
        <v>43780</v>
      </c>
      <c r="B129" s="106">
        <v>435</v>
      </c>
      <c r="C129" s="106">
        <v>433</v>
      </c>
      <c r="D129" s="106">
        <v>1527</v>
      </c>
      <c r="E129" s="106">
        <v>1518</v>
      </c>
      <c r="F129" s="106">
        <v>0.28524374176548001</v>
      </c>
      <c r="G129" s="106">
        <v>0.28278673276647398</v>
      </c>
      <c r="H129" s="106">
        <v>1.01038609629222E-2</v>
      </c>
      <c r="I129" s="106">
        <v>0.243175258252566</v>
      </c>
      <c r="J129" s="106">
        <v>0.86</v>
      </c>
      <c r="K129" s="106">
        <v>0.91837445033373599</v>
      </c>
      <c r="L129" s="106">
        <v>5.92008372457863E-2</v>
      </c>
      <c r="M129" s="106">
        <v>0.67518814576288</v>
      </c>
      <c r="N129" s="106">
        <v>0.81475141950635799</v>
      </c>
      <c r="P129" s="106">
        <v>0.29289059372939619</v>
      </c>
      <c r="Q129" s="106">
        <v>0.27268287180355177</v>
      </c>
      <c r="R129" s="106">
        <v>0.30299445469231839</v>
      </c>
      <c r="S129" s="106">
        <v>0.26257901084062957</v>
      </c>
      <c r="Y129" s="14"/>
      <c r="AA129" s="106">
        <v>433</v>
      </c>
      <c r="AB129" s="106">
        <v>444.20737327188942</v>
      </c>
    </row>
    <row r="130" spans="1:28" x14ac:dyDescent="0.2">
      <c r="A130" s="14">
        <v>43777</v>
      </c>
      <c r="B130" s="106">
        <v>432</v>
      </c>
      <c r="C130" s="106">
        <v>434</v>
      </c>
      <c r="D130" s="106">
        <v>1565</v>
      </c>
      <c r="E130" s="106">
        <v>1528</v>
      </c>
      <c r="F130" s="106">
        <v>0.28403141361256501</v>
      </c>
      <c r="G130" s="106">
        <v>0.28288517258440898</v>
      </c>
      <c r="H130" s="106">
        <v>1.0163111277015E-2</v>
      </c>
      <c r="I130" s="106">
        <v>0.112784461068397</v>
      </c>
      <c r="J130" s="106">
        <v>0.4</v>
      </c>
      <c r="K130" s="106">
        <v>0.91535277216858302</v>
      </c>
      <c r="L130" s="106">
        <v>0.112656953874405</v>
      </c>
      <c r="M130" s="106">
        <v>0.65738981431241506</v>
      </c>
      <c r="N130" s="106">
        <v>0.69798580600238103</v>
      </c>
      <c r="P130" s="106">
        <v>0.29304828386142401</v>
      </c>
      <c r="Q130" s="106">
        <v>0.27272206130739396</v>
      </c>
      <c r="R130" s="106">
        <v>0.30321139513843898</v>
      </c>
      <c r="S130" s="106">
        <v>0.26255895003037899</v>
      </c>
      <c r="Y130" s="14"/>
      <c r="AA130" s="106">
        <v>434</v>
      </c>
      <c r="AB130" s="106">
        <v>447.13364055299542</v>
      </c>
    </row>
    <row r="131" spans="1:28" x14ac:dyDescent="0.2">
      <c r="A131" s="14">
        <v>43776</v>
      </c>
      <c r="B131" s="106">
        <v>432</v>
      </c>
      <c r="C131" s="106">
        <v>428</v>
      </c>
      <c r="D131" s="106">
        <v>1564</v>
      </c>
      <c r="E131" s="106">
        <v>1557</v>
      </c>
      <c r="F131" s="106">
        <v>0.27488760436737297</v>
      </c>
      <c r="G131" s="106">
        <v>0.282882835858149</v>
      </c>
      <c r="H131" s="106">
        <v>1.01628676065075E-2</v>
      </c>
      <c r="I131" s="106">
        <v>-0.78671018853542296</v>
      </c>
      <c r="J131" s="106">
        <v>-2.91</v>
      </c>
      <c r="K131" s="106">
        <v>0.91341559909694403</v>
      </c>
      <c r="L131" s="106">
        <v>0.18151271024347901</v>
      </c>
      <c r="M131" s="106">
        <v>0.64089876648417399</v>
      </c>
      <c r="N131" s="106">
        <v>0.76301325614673299</v>
      </c>
      <c r="P131" s="106">
        <v>0.29304570346465647</v>
      </c>
      <c r="Q131" s="106">
        <v>0.27271996825164152</v>
      </c>
      <c r="R131" s="106">
        <v>0.303208571071164</v>
      </c>
      <c r="S131" s="106">
        <v>0.26255710064513399</v>
      </c>
      <c r="Y131" s="14"/>
      <c r="AA131" s="106">
        <v>428</v>
      </c>
      <c r="AB131" s="106">
        <v>455.61981566820276</v>
      </c>
    </row>
    <row r="132" spans="1:28" x14ac:dyDescent="0.2">
      <c r="A132" s="14">
        <v>43775</v>
      </c>
      <c r="B132" s="106">
        <v>447</v>
      </c>
      <c r="C132" s="106">
        <v>427</v>
      </c>
      <c r="D132" s="106">
        <v>1570</v>
      </c>
      <c r="E132" s="106">
        <v>1559</v>
      </c>
      <c r="F132" s="106">
        <v>0.27389352148813301</v>
      </c>
      <c r="G132" s="106">
        <v>0.28311837701977499</v>
      </c>
      <c r="H132" s="106">
        <v>1.01795362877926E-2</v>
      </c>
      <c r="I132" s="106">
        <v>-0.90621569301785299</v>
      </c>
      <c r="J132" s="106">
        <v>-3.37</v>
      </c>
      <c r="K132" s="106">
        <v>0.90676243228007503</v>
      </c>
      <c r="L132" s="106">
        <v>0.37698208033818498</v>
      </c>
      <c r="M132" s="106">
        <v>0.62609742137909397</v>
      </c>
      <c r="N132" s="106">
        <v>0.69856924408768595</v>
      </c>
      <c r="P132" s="106">
        <v>0.2932979133075676</v>
      </c>
      <c r="Q132" s="106">
        <v>0.27293884073198238</v>
      </c>
      <c r="R132" s="106">
        <v>0.30347744959536022</v>
      </c>
      <c r="S132" s="106">
        <v>0.26275930444418977</v>
      </c>
      <c r="Y132" s="14"/>
      <c r="AA132" s="106">
        <v>427</v>
      </c>
      <c r="AB132" s="106">
        <v>456.20506912442397</v>
      </c>
    </row>
    <row r="133" spans="1:28" x14ac:dyDescent="0.2">
      <c r="A133" s="14">
        <v>43774</v>
      </c>
      <c r="B133" s="106">
        <v>442</v>
      </c>
      <c r="C133" s="106">
        <v>447</v>
      </c>
      <c r="D133" s="106">
        <v>1560</v>
      </c>
      <c r="E133" s="106">
        <v>1554</v>
      </c>
      <c r="F133" s="106">
        <v>0.28764478764478701</v>
      </c>
      <c r="G133" s="106">
        <v>0.28334360337979297</v>
      </c>
      <c r="H133" s="106">
        <v>1.01597927807895E-2</v>
      </c>
      <c r="I133" s="106">
        <v>0.42335354251785401</v>
      </c>
      <c r="J133" s="106">
        <v>1.5</v>
      </c>
      <c r="K133" s="106">
        <v>0.90244571991135902</v>
      </c>
      <c r="L133" s="106">
        <v>0.40494626881812601</v>
      </c>
      <c r="M133" s="106">
        <v>0.60524125884563995</v>
      </c>
      <c r="N133" s="106">
        <v>0.81605886012031104</v>
      </c>
      <c r="P133" s="106">
        <v>0.29350339616058246</v>
      </c>
      <c r="Q133" s="106">
        <v>0.27318381059900348</v>
      </c>
      <c r="R133" s="106">
        <v>0.30366318894137195</v>
      </c>
      <c r="S133" s="106">
        <v>0.263024017818214</v>
      </c>
      <c r="Y133" s="14"/>
      <c r="AA133" s="106">
        <v>447</v>
      </c>
      <c r="AB133" s="106">
        <v>454.74193548387098</v>
      </c>
    </row>
    <row r="134" spans="1:28" x14ac:dyDescent="0.2">
      <c r="A134" s="14">
        <v>43770</v>
      </c>
      <c r="B134" s="106">
        <v>434</v>
      </c>
      <c r="C134" s="106">
        <v>436</v>
      </c>
      <c r="D134" s="106">
        <v>1540</v>
      </c>
      <c r="E134" s="106">
        <v>1558</v>
      </c>
      <c r="F134" s="106">
        <v>0.27984595635429999</v>
      </c>
      <c r="G134" s="106">
        <v>0.28340515897853802</v>
      </c>
      <c r="H134" s="106">
        <v>1.0199573818675501E-2</v>
      </c>
      <c r="I134" s="106">
        <v>-0.34895601399750698</v>
      </c>
      <c r="J134" s="106">
        <v>-1.27</v>
      </c>
      <c r="K134" s="106">
        <v>0.89348143904632005</v>
      </c>
      <c r="L134" s="106">
        <v>0.50173431556847103</v>
      </c>
      <c r="M134" s="106">
        <v>0.57595497274018903</v>
      </c>
      <c r="N134" s="106">
        <v>0.75357737857158602</v>
      </c>
      <c r="P134" s="106">
        <v>0.2936047327972135</v>
      </c>
      <c r="Q134" s="106">
        <v>0.27320558515986254</v>
      </c>
      <c r="R134" s="106">
        <v>0.30380430661588903</v>
      </c>
      <c r="S134" s="106">
        <v>0.26300601134118701</v>
      </c>
      <c r="Y134" s="14"/>
      <c r="AA134" s="106">
        <v>436</v>
      </c>
      <c r="AB134" s="106">
        <v>455.91244239631339</v>
      </c>
    </row>
    <row r="135" spans="1:28" x14ac:dyDescent="0.2">
      <c r="A135" s="14">
        <v>43769</v>
      </c>
      <c r="B135" s="106">
        <v>436</v>
      </c>
      <c r="C135" s="106">
        <v>437</v>
      </c>
      <c r="D135" s="106">
        <v>1559</v>
      </c>
      <c r="E135" s="106">
        <v>1549</v>
      </c>
      <c r="F135" s="106">
        <v>0.28211749515816598</v>
      </c>
      <c r="G135" s="106">
        <v>0.28366773516723998</v>
      </c>
      <c r="H135" s="106">
        <v>1.0356843400546101E-2</v>
      </c>
      <c r="I135" s="106">
        <v>-0.14968267348639899</v>
      </c>
      <c r="J135" s="106">
        <v>-0.55000000000000004</v>
      </c>
      <c r="K135" s="106">
        <v>0.88514062912038005</v>
      </c>
      <c r="L135" s="106">
        <v>0.59386504030091702</v>
      </c>
      <c r="M135" s="106">
        <v>0.55695862572483901</v>
      </c>
      <c r="N135" s="106">
        <v>0.81909099862246504</v>
      </c>
      <c r="P135" s="106">
        <v>0.29402457856778608</v>
      </c>
      <c r="Q135" s="106">
        <v>0.27331089176669388</v>
      </c>
      <c r="R135" s="106">
        <v>0.30438142196833218</v>
      </c>
      <c r="S135" s="106">
        <v>0.26295404836614777</v>
      </c>
      <c r="Y135" s="14"/>
      <c r="AA135" s="106">
        <v>437</v>
      </c>
      <c r="AB135" s="106">
        <v>453.27880184331798</v>
      </c>
    </row>
    <row r="136" spans="1:28" x14ac:dyDescent="0.2">
      <c r="A136" s="14">
        <v>43768</v>
      </c>
      <c r="B136" s="106">
        <v>438</v>
      </c>
      <c r="C136" s="106">
        <v>433</v>
      </c>
      <c r="D136" s="106">
        <v>1563</v>
      </c>
      <c r="E136" s="106">
        <v>1545</v>
      </c>
      <c r="F136" s="106">
        <v>0.28025889967637502</v>
      </c>
      <c r="G136" s="106">
        <v>0.28398024263920502</v>
      </c>
      <c r="H136" s="106">
        <v>1.06546792600063E-2</v>
      </c>
      <c r="I136" s="106">
        <v>-0.34926841737963199</v>
      </c>
      <c r="J136" s="106">
        <v>-1.33</v>
      </c>
      <c r="K136" s="106">
        <v>0.87773898566251496</v>
      </c>
      <c r="L136" s="106">
        <v>0.60417334803760203</v>
      </c>
      <c r="M136" s="106">
        <v>0.542256203362112</v>
      </c>
      <c r="N136" s="106">
        <v>0.58404065408374795</v>
      </c>
      <c r="P136" s="106">
        <v>0.29463492189921131</v>
      </c>
      <c r="Q136" s="106">
        <v>0.27332556337919872</v>
      </c>
      <c r="R136" s="106">
        <v>0.30528960115921761</v>
      </c>
      <c r="S136" s="106">
        <v>0.26267088411919243</v>
      </c>
      <c r="Y136" s="14"/>
      <c r="AA136" s="106">
        <v>433</v>
      </c>
      <c r="AB136" s="106">
        <v>452.10829493087562</v>
      </c>
    </row>
    <row r="137" spans="1:28" x14ac:dyDescent="0.2">
      <c r="A137" s="14">
        <v>43767</v>
      </c>
      <c r="B137" s="106">
        <v>439</v>
      </c>
      <c r="C137" s="106">
        <v>437</v>
      </c>
      <c r="D137" s="106">
        <v>1574</v>
      </c>
      <c r="E137" s="106">
        <v>1567</v>
      </c>
      <c r="F137" s="106">
        <v>0.27887683471601699</v>
      </c>
      <c r="G137" s="106">
        <v>0.28429822297632701</v>
      </c>
      <c r="H137" s="106">
        <v>1.0892098648505899E-2</v>
      </c>
      <c r="I137" s="106">
        <v>-0.497735875817922</v>
      </c>
      <c r="J137" s="106">
        <v>-1.94</v>
      </c>
      <c r="K137" s="106">
        <v>0.86800590718427895</v>
      </c>
      <c r="L137" s="106">
        <v>0.65039688804807105</v>
      </c>
      <c r="M137" s="106">
        <v>0.52680125395737898</v>
      </c>
      <c r="N137" s="106">
        <v>0.52943291847254403</v>
      </c>
      <c r="P137" s="106">
        <v>0.29519032162483289</v>
      </c>
      <c r="Q137" s="106">
        <v>0.27340612432782113</v>
      </c>
      <c r="R137" s="106">
        <v>0.30608242027333882</v>
      </c>
      <c r="S137" s="106">
        <v>0.2625140256793152</v>
      </c>
      <c r="Y137" s="14"/>
      <c r="AA137" s="106">
        <v>437</v>
      </c>
      <c r="AB137" s="106">
        <v>458.54608294930875</v>
      </c>
    </row>
    <row r="138" spans="1:28" x14ac:dyDescent="0.2">
      <c r="A138" s="14">
        <v>43766</v>
      </c>
      <c r="B138" s="106">
        <v>438</v>
      </c>
      <c r="C138" s="106">
        <v>436</v>
      </c>
      <c r="D138" s="106">
        <v>1562</v>
      </c>
      <c r="E138" s="106">
        <v>1570</v>
      </c>
      <c r="F138" s="106">
        <v>0.27770700636942602</v>
      </c>
      <c r="G138" s="106">
        <v>0.28463555207267899</v>
      </c>
      <c r="H138" s="106">
        <v>1.1108589333814801E-2</v>
      </c>
      <c r="I138" s="106">
        <v>-0.62371067063955898</v>
      </c>
      <c r="J138" s="106">
        <v>-2.4900000000000002</v>
      </c>
      <c r="K138" s="106">
        <v>0.86445655783469599</v>
      </c>
      <c r="L138" s="106">
        <v>0.49140702191449698</v>
      </c>
      <c r="M138" s="106">
        <v>0.51267451390636598</v>
      </c>
      <c r="N138" s="106">
        <v>0.41180670344821302</v>
      </c>
      <c r="P138" s="106">
        <v>0.2957441414064938</v>
      </c>
      <c r="Q138" s="106">
        <v>0.27352696273886418</v>
      </c>
      <c r="R138" s="106">
        <v>0.30685273074030861</v>
      </c>
      <c r="S138" s="106">
        <v>0.26241837340504937</v>
      </c>
      <c r="Y138" s="14"/>
      <c r="AA138" s="106">
        <v>436</v>
      </c>
      <c r="AB138" s="106">
        <v>459.42396313364054</v>
      </c>
    </row>
    <row r="139" spans="1:28" x14ac:dyDescent="0.2">
      <c r="A139" s="14">
        <v>43763</v>
      </c>
      <c r="B139" s="106">
        <v>434</v>
      </c>
      <c r="C139" s="106">
        <v>438</v>
      </c>
      <c r="D139" s="106">
        <v>1583</v>
      </c>
      <c r="E139" s="106">
        <v>1564</v>
      </c>
      <c r="F139" s="106">
        <v>0.28005115089513999</v>
      </c>
      <c r="G139" s="106">
        <v>0.28502892573906002</v>
      </c>
      <c r="H139" s="106">
        <v>1.13754433935174E-2</v>
      </c>
      <c r="I139" s="106">
        <v>-0.43758952259886502</v>
      </c>
      <c r="J139" s="106">
        <v>-1.78</v>
      </c>
      <c r="K139" s="106">
        <v>0.85976161326962397</v>
      </c>
      <c r="L139" s="106">
        <v>0.50764079959528796</v>
      </c>
      <c r="M139" s="106">
        <v>0.49532783396115199</v>
      </c>
      <c r="N139" s="106">
        <v>0.439811499665898</v>
      </c>
      <c r="P139" s="106">
        <v>0.29640436913257745</v>
      </c>
      <c r="Q139" s="106">
        <v>0.2736534823455426</v>
      </c>
      <c r="R139" s="106">
        <v>0.30777981252609482</v>
      </c>
      <c r="S139" s="106">
        <v>0.26227803895202523</v>
      </c>
      <c r="Y139" s="14"/>
      <c r="AA139" s="106">
        <v>438</v>
      </c>
      <c r="AB139" s="106">
        <v>457.66820276497697</v>
      </c>
    </row>
    <row r="140" spans="1:28" x14ac:dyDescent="0.2">
      <c r="A140" s="14">
        <v>43762</v>
      </c>
      <c r="B140" s="106">
        <v>442</v>
      </c>
      <c r="C140" s="106">
        <v>435</v>
      </c>
      <c r="D140" s="106">
        <v>1565</v>
      </c>
      <c r="E140" s="106">
        <v>1556</v>
      </c>
      <c r="F140" s="106">
        <v>0.27956298200514101</v>
      </c>
      <c r="G140" s="106">
        <v>0.285349676059931</v>
      </c>
      <c r="H140" s="106">
        <v>1.1568087287853201E-2</v>
      </c>
      <c r="I140" s="106">
        <v>-0.50022911400977199</v>
      </c>
      <c r="J140" s="106">
        <v>-2.0699999999999998</v>
      </c>
      <c r="K140" s="106">
        <v>0.85667449741653101</v>
      </c>
      <c r="L140" s="106">
        <v>0.473815488670564</v>
      </c>
      <c r="M140" s="106">
        <v>0.47573571540276099</v>
      </c>
      <c r="N140" s="106">
        <v>0.50604499536814096</v>
      </c>
      <c r="P140" s="106">
        <v>0.29691776334778419</v>
      </c>
      <c r="Q140" s="106">
        <v>0.27378158877207781</v>
      </c>
      <c r="R140" s="106">
        <v>0.30848585063563738</v>
      </c>
      <c r="S140" s="106">
        <v>0.26221350148422462</v>
      </c>
      <c r="Y140" s="14"/>
      <c r="AA140" s="106">
        <v>435</v>
      </c>
      <c r="AB140" s="106">
        <v>455.32718894009219</v>
      </c>
    </row>
    <row r="141" spans="1:28" x14ac:dyDescent="0.2">
      <c r="A141" s="14">
        <v>43761</v>
      </c>
      <c r="B141" s="106">
        <v>436</v>
      </c>
      <c r="C141" s="106">
        <v>438</v>
      </c>
      <c r="D141" s="106">
        <v>1540</v>
      </c>
      <c r="E141" s="106">
        <v>1554</v>
      </c>
      <c r="F141" s="106">
        <v>0.28185328185328101</v>
      </c>
      <c r="G141" s="106">
        <v>0.285786139428234</v>
      </c>
      <c r="H141" s="106">
        <v>1.19526693111117E-2</v>
      </c>
      <c r="I141" s="106">
        <v>-0.32903592265340198</v>
      </c>
      <c r="J141" s="106">
        <v>-1.4</v>
      </c>
      <c r="K141" s="106">
        <v>0.85148611487485903</v>
      </c>
      <c r="L141" s="106">
        <v>0.45961264612769898</v>
      </c>
      <c r="M141" s="106">
        <v>0.45161809772307299</v>
      </c>
      <c r="N141" s="106">
        <v>0.60776799748450405</v>
      </c>
      <c r="P141" s="106">
        <v>0.29773880873934572</v>
      </c>
      <c r="Q141" s="106">
        <v>0.27383347011712228</v>
      </c>
      <c r="R141" s="106">
        <v>0.30969147805045738</v>
      </c>
      <c r="S141" s="106">
        <v>0.26188080080601062</v>
      </c>
      <c r="Y141" s="14"/>
      <c r="AA141" s="106">
        <v>438</v>
      </c>
      <c r="AB141" s="106">
        <v>454.74193548387098</v>
      </c>
    </row>
    <row r="142" spans="1:28" x14ac:dyDescent="0.2">
      <c r="A142" s="14">
        <v>43759</v>
      </c>
      <c r="B142" s="106">
        <v>429</v>
      </c>
      <c r="C142" s="106">
        <v>435</v>
      </c>
      <c r="D142" s="106">
        <v>1520</v>
      </c>
      <c r="E142" s="106">
        <v>1520</v>
      </c>
      <c r="F142" s="106">
        <v>0.28618421052631499</v>
      </c>
      <c r="G142" s="106">
        <v>0.28630215766040201</v>
      </c>
      <c r="H142" s="106">
        <v>1.2590146449236599E-2</v>
      </c>
      <c r="I142" s="106">
        <v>-9.3682098586055206E-3</v>
      </c>
      <c r="J142" s="106">
        <v>-0.04</v>
      </c>
      <c r="K142" s="106">
        <v>0.84711693176907099</v>
      </c>
      <c r="L142" s="106">
        <v>0.494022671154071</v>
      </c>
      <c r="M142" s="106">
        <v>0.41757510904819301</v>
      </c>
      <c r="N142" s="106">
        <v>0.56701913814943194</v>
      </c>
      <c r="P142" s="106">
        <v>0.29889230410963863</v>
      </c>
      <c r="Q142" s="106">
        <v>0.2737120112111654</v>
      </c>
      <c r="R142" s="106">
        <v>0.31148245055887519</v>
      </c>
      <c r="S142" s="106">
        <v>0.26112186476192883</v>
      </c>
      <c r="Y142" s="14"/>
      <c r="AA142" s="106">
        <v>435</v>
      </c>
      <c r="AB142" s="106">
        <v>444.79262672811063</v>
      </c>
    </row>
    <row r="143" spans="1:28" x14ac:dyDescent="0.2">
      <c r="A143" s="14">
        <v>43756</v>
      </c>
      <c r="B143" s="106">
        <v>431</v>
      </c>
      <c r="C143" s="106">
        <v>431</v>
      </c>
      <c r="D143" s="106">
        <v>1534</v>
      </c>
      <c r="E143" s="106">
        <v>1518</v>
      </c>
      <c r="F143" s="106">
        <v>0.28392621870882701</v>
      </c>
      <c r="G143" s="106">
        <v>0.28676391920712602</v>
      </c>
      <c r="H143" s="106">
        <v>1.31977807391063E-2</v>
      </c>
      <c r="I143" s="106">
        <v>-0.21501345979259601</v>
      </c>
      <c r="J143" s="106">
        <v>-1</v>
      </c>
      <c r="K143" s="106">
        <v>0.84344664223458599</v>
      </c>
      <c r="L143" s="106">
        <v>0.5043846043893</v>
      </c>
      <c r="M143" s="106">
        <v>0.39577989257940599</v>
      </c>
      <c r="N143" s="106">
        <v>0.47710755179008901</v>
      </c>
      <c r="P143" s="106">
        <v>0.29996169994623234</v>
      </c>
      <c r="Q143" s="106">
        <v>0.27356613846801969</v>
      </c>
      <c r="R143" s="106">
        <v>0.31315948068533861</v>
      </c>
      <c r="S143" s="106">
        <v>0.26036835772891342</v>
      </c>
      <c r="Y143" s="14"/>
      <c r="AA143" s="106">
        <v>431</v>
      </c>
      <c r="AB143" s="106">
        <v>444.20737327188942</v>
      </c>
    </row>
    <row r="144" spans="1:28" x14ac:dyDescent="0.2">
      <c r="A144" s="14">
        <v>43755</v>
      </c>
      <c r="B144" s="106">
        <v>438</v>
      </c>
      <c r="C144" s="106">
        <v>429</v>
      </c>
      <c r="D144" s="106">
        <v>1541</v>
      </c>
      <c r="E144" s="106">
        <v>1528</v>
      </c>
      <c r="F144" s="106">
        <v>0.28075916230366399</v>
      </c>
      <c r="G144" s="106">
        <v>0.28730015219187199</v>
      </c>
      <c r="H144" s="106">
        <v>1.38714263668971E-2</v>
      </c>
      <c r="I144" s="106">
        <v>-0.47154414515127602</v>
      </c>
      <c r="J144" s="106">
        <v>-2.33</v>
      </c>
      <c r="K144" s="106">
        <v>0.84074119307054895</v>
      </c>
      <c r="L144" s="106">
        <v>0.41741883452467499</v>
      </c>
      <c r="M144" s="106">
        <v>0.37648075764708699</v>
      </c>
      <c r="N144" s="106">
        <v>0.44064434157501198</v>
      </c>
      <c r="P144" s="106">
        <v>0.30117157855876908</v>
      </c>
      <c r="Q144" s="106">
        <v>0.27342872582497491</v>
      </c>
      <c r="R144" s="106">
        <v>0.31504300492566617</v>
      </c>
      <c r="S144" s="106">
        <v>0.25955729945807782</v>
      </c>
      <c r="Y144" s="14"/>
      <c r="AA144" s="106">
        <v>429</v>
      </c>
      <c r="AB144" s="106">
        <v>447.13364055299542</v>
      </c>
    </row>
    <row r="145" spans="1:28" x14ac:dyDescent="0.2">
      <c r="A145" s="14">
        <v>43754</v>
      </c>
      <c r="B145" s="106">
        <v>441</v>
      </c>
      <c r="C145" s="106">
        <v>437</v>
      </c>
      <c r="D145" s="106">
        <v>1540</v>
      </c>
      <c r="E145" s="106">
        <v>1525</v>
      </c>
      <c r="F145" s="106">
        <v>0.28655737704918</v>
      </c>
      <c r="G145" s="106">
        <v>0.28778757214326101</v>
      </c>
      <c r="H145" s="106">
        <v>1.4269577392916699E-2</v>
      </c>
      <c r="I145" s="106">
        <v>-8.6211039066339201E-2</v>
      </c>
      <c r="J145" s="106">
        <v>-0.43</v>
      </c>
      <c r="K145" s="106">
        <v>0.83492542903114897</v>
      </c>
      <c r="L145" s="106">
        <v>0.40741623603298399</v>
      </c>
      <c r="M145" s="106">
        <v>0.35684406935000601</v>
      </c>
      <c r="N145" s="106">
        <v>0.39580672292108499</v>
      </c>
      <c r="P145" s="106">
        <v>0.30205714953617768</v>
      </c>
      <c r="Q145" s="106">
        <v>0.27351799475034433</v>
      </c>
      <c r="R145" s="106">
        <v>0.31632672692909442</v>
      </c>
      <c r="S145" s="106">
        <v>0.2592484173574276</v>
      </c>
      <c r="AA145" s="106">
        <v>437</v>
      </c>
      <c r="AB145" s="106">
        <v>446.25576036866363</v>
      </c>
    </row>
    <row r="146" spans="1:28" x14ac:dyDescent="0.2">
      <c r="A146" s="14">
        <v>43753</v>
      </c>
      <c r="B146" s="106">
        <v>433</v>
      </c>
      <c r="C146" s="106">
        <v>434</v>
      </c>
      <c r="D146" s="106">
        <v>1524</v>
      </c>
      <c r="E146" s="106">
        <v>1520</v>
      </c>
      <c r="F146" s="106">
        <v>0.28552631578947302</v>
      </c>
      <c r="G146" s="106">
        <v>0.288060859674721</v>
      </c>
      <c r="H146" s="106">
        <v>1.44386708027615E-2</v>
      </c>
      <c r="I146" s="106">
        <v>-0.17553858799545199</v>
      </c>
      <c r="J146" s="106">
        <v>-0.89</v>
      </c>
      <c r="K146" s="106">
        <v>0.82910939135083195</v>
      </c>
      <c r="L146" s="106">
        <v>0.44673493394910002</v>
      </c>
      <c r="M146" s="106">
        <v>0.33881424140681998</v>
      </c>
      <c r="N146" s="106">
        <v>0.344732922038608</v>
      </c>
      <c r="P146" s="106">
        <v>0.30249953047748251</v>
      </c>
      <c r="Q146" s="106">
        <v>0.27362218887195949</v>
      </c>
      <c r="R146" s="106">
        <v>0.31693820128024403</v>
      </c>
      <c r="S146" s="106">
        <v>0.25918351806919798</v>
      </c>
      <c r="AA146" s="106">
        <v>434</v>
      </c>
      <c r="AB146" s="106">
        <v>444.79262672811063</v>
      </c>
    </row>
    <row r="147" spans="1:28" x14ac:dyDescent="0.2">
      <c r="A147" s="14">
        <v>43749</v>
      </c>
      <c r="B147" s="106">
        <v>426</v>
      </c>
      <c r="C147" s="106">
        <v>426</v>
      </c>
      <c r="D147" s="106">
        <v>1524</v>
      </c>
      <c r="E147" s="106">
        <v>1508</v>
      </c>
      <c r="F147" s="106">
        <v>0.28249336870026498</v>
      </c>
      <c r="G147" s="106">
        <v>0.28824953410716703</v>
      </c>
      <c r="H147" s="106">
        <v>1.44966569373893E-2</v>
      </c>
      <c r="I147" s="106">
        <v>-0.39706847114912402</v>
      </c>
      <c r="J147" s="106">
        <v>-2.04</v>
      </c>
      <c r="K147" s="106">
        <v>0.82287141735481195</v>
      </c>
      <c r="L147" s="106">
        <v>0.48119460056628699</v>
      </c>
      <c r="M147" s="106">
        <v>0.31270433588414798</v>
      </c>
      <c r="N147" s="106">
        <v>0.46093066021281498</v>
      </c>
      <c r="P147" s="106">
        <v>0.3027461910445563</v>
      </c>
      <c r="Q147" s="106">
        <v>0.27375287716977775</v>
      </c>
      <c r="R147" s="106">
        <v>0.31724284798194563</v>
      </c>
      <c r="S147" s="106">
        <v>0.25925622023238842</v>
      </c>
      <c r="AA147" s="106">
        <v>426</v>
      </c>
      <c r="AB147" s="106">
        <v>441.28110599078343</v>
      </c>
    </row>
    <row r="148" spans="1:28" x14ac:dyDescent="0.2">
      <c r="A148" s="14">
        <v>43748</v>
      </c>
      <c r="B148" s="106">
        <v>424</v>
      </c>
      <c r="C148" s="106">
        <v>424</v>
      </c>
      <c r="D148" s="106">
        <v>1527</v>
      </c>
      <c r="E148" s="106">
        <v>1516</v>
      </c>
      <c r="F148" s="106">
        <v>0.27968337730870702</v>
      </c>
      <c r="G148" s="106">
        <v>0.28844293479411298</v>
      </c>
      <c r="H148" s="106">
        <v>1.45153178668342E-2</v>
      </c>
      <c r="I148" s="106">
        <v>-0.60346990439807202</v>
      </c>
      <c r="J148" s="106">
        <v>-3.13</v>
      </c>
      <c r="K148" s="106">
        <v>0.812945841601871</v>
      </c>
      <c r="L148" s="106">
        <v>0.52807564911361504</v>
      </c>
      <c r="M148" s="106">
        <v>0.293987223011071</v>
      </c>
      <c r="N148" s="106">
        <v>0.484726208560393</v>
      </c>
      <c r="P148" s="106">
        <v>0.30295825266094717</v>
      </c>
      <c r="Q148" s="106">
        <v>0.27392761692727879</v>
      </c>
      <c r="R148" s="106">
        <v>0.31747357052778136</v>
      </c>
      <c r="S148" s="106">
        <v>0.25941229906044461</v>
      </c>
      <c r="AA148" s="106">
        <v>424</v>
      </c>
      <c r="AB148" s="106">
        <v>443.62211981566821</v>
      </c>
    </row>
    <row r="149" spans="1:28" x14ac:dyDescent="0.2">
      <c r="A149" s="14">
        <v>43747</v>
      </c>
      <c r="B149" s="106">
        <v>430</v>
      </c>
      <c r="C149" s="106">
        <v>428</v>
      </c>
      <c r="D149" s="106">
        <v>1511</v>
      </c>
      <c r="E149" s="106">
        <v>1531</v>
      </c>
      <c r="F149" s="106">
        <v>0.27955584585238402</v>
      </c>
      <c r="G149" s="106">
        <v>0.288730781231269</v>
      </c>
      <c r="H149" s="106">
        <v>1.45527643501545E-2</v>
      </c>
      <c r="I149" s="106">
        <v>-0.63045997022466005</v>
      </c>
      <c r="J149" s="106">
        <v>-3.28</v>
      </c>
      <c r="K149" s="106">
        <v>0.79877449604539497</v>
      </c>
      <c r="L149" s="106">
        <v>0.53805145140859501</v>
      </c>
      <c r="M149" s="106">
        <v>0.27444511975918701</v>
      </c>
      <c r="N149" s="106">
        <v>0.65116179759159898</v>
      </c>
      <c r="P149" s="106">
        <v>0.30328354558142351</v>
      </c>
      <c r="Q149" s="106">
        <v>0.27417801688111448</v>
      </c>
      <c r="R149" s="106">
        <v>0.31783630993157802</v>
      </c>
      <c r="S149" s="106">
        <v>0.25962525253095997</v>
      </c>
      <c r="AA149" s="106">
        <v>428</v>
      </c>
      <c r="AB149" s="106">
        <v>448.0115207373272</v>
      </c>
    </row>
    <row r="150" spans="1:28" x14ac:dyDescent="0.2">
      <c r="A150" s="14">
        <v>43746</v>
      </c>
      <c r="B150" s="106">
        <v>429</v>
      </c>
      <c r="C150" s="106">
        <v>433</v>
      </c>
      <c r="D150" s="106">
        <v>1523</v>
      </c>
      <c r="E150" s="106">
        <v>1534</v>
      </c>
      <c r="F150" s="106">
        <v>0.28226857887874801</v>
      </c>
      <c r="G150" s="106">
        <v>0.28903511598498299</v>
      </c>
      <c r="H150" s="106">
        <v>1.45963111903291E-2</v>
      </c>
      <c r="I150" s="106">
        <v>-0.46357857255866403</v>
      </c>
      <c r="J150" s="106">
        <v>-2.4</v>
      </c>
      <c r="K150" s="106">
        <v>0.78269016003167502</v>
      </c>
      <c r="L150" s="106">
        <v>0.52226403969256396</v>
      </c>
      <c r="M150" s="106">
        <v>0.25350366379994999</v>
      </c>
      <c r="N150" s="106">
        <v>0.51871934538083897</v>
      </c>
      <c r="P150" s="106">
        <v>0.30363142717531211</v>
      </c>
      <c r="Q150" s="106">
        <v>0.27443880479465388</v>
      </c>
      <c r="R150" s="106">
        <v>0.31822773836564122</v>
      </c>
      <c r="S150" s="106">
        <v>0.25984249360432476</v>
      </c>
      <c r="AA150" s="106">
        <v>433</v>
      </c>
      <c r="AB150" s="106">
        <v>448.88940092165899</v>
      </c>
    </row>
    <row r="151" spans="1:28" x14ac:dyDescent="0.2">
      <c r="A151" s="14">
        <v>43745</v>
      </c>
      <c r="B151" s="106">
        <v>430</v>
      </c>
      <c r="C151" s="106">
        <v>427</v>
      </c>
      <c r="D151" s="106">
        <v>1514</v>
      </c>
      <c r="E151" s="106">
        <v>1502</v>
      </c>
      <c r="F151" s="106">
        <v>0.28428761651131801</v>
      </c>
      <c r="G151" s="106">
        <v>0.28947275107478099</v>
      </c>
      <c r="H151" s="106">
        <v>1.4876241566053499E-2</v>
      </c>
      <c r="I151" s="106">
        <v>-0.34855138244696598</v>
      </c>
      <c r="J151" s="106">
        <v>-1.82</v>
      </c>
      <c r="K151" s="106">
        <v>0.76890447397224004</v>
      </c>
      <c r="L151" s="106">
        <v>0.51803971370930002</v>
      </c>
      <c r="M151" s="106">
        <v>0.23947533769376</v>
      </c>
      <c r="N151" s="106">
        <v>0.49945077878183602</v>
      </c>
      <c r="P151" s="106">
        <v>0.30434899264083448</v>
      </c>
      <c r="Q151" s="106">
        <v>0.27459650950872749</v>
      </c>
      <c r="R151" s="106">
        <v>0.31922523420688798</v>
      </c>
      <c r="S151" s="106">
        <v>0.259720267942674</v>
      </c>
      <c r="AA151" s="106">
        <v>427</v>
      </c>
      <c r="AB151" s="106">
        <v>439.52534562211986</v>
      </c>
    </row>
    <row r="152" spans="1:28" x14ac:dyDescent="0.2">
      <c r="A152" s="14">
        <v>43742</v>
      </c>
      <c r="B152" s="106">
        <v>424</v>
      </c>
      <c r="C152" s="106">
        <v>429</v>
      </c>
      <c r="D152" s="106">
        <v>1471</v>
      </c>
      <c r="E152" s="106">
        <v>1511</v>
      </c>
      <c r="F152" s="106">
        <v>0.28391793514228902</v>
      </c>
      <c r="G152" s="106">
        <v>0.28990823822186101</v>
      </c>
      <c r="H152" s="106">
        <v>1.5192777043885001E-2</v>
      </c>
      <c r="I152" s="106">
        <v>-0.39428624946373098</v>
      </c>
      <c r="J152" s="106">
        <v>-2.11</v>
      </c>
      <c r="K152" s="106">
        <v>0.74830836119203104</v>
      </c>
      <c r="L152" s="106">
        <v>0.53341426627566202</v>
      </c>
      <c r="M152" s="106">
        <v>0.219515109272411</v>
      </c>
      <c r="N152" s="106">
        <v>0.66361099996919404</v>
      </c>
      <c r="P152" s="106">
        <v>0.30510101526574601</v>
      </c>
      <c r="Q152" s="106">
        <v>0.27471546117797602</v>
      </c>
      <c r="R152" s="106">
        <v>0.32029379230963101</v>
      </c>
      <c r="S152" s="106">
        <v>0.25952268413409102</v>
      </c>
      <c r="AA152" s="106">
        <v>429</v>
      </c>
      <c r="AB152" s="106">
        <v>442.15898617511522</v>
      </c>
    </row>
    <row r="153" spans="1:28" x14ac:dyDescent="0.2">
      <c r="A153" s="14">
        <v>43741</v>
      </c>
      <c r="B153" s="106">
        <v>434</v>
      </c>
      <c r="C153" s="106">
        <v>426</v>
      </c>
      <c r="D153" s="106">
        <v>1475</v>
      </c>
      <c r="E153" s="106">
        <v>1479</v>
      </c>
      <c r="F153" s="106">
        <v>0.28803245436105401</v>
      </c>
      <c r="G153" s="106">
        <v>0.29040110378385797</v>
      </c>
      <c r="H153" s="106">
        <v>1.5584975595761E-2</v>
      </c>
      <c r="I153" s="106">
        <v>-0.15198287660121601</v>
      </c>
      <c r="J153" s="106">
        <v>-0.82</v>
      </c>
      <c r="K153" s="106">
        <v>0.73549470641673498</v>
      </c>
      <c r="L153" s="106">
        <v>0.27378901885339002</v>
      </c>
      <c r="M153" s="106">
        <v>0.20591515298940299</v>
      </c>
      <c r="N153" s="106">
        <v>0.55788858637100303</v>
      </c>
      <c r="P153" s="106">
        <v>0.30598607937961897</v>
      </c>
      <c r="Q153" s="106">
        <v>0.27481612818809698</v>
      </c>
      <c r="R153" s="106">
        <v>0.32157105497537997</v>
      </c>
      <c r="S153" s="106">
        <v>0.25923115259233598</v>
      </c>
      <c r="AA153" s="106">
        <v>426</v>
      </c>
      <c r="AB153" s="106">
        <v>432.79493087557603</v>
      </c>
    </row>
    <row r="154" spans="1:28" x14ac:dyDescent="0.2">
      <c r="A154" s="14">
        <v>43740</v>
      </c>
      <c r="B154" s="106">
        <v>430</v>
      </c>
      <c r="C154" s="106">
        <v>440</v>
      </c>
      <c r="D154" s="106">
        <v>1503</v>
      </c>
      <c r="E154" s="106">
        <v>1504</v>
      </c>
      <c r="F154" s="106">
        <v>0.29255319148936099</v>
      </c>
      <c r="G154" s="106">
        <v>0.29093300239977798</v>
      </c>
      <c r="H154" s="106">
        <v>1.6165008376274201E-2</v>
      </c>
      <c r="I154" s="106">
        <v>0.100228162699933</v>
      </c>
      <c r="J154" s="106">
        <v>0.55000000000000004</v>
      </c>
      <c r="K154" s="106">
        <v>0.712676152659109</v>
      </c>
      <c r="L154" s="106">
        <v>0.42377365742358297</v>
      </c>
      <c r="M154" s="106">
        <v>0.187117554230286</v>
      </c>
      <c r="N154" s="106">
        <v>0.50218796047570802</v>
      </c>
      <c r="P154" s="106">
        <v>0.3070980107760522</v>
      </c>
      <c r="Q154" s="106">
        <v>0.27476799402350377</v>
      </c>
      <c r="R154" s="106">
        <v>0.32326301915232636</v>
      </c>
      <c r="S154" s="106">
        <v>0.25860298564722961</v>
      </c>
      <c r="AA154" s="106">
        <v>440</v>
      </c>
      <c r="AB154" s="106">
        <v>440.11059907834101</v>
      </c>
    </row>
    <row r="155" spans="1:28" x14ac:dyDescent="0.2">
      <c r="A155" s="14">
        <v>43739</v>
      </c>
      <c r="B155" s="106">
        <v>424</v>
      </c>
      <c r="C155" s="106">
        <v>434</v>
      </c>
      <c r="D155" s="106">
        <v>1523</v>
      </c>
      <c r="E155" s="106">
        <v>1515</v>
      </c>
      <c r="F155" s="106">
        <v>0.28646864686468598</v>
      </c>
      <c r="G155" s="106">
        <v>0.29142727034887</v>
      </c>
      <c r="H155" s="106">
        <v>1.6762677903272401E-2</v>
      </c>
      <c r="I155" s="106">
        <v>-0.29581332486355</v>
      </c>
      <c r="J155" s="106">
        <v>-1.73</v>
      </c>
      <c r="K155" s="106">
        <v>0.67066576359604402</v>
      </c>
      <c r="L155" s="106">
        <v>0.690346071973025</v>
      </c>
      <c r="M155" s="106">
        <v>0.17476067017375499</v>
      </c>
      <c r="N155" s="106">
        <v>0.65758047017574806</v>
      </c>
      <c r="P155" s="106">
        <v>0.30818994825214241</v>
      </c>
      <c r="Q155" s="106">
        <v>0.2746645924455976</v>
      </c>
      <c r="R155" s="106">
        <v>0.32495262615541481</v>
      </c>
      <c r="S155" s="106">
        <v>0.25790191454232519</v>
      </c>
      <c r="AA155" s="106">
        <v>434</v>
      </c>
      <c r="AB155" s="106">
        <v>443.32949308755764</v>
      </c>
    </row>
    <row r="156" spans="1:28" x14ac:dyDescent="0.2">
      <c r="A156" s="14">
        <v>43738</v>
      </c>
      <c r="B156" s="106">
        <v>427</v>
      </c>
      <c r="C156" s="106">
        <v>424</v>
      </c>
      <c r="D156" s="106">
        <v>1519</v>
      </c>
      <c r="E156" s="106">
        <v>1518</v>
      </c>
      <c r="F156" s="106">
        <v>0.27931488801054</v>
      </c>
      <c r="G156" s="106">
        <v>0.29203326846990402</v>
      </c>
      <c r="H156" s="106">
        <v>1.73825439145079E-2</v>
      </c>
      <c r="I156" s="106">
        <v>-0.73167543956264902</v>
      </c>
      <c r="J156" s="106">
        <v>-4.55</v>
      </c>
      <c r="K156" s="106">
        <v>0.62485883333484304</v>
      </c>
      <c r="L156" s="106">
        <v>0.60712318154879497</v>
      </c>
      <c r="M156" s="106">
        <v>0.168871583295575</v>
      </c>
      <c r="N156" s="106">
        <v>0.68719490674307404</v>
      </c>
      <c r="P156" s="106">
        <v>0.3094158123844119</v>
      </c>
      <c r="Q156" s="106">
        <v>0.27465072455539613</v>
      </c>
      <c r="R156" s="106">
        <v>0.32679835629891985</v>
      </c>
      <c r="S156" s="106">
        <v>0.25726818064088819</v>
      </c>
      <c r="AA156" s="106">
        <v>424</v>
      </c>
      <c r="AB156" s="106">
        <v>444.20737327188942</v>
      </c>
    </row>
    <row r="157" spans="1:28" x14ac:dyDescent="0.2">
      <c r="A157" s="14">
        <v>43735</v>
      </c>
      <c r="B157" s="106">
        <v>430</v>
      </c>
      <c r="C157" s="106">
        <v>429</v>
      </c>
      <c r="D157" s="106">
        <v>1550</v>
      </c>
      <c r="E157" s="106">
        <v>1527</v>
      </c>
      <c r="F157" s="106">
        <v>0.280943025540275</v>
      </c>
      <c r="G157" s="106">
        <v>0.29272701431289799</v>
      </c>
      <c r="H157" s="106">
        <v>1.78919297337903E-2</v>
      </c>
      <c r="I157" s="106">
        <v>-0.65862033598135805</v>
      </c>
      <c r="J157" s="106">
        <v>-4.1900000000000004</v>
      </c>
      <c r="K157" s="106">
        <v>0.56941370266230096</v>
      </c>
      <c r="L157" s="106">
        <v>0.51897800139119399</v>
      </c>
      <c r="M157" s="106">
        <v>0.16410636354896599</v>
      </c>
      <c r="N157" s="106">
        <v>0.76346704736147697</v>
      </c>
      <c r="P157" s="106">
        <v>0.31061894404668827</v>
      </c>
      <c r="Q157" s="106">
        <v>0.27483508457910771</v>
      </c>
      <c r="R157" s="106">
        <v>0.32851087378047861</v>
      </c>
      <c r="S157" s="106">
        <v>0.25694315484531738</v>
      </c>
      <c r="AA157" s="106">
        <v>429</v>
      </c>
      <c r="AB157" s="106">
        <v>446.84101382488478</v>
      </c>
    </row>
    <row r="158" spans="1:28" x14ac:dyDescent="0.2">
      <c r="A158" s="14">
        <v>43734</v>
      </c>
      <c r="B158" s="106">
        <v>422</v>
      </c>
      <c r="C158" s="106">
        <v>428</v>
      </c>
      <c r="D158" s="106">
        <v>1533</v>
      </c>
      <c r="E158" s="106">
        <v>1529</v>
      </c>
      <c r="F158" s="106">
        <v>0.27992151733158899</v>
      </c>
      <c r="G158" s="106">
        <v>0.29336091911065598</v>
      </c>
      <c r="H158" s="106">
        <v>1.8300740619259601E-2</v>
      </c>
      <c r="I158" s="106">
        <v>-0.73436381940323903</v>
      </c>
      <c r="J158" s="106">
        <v>-4.8</v>
      </c>
      <c r="K158" s="106">
        <v>0.51451654924228296</v>
      </c>
      <c r="L158" s="106">
        <v>0.56617533006227205</v>
      </c>
      <c r="M158" s="106">
        <v>0.15509876507131601</v>
      </c>
      <c r="N158" s="106">
        <v>0.79432532848568704</v>
      </c>
      <c r="P158" s="106">
        <v>0.31166165972991561</v>
      </c>
      <c r="Q158" s="106">
        <v>0.27506017849139636</v>
      </c>
      <c r="R158" s="106">
        <v>0.32996240034917518</v>
      </c>
      <c r="S158" s="106">
        <v>0.25675943787213679</v>
      </c>
      <c r="AA158" s="106">
        <v>428</v>
      </c>
      <c r="AB158" s="106">
        <v>447.42626728110599</v>
      </c>
    </row>
    <row r="159" spans="1:28" x14ac:dyDescent="0.2">
      <c r="A159" s="14">
        <v>43733</v>
      </c>
      <c r="B159" s="106">
        <v>419</v>
      </c>
      <c r="C159" s="106">
        <v>421</v>
      </c>
      <c r="D159" s="106">
        <v>1515</v>
      </c>
      <c r="E159" s="106">
        <v>1529</v>
      </c>
      <c r="F159" s="106">
        <v>0.27534336167429602</v>
      </c>
      <c r="G159" s="106">
        <v>0.293947074366395</v>
      </c>
      <c r="H159" s="106">
        <v>1.8563047326430701E-2</v>
      </c>
      <c r="I159" s="106">
        <v>-1.00219066217702</v>
      </c>
      <c r="J159" s="106">
        <v>-6.76</v>
      </c>
      <c r="K159" s="106">
        <v>0.47489254638331602</v>
      </c>
      <c r="L159" s="106">
        <v>0.37739147178200499</v>
      </c>
      <c r="M159" s="106">
        <v>0.15556881435832301</v>
      </c>
      <c r="N159" s="106">
        <v>0.81404857570554001</v>
      </c>
      <c r="P159" s="106">
        <v>0.31251012169282572</v>
      </c>
      <c r="Q159" s="106">
        <v>0.27538402703996429</v>
      </c>
      <c r="R159" s="106">
        <v>0.33107316901925643</v>
      </c>
      <c r="S159" s="106">
        <v>0.25682097971353357</v>
      </c>
      <c r="AA159" s="106">
        <v>421</v>
      </c>
      <c r="AB159" s="106">
        <v>447.42626728110599</v>
      </c>
    </row>
    <row r="160" spans="1:28" x14ac:dyDescent="0.2">
      <c r="A160" s="14">
        <v>43732</v>
      </c>
      <c r="B160" s="106">
        <v>419</v>
      </c>
      <c r="C160" s="106">
        <v>422</v>
      </c>
      <c r="D160" s="106">
        <v>1496</v>
      </c>
      <c r="E160" s="106">
        <v>1521</v>
      </c>
      <c r="F160" s="106">
        <v>0.27744904667981501</v>
      </c>
      <c r="G160" s="106">
        <v>0.294521895352369</v>
      </c>
      <c r="H160" s="106">
        <v>1.8645378391874499E-2</v>
      </c>
      <c r="I160" s="106">
        <v>-0.91566115279236204</v>
      </c>
      <c r="J160" s="106">
        <v>-6.15</v>
      </c>
      <c r="K160" s="106">
        <v>0.421759529560018</v>
      </c>
      <c r="L160" s="106">
        <v>0.26105062511184401</v>
      </c>
      <c r="M160" s="106">
        <v>0.154901097134307</v>
      </c>
      <c r="N160" s="106">
        <v>0.81660736297164904</v>
      </c>
      <c r="P160" s="106">
        <v>0.31316727374424352</v>
      </c>
      <c r="Q160" s="106">
        <v>0.27587651696049448</v>
      </c>
      <c r="R160" s="106">
        <v>0.33181265213611799</v>
      </c>
      <c r="S160" s="106">
        <v>0.25723113856862001</v>
      </c>
      <c r="AA160" s="106">
        <v>422</v>
      </c>
      <c r="AB160" s="106">
        <v>445.08525345622121</v>
      </c>
    </row>
    <row r="161" spans="1:28" x14ac:dyDescent="0.2">
      <c r="A161" s="14">
        <v>43728</v>
      </c>
      <c r="B161" s="106">
        <v>420</v>
      </c>
      <c r="C161" s="106">
        <v>420</v>
      </c>
      <c r="D161" s="106">
        <v>1507</v>
      </c>
      <c r="E161" s="106">
        <v>1497</v>
      </c>
      <c r="F161" s="106">
        <v>0.28056112224448898</v>
      </c>
      <c r="G161" s="106">
        <v>0.29509430760274102</v>
      </c>
      <c r="H161" s="106">
        <v>1.8771021494903901E-2</v>
      </c>
      <c r="I161" s="106">
        <v>-0.774235188116835</v>
      </c>
      <c r="J161" s="106">
        <v>-5.18</v>
      </c>
      <c r="K161" s="106">
        <v>0.36126528232396099</v>
      </c>
      <c r="L161" s="106">
        <v>0.22623316291135201</v>
      </c>
      <c r="M161" s="106">
        <v>0.15829806901777499</v>
      </c>
      <c r="N161" s="106">
        <v>0.82829803490741405</v>
      </c>
      <c r="P161" s="106">
        <v>0.31386532909764492</v>
      </c>
      <c r="Q161" s="106">
        <v>0.27632328610783713</v>
      </c>
      <c r="R161" s="106">
        <v>0.33263635059254881</v>
      </c>
      <c r="S161" s="106">
        <v>0.25755226461293323</v>
      </c>
      <c r="AA161" s="106">
        <v>420</v>
      </c>
      <c r="AB161" s="106">
        <v>438.06221198156686</v>
      </c>
    </row>
    <row r="162" spans="1:28" x14ac:dyDescent="0.2">
      <c r="A162" s="14">
        <v>43727</v>
      </c>
      <c r="B162" s="106">
        <v>412</v>
      </c>
      <c r="C162" s="106">
        <v>416</v>
      </c>
      <c r="D162" s="106">
        <v>1497</v>
      </c>
      <c r="E162" s="106">
        <v>1495</v>
      </c>
      <c r="F162" s="106">
        <v>0.27826086956521701</v>
      </c>
      <c r="G162" s="106">
        <v>0.29564088957705398</v>
      </c>
      <c r="H162" s="106">
        <v>1.8935990359986301E-2</v>
      </c>
      <c r="I162" s="106">
        <v>-0.91782999892961603</v>
      </c>
      <c r="J162" s="106">
        <v>-6.25</v>
      </c>
      <c r="K162" s="106">
        <v>0.28511839280217899</v>
      </c>
      <c r="L162" s="106">
        <v>0.272160719860572</v>
      </c>
      <c r="M162" s="106">
        <v>0.164449197728358</v>
      </c>
      <c r="N162" s="106">
        <v>0.84342019265474399</v>
      </c>
      <c r="P162" s="106">
        <v>0.31457687993704025</v>
      </c>
      <c r="Q162" s="106">
        <v>0.2767048992170677</v>
      </c>
      <c r="R162" s="106">
        <v>0.33351287029702659</v>
      </c>
      <c r="S162" s="106">
        <v>0.25776890885708137</v>
      </c>
      <c r="AA162" s="106">
        <v>416</v>
      </c>
      <c r="AB162" s="106">
        <v>437.47695852534565</v>
      </c>
    </row>
    <row r="163" spans="1:28" x14ac:dyDescent="0.2">
      <c r="A163" s="14">
        <v>43726</v>
      </c>
      <c r="B163" s="106">
        <v>424</v>
      </c>
      <c r="C163" s="106">
        <v>409</v>
      </c>
      <c r="D163" s="106">
        <v>1470</v>
      </c>
      <c r="E163" s="106">
        <v>1489</v>
      </c>
      <c r="F163" s="106">
        <v>0.27468099395567402</v>
      </c>
      <c r="G163" s="106">
        <v>0.29624062888816499</v>
      </c>
      <c r="H163" s="106">
        <v>1.9087734918294099E-2</v>
      </c>
      <c r="I163" s="106">
        <v>-1.12950200873896</v>
      </c>
      <c r="J163" s="106">
        <v>-7.85</v>
      </c>
      <c r="K163" s="106">
        <v>0.208772606694823</v>
      </c>
      <c r="L163" s="106">
        <v>3.1704253568768097E-2</v>
      </c>
      <c r="M163" s="106">
        <v>0.169418935693182</v>
      </c>
      <c r="N163" s="106">
        <v>0.83223158133983199</v>
      </c>
      <c r="P163" s="106">
        <v>0.31532836380645907</v>
      </c>
      <c r="Q163" s="106">
        <v>0.27715289396987092</v>
      </c>
      <c r="R163" s="106">
        <v>0.3344160987247532</v>
      </c>
      <c r="S163" s="106">
        <v>0.25806515905157679</v>
      </c>
      <c r="AA163" s="106">
        <v>409</v>
      </c>
      <c r="AB163" s="106">
        <v>435.72119815668202</v>
      </c>
    </row>
    <row r="164" spans="1:28" x14ac:dyDescent="0.2">
      <c r="A164" s="14">
        <v>43725</v>
      </c>
      <c r="B164" s="106">
        <v>411</v>
      </c>
      <c r="C164" s="106">
        <v>420</v>
      </c>
      <c r="D164" s="106">
        <v>1472</v>
      </c>
      <c r="E164" s="106">
        <v>1469</v>
      </c>
      <c r="F164" s="106">
        <v>0.28590878148400201</v>
      </c>
      <c r="G164" s="106">
        <v>0.29686182846272402</v>
      </c>
      <c r="H164" s="106">
        <v>1.9134046400635499E-2</v>
      </c>
      <c r="I164" s="106">
        <v>-0.57243756753712105</v>
      </c>
      <c r="J164" s="106">
        <v>-3.83</v>
      </c>
      <c r="K164" s="106">
        <v>0.106825092513081</v>
      </c>
      <c r="L164" s="106">
        <v>4.5014033077840097E-2</v>
      </c>
      <c r="M164" s="106">
        <v>0.16820241649502399</v>
      </c>
      <c r="N164" s="106">
        <v>0.82728465238274196</v>
      </c>
      <c r="P164" s="106">
        <v>0.3159958748633595</v>
      </c>
      <c r="Q164" s="106">
        <v>0.27772778206208854</v>
      </c>
      <c r="R164" s="106">
        <v>0.33512992126399499</v>
      </c>
      <c r="S164" s="106">
        <v>0.25859373566145305</v>
      </c>
      <c r="AA164" s="106">
        <v>420</v>
      </c>
      <c r="AB164" s="106">
        <v>429.86866359447004</v>
      </c>
    </row>
    <row r="165" spans="1:28" x14ac:dyDescent="0.2">
      <c r="A165" s="14">
        <v>43721</v>
      </c>
      <c r="B165" s="106">
        <v>408</v>
      </c>
      <c r="C165" s="106">
        <v>411</v>
      </c>
      <c r="D165" s="106">
        <v>1443</v>
      </c>
      <c r="E165" s="106">
        <v>1463</v>
      </c>
      <c r="F165" s="106">
        <v>0.28092959671906997</v>
      </c>
      <c r="G165" s="106">
        <v>0.297260237692061</v>
      </c>
      <c r="H165" s="106">
        <v>1.9212760220432099E-2</v>
      </c>
      <c r="I165" s="106">
        <v>-0.84998931884985196</v>
      </c>
      <c r="J165" s="106">
        <v>-5.81</v>
      </c>
      <c r="K165" s="106">
        <v>-1.95096834693828E-2</v>
      </c>
      <c r="L165" s="106">
        <v>3.1529494403935703E-2</v>
      </c>
      <c r="M165" s="106">
        <v>0.16410556927335401</v>
      </c>
      <c r="N165" s="106">
        <v>0.84825918927088395</v>
      </c>
      <c r="P165" s="106">
        <v>0.31647299791249311</v>
      </c>
      <c r="Q165" s="106">
        <v>0.27804747747162889</v>
      </c>
      <c r="R165" s="106">
        <v>0.33568575813292523</v>
      </c>
      <c r="S165" s="106">
        <v>0.25883471725119678</v>
      </c>
      <c r="AA165" s="106">
        <v>411</v>
      </c>
      <c r="AB165" s="106">
        <v>428.11290322580646</v>
      </c>
    </row>
    <row r="166" spans="1:28" x14ac:dyDescent="0.2">
      <c r="A166" s="14">
        <v>43720</v>
      </c>
      <c r="B166" s="106">
        <v>405</v>
      </c>
      <c r="C166" s="106">
        <v>405</v>
      </c>
      <c r="D166" s="106">
        <v>1393</v>
      </c>
      <c r="E166" s="106">
        <v>1413</v>
      </c>
      <c r="F166" s="106">
        <v>0.28662420382165599</v>
      </c>
      <c r="G166" s="106">
        <v>0.29762822211038797</v>
      </c>
      <c r="H166" s="106">
        <v>1.91606847431623E-2</v>
      </c>
      <c r="I166" s="106">
        <v>-0.57430193316340095</v>
      </c>
      <c r="J166" s="106">
        <v>-3.84</v>
      </c>
      <c r="K166" s="106">
        <v>-0.119301463478242</v>
      </c>
      <c r="L166" s="106">
        <v>5.3647196061208302E-3</v>
      </c>
      <c r="M166" s="106">
        <v>0.16150000697687</v>
      </c>
      <c r="N166" s="106">
        <v>0.72791118216795803</v>
      </c>
      <c r="P166" s="106">
        <v>0.31678890685355027</v>
      </c>
      <c r="Q166" s="106">
        <v>0.27846753736722568</v>
      </c>
      <c r="R166" s="106">
        <v>0.33594959159671256</v>
      </c>
      <c r="S166" s="106">
        <v>0.25930685262406339</v>
      </c>
      <c r="AA166" s="106">
        <v>405</v>
      </c>
      <c r="AB166" s="106">
        <v>413.4815668202765</v>
      </c>
    </row>
    <row r="167" spans="1:28" x14ac:dyDescent="0.2">
      <c r="A167" s="14">
        <v>43719</v>
      </c>
      <c r="B167" s="106">
        <v>405</v>
      </c>
      <c r="C167" s="106">
        <v>406</v>
      </c>
      <c r="D167" s="106">
        <v>1372</v>
      </c>
      <c r="E167" s="106">
        <v>1389</v>
      </c>
      <c r="F167" s="106">
        <v>0.29229661627069797</v>
      </c>
      <c r="G167" s="106">
        <v>0.29786786874142501</v>
      </c>
      <c r="H167" s="106">
        <v>1.9133937012024201E-2</v>
      </c>
      <c r="I167" s="106">
        <v>-0.29117125593264598</v>
      </c>
      <c r="J167" s="106">
        <v>-1.91</v>
      </c>
      <c r="K167" s="106">
        <v>-0.23960714202790201</v>
      </c>
      <c r="L167" s="106">
        <v>4.9779547059476603E-3</v>
      </c>
      <c r="M167" s="106">
        <v>0.156273817668655</v>
      </c>
      <c r="N167" s="106">
        <v>0.82384087224509095</v>
      </c>
      <c r="P167" s="106">
        <v>0.31700180575344922</v>
      </c>
      <c r="Q167" s="106">
        <v>0.27873393172940081</v>
      </c>
      <c r="R167" s="106">
        <v>0.33613574276547342</v>
      </c>
      <c r="S167" s="106">
        <v>0.2595999947173766</v>
      </c>
      <c r="AA167" s="106">
        <v>406</v>
      </c>
      <c r="AB167" s="106">
        <v>406.45852534562215</v>
      </c>
    </row>
    <row r="168" spans="1:28" x14ac:dyDescent="0.2">
      <c r="A168" s="14">
        <v>43718</v>
      </c>
      <c r="B168" s="106">
        <v>387</v>
      </c>
      <c r="C168" s="106">
        <v>401</v>
      </c>
      <c r="D168" s="106">
        <v>1463</v>
      </c>
      <c r="E168" s="106">
        <v>1380</v>
      </c>
      <c r="F168" s="106">
        <v>0.29057971014492701</v>
      </c>
      <c r="G168" s="106">
        <v>0.29798573203963402</v>
      </c>
      <c r="H168" s="106">
        <v>1.91264801576293E-2</v>
      </c>
      <c r="I168" s="106">
        <v>-0.38721300697623401</v>
      </c>
      <c r="J168" s="106">
        <v>-2.5499999999999998</v>
      </c>
      <c r="K168" s="106">
        <v>-0.34389597600577798</v>
      </c>
      <c r="L168" s="106">
        <v>1.9689963708352898E-2</v>
      </c>
      <c r="M168" s="106">
        <v>0.15512257780588901</v>
      </c>
      <c r="N168" s="106">
        <v>0.84035994723116503</v>
      </c>
      <c r="P168" s="106">
        <v>0.31711221219726332</v>
      </c>
      <c r="Q168" s="106">
        <v>0.27885925188200472</v>
      </c>
      <c r="R168" s="106">
        <v>0.33623869235489262</v>
      </c>
      <c r="S168" s="106">
        <v>0.25973277172437542</v>
      </c>
      <c r="AA168" s="106">
        <v>401</v>
      </c>
      <c r="AB168" s="106">
        <v>403.82488479262673</v>
      </c>
    </row>
    <row r="169" spans="1:28" x14ac:dyDescent="0.2">
      <c r="A169" s="14">
        <v>43717</v>
      </c>
      <c r="B169" s="106">
        <v>379</v>
      </c>
      <c r="C169" s="106">
        <v>387</v>
      </c>
      <c r="D169" s="106">
        <v>1462</v>
      </c>
      <c r="E169" s="106">
        <v>1463</v>
      </c>
      <c r="F169" s="106">
        <v>0.264524948735475</v>
      </c>
      <c r="G169" s="106">
        <v>0.29814183699369301</v>
      </c>
      <c r="H169" s="106">
        <v>1.9113170793967502E-2</v>
      </c>
      <c r="I169" s="106">
        <v>-1.7588336660931401</v>
      </c>
      <c r="J169" s="106">
        <v>-12.71</v>
      </c>
      <c r="K169" s="106">
        <v>-0.41761355283929402</v>
      </c>
      <c r="L169" s="106">
        <v>2.9504594992998599E-2</v>
      </c>
      <c r="M169" s="106">
        <v>0.16144904703832999</v>
      </c>
      <c r="N169" s="106">
        <v>0.80934831213643499</v>
      </c>
      <c r="P169" s="106">
        <v>0.31725500778766053</v>
      </c>
      <c r="Q169" s="106">
        <v>0.27902866619972549</v>
      </c>
      <c r="R169" s="106">
        <v>0.33636817858162804</v>
      </c>
      <c r="S169" s="106">
        <v>0.25991549540575798</v>
      </c>
      <c r="AA169" s="106">
        <v>387</v>
      </c>
      <c r="AB169" s="106">
        <v>428.11290322580646</v>
      </c>
    </row>
    <row r="170" spans="1:28" x14ac:dyDescent="0.2">
      <c r="A170" s="14">
        <v>43714</v>
      </c>
      <c r="B170" s="106">
        <v>380</v>
      </c>
      <c r="C170" s="106">
        <v>378</v>
      </c>
      <c r="D170" s="106">
        <v>1441</v>
      </c>
      <c r="E170" s="106">
        <v>1463</v>
      </c>
      <c r="F170" s="106">
        <v>0.25837320574162598</v>
      </c>
      <c r="G170" s="106">
        <v>0.29862027985409101</v>
      </c>
      <c r="H170" s="106">
        <v>1.8710556851060298E-2</v>
      </c>
      <c r="I170" s="106">
        <v>-2.1510356122930401</v>
      </c>
      <c r="J170" s="106">
        <v>-15.58</v>
      </c>
      <c r="K170" s="106">
        <v>-0.41682851478687</v>
      </c>
      <c r="L170" s="106">
        <v>3.4562164287922803E-2</v>
      </c>
      <c r="M170" s="106">
        <v>0.17304765167570599</v>
      </c>
      <c r="N170" s="106">
        <v>0.81510057966348004</v>
      </c>
      <c r="P170" s="106">
        <v>0.31733083670515133</v>
      </c>
      <c r="Q170" s="106">
        <v>0.27990972300303069</v>
      </c>
      <c r="R170" s="106">
        <v>0.3360413935562116</v>
      </c>
      <c r="S170" s="106">
        <v>0.26119916615197042</v>
      </c>
      <c r="AA170" s="106">
        <v>378</v>
      </c>
      <c r="AB170" s="106">
        <v>428.11290322580646</v>
      </c>
    </row>
    <row r="171" spans="1:28" x14ac:dyDescent="0.2">
      <c r="A171" s="14">
        <v>43713</v>
      </c>
      <c r="B171" s="106">
        <v>376</v>
      </c>
      <c r="C171" s="106">
        <v>378</v>
      </c>
      <c r="D171" s="106">
        <v>1410</v>
      </c>
      <c r="E171" s="106">
        <v>1427</v>
      </c>
      <c r="F171" s="106">
        <v>0.26489138051856997</v>
      </c>
      <c r="G171" s="106">
        <v>0.29915191196467</v>
      </c>
      <c r="H171" s="106">
        <v>1.81164699552805E-2</v>
      </c>
      <c r="I171" s="106">
        <v>-1.8911262255102801</v>
      </c>
      <c r="J171" s="106">
        <v>-12.93</v>
      </c>
      <c r="K171" s="106">
        <v>-0.38543743335332997</v>
      </c>
      <c r="L171" s="106">
        <v>7.1104072426196402E-2</v>
      </c>
      <c r="M171" s="106">
        <v>0.18480529311854499</v>
      </c>
      <c r="N171" s="106">
        <v>0.81659994001275304</v>
      </c>
      <c r="P171" s="106">
        <v>0.31726838191995049</v>
      </c>
      <c r="Q171" s="106">
        <v>0.28103544200938951</v>
      </c>
      <c r="R171" s="106">
        <v>0.33538485187523098</v>
      </c>
      <c r="S171" s="106">
        <v>0.26291897205410902</v>
      </c>
      <c r="AA171" s="106">
        <v>378</v>
      </c>
      <c r="AB171" s="106">
        <v>417.57834101382491</v>
      </c>
    </row>
    <row r="172" spans="1:28" x14ac:dyDescent="0.2">
      <c r="A172" s="14">
        <v>43712</v>
      </c>
      <c r="B172" s="106">
        <v>379</v>
      </c>
      <c r="C172" s="106">
        <v>377</v>
      </c>
      <c r="D172" s="106">
        <v>1391</v>
      </c>
      <c r="E172" s="106">
        <v>1401</v>
      </c>
      <c r="F172" s="106">
        <v>0.26909350463954301</v>
      </c>
      <c r="G172" s="106">
        <v>0.29968219195003898</v>
      </c>
      <c r="H172" s="106">
        <v>1.7682751575079401E-2</v>
      </c>
      <c r="I172" s="15">
        <v>-1.7298601510414899</v>
      </c>
      <c r="J172" s="106">
        <v>-11.37</v>
      </c>
      <c r="K172" s="106">
        <v>-0.34614267157900502</v>
      </c>
      <c r="L172" s="106">
        <v>7.8851140202217507E-2</v>
      </c>
      <c r="M172" s="106">
        <v>0.196386358844506</v>
      </c>
      <c r="N172" s="106">
        <v>0.83580405299707605</v>
      </c>
      <c r="P172" s="106">
        <v>0.3173649435251184</v>
      </c>
      <c r="Q172" s="106">
        <v>0.28199944037495955</v>
      </c>
      <c r="R172" s="106">
        <v>0.33504769510019777</v>
      </c>
      <c r="S172" s="106">
        <v>0.26431668879988018</v>
      </c>
      <c r="AA172" s="106">
        <v>377</v>
      </c>
      <c r="AB172" s="106">
        <v>409.9700460829493</v>
      </c>
    </row>
    <row r="173" spans="1:28" x14ac:dyDescent="0.2">
      <c r="A173" s="14">
        <v>43711</v>
      </c>
      <c r="B173" s="106">
        <v>374</v>
      </c>
      <c r="C173" s="106">
        <v>381</v>
      </c>
      <c r="D173" s="106">
        <v>1385</v>
      </c>
      <c r="E173" s="106">
        <v>1390</v>
      </c>
      <c r="F173" s="106">
        <v>0.27410071942446002</v>
      </c>
      <c r="G173" s="106">
        <v>0.30015594787967198</v>
      </c>
      <c r="H173" s="106">
        <v>1.7329323866317501E-2</v>
      </c>
      <c r="I173" s="15">
        <v>-1.5035340476182599</v>
      </c>
      <c r="J173" s="106">
        <v>-9.51</v>
      </c>
      <c r="K173" s="106">
        <v>-0.27769574357243798</v>
      </c>
      <c r="L173" s="106">
        <v>0.220492276366649</v>
      </c>
      <c r="M173" s="106">
        <v>0.208871421853214</v>
      </c>
      <c r="N173" s="106">
        <v>0.82208728346926396</v>
      </c>
      <c r="P173" s="106">
        <v>0.31748527174598951</v>
      </c>
      <c r="Q173" s="106">
        <v>0.28282662401335446</v>
      </c>
      <c r="R173" s="106">
        <v>0.33481459561230698</v>
      </c>
      <c r="S173" s="106">
        <v>0.26549730014703699</v>
      </c>
      <c r="AA173" s="106">
        <v>381</v>
      </c>
      <c r="AB173" s="106">
        <v>406.75115207373273</v>
      </c>
    </row>
    <row r="174" spans="1:28" x14ac:dyDescent="0.2">
      <c r="A174" s="14">
        <v>43710</v>
      </c>
      <c r="B174" s="106">
        <v>373</v>
      </c>
      <c r="C174" s="106">
        <v>372</v>
      </c>
      <c r="D174" s="106">
        <v>1379</v>
      </c>
      <c r="E174" s="106">
        <v>1391</v>
      </c>
      <c r="F174" s="106">
        <v>0.26743350107836</v>
      </c>
      <c r="G174" s="106">
        <v>0.30060885108278201</v>
      </c>
      <c r="H174" s="106">
        <v>1.7084596859631301E-2</v>
      </c>
      <c r="I174" s="106">
        <v>-1.94182808508702</v>
      </c>
      <c r="J174" s="106">
        <v>-12.41</v>
      </c>
      <c r="K174" s="106">
        <v>-0.176191829102677</v>
      </c>
      <c r="L174" s="106">
        <v>0.35735661580033801</v>
      </c>
      <c r="M174" s="106">
        <v>0.22409448886842501</v>
      </c>
      <c r="N174" s="106">
        <v>0.80111663482279205</v>
      </c>
      <c r="P174" s="106">
        <v>0.31769344794241333</v>
      </c>
      <c r="Q174" s="106">
        <v>0.2835242542231507</v>
      </c>
      <c r="R174" s="106">
        <v>0.33477804480204459</v>
      </c>
      <c r="S174" s="106">
        <v>0.26643965736351943</v>
      </c>
      <c r="AA174" s="106">
        <v>372</v>
      </c>
      <c r="AB174" s="106">
        <v>407.04377880184336</v>
      </c>
    </row>
    <row r="175" spans="1:28" x14ac:dyDescent="0.2">
      <c r="A175" s="14">
        <v>43707</v>
      </c>
      <c r="B175" s="106">
        <v>372</v>
      </c>
      <c r="C175" s="106">
        <v>375</v>
      </c>
      <c r="D175" s="106">
        <v>1360</v>
      </c>
      <c r="E175" s="106">
        <v>1385</v>
      </c>
      <c r="F175" s="106">
        <v>0.27075812274368199</v>
      </c>
      <c r="G175" s="106">
        <v>0.30108280616774202</v>
      </c>
      <c r="H175" s="106">
        <v>1.6645091512685499E-2</v>
      </c>
      <c r="I175" s="106">
        <v>-1.8218393933700401</v>
      </c>
      <c r="J175" s="106">
        <v>-11.2</v>
      </c>
      <c r="K175" s="106">
        <v>-0.104685993612159</v>
      </c>
      <c r="L175" s="106">
        <v>0.26103835008800702</v>
      </c>
      <c r="M175" s="106">
        <v>0.24212316391428601</v>
      </c>
      <c r="N175" s="106">
        <v>0.76246354582459597</v>
      </c>
      <c r="P175" s="106">
        <v>0.31772789768042753</v>
      </c>
      <c r="Q175" s="106">
        <v>0.28443771465505652</v>
      </c>
      <c r="R175" s="106">
        <v>0.33437298919311303</v>
      </c>
      <c r="S175" s="106">
        <v>0.26779262314237101</v>
      </c>
      <c r="AA175" s="106">
        <v>375</v>
      </c>
      <c r="AB175" s="106">
        <v>405.28801843317973</v>
      </c>
    </row>
    <row r="176" spans="1:28" x14ac:dyDescent="0.2">
      <c r="A176" s="14">
        <v>43706</v>
      </c>
      <c r="B176" s="106">
        <v>367</v>
      </c>
      <c r="C176" s="106">
        <v>367</v>
      </c>
      <c r="D176" s="106">
        <v>1378</v>
      </c>
      <c r="E176" s="106">
        <v>1363</v>
      </c>
      <c r="F176" s="106">
        <v>0.26925898752751198</v>
      </c>
      <c r="G176" s="106">
        <v>0.30149578112912601</v>
      </c>
      <c r="H176" s="106">
        <v>1.62675436719757E-2</v>
      </c>
      <c r="I176" s="106">
        <v>-1.98166325855009</v>
      </c>
      <c r="J176" s="106">
        <v>-11.97</v>
      </c>
      <c r="K176" s="106">
        <v>-3.4091408636996501E-2</v>
      </c>
      <c r="L176" s="106">
        <v>0.30743502325327898</v>
      </c>
      <c r="M176" s="106">
        <v>0.25868067967675201</v>
      </c>
      <c r="N176" s="106">
        <v>0.74571295109740698</v>
      </c>
      <c r="P176" s="106">
        <v>0.3177633248011017</v>
      </c>
      <c r="Q176" s="106">
        <v>0.28522823745715031</v>
      </c>
      <c r="R176" s="106">
        <v>0.33403086847307739</v>
      </c>
      <c r="S176" s="106">
        <v>0.26896069378517462</v>
      </c>
      <c r="AA176" s="106">
        <v>367</v>
      </c>
      <c r="AB176" s="106">
        <v>398.85023041474653</v>
      </c>
    </row>
    <row r="177" spans="1:28" x14ac:dyDescent="0.2">
      <c r="A177" s="14">
        <v>43705</v>
      </c>
      <c r="B177" s="106">
        <v>370</v>
      </c>
      <c r="C177" s="106">
        <v>366</v>
      </c>
      <c r="D177" s="106">
        <v>1393</v>
      </c>
      <c r="E177" s="106">
        <v>1380</v>
      </c>
      <c r="F177" s="106">
        <v>0.26521739130434702</v>
      </c>
      <c r="G177" s="106">
        <v>0.30211850937924101</v>
      </c>
      <c r="H177" s="106">
        <v>1.5911629332670801E-2</v>
      </c>
      <c r="I177" s="106">
        <v>-2.3191288147421898</v>
      </c>
      <c r="J177" s="106">
        <v>-13.91</v>
      </c>
      <c r="K177" s="106">
        <v>2.7840343809008801E-2</v>
      </c>
      <c r="L177" s="106">
        <v>0.257390376222703</v>
      </c>
      <c r="M177" s="106">
        <v>0.276955942833775</v>
      </c>
      <c r="N177" s="106">
        <v>0.72137731285623696</v>
      </c>
      <c r="P177" s="106">
        <v>0.31803013871191183</v>
      </c>
      <c r="Q177" s="106">
        <v>0.28620688004657019</v>
      </c>
      <c r="R177" s="106">
        <v>0.33394176804458259</v>
      </c>
      <c r="S177" s="106">
        <v>0.27029525071389943</v>
      </c>
      <c r="AA177" s="106">
        <v>366</v>
      </c>
      <c r="AB177" s="106">
        <v>403.82488479262673</v>
      </c>
    </row>
    <row r="178" spans="1:28" x14ac:dyDescent="0.2">
      <c r="A178" s="14">
        <v>43704</v>
      </c>
      <c r="B178" s="106">
        <v>372</v>
      </c>
      <c r="C178" s="106">
        <v>368</v>
      </c>
      <c r="D178" s="106">
        <v>1390</v>
      </c>
      <c r="E178" s="106">
        <v>1385</v>
      </c>
      <c r="F178" s="106">
        <v>0.26570397111913302</v>
      </c>
      <c r="G178" s="106">
        <v>0.30286155677446303</v>
      </c>
      <c r="H178" s="106">
        <v>1.5466034612079601E-2</v>
      </c>
      <c r="I178" s="106">
        <v>-2.4025282877815299</v>
      </c>
      <c r="J178" s="106">
        <v>-13.98</v>
      </c>
      <c r="K178" s="106">
        <v>7.9810896962777003E-2</v>
      </c>
      <c r="L178" s="106">
        <v>0.14022198012952899</v>
      </c>
      <c r="M178" s="106">
        <v>0.29412670034069299</v>
      </c>
      <c r="N178" s="106">
        <v>0.68990389548777098</v>
      </c>
      <c r="P178" s="106">
        <v>0.31832759138654265</v>
      </c>
      <c r="Q178" s="106">
        <v>0.2873955221623834</v>
      </c>
      <c r="R178" s="106">
        <v>0.33379362599862222</v>
      </c>
      <c r="S178" s="106">
        <v>0.27192948755030383</v>
      </c>
      <c r="AA178" s="106">
        <v>368</v>
      </c>
      <c r="AB178" s="106">
        <v>405.28801843317973</v>
      </c>
    </row>
    <row r="179" spans="1:28" x14ac:dyDescent="0.2">
      <c r="A179" s="14">
        <v>43703</v>
      </c>
      <c r="B179" s="106">
        <v>366</v>
      </c>
      <c r="C179" s="106">
        <v>374</v>
      </c>
      <c r="D179" s="106">
        <v>1349</v>
      </c>
      <c r="E179" s="106">
        <v>1388</v>
      </c>
      <c r="F179" s="106">
        <v>0.26945244956772302</v>
      </c>
      <c r="G179" s="106">
        <v>0.30357654024077302</v>
      </c>
      <c r="H179" s="106">
        <v>1.4963054777153701E-2</v>
      </c>
      <c r="I179" s="106">
        <v>-2.280556422553</v>
      </c>
      <c r="J179" s="106">
        <v>-12.66</v>
      </c>
      <c r="K179" s="106">
        <v>0.106276675426628</v>
      </c>
      <c r="L179" s="106">
        <v>0.26798828908206401</v>
      </c>
      <c r="M179" s="106">
        <v>0.308383770099319</v>
      </c>
      <c r="N179" s="106">
        <v>0.653762780034299</v>
      </c>
      <c r="P179" s="106">
        <v>0.31853959501792672</v>
      </c>
      <c r="Q179" s="106">
        <v>0.28861348546361931</v>
      </c>
      <c r="R179" s="106">
        <v>0.33350264979508043</v>
      </c>
      <c r="S179" s="106">
        <v>0.27365043068646561</v>
      </c>
      <c r="AA179" s="106">
        <v>374</v>
      </c>
      <c r="AB179" s="106">
        <v>406.16589861751152</v>
      </c>
    </row>
    <row r="180" spans="1:28" x14ac:dyDescent="0.2">
      <c r="A180" s="14">
        <v>43700</v>
      </c>
      <c r="B180" s="106">
        <v>369</v>
      </c>
      <c r="C180" s="106">
        <v>374</v>
      </c>
      <c r="D180" s="106">
        <v>1364</v>
      </c>
      <c r="E180" s="106">
        <v>1379</v>
      </c>
      <c r="F180" s="106">
        <v>0.27121102248005802</v>
      </c>
      <c r="G180" s="106">
        <v>0.304275542505827</v>
      </c>
      <c r="H180" s="106">
        <v>1.4572030855104201E-2</v>
      </c>
      <c r="I180" s="106">
        <v>-2.2690399405919499</v>
      </c>
      <c r="J180" s="106">
        <v>-12.19</v>
      </c>
      <c r="K180" s="106">
        <v>0.134999485541651</v>
      </c>
      <c r="L180" s="106">
        <v>0.20790824934795701</v>
      </c>
      <c r="M180" s="106">
        <v>0.31962855491477399</v>
      </c>
      <c r="N180" s="106">
        <v>0.58680823082663403</v>
      </c>
      <c r="P180" s="106">
        <v>0.31884757336093122</v>
      </c>
      <c r="Q180" s="106">
        <v>0.28970351165072278</v>
      </c>
      <c r="R180" s="106">
        <v>0.33341960421603539</v>
      </c>
      <c r="S180" s="106">
        <v>0.27513148079561861</v>
      </c>
      <c r="AA180" s="106">
        <v>374</v>
      </c>
      <c r="AB180" s="106">
        <v>403.53225806451616</v>
      </c>
    </row>
    <row r="181" spans="1:28" x14ac:dyDescent="0.2">
      <c r="A181" s="14">
        <v>43699</v>
      </c>
      <c r="B181" s="106">
        <v>369</v>
      </c>
      <c r="C181" s="106">
        <v>368</v>
      </c>
      <c r="D181" s="106">
        <v>1351</v>
      </c>
      <c r="E181" s="106">
        <v>1364</v>
      </c>
      <c r="F181" s="106">
        <v>0.26979472140762401</v>
      </c>
      <c r="G181" s="106">
        <v>0.30502034060062799</v>
      </c>
      <c r="H181" s="106">
        <v>1.4287788182574E-2</v>
      </c>
      <c r="I181" s="106">
        <v>-2.4654354293946099</v>
      </c>
      <c r="J181" s="106">
        <v>-13.06</v>
      </c>
      <c r="K181" s="106">
        <v>0.188859573583813</v>
      </c>
      <c r="L181" s="106">
        <v>0.209587114282281</v>
      </c>
      <c r="M181" s="106">
        <v>0.33144336343466002</v>
      </c>
      <c r="N181" s="106">
        <v>0.61057429721683398</v>
      </c>
      <c r="P181" s="106">
        <v>0.31930812878320197</v>
      </c>
      <c r="Q181" s="106">
        <v>0.29073255241805401</v>
      </c>
      <c r="R181" s="106">
        <v>0.33359591696577601</v>
      </c>
      <c r="S181" s="106">
        <v>0.27644476423547998</v>
      </c>
      <c r="AA181" s="106">
        <v>368</v>
      </c>
      <c r="AB181" s="106">
        <v>399.14285714285717</v>
      </c>
    </row>
    <row r="182" spans="1:28" x14ac:dyDescent="0.2">
      <c r="A182" s="14">
        <v>43698</v>
      </c>
      <c r="B182" s="106">
        <v>370</v>
      </c>
      <c r="C182" s="106">
        <v>368</v>
      </c>
      <c r="D182" s="106">
        <v>1336</v>
      </c>
      <c r="E182" s="106">
        <v>1352</v>
      </c>
      <c r="F182" s="106">
        <v>0.27218934911242598</v>
      </c>
      <c r="G182" s="106">
        <v>0.30563876392303602</v>
      </c>
      <c r="H182" s="106">
        <v>1.3743118651213601E-2</v>
      </c>
      <c r="I182" s="106">
        <v>-2.4339027886990201</v>
      </c>
      <c r="J182" s="106">
        <v>-12.29</v>
      </c>
      <c r="K182" s="106">
        <v>0.23529800842703899</v>
      </c>
      <c r="L182" s="106">
        <v>0.21779522371413401</v>
      </c>
      <c r="M182" s="106">
        <v>0.34253892709001199</v>
      </c>
      <c r="N182" s="106">
        <v>0.61885409926220902</v>
      </c>
      <c r="P182" s="106">
        <v>0.3193818825742496</v>
      </c>
      <c r="Q182" s="106">
        <v>0.29189564527182243</v>
      </c>
      <c r="R182" s="106">
        <v>0.33312500122546324</v>
      </c>
      <c r="S182" s="106">
        <v>0.2781525266206088</v>
      </c>
      <c r="AA182" s="106">
        <v>368</v>
      </c>
      <c r="AB182" s="106">
        <v>395.63133640552996</v>
      </c>
    </row>
    <row r="183" spans="1:28" x14ac:dyDescent="0.2">
      <c r="A183" s="14">
        <v>43697</v>
      </c>
      <c r="B183" s="106">
        <v>372</v>
      </c>
      <c r="C183" s="106">
        <v>373</v>
      </c>
      <c r="D183" s="106">
        <v>1330</v>
      </c>
      <c r="E183" s="106">
        <v>1348</v>
      </c>
      <c r="F183" s="106">
        <v>0.27670623145400502</v>
      </c>
      <c r="G183" s="106">
        <v>0.30616624726180902</v>
      </c>
      <c r="H183" s="106">
        <v>1.3197535907557701E-2</v>
      </c>
      <c r="I183" s="106">
        <v>-2.2322360790799198</v>
      </c>
      <c r="J183" s="106">
        <v>-10.65</v>
      </c>
      <c r="K183" s="106">
        <v>0.26471711916644403</v>
      </c>
      <c r="L183" s="106">
        <v>0.16526216835697399</v>
      </c>
      <c r="M183" s="106">
        <v>0.35187791343936597</v>
      </c>
      <c r="N183" s="106">
        <v>0.58254807423003296</v>
      </c>
      <c r="P183" s="106">
        <v>0.3193637831693667</v>
      </c>
      <c r="Q183" s="106">
        <v>0.29296871135425134</v>
      </c>
      <c r="R183" s="106">
        <v>0.33256131907692443</v>
      </c>
      <c r="S183" s="106">
        <v>0.27977117544669361</v>
      </c>
      <c r="AA183" s="106">
        <v>373</v>
      </c>
      <c r="AB183" s="106">
        <v>394.46082949308754</v>
      </c>
    </row>
    <row r="184" spans="1:28" x14ac:dyDescent="0.2">
      <c r="A184" s="14">
        <v>43696</v>
      </c>
      <c r="B184" s="106">
        <v>369</v>
      </c>
      <c r="C184" s="106">
        <v>371</v>
      </c>
      <c r="D184" s="106">
        <v>1318</v>
      </c>
      <c r="E184" s="106">
        <v>1323</v>
      </c>
      <c r="F184" s="106">
        <v>0.28042328042328002</v>
      </c>
      <c r="G184" s="106">
        <v>0.30653662627908601</v>
      </c>
      <c r="H184" s="106">
        <v>1.27476890548855E-2</v>
      </c>
      <c r="I184" s="106">
        <v>-2.0484768449696502</v>
      </c>
      <c r="J184" s="106">
        <v>-9.31</v>
      </c>
      <c r="K184" s="106">
        <v>0.29665733088236201</v>
      </c>
      <c r="L184" s="106">
        <v>9.07993930794182E-2</v>
      </c>
      <c r="M184" s="106">
        <v>0.359876442049338</v>
      </c>
      <c r="N184" s="106">
        <v>0.535709475653114</v>
      </c>
      <c r="P184" s="106">
        <v>0.3192843153339715</v>
      </c>
      <c r="Q184" s="106">
        <v>0.29378893722420052</v>
      </c>
      <c r="R184" s="106">
        <v>0.33203200438885699</v>
      </c>
      <c r="S184" s="106">
        <v>0.28104124816931503</v>
      </c>
      <c r="AA184" s="106">
        <v>371</v>
      </c>
      <c r="AB184" s="106">
        <v>387.14516129032262</v>
      </c>
    </row>
    <row r="185" spans="1:28" x14ac:dyDescent="0.2">
      <c r="A185" s="14">
        <v>43693</v>
      </c>
      <c r="B185" s="106">
        <v>364</v>
      </c>
      <c r="C185" s="106">
        <v>366</v>
      </c>
      <c r="D185" s="106">
        <v>1272</v>
      </c>
      <c r="E185" s="106">
        <v>1307</v>
      </c>
      <c r="F185" s="106">
        <v>0.28003060443764299</v>
      </c>
      <c r="G185" s="106">
        <v>0.30689358022267399</v>
      </c>
      <c r="H185" s="106">
        <v>1.2381027638827801E-2</v>
      </c>
      <c r="I185" s="106">
        <v>-2.1696887018317499</v>
      </c>
      <c r="J185" s="106">
        <v>-9.59</v>
      </c>
      <c r="K185" s="106">
        <v>0.34102872870185502</v>
      </c>
      <c r="L185" s="106">
        <v>9.4617269540891794E-2</v>
      </c>
      <c r="M185" s="106">
        <v>0.367014976239947</v>
      </c>
      <c r="N185" s="106">
        <v>0.58194448150894995</v>
      </c>
      <c r="P185" s="106">
        <v>0.3192746078615018</v>
      </c>
      <c r="Q185" s="106">
        <v>0.29451255258384618</v>
      </c>
      <c r="R185" s="106">
        <v>0.33165563550032962</v>
      </c>
      <c r="S185" s="106">
        <v>0.28213152494501836</v>
      </c>
      <c r="AA185" s="106">
        <v>366</v>
      </c>
      <c r="AB185" s="106">
        <v>382.463133640553</v>
      </c>
    </row>
    <row r="186" spans="1:28" x14ac:dyDescent="0.2">
      <c r="A186" s="14">
        <v>43692</v>
      </c>
      <c r="B186" s="106">
        <v>365</v>
      </c>
      <c r="C186" s="106">
        <v>367</v>
      </c>
      <c r="D186" s="106">
        <v>1252</v>
      </c>
      <c r="E186" s="106">
        <v>1267</v>
      </c>
      <c r="F186" s="106">
        <v>0.28966061562746598</v>
      </c>
      <c r="G186" s="106">
        <v>0.30712987628335597</v>
      </c>
      <c r="H186" s="106">
        <v>1.2030231335048E-2</v>
      </c>
      <c r="I186" s="106">
        <v>-1.4521134439864101</v>
      </c>
      <c r="J186" s="106">
        <v>-6.03</v>
      </c>
      <c r="K186" s="106">
        <v>0.36847079858861898</v>
      </c>
      <c r="L186" s="106">
        <v>0.17541831818155901</v>
      </c>
      <c r="M186" s="106">
        <v>0.36979814977583603</v>
      </c>
      <c r="N186" s="106">
        <v>0.60106285956967997</v>
      </c>
      <c r="P186" s="106">
        <v>0.31916010761840397</v>
      </c>
      <c r="Q186" s="106">
        <v>0.29509964494830798</v>
      </c>
      <c r="R186" s="106">
        <v>0.33119033895345196</v>
      </c>
      <c r="S186" s="106">
        <v>0.28306941361325999</v>
      </c>
      <c r="AA186" s="106">
        <v>367</v>
      </c>
      <c r="AB186" s="106">
        <v>370.75806451612902</v>
      </c>
    </row>
    <row r="187" spans="1:28" x14ac:dyDescent="0.2">
      <c r="A187" s="14">
        <v>43691</v>
      </c>
      <c r="B187" s="106">
        <v>371</v>
      </c>
      <c r="C187" s="106">
        <v>372</v>
      </c>
      <c r="D187" s="106">
        <v>1285</v>
      </c>
      <c r="E187" s="106">
        <v>1272</v>
      </c>
      <c r="F187" s="106">
        <v>0.29245283018867901</v>
      </c>
      <c r="G187" s="106">
        <v>0.30721079141638102</v>
      </c>
      <c r="H187" s="106">
        <v>1.19324728377151E-2</v>
      </c>
      <c r="I187" s="106">
        <v>-1.2367898446880601</v>
      </c>
      <c r="J187" s="106">
        <v>-5.05</v>
      </c>
      <c r="K187" s="106">
        <v>0.38482323433194798</v>
      </c>
      <c r="L187" s="106">
        <v>0.72474178704394698</v>
      </c>
      <c r="M187" s="106">
        <v>0.37349358348351303</v>
      </c>
      <c r="N187" s="106">
        <v>0.57639273315260098</v>
      </c>
      <c r="P187" s="106">
        <v>0.31914326425409612</v>
      </c>
      <c r="Q187" s="106">
        <v>0.29527831857866593</v>
      </c>
      <c r="R187" s="106">
        <v>0.33107573709181121</v>
      </c>
      <c r="S187" s="106">
        <v>0.28334584574095084</v>
      </c>
      <c r="AA187" s="106">
        <v>372</v>
      </c>
      <c r="AB187" s="106">
        <v>372.22119815668202</v>
      </c>
    </row>
    <row r="188" spans="1:28" x14ac:dyDescent="0.2">
      <c r="A188" s="14">
        <v>43690</v>
      </c>
      <c r="B188" s="106">
        <v>374</v>
      </c>
      <c r="C188" s="106">
        <v>369</v>
      </c>
      <c r="D188" s="106">
        <v>1268</v>
      </c>
      <c r="E188" s="106">
        <v>1273</v>
      </c>
      <c r="F188" s="106">
        <v>0.28986645718774501</v>
      </c>
      <c r="G188" s="106">
        <v>0.30742063905495798</v>
      </c>
      <c r="H188" s="106">
        <v>1.1808841082846799E-2</v>
      </c>
      <c r="I188" s="106">
        <v>-1.4865287579075901</v>
      </c>
      <c r="J188" s="106">
        <v>-6.06</v>
      </c>
      <c r="K188" s="106">
        <v>0.400178873971204</v>
      </c>
      <c r="L188" s="106">
        <v>8.3186103996937696E-2</v>
      </c>
      <c r="M188" s="106">
        <v>0.379005640721707</v>
      </c>
      <c r="N188" s="106">
        <v>0.59266417421726203</v>
      </c>
      <c r="P188" s="106">
        <v>0.31922948013780478</v>
      </c>
      <c r="Q188" s="106">
        <v>0.29561179797211118</v>
      </c>
      <c r="R188" s="106">
        <v>0.33103832122065158</v>
      </c>
      <c r="S188" s="106">
        <v>0.28380295688926438</v>
      </c>
      <c r="AA188" s="106">
        <v>369</v>
      </c>
      <c r="AB188" s="106">
        <v>372.51382488479265</v>
      </c>
    </row>
    <row r="189" spans="1:28" x14ac:dyDescent="0.2">
      <c r="A189" s="14">
        <v>43686</v>
      </c>
      <c r="B189" s="106">
        <v>376</v>
      </c>
      <c r="C189" s="106">
        <v>375</v>
      </c>
      <c r="D189" s="106">
        <v>1281</v>
      </c>
      <c r="E189" s="106">
        <v>1283</v>
      </c>
      <c r="F189" s="106">
        <v>0.292283710054559</v>
      </c>
      <c r="G189" s="106">
        <v>0.30764678374894699</v>
      </c>
      <c r="H189" s="106">
        <v>1.1631578689953801E-2</v>
      </c>
      <c r="I189" s="106">
        <v>-1.3208072699243101</v>
      </c>
      <c r="J189" s="106">
        <v>-5.26</v>
      </c>
      <c r="K189" s="106">
        <v>0.40133328415307601</v>
      </c>
      <c r="L189" s="106">
        <v>6.9935045177173E-2</v>
      </c>
      <c r="M189" s="106">
        <v>0.38677371375472502</v>
      </c>
      <c r="N189" s="106">
        <v>0.61194706970500301</v>
      </c>
      <c r="P189" s="106">
        <v>0.31927836243890079</v>
      </c>
      <c r="Q189" s="106">
        <v>0.2960152050589932</v>
      </c>
      <c r="R189" s="106">
        <v>0.33090994112885458</v>
      </c>
      <c r="S189" s="106">
        <v>0.28438362636903941</v>
      </c>
      <c r="AA189" s="106">
        <v>375</v>
      </c>
      <c r="AB189" s="106">
        <v>375.44009216589865</v>
      </c>
    </row>
    <row r="190" spans="1:28" x14ac:dyDescent="0.2">
      <c r="A190" s="14">
        <v>43685</v>
      </c>
      <c r="B190" s="106">
        <v>378</v>
      </c>
      <c r="C190" s="106">
        <v>374</v>
      </c>
      <c r="D190" s="106">
        <v>1264</v>
      </c>
      <c r="E190" s="106">
        <v>1277</v>
      </c>
      <c r="F190" s="106">
        <v>0.292873923257635</v>
      </c>
      <c r="G190" s="106">
        <v>0.307786268922076</v>
      </c>
      <c r="H190" s="106">
        <v>1.15085851968506E-2</v>
      </c>
      <c r="I190" s="106">
        <v>-1.29575837597499</v>
      </c>
      <c r="J190" s="106">
        <v>-5.09</v>
      </c>
      <c r="K190" s="106">
        <v>0.40255676897883202</v>
      </c>
      <c r="L190" s="106">
        <v>0.115686156617108</v>
      </c>
      <c r="M190" s="106">
        <v>0.39297915526909799</v>
      </c>
      <c r="N190" s="106">
        <v>0.65098853742456597</v>
      </c>
      <c r="P190" s="106">
        <v>0.31929485411892661</v>
      </c>
      <c r="Q190" s="106">
        <v>0.29627768372522539</v>
      </c>
      <c r="R190" s="106">
        <v>0.33080343931577721</v>
      </c>
      <c r="S190" s="106">
        <v>0.28476909852837479</v>
      </c>
      <c r="AA190" s="106">
        <v>374</v>
      </c>
      <c r="AB190" s="106">
        <v>373.68433179723502</v>
      </c>
    </row>
    <row r="191" spans="1:28" x14ac:dyDescent="0.2">
      <c r="A191" s="14">
        <v>43684</v>
      </c>
      <c r="B191" s="106">
        <v>376</v>
      </c>
      <c r="C191" s="106">
        <v>381</v>
      </c>
      <c r="D191" s="106">
        <v>1260</v>
      </c>
      <c r="E191" s="106">
        <v>1268</v>
      </c>
      <c r="F191" s="106">
        <v>0.300473186119873</v>
      </c>
      <c r="G191" s="106">
        <v>0.30786988726724401</v>
      </c>
      <c r="H191" s="106">
        <v>1.1422392566581001E-2</v>
      </c>
      <c r="I191" s="106">
        <v>-0.64756145477015803</v>
      </c>
      <c r="J191" s="106">
        <v>-2.46</v>
      </c>
      <c r="K191" s="106">
        <v>0.38728736946929398</v>
      </c>
      <c r="L191" s="106">
        <v>0.11788080484213199</v>
      </c>
      <c r="M191" s="106">
        <v>0.39944467811637202</v>
      </c>
      <c r="N191" s="106">
        <v>0.62133788085399599</v>
      </c>
      <c r="P191" s="106">
        <v>0.31929227983382502</v>
      </c>
      <c r="Q191" s="106">
        <v>0.29644749470066301</v>
      </c>
      <c r="R191" s="106">
        <v>0.33071467240040603</v>
      </c>
      <c r="S191" s="106">
        <v>0.285025102134082</v>
      </c>
      <c r="AA191" s="106">
        <v>381</v>
      </c>
      <c r="AB191" s="106">
        <v>371.05069124423966</v>
      </c>
    </row>
    <row r="192" spans="1:28" x14ac:dyDescent="0.2">
      <c r="A192" s="14">
        <v>43683</v>
      </c>
      <c r="B192" s="106">
        <v>367</v>
      </c>
      <c r="C192" s="106">
        <v>378</v>
      </c>
      <c r="D192" s="106">
        <v>1251</v>
      </c>
      <c r="E192" s="106">
        <v>1277</v>
      </c>
      <c r="F192" s="106">
        <v>0.29600626468285002</v>
      </c>
      <c r="G192" s="106">
        <v>0.30786150127578099</v>
      </c>
      <c r="H192" s="106">
        <v>1.1428049410531599E-2</v>
      </c>
      <c r="I192" s="106">
        <v>-1.03738058587722</v>
      </c>
      <c r="J192" s="106">
        <v>-4.01</v>
      </c>
      <c r="K192" s="106">
        <v>0.38694711033471602</v>
      </c>
      <c r="L192" s="106">
        <v>0.138868010228997</v>
      </c>
      <c r="M192" s="106">
        <v>0.40668477831848399</v>
      </c>
      <c r="N192" s="106">
        <v>0.60824723470396203</v>
      </c>
      <c r="P192" s="106">
        <v>0.3192895506863126</v>
      </c>
      <c r="Q192" s="106">
        <v>0.29643345186524939</v>
      </c>
      <c r="R192" s="106">
        <v>0.3307176000968442</v>
      </c>
      <c r="S192" s="106">
        <v>0.28500540245471778</v>
      </c>
      <c r="AA192" s="106">
        <v>378</v>
      </c>
      <c r="AB192" s="106">
        <v>373.68433179723502</v>
      </c>
    </row>
    <row r="193" spans="1:28" x14ac:dyDescent="0.2">
      <c r="A193" s="14">
        <v>43682</v>
      </c>
      <c r="B193" s="106">
        <v>380</v>
      </c>
      <c r="C193" s="106">
        <v>381</v>
      </c>
      <c r="D193" s="106">
        <v>1280</v>
      </c>
      <c r="E193" s="106">
        <v>1281</v>
      </c>
      <c r="F193" s="106">
        <v>0.29742388758782201</v>
      </c>
      <c r="G193" s="106">
        <v>0.30786805847300602</v>
      </c>
      <c r="H193" s="106">
        <v>1.14213843664593E-2</v>
      </c>
      <c r="I193" s="106">
        <v>-0.91444001445701895</v>
      </c>
      <c r="J193" s="106">
        <v>-3.51</v>
      </c>
      <c r="K193" s="106">
        <v>0.38666626864778703</v>
      </c>
      <c r="L193" s="106">
        <v>0.11466558092788499</v>
      </c>
      <c r="M193" s="106">
        <v>0.413185853729228</v>
      </c>
      <c r="N193" s="106">
        <v>0.60180504023692305</v>
      </c>
      <c r="P193" s="106">
        <v>0.31928944283946531</v>
      </c>
      <c r="Q193" s="106">
        <v>0.29644667410654674</v>
      </c>
      <c r="R193" s="106">
        <v>0.3307108272059246</v>
      </c>
      <c r="S193" s="106">
        <v>0.28502528974008745</v>
      </c>
      <c r="AA193" s="106">
        <v>381</v>
      </c>
      <c r="AB193" s="106">
        <v>374.85483870967744</v>
      </c>
    </row>
    <row r="194" spans="1:28" x14ac:dyDescent="0.2">
      <c r="A194" s="14">
        <v>43679</v>
      </c>
      <c r="B194" s="106">
        <v>381</v>
      </c>
      <c r="C194" s="106">
        <v>376</v>
      </c>
      <c r="D194" s="106">
        <v>1240</v>
      </c>
      <c r="E194" s="106">
        <v>1250</v>
      </c>
      <c r="F194" s="106">
        <v>0.30080000000000001</v>
      </c>
      <c r="G194" s="106">
        <v>0.30782397526595301</v>
      </c>
      <c r="H194" s="106">
        <v>1.14678965943336E-2</v>
      </c>
      <c r="I194" s="106">
        <v>-0.61249028609340295</v>
      </c>
      <c r="J194" s="106">
        <v>-2.34</v>
      </c>
      <c r="K194" s="106">
        <v>0.39039691983289898</v>
      </c>
      <c r="L194" s="106">
        <v>0.121367993222042</v>
      </c>
      <c r="M194" s="106">
        <v>0.41888531214298302</v>
      </c>
      <c r="N194" s="106">
        <v>0.61963387170417705</v>
      </c>
      <c r="P194" s="106">
        <v>0.31929187186028662</v>
      </c>
      <c r="Q194" s="106">
        <v>0.29635607867161939</v>
      </c>
      <c r="R194" s="106">
        <v>0.33075976845462018</v>
      </c>
      <c r="S194" s="106">
        <v>0.28488818207728583</v>
      </c>
      <c r="AA194" s="106">
        <v>376</v>
      </c>
      <c r="AB194" s="106">
        <v>365.78341013824888</v>
      </c>
    </row>
    <row r="195" spans="1:28" x14ac:dyDescent="0.2">
      <c r="A195" s="14">
        <v>43678</v>
      </c>
      <c r="B195" s="106">
        <v>383</v>
      </c>
      <c r="C195" s="106">
        <v>385</v>
      </c>
      <c r="D195" s="106">
        <v>1272</v>
      </c>
      <c r="E195" s="106">
        <v>1270</v>
      </c>
      <c r="F195" s="106">
        <v>0.303149606299212</v>
      </c>
      <c r="G195" s="106">
        <v>0.307605542588192</v>
      </c>
      <c r="H195" s="106">
        <v>1.17521033657337E-2</v>
      </c>
      <c r="I195" s="106">
        <v>-0.37916074683037498</v>
      </c>
      <c r="J195" s="106">
        <v>-1.47</v>
      </c>
      <c r="K195" s="106">
        <v>0.38466374026702899</v>
      </c>
      <c r="L195" s="106">
        <v>0.104404501652544</v>
      </c>
      <c r="M195" s="106">
        <v>0.42630653350854403</v>
      </c>
      <c r="N195" s="106">
        <v>0.60948064580432804</v>
      </c>
      <c r="P195" s="106">
        <v>0.31935764595392568</v>
      </c>
      <c r="Q195" s="106">
        <v>0.29585343922245833</v>
      </c>
      <c r="R195" s="106">
        <v>0.33110974931965942</v>
      </c>
      <c r="S195" s="106">
        <v>0.28410133585672459</v>
      </c>
      <c r="AA195" s="106">
        <v>385</v>
      </c>
      <c r="AB195" s="106">
        <v>371.63594470046087</v>
      </c>
    </row>
    <row r="196" spans="1:28" x14ac:dyDescent="0.2">
      <c r="A196" s="14">
        <v>43677</v>
      </c>
      <c r="B196" s="106">
        <v>389</v>
      </c>
      <c r="C196" s="106">
        <v>386</v>
      </c>
      <c r="D196" s="106">
        <v>1280</v>
      </c>
      <c r="E196" s="106">
        <v>1277</v>
      </c>
      <c r="F196" s="106">
        <v>0.30227094753328099</v>
      </c>
      <c r="G196" s="106">
        <v>0.307367321422441</v>
      </c>
      <c r="H196" s="106">
        <v>1.20180855445235E-2</v>
      </c>
      <c r="I196" s="106">
        <v>-0.42405871303543302</v>
      </c>
      <c r="J196" s="106">
        <v>-1.69</v>
      </c>
      <c r="K196" s="106">
        <v>0.37635771293736398</v>
      </c>
      <c r="L196" s="106">
        <v>0.149627452771704</v>
      </c>
      <c r="M196" s="106">
        <v>0.43512718362117198</v>
      </c>
      <c r="N196" s="106">
        <v>0.61758518206065505</v>
      </c>
      <c r="P196" s="106">
        <v>0.31938540696696449</v>
      </c>
      <c r="Q196" s="106">
        <v>0.2953492358779175</v>
      </c>
      <c r="R196" s="106">
        <v>0.33140349251148798</v>
      </c>
      <c r="S196" s="106">
        <v>0.28333115033339401</v>
      </c>
      <c r="AA196" s="106">
        <v>386</v>
      </c>
      <c r="AB196" s="106">
        <v>373.68433179723502</v>
      </c>
    </row>
    <row r="197" spans="1:28" x14ac:dyDescent="0.2">
      <c r="A197" s="14">
        <v>43676</v>
      </c>
      <c r="B197" s="106">
        <v>384</v>
      </c>
      <c r="C197" s="106">
        <v>391</v>
      </c>
      <c r="D197" s="106">
        <v>1294</v>
      </c>
      <c r="E197" s="106">
        <v>1290</v>
      </c>
      <c r="F197" s="106">
        <v>0.30310077519379802</v>
      </c>
      <c r="G197" s="106">
        <v>0.30708359859582701</v>
      </c>
      <c r="H197" s="106">
        <v>1.23807590599057E-2</v>
      </c>
      <c r="I197" s="106">
        <v>-0.32169460553728402</v>
      </c>
      <c r="J197" s="106">
        <v>-1.31</v>
      </c>
      <c r="K197" s="106">
        <v>0.357005800099573</v>
      </c>
      <c r="L197" s="106">
        <v>0.15310841501452699</v>
      </c>
      <c r="M197" s="106">
        <v>0.44551199066671798</v>
      </c>
      <c r="N197" s="106">
        <v>0.57176012260724596</v>
      </c>
      <c r="P197" s="106">
        <v>0.31946435765573272</v>
      </c>
      <c r="Q197" s="106">
        <v>0.2947028395359213</v>
      </c>
      <c r="R197" s="106">
        <v>0.33184511671563843</v>
      </c>
      <c r="S197" s="106">
        <v>0.28232208047601559</v>
      </c>
      <c r="AA197" s="106">
        <v>391</v>
      </c>
      <c r="AB197" s="106">
        <v>377.4884792626728</v>
      </c>
    </row>
    <row r="198" spans="1:28" x14ac:dyDescent="0.2">
      <c r="A198" s="14">
        <v>43675</v>
      </c>
      <c r="B198" s="106">
        <v>380</v>
      </c>
      <c r="C198" s="106">
        <v>379</v>
      </c>
      <c r="D198" s="106">
        <v>1292</v>
      </c>
      <c r="E198" s="106">
        <v>1293</v>
      </c>
      <c r="F198" s="106">
        <v>0.29311678267594699</v>
      </c>
      <c r="G198" s="106">
        <v>0.30689500328764502</v>
      </c>
      <c r="H198" s="106">
        <v>1.25466140688695E-2</v>
      </c>
      <c r="I198" s="106">
        <v>-1.0981624632803699</v>
      </c>
      <c r="J198" s="106">
        <v>-4.7</v>
      </c>
      <c r="K198" s="106">
        <v>0.36195070058261702</v>
      </c>
      <c r="L198" s="106">
        <v>0.13531316117247899</v>
      </c>
      <c r="M198" s="106">
        <v>0.45805451611737902</v>
      </c>
      <c r="N198" s="106">
        <v>0.57633325918183897</v>
      </c>
      <c r="P198" s="106">
        <v>0.3194416173565145</v>
      </c>
      <c r="Q198" s="106">
        <v>0.29434838921877554</v>
      </c>
      <c r="R198" s="106">
        <v>0.33198823142538403</v>
      </c>
      <c r="S198" s="106">
        <v>0.28180177514990601</v>
      </c>
      <c r="AA198" s="106">
        <v>379</v>
      </c>
      <c r="AB198" s="106">
        <v>378.36635944700464</v>
      </c>
    </row>
    <row r="199" spans="1:28" x14ac:dyDescent="0.2">
      <c r="A199" s="14">
        <v>43672</v>
      </c>
      <c r="B199" s="106">
        <v>374</v>
      </c>
      <c r="C199" s="106">
        <v>380</v>
      </c>
      <c r="D199" s="106">
        <v>1283</v>
      </c>
      <c r="E199" s="106">
        <v>1292</v>
      </c>
      <c r="F199" s="106">
        <v>0.29411764705882298</v>
      </c>
      <c r="G199" s="106">
        <v>0.30688995652317103</v>
      </c>
      <c r="H199" s="106">
        <v>1.25522300898802E-2</v>
      </c>
      <c r="I199" s="106">
        <v>-1.01753308956987</v>
      </c>
      <c r="J199" s="106">
        <v>-4.34</v>
      </c>
      <c r="K199" s="106">
        <v>0.36429609604660501</v>
      </c>
      <c r="L199" s="106">
        <v>0.15303085853145201</v>
      </c>
      <c r="M199" s="106">
        <v>0.46417392916921502</v>
      </c>
      <c r="N199" s="106">
        <v>0.54165795035222597</v>
      </c>
      <c r="P199" s="106">
        <v>0.31944218661305124</v>
      </c>
      <c r="Q199" s="106">
        <v>0.29433772643329081</v>
      </c>
      <c r="R199" s="106">
        <v>0.33199441670293145</v>
      </c>
      <c r="S199" s="106">
        <v>0.2817854963434106</v>
      </c>
      <c r="AA199" s="106">
        <v>380</v>
      </c>
      <c r="AB199" s="106">
        <v>378.07373271889401</v>
      </c>
    </row>
    <row r="200" spans="1:28" x14ac:dyDescent="0.2">
      <c r="A200" s="14">
        <v>43671</v>
      </c>
      <c r="B200" s="106">
        <v>377</v>
      </c>
      <c r="C200" s="106">
        <v>376</v>
      </c>
      <c r="D200" s="106">
        <v>1290</v>
      </c>
      <c r="E200" s="106">
        <v>1293</v>
      </c>
      <c r="F200" s="106">
        <v>0.29079659706109801</v>
      </c>
      <c r="G200" s="106">
        <v>0.30692234184967399</v>
      </c>
      <c r="H200" s="106">
        <v>1.25223329015992E-2</v>
      </c>
      <c r="I200" s="106">
        <v>-1.2877588317841799</v>
      </c>
      <c r="J200" s="106">
        <v>-5.55</v>
      </c>
      <c r="K200" s="106">
        <v>0.38560326084623903</v>
      </c>
      <c r="L200" s="106">
        <v>0.180012437569051</v>
      </c>
      <c r="M200" s="106">
        <v>0.47149318345244701</v>
      </c>
      <c r="N200" s="106">
        <v>0.555131087859702</v>
      </c>
      <c r="P200" s="106">
        <v>0.31944467475127319</v>
      </c>
      <c r="Q200" s="106">
        <v>0.29440000894807478</v>
      </c>
      <c r="R200" s="106">
        <v>0.3319670076528724</v>
      </c>
      <c r="S200" s="106">
        <v>0.28187767604647557</v>
      </c>
      <c r="AA200" s="106">
        <v>376</v>
      </c>
      <c r="AB200" s="106">
        <v>378.36635944700464</v>
      </c>
    </row>
    <row r="201" spans="1:28" x14ac:dyDescent="0.2">
      <c r="A201" s="14">
        <v>43670</v>
      </c>
      <c r="B201" s="106">
        <v>378</v>
      </c>
      <c r="C201" s="106">
        <v>378</v>
      </c>
      <c r="D201" s="106">
        <v>1285</v>
      </c>
      <c r="E201" s="106">
        <v>1281</v>
      </c>
      <c r="F201" s="106">
        <v>0.29508196721311403</v>
      </c>
      <c r="G201" s="106">
        <v>0.30698127710759399</v>
      </c>
      <c r="H201" s="106">
        <v>1.2456528425860701E-2</v>
      </c>
      <c r="I201" s="106">
        <v>-0.95526694819525004</v>
      </c>
      <c r="J201" s="106">
        <v>-4.03</v>
      </c>
      <c r="K201" s="106">
        <v>0.402841502035863</v>
      </c>
      <c r="L201" s="106">
        <v>0.13390641715875101</v>
      </c>
      <c r="M201" s="106">
        <v>0.47671072020778799</v>
      </c>
      <c r="N201" s="106">
        <v>0.56859736013348305</v>
      </c>
      <c r="P201" s="106">
        <v>0.31943780553345469</v>
      </c>
      <c r="Q201" s="106">
        <v>0.29452474868173328</v>
      </c>
      <c r="R201" s="106">
        <v>0.33189433395931539</v>
      </c>
      <c r="S201" s="106">
        <v>0.28206822025587258</v>
      </c>
      <c r="AA201" s="106">
        <v>378</v>
      </c>
      <c r="AB201" s="106">
        <v>374.85483870967744</v>
      </c>
    </row>
    <row r="202" spans="1:28" x14ac:dyDescent="0.2">
      <c r="A202" s="14">
        <v>43669</v>
      </c>
      <c r="B202" s="106">
        <v>378</v>
      </c>
      <c r="C202" s="106">
        <v>379</v>
      </c>
      <c r="D202" s="106">
        <v>1274</v>
      </c>
      <c r="E202" s="106">
        <v>1269</v>
      </c>
      <c r="F202" s="106">
        <v>0.29866036249014899</v>
      </c>
      <c r="G202" s="106">
        <v>0.30692833235956701</v>
      </c>
      <c r="H202" s="106">
        <v>1.2515292452907899E-2</v>
      </c>
      <c r="I202" s="106">
        <v>-0.66062937806112598</v>
      </c>
      <c r="J202" s="106">
        <v>-2.77</v>
      </c>
      <c r="K202" s="106">
        <v>0.40655922179415699</v>
      </c>
      <c r="L202" s="106">
        <v>0.113494111033196</v>
      </c>
      <c r="M202" s="106">
        <v>0.48117293468657002</v>
      </c>
      <c r="N202" s="106">
        <v>0.55749564109099603</v>
      </c>
      <c r="P202" s="106">
        <v>0.3194436248124749</v>
      </c>
      <c r="Q202" s="106">
        <v>0.29441303990665912</v>
      </c>
      <c r="R202" s="106">
        <v>0.33195891726538279</v>
      </c>
      <c r="S202" s="106">
        <v>0.28189774745375124</v>
      </c>
      <c r="AA202" s="106">
        <v>379</v>
      </c>
      <c r="AB202" s="106">
        <v>371.34331797235023</v>
      </c>
    </row>
    <row r="203" spans="1:28" x14ac:dyDescent="0.2">
      <c r="A203" s="14">
        <v>43668</v>
      </c>
      <c r="B203" s="106">
        <v>380</v>
      </c>
      <c r="C203" s="106">
        <v>378</v>
      </c>
      <c r="D203" s="106">
        <v>1294</v>
      </c>
      <c r="E203" s="106">
        <v>1274</v>
      </c>
      <c r="F203" s="106">
        <v>0.29670329670329598</v>
      </c>
      <c r="G203" s="106">
        <v>0.30682730448534301</v>
      </c>
      <c r="H203" s="106">
        <v>1.2611836771197E-2</v>
      </c>
      <c r="I203" s="106">
        <v>-0.80273856740423899</v>
      </c>
      <c r="J203" s="106">
        <v>-3.41</v>
      </c>
      <c r="K203" s="106">
        <v>0.40055739752794201</v>
      </c>
      <c r="L203" s="106">
        <v>5.2239725396728803E-2</v>
      </c>
      <c r="M203" s="106">
        <v>0.48450370580589702</v>
      </c>
      <c r="N203" s="106">
        <v>0.54709986018283296</v>
      </c>
      <c r="P203" s="106">
        <v>0.31943914125653999</v>
      </c>
      <c r="Q203" s="106">
        <v>0.29421546771414603</v>
      </c>
      <c r="R203" s="106">
        <v>0.33205097802773703</v>
      </c>
      <c r="S203" s="106">
        <v>0.28160363094294899</v>
      </c>
      <c r="AA203" s="106">
        <v>378</v>
      </c>
      <c r="AB203" s="106">
        <v>372.80645161290323</v>
      </c>
    </row>
    <row r="204" spans="1:28" x14ac:dyDescent="0.2">
      <c r="A204" s="14">
        <v>43665</v>
      </c>
      <c r="B204" s="106">
        <v>375</v>
      </c>
      <c r="C204" s="106">
        <v>381</v>
      </c>
      <c r="D204" s="106">
        <v>1317</v>
      </c>
      <c r="E204" s="106">
        <v>1302</v>
      </c>
      <c r="F204" s="106">
        <v>0.29262672811059898</v>
      </c>
      <c r="G204" s="106">
        <v>0.30681603370484101</v>
      </c>
      <c r="H204" s="106">
        <v>1.2621253421860301E-2</v>
      </c>
      <c r="I204" s="106">
        <v>-1.1242390212739499</v>
      </c>
      <c r="J204" s="106">
        <v>-4.8499999999999996</v>
      </c>
      <c r="K204" s="106">
        <v>0.385639038082561</v>
      </c>
      <c r="L204" s="106">
        <v>0.119412339986899</v>
      </c>
      <c r="M204" s="106">
        <v>0.487889078457592</v>
      </c>
      <c r="N204" s="106">
        <v>0.476006578649318</v>
      </c>
      <c r="P204" s="106">
        <v>0.31943728712670133</v>
      </c>
      <c r="Q204" s="106">
        <v>0.29419478028298068</v>
      </c>
      <c r="R204" s="106">
        <v>0.3320585405485616</v>
      </c>
      <c r="S204" s="106">
        <v>0.28157352686112042</v>
      </c>
      <c r="AA204" s="106">
        <v>381</v>
      </c>
      <c r="AB204" s="106">
        <v>381</v>
      </c>
    </row>
    <row r="205" spans="1:28" x14ac:dyDescent="0.2">
      <c r="A205" s="14"/>
    </row>
    <row r="206" spans="1:28" x14ac:dyDescent="0.2">
      <c r="A206" s="14"/>
    </row>
    <row r="207" spans="1:28" x14ac:dyDescent="0.2">
      <c r="A207" s="14"/>
    </row>
    <row r="208" spans="1:28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2" x14ac:dyDescent="0.2">
      <c r="A289" s="14"/>
    </row>
    <row r="290" spans="1:12" x14ac:dyDescent="0.2">
      <c r="A290" s="14"/>
    </row>
    <row r="291" spans="1:12" x14ac:dyDescent="0.2">
      <c r="A291" s="14"/>
    </row>
    <row r="292" spans="1:12" x14ac:dyDescent="0.2">
      <c r="A292" s="14"/>
    </row>
    <row r="293" spans="1:12" x14ac:dyDescent="0.2">
      <c r="A293" s="14"/>
    </row>
    <row r="294" spans="1:12" x14ac:dyDescent="0.2">
      <c r="A294" s="14"/>
    </row>
    <row r="295" spans="1:12" x14ac:dyDescent="0.2">
      <c r="A295" s="14"/>
    </row>
    <row r="296" spans="1:12" x14ac:dyDescent="0.2">
      <c r="A296" s="14"/>
    </row>
    <row r="297" spans="1:12" x14ac:dyDescent="0.2">
      <c r="A297" s="14"/>
      <c r="L297" s="15"/>
    </row>
    <row r="298" spans="1:12" x14ac:dyDescent="0.2">
      <c r="A298" s="14"/>
    </row>
    <row r="299" spans="1:12" x14ac:dyDescent="0.2">
      <c r="A299" s="14"/>
    </row>
    <row r="300" spans="1:12" x14ac:dyDescent="0.2">
      <c r="A300" s="14"/>
    </row>
    <row r="301" spans="1:12" x14ac:dyDescent="0.2">
      <c r="A301" s="14"/>
    </row>
    <row r="302" spans="1:12" x14ac:dyDescent="0.2">
      <c r="A302" s="14"/>
    </row>
    <row r="303" spans="1:12" x14ac:dyDescent="0.2">
      <c r="A303" s="14"/>
    </row>
    <row r="304" spans="1:12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  <c r="L503" s="15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2" x14ac:dyDescent="0.2">
      <c r="A609" s="14"/>
      <c r="L609" s="15"/>
    </row>
    <row r="610" spans="1:12" x14ac:dyDescent="0.2">
      <c r="A610" s="14"/>
    </row>
    <row r="611" spans="1:12" x14ac:dyDescent="0.2">
      <c r="A611" s="14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2" x14ac:dyDescent="0.2">
      <c r="A641" s="14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  <c r="L648" s="15"/>
    </row>
    <row r="649" spans="1:12" x14ac:dyDescent="0.2">
      <c r="A649" s="14"/>
    </row>
    <row r="650" spans="1:12" x14ac:dyDescent="0.2">
      <c r="A650" s="14"/>
      <c r="L650" s="15"/>
    </row>
    <row r="651" spans="1:12" x14ac:dyDescent="0.2">
      <c r="A651" s="14"/>
      <c r="L651" s="15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2" x14ac:dyDescent="0.2">
      <c r="A737" s="14"/>
    </row>
    <row r="738" spans="1:12" x14ac:dyDescent="0.2">
      <c r="A738" s="14"/>
    </row>
    <row r="739" spans="1:12" x14ac:dyDescent="0.2">
      <c r="A739" s="14"/>
      <c r="L739" s="15"/>
    </row>
    <row r="740" spans="1:12" x14ac:dyDescent="0.2">
      <c r="A740" s="14"/>
      <c r="L740" s="15"/>
    </row>
    <row r="741" spans="1:12" x14ac:dyDescent="0.2">
      <c r="A741" s="14"/>
    </row>
    <row r="742" spans="1:12" x14ac:dyDescent="0.2">
      <c r="A742" s="14"/>
    </row>
    <row r="743" spans="1:12" x14ac:dyDescent="0.2">
      <c r="A743" s="14"/>
    </row>
    <row r="744" spans="1:12" x14ac:dyDescent="0.2">
      <c r="A744" s="14"/>
    </row>
    <row r="745" spans="1:12" x14ac:dyDescent="0.2">
      <c r="A745" s="14"/>
    </row>
    <row r="746" spans="1:12" x14ac:dyDescent="0.2">
      <c r="A746" s="14"/>
    </row>
    <row r="747" spans="1:12" x14ac:dyDescent="0.2">
      <c r="A747" s="14"/>
    </row>
    <row r="748" spans="1:12" x14ac:dyDescent="0.2">
      <c r="A748" s="14"/>
    </row>
    <row r="749" spans="1:12" x14ac:dyDescent="0.2">
      <c r="A749" s="14"/>
    </row>
    <row r="750" spans="1:12" x14ac:dyDescent="0.2">
      <c r="A750" s="14"/>
    </row>
    <row r="751" spans="1:12" x14ac:dyDescent="0.2">
      <c r="A751" s="14"/>
    </row>
    <row r="752" spans="1:12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2"/>
  <sheetViews>
    <sheetView showGridLines="0" zoomScale="115" zoomScaleNormal="115" workbookViewId="0">
      <selection activeCell="B35" sqref="B35"/>
    </sheetView>
  </sheetViews>
  <sheetFormatPr defaultRowHeight="14.25" x14ac:dyDescent="0.2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15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16</v>
      </c>
      <c r="G4" s="24">
        <v>8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17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44</v>
      </c>
      <c r="G8" s="150">
        <v>-2.5</v>
      </c>
    </row>
    <row r="9" spans="1:8" x14ac:dyDescent="0.2">
      <c r="B9" s="4" t="s">
        <v>8</v>
      </c>
      <c r="C9" s="19">
        <v>0.9</v>
      </c>
      <c r="D9" s="18">
        <v>1</v>
      </c>
      <c r="E9" s="1"/>
      <c r="F9" s="4" t="s">
        <v>45</v>
      </c>
      <c r="G9" s="20">
        <v>15</v>
      </c>
      <c r="H9" s="1"/>
    </row>
    <row r="10" spans="1:8" x14ac:dyDescent="0.2">
      <c r="B10" s="4" t="s">
        <v>9</v>
      </c>
      <c r="C10" s="3">
        <v>2</v>
      </c>
      <c r="D10" s="3">
        <v>3</v>
      </c>
      <c r="E10" s="12"/>
      <c r="F10" s="4" t="s">
        <v>46</v>
      </c>
      <c r="G10" s="19">
        <v>2</v>
      </c>
      <c r="H10" s="1"/>
    </row>
    <row r="11" spans="1:8" x14ac:dyDescent="0.2">
      <c r="B11" s="4" t="s">
        <v>10</v>
      </c>
      <c r="C11" s="2" t="s">
        <v>14</v>
      </c>
      <c r="D11" s="6"/>
      <c r="E11" s="1" t="s">
        <v>19</v>
      </c>
    </row>
    <row r="12" spans="1:8" x14ac:dyDescent="0.2">
      <c r="B12" s="4" t="s">
        <v>11</v>
      </c>
      <c r="C12" s="2" t="s">
        <v>13</v>
      </c>
      <c r="D12" s="6"/>
    </row>
    <row r="13" spans="1:8" x14ac:dyDescent="0.2">
      <c r="B13" s="4" t="s">
        <v>12</v>
      </c>
      <c r="C13" s="3">
        <v>200</v>
      </c>
      <c r="D13" s="6"/>
    </row>
    <row r="16" spans="1:8" x14ac:dyDescent="0.2">
      <c r="B16" s="1"/>
    </row>
    <row r="17" spans="2:9" x14ac:dyDescent="0.2">
      <c r="B17" s="4" t="s">
        <v>40</v>
      </c>
      <c r="C17" s="337" t="s">
        <v>1424</v>
      </c>
      <c r="D17" s="338"/>
      <c r="E17" s="338"/>
      <c r="F17" s="338"/>
      <c r="G17" s="339"/>
    </row>
    <row r="18" spans="2:9" x14ac:dyDescent="0.2">
      <c r="B18" s="4" t="s">
        <v>39</v>
      </c>
      <c r="C18" s="342" t="str">
        <f>C17 &amp; "\master\" &amp; H18</f>
        <v>G:\Stock\pairs_trade\pair_trade\stock_data\master\master.csv</v>
      </c>
      <c r="D18" s="343"/>
      <c r="E18" s="343"/>
      <c r="F18" s="343"/>
      <c r="G18" s="343"/>
      <c r="H18" s="340" t="s">
        <v>770</v>
      </c>
      <c r="I18" s="341"/>
    </row>
    <row r="19" spans="2:9" x14ac:dyDescent="0.2">
      <c r="B19" s="4" t="s">
        <v>253</v>
      </c>
      <c r="C19" s="344" t="str">
        <f>C17 &amp; "\master\" &amp; H19</f>
        <v>G:\Stock\pairs_trade\pair_trade\stock_data\master\fiscal_data.csv</v>
      </c>
      <c r="D19" s="345"/>
      <c r="E19" s="345"/>
      <c r="F19" s="345"/>
      <c r="G19" s="345"/>
      <c r="H19" s="340" t="s">
        <v>769</v>
      </c>
      <c r="I19" s="341"/>
    </row>
    <row r="20" spans="2:9" x14ac:dyDescent="0.2">
      <c r="B20" s="4" t="s">
        <v>837</v>
      </c>
      <c r="C20" s="185" t="str">
        <f>C17 &amp; "\master\" &amp; H20</f>
        <v>G:\Stock\pairs_trade\pair_trade\stock_data\master\gyakunipo_data.csv</v>
      </c>
      <c r="D20" s="186"/>
      <c r="E20" s="186"/>
      <c r="F20" s="186"/>
      <c r="G20" s="186"/>
      <c r="H20" s="340" t="s">
        <v>838</v>
      </c>
      <c r="I20" s="341"/>
    </row>
    <row r="21" spans="2:9" x14ac:dyDescent="0.2">
      <c r="B21" s="4" t="s">
        <v>1422</v>
      </c>
      <c r="C21" s="185" t="str">
        <f>C17 &amp; "\" &amp; H21</f>
        <v>G:\Stock\pairs_trade\pair_trade\stock_data\trade</v>
      </c>
      <c r="D21" s="186"/>
      <c r="E21" s="186"/>
      <c r="F21" s="186"/>
      <c r="G21" s="186"/>
      <c r="H21" s="340" t="s">
        <v>1423</v>
      </c>
      <c r="I21" s="341"/>
    </row>
    <row r="22" spans="2:9" x14ac:dyDescent="0.2">
      <c r="B22" s="4" t="s">
        <v>1599</v>
      </c>
      <c r="C22" s="265" t="str">
        <f>C17 &amp; "\" &amp; H22</f>
        <v>G:\Stock\pairs_trade\pair_trade\stock_data\result</v>
      </c>
      <c r="D22" s="266"/>
      <c r="E22" s="266"/>
      <c r="F22" s="266"/>
      <c r="G22" s="266"/>
      <c r="H22" s="340" t="s">
        <v>1598</v>
      </c>
      <c r="I22" s="341"/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P300"/>
  <sheetViews>
    <sheetView showGridLines="0" zoomScaleNormal="100" workbookViewId="0">
      <selection activeCell="C6" sqref="C6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 x14ac:dyDescent="0.25">
      <c r="L1" s="100"/>
      <c r="M1" s="100"/>
      <c r="N1" s="100"/>
    </row>
    <row r="2" spans="1:68" x14ac:dyDescent="0.2">
      <c r="A2" s="106"/>
      <c r="E2" s="352" t="s">
        <v>819</v>
      </c>
      <c r="F2" s="350" t="s">
        <v>1408</v>
      </c>
      <c r="G2" s="347"/>
      <c r="H2" s="347"/>
      <c r="I2" s="347"/>
      <c r="J2" s="347"/>
      <c r="K2" s="347"/>
      <c r="L2" s="182"/>
      <c r="M2" s="182"/>
      <c r="N2" s="181"/>
      <c r="O2" s="351" t="s">
        <v>207</v>
      </c>
      <c r="P2" s="347"/>
      <c r="Q2" s="347"/>
      <c r="R2" s="347"/>
      <c r="S2" s="347"/>
      <c r="T2" s="347"/>
      <c r="U2" s="347"/>
      <c r="V2" s="347"/>
      <c r="W2" s="348"/>
      <c r="X2" s="346" t="s">
        <v>808</v>
      </c>
      <c r="Y2" s="347"/>
      <c r="Z2" s="347"/>
      <c r="AA2" s="347"/>
      <c r="AB2" s="347"/>
      <c r="AC2" s="347"/>
      <c r="AD2" s="347"/>
      <c r="AE2" s="348"/>
      <c r="AF2" s="349" t="s">
        <v>208</v>
      </c>
      <c r="AG2" s="347"/>
      <c r="AH2" s="347"/>
      <c r="AI2" s="347"/>
      <c r="AJ2" s="347"/>
      <c r="AK2" s="347"/>
      <c r="AL2" s="347"/>
      <c r="AM2" s="347"/>
      <c r="AN2" s="347"/>
      <c r="AO2" s="348"/>
      <c r="AP2" s="111" t="s">
        <v>1566</v>
      </c>
      <c r="AQ2" s="112"/>
      <c r="AR2" s="112"/>
      <c r="AS2" s="113"/>
    </row>
    <row r="3" spans="1:68" s="17" customFormat="1" ht="28.5" customHeight="1" thickBot="1" x14ac:dyDescent="0.25">
      <c r="A3" s="107"/>
      <c r="B3" s="107"/>
      <c r="C3" s="107"/>
      <c r="D3" s="107"/>
      <c r="E3" s="353"/>
      <c r="F3" s="109" t="s">
        <v>209</v>
      </c>
      <c r="G3" s="125" t="s">
        <v>210</v>
      </c>
      <c r="H3" s="125" t="s">
        <v>211</v>
      </c>
      <c r="I3" s="125" t="s">
        <v>212</v>
      </c>
      <c r="J3" s="125" t="s">
        <v>213</v>
      </c>
      <c r="K3" s="180" t="s">
        <v>252</v>
      </c>
      <c r="L3" s="180" t="s">
        <v>818</v>
      </c>
      <c r="M3" s="180"/>
      <c r="N3" s="126"/>
      <c r="O3" s="110" t="s">
        <v>209</v>
      </c>
      <c r="P3" s="114" t="s">
        <v>210</v>
      </c>
      <c r="Q3" s="114" t="s">
        <v>211</v>
      </c>
      <c r="R3" s="114" t="s">
        <v>212</v>
      </c>
      <c r="S3" s="114" t="s">
        <v>213</v>
      </c>
      <c r="T3" s="183" t="s">
        <v>252</v>
      </c>
      <c r="U3" s="183" t="s">
        <v>818</v>
      </c>
      <c r="V3" s="183"/>
      <c r="W3" s="115"/>
      <c r="X3" s="116" t="s">
        <v>809</v>
      </c>
      <c r="Y3" s="117" t="s">
        <v>810</v>
      </c>
      <c r="Z3" s="184" t="s">
        <v>1414</v>
      </c>
      <c r="AA3" s="184" t="s">
        <v>1415</v>
      </c>
      <c r="AB3" s="184" t="s">
        <v>1403</v>
      </c>
      <c r="AC3" s="184" t="s">
        <v>1622</v>
      </c>
      <c r="AD3" s="117" t="s">
        <v>1623</v>
      </c>
      <c r="AE3" s="118"/>
      <c r="AF3" s="119" t="s">
        <v>1404</v>
      </c>
      <c r="AG3" s="120" t="s">
        <v>214</v>
      </c>
      <c r="AH3" s="108" t="s">
        <v>215</v>
      </c>
      <c r="AI3" s="108" t="s">
        <v>216</v>
      </c>
      <c r="AJ3" s="108" t="s">
        <v>217</v>
      </c>
      <c r="AK3" s="120" t="s">
        <v>218</v>
      </c>
      <c r="AL3" s="120" t="s">
        <v>219</v>
      </c>
      <c r="AM3" s="108"/>
      <c r="AN3" s="120"/>
      <c r="AO3" s="121"/>
      <c r="AP3" s="122" t="s">
        <v>811</v>
      </c>
      <c r="AQ3" s="123" t="s">
        <v>220</v>
      </c>
      <c r="AR3" s="123" t="s">
        <v>812</v>
      </c>
      <c r="AS3" s="149" t="s">
        <v>221</v>
      </c>
    </row>
    <row r="4" spans="1:68" s="133" customFormat="1" x14ac:dyDescent="0.2">
      <c r="A4" s="124" t="s">
        <v>5154</v>
      </c>
      <c r="B4" s="124" t="s">
        <v>5155</v>
      </c>
      <c r="C4" s="124" t="s">
        <v>5156</v>
      </c>
      <c r="D4"/>
      <c r="E4">
        <v>1</v>
      </c>
      <c r="F4">
        <v>1973</v>
      </c>
      <c r="G4" t="s">
        <v>4823</v>
      </c>
      <c r="H4" t="s">
        <v>4817</v>
      </c>
      <c r="I4">
        <v>4210</v>
      </c>
      <c r="J4">
        <v>200</v>
      </c>
      <c r="K4" t="s">
        <v>354</v>
      </c>
      <c r="L4"/>
      <c r="M4"/>
      <c r="N4"/>
      <c r="O4">
        <v>3635</v>
      </c>
      <c r="P4" t="s">
        <v>49</v>
      </c>
      <c r="Q4" t="s">
        <v>4817</v>
      </c>
      <c r="R4">
        <v>2952</v>
      </c>
      <c r="S4">
        <v>300</v>
      </c>
      <c r="T4" t="s">
        <v>350</v>
      </c>
      <c r="U4" s="188">
        <v>0.05</v>
      </c>
      <c r="V4"/>
      <c r="W4"/>
      <c r="X4">
        <v>2.0978745242012198</v>
      </c>
      <c r="Y4">
        <v>6.57</v>
      </c>
      <c r="Z4">
        <v>842000</v>
      </c>
      <c r="AA4">
        <v>885600</v>
      </c>
      <c r="AB4">
        <v>5.18</v>
      </c>
      <c r="AC4">
        <v>2.3068505940114301</v>
      </c>
      <c r="AD4" t="s">
        <v>5150</v>
      </c>
      <c r="AE4"/>
      <c r="AF4">
        <v>416117</v>
      </c>
      <c r="AG4">
        <v>26007</v>
      </c>
      <c r="AH4" s="393">
        <v>16</v>
      </c>
      <c r="AI4" s="393">
        <v>12</v>
      </c>
      <c r="AJ4" s="393" t="s">
        <v>5151</v>
      </c>
      <c r="AK4">
        <v>75</v>
      </c>
      <c r="AL4">
        <v>13</v>
      </c>
      <c r="AM4"/>
      <c r="AN4"/>
      <c r="AO4"/>
      <c r="AP4">
        <v>0.92614214105336601</v>
      </c>
      <c r="AQ4">
        <v>0.96021051320944195</v>
      </c>
      <c r="AR4">
        <v>9.5529539372903399E-2</v>
      </c>
      <c r="AS4">
        <v>1.13965067451857E-2</v>
      </c>
      <c r="AT4"/>
      <c r="AU4"/>
      <c r="AV4"/>
      <c r="AW4"/>
      <c r="AX4"/>
      <c r="AY4"/>
      <c r="AZ4"/>
    </row>
    <row r="5" spans="1:68" s="133" customFormat="1" x14ac:dyDescent="0.2">
      <c r="A5" s="124" t="s">
        <v>5154</v>
      </c>
      <c r="B5" s="124" t="s">
        <v>5155</v>
      </c>
      <c r="C5" s="124" t="s">
        <v>5156</v>
      </c>
      <c r="D5"/>
      <c r="E5">
        <v>2</v>
      </c>
      <c r="F5">
        <v>1820</v>
      </c>
      <c r="G5" t="s">
        <v>65</v>
      </c>
      <c r="H5" t="s">
        <v>4825</v>
      </c>
      <c r="I5">
        <v>2517</v>
      </c>
      <c r="J5">
        <v>400</v>
      </c>
      <c r="K5" t="s">
        <v>398</v>
      </c>
      <c r="L5"/>
      <c r="M5"/>
      <c r="N5"/>
      <c r="O5">
        <v>5991</v>
      </c>
      <c r="P5" t="s">
        <v>1624</v>
      </c>
      <c r="Q5" t="s">
        <v>4846</v>
      </c>
      <c r="R5">
        <v>977</v>
      </c>
      <c r="S5">
        <v>1000</v>
      </c>
      <c r="T5" t="s">
        <v>394</v>
      </c>
      <c r="U5" s="188">
        <v>0.05</v>
      </c>
      <c r="V5"/>
      <c r="W5"/>
      <c r="X5">
        <v>2.48918871514319</v>
      </c>
      <c r="Y5">
        <v>3.78</v>
      </c>
      <c r="Z5">
        <v>1006800</v>
      </c>
      <c r="AA5">
        <v>977000</v>
      </c>
      <c r="AB5">
        <v>2.96</v>
      </c>
      <c r="AC5">
        <v>1.84292232243641</v>
      </c>
      <c r="AD5"/>
      <c r="AE5"/>
      <c r="AF5">
        <v>113865</v>
      </c>
      <c r="AG5">
        <v>6698</v>
      </c>
      <c r="AH5" s="393">
        <v>17</v>
      </c>
      <c r="AI5" s="393">
        <v>10</v>
      </c>
      <c r="AJ5" s="393" t="s">
        <v>5152</v>
      </c>
      <c r="AK5">
        <v>58.82</v>
      </c>
      <c r="AL5">
        <v>12</v>
      </c>
      <c r="AM5"/>
      <c r="AN5"/>
      <c r="AO5"/>
      <c r="AP5">
        <v>0.93646807441684199</v>
      </c>
      <c r="AQ5">
        <v>0.92695820647750704</v>
      </c>
      <c r="AR5">
        <v>1.3147114817885301E-2</v>
      </c>
      <c r="AS5">
        <v>1.01331613558861E-2</v>
      </c>
      <c r="AT5"/>
      <c r="AU5"/>
      <c r="AV5"/>
      <c r="AW5"/>
      <c r="AX5"/>
      <c r="AY5"/>
      <c r="AZ5"/>
    </row>
    <row r="6" spans="1:68" s="133" customFormat="1" x14ac:dyDescent="0.2">
      <c r="A6" s="124" t="s">
        <v>5154</v>
      </c>
      <c r="B6" s="124" t="s">
        <v>5155</v>
      </c>
      <c r="C6" s="124" t="s">
        <v>5156</v>
      </c>
      <c r="D6"/>
      <c r="E6">
        <v>3</v>
      </c>
      <c r="F6">
        <v>3110</v>
      </c>
      <c r="G6" t="s">
        <v>817</v>
      </c>
      <c r="H6" t="s">
        <v>4814</v>
      </c>
      <c r="I6">
        <v>5020</v>
      </c>
      <c r="J6">
        <v>200</v>
      </c>
      <c r="K6" t="s">
        <v>405</v>
      </c>
      <c r="L6" s="188">
        <v>0.1</v>
      </c>
      <c r="M6"/>
      <c r="N6"/>
      <c r="O6">
        <v>8425</v>
      </c>
      <c r="P6" t="s">
        <v>4845</v>
      </c>
      <c r="Q6" t="s">
        <v>4821</v>
      </c>
      <c r="R6">
        <v>3430</v>
      </c>
      <c r="S6">
        <v>300</v>
      </c>
      <c r="T6" t="s">
        <v>405</v>
      </c>
      <c r="U6"/>
      <c r="V6"/>
      <c r="W6"/>
      <c r="X6">
        <v>1.8758759237076601</v>
      </c>
      <c r="Y6">
        <v>16.899999999999999</v>
      </c>
      <c r="Z6">
        <v>1004000</v>
      </c>
      <c r="AA6">
        <v>1029000</v>
      </c>
      <c r="AB6">
        <v>2.4900000000000002</v>
      </c>
      <c r="AC6">
        <v>1.91714712028268</v>
      </c>
      <c r="AD6" t="s">
        <v>5150</v>
      </c>
      <c r="AE6"/>
      <c r="AF6">
        <v>-176379</v>
      </c>
      <c r="AG6">
        <v>-10375</v>
      </c>
      <c r="AH6" s="393">
        <v>17</v>
      </c>
      <c r="AI6" s="393">
        <v>8</v>
      </c>
      <c r="AJ6" s="393" t="s">
        <v>5153</v>
      </c>
      <c r="AK6">
        <v>47.06</v>
      </c>
      <c r="AL6">
        <v>11</v>
      </c>
      <c r="AM6"/>
      <c r="AN6"/>
      <c r="AO6"/>
      <c r="AP6">
        <v>0.90733068439839204</v>
      </c>
      <c r="AQ6">
        <v>0.93586500378431903</v>
      </c>
      <c r="AR6">
        <v>0.12613890028104199</v>
      </c>
      <c r="AS6">
        <v>8.0831327680027307E-2</v>
      </c>
      <c r="AT6"/>
      <c r="AU6"/>
      <c r="AV6"/>
      <c r="AW6"/>
      <c r="AX6"/>
      <c r="AY6"/>
      <c r="AZ6"/>
    </row>
    <row r="7" spans="1:68" s="133" customFormat="1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68" s="133" customFormat="1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68" s="133" customFormat="1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68" s="133" customForma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68" s="133" customForma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68" s="133" customFormat="1" ht="17.25" hidden="1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68" s="133" customFormat="1" ht="17.25" hidden="1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68" s="133" customFormat="1" ht="17.25" hidden="1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68" s="133" customForma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3" customForma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68" s="133" customForma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x14ac:dyDescent="0.2">
      <c r="B18"/>
      <c r="C18"/>
      <c r="D18"/>
      <c r="E18"/>
      <c r="F18"/>
      <c r="G18"/>
      <c r="H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68" x14ac:dyDescent="0.2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 x14ac:dyDescent="0.2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 s="133" customForma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68" s="133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3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 x14ac:dyDescent="0.2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 x14ac:dyDescent="0.2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 x14ac:dyDescent="0.2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 x14ac:dyDescent="0.2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 x14ac:dyDescent="0.2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 x14ac:dyDescent="0.2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 x14ac:dyDescent="0.2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 x14ac:dyDescent="0.2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 x14ac:dyDescent="0.2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 x14ac:dyDescent="0.2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 x14ac:dyDescent="0.2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 x14ac:dyDescent="0.2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 x14ac:dyDescent="0.2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 x14ac:dyDescent="0.2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 x14ac:dyDescent="0.2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 x14ac:dyDescent="0.2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 x14ac:dyDescent="0.2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 x14ac:dyDescent="0.2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 x14ac:dyDescent="0.2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 x14ac:dyDescent="0.2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 x14ac:dyDescent="0.2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 x14ac:dyDescent="0.2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Normal="100" workbookViewId="0">
      <selection activeCell="V26" sqref="V26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91" t="s">
        <v>4584</v>
      </c>
      <c r="C1" s="189">
        <v>1973</v>
      </c>
      <c r="D1" s="190" t="s">
        <v>4585</v>
      </c>
      <c r="E1" s="188"/>
      <c r="F1" s="188"/>
      <c r="G1" s="188"/>
      <c r="H1" s="192" t="s">
        <v>4586</v>
      </c>
      <c r="I1" s="136">
        <v>3635</v>
      </c>
      <c r="J1" s="137" t="s">
        <v>4587</v>
      </c>
      <c r="N1" s="173"/>
      <c r="O1" s="193">
        <v>1</v>
      </c>
      <c r="P1" s="135" t="s">
        <v>4596</v>
      </c>
      <c r="Q1" s="194">
        <v>4</v>
      </c>
      <c r="R1" s="135"/>
      <c r="T1" s="173"/>
      <c r="U1" s="135" t="s">
        <v>1405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5" t="s">
        <v>4588</v>
      </c>
      <c r="X2" s="174">
        <v>1.8838191116602301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6" t="s">
        <v>4589</v>
      </c>
      <c r="X3" s="174">
        <v>5.7</v>
      </c>
    </row>
    <row r="4" spans="1:24" x14ac:dyDescent="0.2">
      <c r="A4" s="204" t="s">
        <v>1596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6" t="s">
        <v>4590</v>
      </c>
      <c r="X4" s="174">
        <v>6.48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5" t="s">
        <v>4591</v>
      </c>
      <c r="X5" s="174">
        <v>416117</v>
      </c>
    </row>
    <row r="6" spans="1:24" ht="15" customHeight="1" x14ac:dyDescent="0.2">
      <c r="A6" s="204" t="s">
        <v>1406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7" t="s">
        <v>4592</v>
      </c>
      <c r="X6" s="174">
        <v>0.92353226724998805</v>
      </c>
    </row>
    <row r="7" spans="1:24" x14ac:dyDescent="0.2">
      <c r="A7" s="205">
        <v>1.4782608094179994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7" t="s">
        <v>4593</v>
      </c>
      <c r="X7" s="174">
        <v>0.95962813993208895</v>
      </c>
    </row>
    <row r="8" spans="1:24" x14ac:dyDescent="0.2">
      <c r="A8" s="204" t="s">
        <v>1407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5" t="s">
        <v>4594</v>
      </c>
      <c r="X8" s="174">
        <v>4.3391209629974503E-2</v>
      </c>
    </row>
    <row r="9" spans="1:24" x14ac:dyDescent="0.2">
      <c r="A9" s="205">
        <v>1.0941049062815713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5" t="s">
        <v>4595</v>
      </c>
      <c r="X9" s="174">
        <v>1.52335381148016E-2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771</v>
      </c>
      <c r="B41" s="106" t="s">
        <v>4580</v>
      </c>
      <c r="C41" s="106" t="s">
        <v>4581</v>
      </c>
      <c r="D41" s="106" t="s">
        <v>4582</v>
      </c>
      <c r="E41" s="106" t="s">
        <v>4583</v>
      </c>
      <c r="F41" s="106" t="s">
        <v>772</v>
      </c>
      <c r="G41" s="106" t="s">
        <v>773</v>
      </c>
      <c r="H41" s="106" t="s">
        <v>774</v>
      </c>
      <c r="I41" s="106" t="s">
        <v>775</v>
      </c>
      <c r="J41" s="106" t="s">
        <v>776</v>
      </c>
      <c r="L41" s="106" t="s">
        <v>202</v>
      </c>
      <c r="M41" s="106" t="s">
        <v>203</v>
      </c>
      <c r="N41" s="106" t="s">
        <v>204</v>
      </c>
      <c r="O41" s="106" t="s">
        <v>205</v>
      </c>
    </row>
    <row r="42" spans="1:20" x14ac:dyDescent="0.2">
      <c r="A42" s="14">
        <v>43850</v>
      </c>
      <c r="B42">
        <v>4100</v>
      </c>
      <c r="C42">
        <v>4095</v>
      </c>
      <c r="D42">
        <v>2877</v>
      </c>
      <c r="E42">
        <v>2907</v>
      </c>
      <c r="F42">
        <v>1.40866873065015</v>
      </c>
      <c r="G42">
        <v>1.32837219201419</v>
      </c>
      <c r="H42">
        <v>4.2624335924267599E-2</v>
      </c>
      <c r="I42">
        <v>1.8838191116602301</v>
      </c>
      <c r="J42">
        <v>5.7</v>
      </c>
      <c r="L42">
        <v>1.3709965279384575</v>
      </c>
      <c r="M42">
        <v>1.2857478560899225</v>
      </c>
      <c r="N42">
        <v>1.4136208638627252</v>
      </c>
      <c r="O42">
        <v>1.2431235201656547</v>
      </c>
    </row>
    <row r="43" spans="1:20" x14ac:dyDescent="0.2">
      <c r="A43" s="14">
        <v>43847</v>
      </c>
      <c r="B43">
        <v>4255</v>
      </c>
      <c r="C43">
        <v>4100</v>
      </c>
      <c r="D43">
        <v>2933</v>
      </c>
      <c r="E43">
        <v>2847</v>
      </c>
      <c r="F43">
        <v>1.4401123990164999</v>
      </c>
      <c r="G43">
        <v>1.3265389014966</v>
      </c>
      <c r="H43">
        <v>4.2084805479549701E-2</v>
      </c>
      <c r="I43">
        <v>2.69868177423553</v>
      </c>
      <c r="J43">
        <v>7.89</v>
      </c>
      <c r="L43">
        <v>1.3686237069761498</v>
      </c>
      <c r="M43">
        <v>1.2844540960170503</v>
      </c>
      <c r="N43">
        <v>1.4107085124556995</v>
      </c>
      <c r="O43">
        <v>1.2423692905375006</v>
      </c>
    </row>
    <row r="44" spans="1:20" x14ac:dyDescent="0.2">
      <c r="A44" s="14">
        <v>43846</v>
      </c>
      <c r="B44">
        <v>4100</v>
      </c>
      <c r="C44">
        <v>4120</v>
      </c>
      <c r="D44">
        <v>2939</v>
      </c>
      <c r="E44">
        <v>2916</v>
      </c>
      <c r="F44">
        <v>1.41289437585733</v>
      </c>
      <c r="G44">
        <v>1.3243368291195801</v>
      </c>
      <c r="H44">
        <v>4.0370432406900199E-2</v>
      </c>
      <c r="I44">
        <v>2.1936239336049601</v>
      </c>
      <c r="J44">
        <v>6.27</v>
      </c>
      <c r="L44">
        <v>1.3647072615264804</v>
      </c>
      <c r="M44">
        <v>1.2839663967126798</v>
      </c>
      <c r="N44">
        <v>1.4050776939333804</v>
      </c>
      <c r="O44">
        <v>1.2435959643057797</v>
      </c>
    </row>
    <row r="45" spans="1:20" x14ac:dyDescent="0.2">
      <c r="A45" s="14">
        <v>43845</v>
      </c>
      <c r="B45">
        <v>4120</v>
      </c>
      <c r="C45">
        <v>4140</v>
      </c>
      <c r="D45">
        <v>2958</v>
      </c>
      <c r="E45">
        <v>2938</v>
      </c>
      <c r="F45">
        <v>1.4091218515997199</v>
      </c>
      <c r="G45">
        <v>1.3228928399214199</v>
      </c>
      <c r="H45">
        <v>3.9093698807301701E-2</v>
      </c>
      <c r="I45">
        <v>2.2057010287856702</v>
      </c>
      <c r="J45">
        <v>6.12</v>
      </c>
      <c r="L45">
        <v>1.3619865387287216</v>
      </c>
      <c r="M45">
        <v>1.2837991411141183</v>
      </c>
      <c r="N45">
        <v>1.4010802375360234</v>
      </c>
      <c r="O45">
        <v>1.2447054423068165</v>
      </c>
    </row>
    <row r="46" spans="1:20" x14ac:dyDescent="0.2">
      <c r="A46" s="14">
        <v>43844</v>
      </c>
      <c r="B46">
        <v>4080</v>
      </c>
      <c r="C46">
        <v>4120</v>
      </c>
      <c r="D46">
        <v>2971</v>
      </c>
      <c r="E46">
        <v>2959</v>
      </c>
      <c r="F46">
        <v>1.3923622845555901</v>
      </c>
      <c r="G46">
        <v>1.32145693776843</v>
      </c>
      <c r="H46">
        <v>3.7858403939904202E-2</v>
      </c>
      <c r="I46">
        <v>1.87290903493212</v>
      </c>
      <c r="J46">
        <v>5.09</v>
      </c>
      <c r="L46">
        <v>1.3593153417083341</v>
      </c>
      <c r="M46">
        <v>1.2835985338285258</v>
      </c>
      <c r="N46">
        <v>1.3971737456482385</v>
      </c>
      <c r="O46">
        <v>1.2457401298886215</v>
      </c>
    </row>
    <row r="47" spans="1:20" x14ac:dyDescent="0.2">
      <c r="A47" s="14">
        <v>43840</v>
      </c>
      <c r="B47">
        <v>4060</v>
      </c>
      <c r="C47">
        <v>4030</v>
      </c>
      <c r="D47">
        <v>2935</v>
      </c>
      <c r="E47">
        <v>2926</v>
      </c>
      <c r="F47">
        <v>1.3773069036226899</v>
      </c>
      <c r="G47">
        <v>1.3201362366829701</v>
      </c>
      <c r="H47">
        <v>3.7081583196672797E-2</v>
      </c>
      <c r="I47">
        <v>1.54175366883607</v>
      </c>
      <c r="J47">
        <v>4.1500000000000004</v>
      </c>
      <c r="L47">
        <v>1.357217819879643</v>
      </c>
      <c r="M47">
        <v>1.2830546534862972</v>
      </c>
      <c r="N47">
        <v>1.3942994030763156</v>
      </c>
      <c r="O47">
        <v>1.2459730702896246</v>
      </c>
    </row>
    <row r="48" spans="1:20" x14ac:dyDescent="0.2">
      <c r="A48" s="14">
        <v>43839</v>
      </c>
      <c r="B48">
        <v>4015</v>
      </c>
      <c r="C48">
        <v>4020</v>
      </c>
      <c r="D48">
        <v>2892</v>
      </c>
      <c r="E48">
        <v>2904</v>
      </c>
      <c r="F48">
        <v>1.3842975206611501</v>
      </c>
      <c r="G48">
        <v>1.31875205007202</v>
      </c>
      <c r="H48">
        <v>3.6858595190386402E-2</v>
      </c>
      <c r="I48">
        <v>1.77829540845416</v>
      </c>
      <c r="J48">
        <v>4.7300000000000004</v>
      </c>
      <c r="L48">
        <v>1.3556106452624064</v>
      </c>
      <c r="M48">
        <v>1.2818934548816336</v>
      </c>
      <c r="N48">
        <v>1.3924692404527927</v>
      </c>
      <c r="O48">
        <v>1.2450348596912473</v>
      </c>
    </row>
    <row r="49" spans="1:15" x14ac:dyDescent="0.2">
      <c r="A49" s="14">
        <v>43838</v>
      </c>
      <c r="B49">
        <v>3995</v>
      </c>
      <c r="C49">
        <v>3965</v>
      </c>
      <c r="D49">
        <v>2852</v>
      </c>
      <c r="E49">
        <v>2852</v>
      </c>
      <c r="F49">
        <v>1.39025245441795</v>
      </c>
      <c r="G49">
        <v>1.3170434316946</v>
      </c>
      <c r="H49">
        <v>3.6750585415913903E-2</v>
      </c>
      <c r="I49">
        <v>1.9920505182386701</v>
      </c>
      <c r="J49">
        <v>5.27</v>
      </c>
      <c r="L49">
        <v>1.3537940171105138</v>
      </c>
      <c r="M49">
        <v>1.2802928462786862</v>
      </c>
      <c r="N49">
        <v>1.3905446025264279</v>
      </c>
      <c r="O49">
        <v>1.2435422608627722</v>
      </c>
    </row>
    <row r="50" spans="1:15" x14ac:dyDescent="0.2">
      <c r="A50" s="14">
        <v>43837</v>
      </c>
      <c r="B50">
        <v>3970</v>
      </c>
      <c r="C50">
        <v>4020</v>
      </c>
      <c r="D50">
        <v>2837</v>
      </c>
      <c r="E50">
        <v>2885</v>
      </c>
      <c r="F50">
        <v>1.39341421143847</v>
      </c>
      <c r="G50">
        <v>1.3150754027718701</v>
      </c>
      <c r="H50">
        <v>3.6729589983777303E-2</v>
      </c>
      <c r="I50">
        <v>2.1328527952858698</v>
      </c>
      <c r="J50">
        <v>5.62</v>
      </c>
      <c r="L50">
        <v>1.3518049927556475</v>
      </c>
      <c r="M50">
        <v>1.2783458127880927</v>
      </c>
      <c r="N50">
        <v>1.3885345827394246</v>
      </c>
      <c r="O50">
        <v>1.2416162228043155</v>
      </c>
    </row>
    <row r="51" spans="1:15" x14ac:dyDescent="0.2">
      <c r="A51" s="14">
        <v>43836</v>
      </c>
      <c r="B51">
        <v>3845</v>
      </c>
      <c r="C51">
        <v>3905</v>
      </c>
      <c r="D51">
        <v>2807</v>
      </c>
      <c r="E51">
        <v>2831</v>
      </c>
      <c r="F51">
        <v>1.3793712469092101</v>
      </c>
      <c r="G51">
        <v>1.31310992731799</v>
      </c>
      <c r="H51">
        <v>3.6427815025889598E-2</v>
      </c>
      <c r="I51">
        <v>1.8189759540650401</v>
      </c>
      <c r="J51">
        <v>4.8</v>
      </c>
      <c r="L51">
        <v>1.3495377423438797</v>
      </c>
      <c r="M51">
        <v>1.2766821122921004</v>
      </c>
      <c r="N51">
        <v>1.3859655573697691</v>
      </c>
      <c r="O51">
        <v>1.2402542972662109</v>
      </c>
    </row>
    <row r="52" spans="1:15" x14ac:dyDescent="0.2">
      <c r="A52" s="14">
        <v>43829</v>
      </c>
      <c r="B52">
        <v>3910</v>
      </c>
      <c r="C52">
        <v>3870</v>
      </c>
      <c r="D52">
        <v>2840</v>
      </c>
      <c r="E52">
        <v>2853</v>
      </c>
      <c r="F52">
        <v>1.3564668769716</v>
      </c>
      <c r="G52">
        <v>1.3115077686140699</v>
      </c>
      <c r="H52">
        <v>3.6119453673285E-2</v>
      </c>
      <c r="I52">
        <v>1.24473389781052</v>
      </c>
      <c r="J52">
        <v>3.31</v>
      </c>
      <c r="L52">
        <v>1.3476272222873549</v>
      </c>
      <c r="M52">
        <v>1.275388314940785</v>
      </c>
      <c r="N52">
        <v>1.3837466759606398</v>
      </c>
      <c r="O52">
        <v>1.2392688612675</v>
      </c>
    </row>
    <row r="53" spans="1:15" x14ac:dyDescent="0.2">
      <c r="A53" s="14">
        <v>43826</v>
      </c>
      <c r="B53">
        <v>3740</v>
      </c>
      <c r="C53">
        <v>3870</v>
      </c>
      <c r="D53">
        <v>2835</v>
      </c>
      <c r="E53">
        <v>2855</v>
      </c>
      <c r="F53">
        <v>1.3555166374781</v>
      </c>
      <c r="G53">
        <v>1.30995792186329</v>
      </c>
      <c r="H53">
        <v>3.6647037042734698E-2</v>
      </c>
      <c r="I53">
        <v>1.2431759643129501</v>
      </c>
      <c r="J53">
        <v>3.36</v>
      </c>
      <c r="L53">
        <v>1.3466049589060247</v>
      </c>
      <c r="M53">
        <v>1.2733108848205552</v>
      </c>
      <c r="N53">
        <v>1.3832519959487595</v>
      </c>
      <c r="O53">
        <v>1.2366638477778205</v>
      </c>
    </row>
    <row r="54" spans="1:15" x14ac:dyDescent="0.2">
      <c r="A54" s="14">
        <v>43825</v>
      </c>
      <c r="B54">
        <v>3720</v>
      </c>
      <c r="C54">
        <v>3760</v>
      </c>
      <c r="D54">
        <v>2812</v>
      </c>
      <c r="E54">
        <v>2820</v>
      </c>
      <c r="F54">
        <v>1.3333333333333299</v>
      </c>
      <c r="G54">
        <v>1.3087261568480899</v>
      </c>
      <c r="H54">
        <v>3.6647594652932401E-2</v>
      </c>
      <c r="I54">
        <v>0.67145406726630796</v>
      </c>
      <c r="J54">
        <v>1.85</v>
      </c>
      <c r="L54">
        <v>1.3453737515010222</v>
      </c>
      <c r="M54">
        <v>1.2720785621951576</v>
      </c>
      <c r="N54">
        <v>1.3820213461539548</v>
      </c>
      <c r="O54">
        <v>1.235430967542225</v>
      </c>
    </row>
    <row r="55" spans="1:15" x14ac:dyDescent="0.2">
      <c r="A55" s="14">
        <v>43824</v>
      </c>
      <c r="B55">
        <v>3755</v>
      </c>
      <c r="C55">
        <v>3760</v>
      </c>
      <c r="D55">
        <v>2808</v>
      </c>
      <c r="E55">
        <v>2812</v>
      </c>
      <c r="F55">
        <v>1.3371266002844899</v>
      </c>
      <c r="G55">
        <v>1.30805427558054</v>
      </c>
      <c r="H55">
        <v>3.6652222311598003E-2</v>
      </c>
      <c r="I55">
        <v>0.793194051285392</v>
      </c>
      <c r="J55">
        <v>2.17</v>
      </c>
      <c r="L55">
        <v>1.3447064978921379</v>
      </c>
      <c r="M55">
        <v>1.2714020532689421</v>
      </c>
      <c r="N55">
        <v>1.3813587202037361</v>
      </c>
      <c r="O55">
        <v>1.2347498309573439</v>
      </c>
    </row>
    <row r="56" spans="1:15" x14ac:dyDescent="0.2">
      <c r="A56" s="14">
        <v>43823</v>
      </c>
      <c r="B56">
        <v>3710</v>
      </c>
      <c r="C56">
        <v>3685</v>
      </c>
      <c r="D56">
        <v>2830</v>
      </c>
      <c r="E56">
        <v>2800</v>
      </c>
      <c r="F56">
        <v>1.3160714285714199</v>
      </c>
      <c r="G56">
        <v>1.3075431451975701</v>
      </c>
      <c r="H56">
        <v>3.6510254988435999E-2</v>
      </c>
      <c r="I56">
        <v>0.23358597129927999</v>
      </c>
      <c r="J56">
        <v>0.65</v>
      </c>
      <c r="L56">
        <v>1.3440534001860061</v>
      </c>
      <c r="M56">
        <v>1.2710328902091341</v>
      </c>
      <c r="N56">
        <v>1.380563655174442</v>
      </c>
      <c r="O56">
        <v>1.2345226352206982</v>
      </c>
    </row>
    <row r="57" spans="1:15" x14ac:dyDescent="0.2">
      <c r="A57" s="14">
        <v>43822</v>
      </c>
      <c r="B57">
        <v>3605</v>
      </c>
      <c r="C57">
        <v>3585</v>
      </c>
      <c r="D57">
        <v>2891</v>
      </c>
      <c r="E57">
        <v>2847</v>
      </c>
      <c r="F57">
        <v>1.2592202318229699</v>
      </c>
      <c r="G57">
        <v>1.30703426447486</v>
      </c>
      <c r="H57">
        <v>3.6653539678493698E-2</v>
      </c>
      <c r="I57">
        <v>-1.30448608978265</v>
      </c>
      <c r="J57">
        <v>-3.8</v>
      </c>
      <c r="L57">
        <v>1.3436878041533538</v>
      </c>
      <c r="M57">
        <v>1.2703807247963663</v>
      </c>
      <c r="N57">
        <v>1.3803413438318475</v>
      </c>
      <c r="O57">
        <v>1.2337271851178726</v>
      </c>
    </row>
    <row r="58" spans="1:15" x14ac:dyDescent="0.2">
      <c r="A58" s="14">
        <v>43819</v>
      </c>
      <c r="B58">
        <v>3560</v>
      </c>
      <c r="C58">
        <v>3580</v>
      </c>
      <c r="D58">
        <v>2844</v>
      </c>
      <c r="E58">
        <v>2878</v>
      </c>
      <c r="F58">
        <v>1.2439193884642099</v>
      </c>
      <c r="G58">
        <v>1.3073069122271801</v>
      </c>
      <c r="H58">
        <v>3.6371831365292803E-2</v>
      </c>
      <c r="I58">
        <v>-1.74276414971683</v>
      </c>
      <c r="J58">
        <v>-5.0999999999999996</v>
      </c>
      <c r="L58">
        <v>1.3436787435924729</v>
      </c>
      <c r="M58">
        <v>1.2709350808618873</v>
      </c>
      <c r="N58">
        <v>1.3800505749577656</v>
      </c>
      <c r="O58">
        <v>1.2345632494965946</v>
      </c>
    </row>
    <row r="59" spans="1:15" x14ac:dyDescent="0.2">
      <c r="A59" s="14">
        <v>43818</v>
      </c>
      <c r="B59">
        <v>3570</v>
      </c>
      <c r="C59">
        <v>3570</v>
      </c>
      <c r="D59">
        <v>2779</v>
      </c>
      <c r="E59">
        <v>2820</v>
      </c>
      <c r="F59">
        <v>1.26595744680851</v>
      </c>
      <c r="G59">
        <v>1.30741054004721</v>
      </c>
      <c r="H59">
        <v>3.6201759083125298E-2</v>
      </c>
      <c r="I59">
        <v>-1.14505743059397</v>
      </c>
      <c r="J59">
        <v>-3.27</v>
      </c>
      <c r="L59">
        <v>1.3436122991303354</v>
      </c>
      <c r="M59">
        <v>1.2712087809640846</v>
      </c>
      <c r="N59">
        <v>1.3798140582134606</v>
      </c>
      <c r="O59">
        <v>1.2350070218809595</v>
      </c>
    </row>
    <row r="60" spans="1:15" x14ac:dyDescent="0.2">
      <c r="A60" s="14">
        <v>43817</v>
      </c>
      <c r="B60">
        <v>3585</v>
      </c>
      <c r="C60">
        <v>3570</v>
      </c>
      <c r="D60">
        <v>2720</v>
      </c>
      <c r="E60">
        <v>2764</v>
      </c>
      <c r="F60">
        <v>1.2916063675832099</v>
      </c>
      <c r="G60">
        <v>1.3071502645112201</v>
      </c>
      <c r="H60">
        <v>3.6567182296124802E-2</v>
      </c>
      <c r="I60">
        <v>-0.42507778702051102</v>
      </c>
      <c r="J60">
        <v>-1.2</v>
      </c>
      <c r="L60">
        <v>1.343717446807345</v>
      </c>
      <c r="M60">
        <v>1.2705830822150952</v>
      </c>
      <c r="N60">
        <v>1.3802846291034696</v>
      </c>
      <c r="O60">
        <v>1.2340158999189705</v>
      </c>
    </row>
    <row r="61" spans="1:15" x14ac:dyDescent="0.2">
      <c r="A61" s="14">
        <v>43816</v>
      </c>
      <c r="B61">
        <v>3610</v>
      </c>
      <c r="C61">
        <v>3575</v>
      </c>
      <c r="D61">
        <v>2704</v>
      </c>
      <c r="E61">
        <v>2730</v>
      </c>
      <c r="F61">
        <v>1.3095238095238</v>
      </c>
      <c r="G61">
        <v>1.3063868940916099</v>
      </c>
      <c r="H61">
        <v>3.7470157041790499E-2</v>
      </c>
      <c r="I61">
        <v>8.3717701761885394E-2</v>
      </c>
      <c r="J61">
        <v>0.24</v>
      </c>
      <c r="L61">
        <v>1.3438570511334005</v>
      </c>
      <c r="M61">
        <v>1.2689167370498193</v>
      </c>
      <c r="N61">
        <v>1.3813272081751908</v>
      </c>
      <c r="O61">
        <v>1.231446580008029</v>
      </c>
    </row>
    <row r="62" spans="1:15" x14ac:dyDescent="0.2">
      <c r="A62" s="14">
        <v>43815</v>
      </c>
      <c r="B62">
        <v>3580</v>
      </c>
      <c r="C62">
        <v>3580</v>
      </c>
      <c r="D62">
        <v>2707</v>
      </c>
      <c r="E62">
        <v>2701</v>
      </c>
      <c r="F62">
        <v>1.32543502406516</v>
      </c>
      <c r="G62">
        <v>1.3056222819652401</v>
      </c>
      <c r="H62">
        <v>3.7979973244588301E-2</v>
      </c>
      <c r="I62">
        <v>0.52166287670418299</v>
      </c>
      <c r="J62">
        <v>1.49</v>
      </c>
      <c r="L62">
        <v>1.3436022552098283</v>
      </c>
      <c r="M62">
        <v>1.2676423087206519</v>
      </c>
      <c r="N62">
        <v>1.3815822284544168</v>
      </c>
      <c r="O62">
        <v>1.2296623354760634</v>
      </c>
    </row>
    <row r="63" spans="1:15" x14ac:dyDescent="0.2">
      <c r="A63" s="14">
        <v>43812</v>
      </c>
      <c r="B63">
        <v>3620</v>
      </c>
      <c r="C63">
        <v>3570</v>
      </c>
      <c r="D63">
        <v>2727</v>
      </c>
      <c r="E63">
        <v>2709</v>
      </c>
      <c r="F63">
        <v>1.3178294573643401</v>
      </c>
      <c r="G63">
        <v>1.3047649046499299</v>
      </c>
      <c r="H63">
        <v>3.8247894976033897E-2</v>
      </c>
      <c r="I63">
        <v>0.34157573175174399</v>
      </c>
      <c r="J63">
        <v>0.99</v>
      </c>
      <c r="L63">
        <v>1.3430127996259638</v>
      </c>
      <c r="M63">
        <v>1.266517009673896</v>
      </c>
      <c r="N63">
        <v>1.3812606946019976</v>
      </c>
      <c r="O63">
        <v>1.2282691146978622</v>
      </c>
    </row>
    <row r="64" spans="1:15" x14ac:dyDescent="0.2">
      <c r="A64" s="14">
        <v>43811</v>
      </c>
      <c r="B64">
        <v>3580</v>
      </c>
      <c r="C64">
        <v>3565</v>
      </c>
      <c r="D64">
        <v>2711</v>
      </c>
      <c r="E64">
        <v>2705</v>
      </c>
      <c r="F64">
        <v>1.3179297597042501</v>
      </c>
      <c r="G64">
        <v>1.3041848863058401</v>
      </c>
      <c r="H64">
        <v>3.83750085904409E-2</v>
      </c>
      <c r="I64">
        <v>0.35817251652250198</v>
      </c>
      <c r="J64">
        <v>1.04</v>
      </c>
      <c r="L64">
        <v>1.3425598948962809</v>
      </c>
      <c r="M64">
        <v>1.2658098777153992</v>
      </c>
      <c r="N64">
        <v>1.3809349034867218</v>
      </c>
      <c r="O64">
        <v>1.2274348691249584</v>
      </c>
    </row>
    <row r="65" spans="1:15" x14ac:dyDescent="0.2">
      <c r="A65" s="14">
        <v>43810</v>
      </c>
      <c r="B65">
        <v>3625</v>
      </c>
      <c r="C65">
        <v>3565</v>
      </c>
      <c r="D65">
        <v>2692</v>
      </c>
      <c r="E65">
        <v>2714</v>
      </c>
      <c r="F65">
        <v>1.3135593220338899</v>
      </c>
      <c r="G65">
        <v>1.3039875685736599</v>
      </c>
      <c r="H65">
        <v>3.8341859723939699E-2</v>
      </c>
      <c r="I65">
        <v>0.24964238900114399</v>
      </c>
      <c r="J65">
        <v>0.73</v>
      </c>
      <c r="L65">
        <v>1.3423294282975997</v>
      </c>
      <c r="M65">
        <v>1.2656457088497202</v>
      </c>
      <c r="N65">
        <v>1.3806712880215393</v>
      </c>
      <c r="O65">
        <v>1.2273038491257806</v>
      </c>
    </row>
    <row r="66" spans="1:15" x14ac:dyDescent="0.2">
      <c r="A66" s="14">
        <v>43809</v>
      </c>
      <c r="B66">
        <v>3630</v>
      </c>
      <c r="C66">
        <v>3625</v>
      </c>
      <c r="D66">
        <v>2647</v>
      </c>
      <c r="E66">
        <v>2693</v>
      </c>
      <c r="F66">
        <v>1.3460824359450401</v>
      </c>
      <c r="G66">
        <v>1.30377294302674</v>
      </c>
      <c r="H66">
        <v>3.8332731010539599E-2</v>
      </c>
      <c r="I66">
        <v>1.1037432450784801</v>
      </c>
      <c r="J66">
        <v>3.14</v>
      </c>
      <c r="L66">
        <v>1.3421056740372797</v>
      </c>
      <c r="M66">
        <v>1.2654402120162003</v>
      </c>
      <c r="N66">
        <v>1.3804384050478191</v>
      </c>
      <c r="O66">
        <v>1.2271074810056608</v>
      </c>
    </row>
    <row r="67" spans="1:15" x14ac:dyDescent="0.2">
      <c r="A67" s="14">
        <v>43808</v>
      </c>
      <c r="B67">
        <v>3580</v>
      </c>
      <c r="C67">
        <v>3585</v>
      </c>
      <c r="D67">
        <v>2642</v>
      </c>
      <c r="E67">
        <v>2662</v>
      </c>
      <c r="F67">
        <v>1.3467317806160699</v>
      </c>
      <c r="G67">
        <v>1.3031047269327201</v>
      </c>
      <c r="H67">
        <v>3.8024944995431201E-2</v>
      </c>
      <c r="I67">
        <v>1.14732720030488</v>
      </c>
      <c r="J67">
        <v>3.24</v>
      </c>
      <c r="L67">
        <v>1.3411296719281514</v>
      </c>
      <c r="M67">
        <v>1.2650797819372888</v>
      </c>
      <c r="N67">
        <v>1.3791546169235824</v>
      </c>
      <c r="O67">
        <v>1.2270548369418577</v>
      </c>
    </row>
    <row r="68" spans="1:15" x14ac:dyDescent="0.2">
      <c r="A68" s="14">
        <v>43805</v>
      </c>
      <c r="B68">
        <v>3550</v>
      </c>
      <c r="C68">
        <v>3585</v>
      </c>
      <c r="D68">
        <v>2646</v>
      </c>
      <c r="E68">
        <v>2631</v>
      </c>
      <c r="F68">
        <v>1.36259977194982</v>
      </c>
      <c r="G68">
        <v>1.3027319165693101</v>
      </c>
      <c r="H68">
        <v>3.7731317050854897E-2</v>
      </c>
      <c r="I68">
        <v>1.5866887259679401</v>
      </c>
      <c r="J68">
        <v>4.3899999999999997</v>
      </c>
      <c r="L68">
        <v>1.340463233620165</v>
      </c>
      <c r="M68">
        <v>1.2650005995184552</v>
      </c>
      <c r="N68">
        <v>1.3781945506710198</v>
      </c>
      <c r="O68">
        <v>1.2272692824676004</v>
      </c>
    </row>
    <row r="69" spans="1:15" x14ac:dyDescent="0.2">
      <c r="A69" s="14">
        <v>43804</v>
      </c>
      <c r="B69">
        <v>3560</v>
      </c>
      <c r="C69">
        <v>3570</v>
      </c>
      <c r="D69">
        <v>2649</v>
      </c>
      <c r="E69">
        <v>2646</v>
      </c>
      <c r="F69">
        <v>1.34920634920634</v>
      </c>
      <c r="G69">
        <v>1.3016249883122699</v>
      </c>
      <c r="H69">
        <v>3.7172367654957399E-2</v>
      </c>
      <c r="I69">
        <v>1.2800196461989199</v>
      </c>
      <c r="J69">
        <v>3.53</v>
      </c>
      <c r="L69">
        <v>1.3387973559672273</v>
      </c>
      <c r="M69">
        <v>1.2644526206573126</v>
      </c>
      <c r="N69">
        <v>1.3759697236221846</v>
      </c>
      <c r="O69">
        <v>1.2272802530023552</v>
      </c>
    </row>
    <row r="70" spans="1:15" x14ac:dyDescent="0.2">
      <c r="A70" s="14">
        <v>43803</v>
      </c>
      <c r="B70">
        <v>3450</v>
      </c>
      <c r="C70">
        <v>3590</v>
      </c>
      <c r="D70">
        <v>2634</v>
      </c>
      <c r="E70">
        <v>2631</v>
      </c>
      <c r="F70">
        <v>1.3645001900417999</v>
      </c>
      <c r="G70">
        <v>1.30072093221834</v>
      </c>
      <c r="H70">
        <v>3.6827081987033501E-2</v>
      </c>
      <c r="I70">
        <v>1.7318574913407501</v>
      </c>
      <c r="J70">
        <v>4.67</v>
      </c>
      <c r="L70">
        <v>1.3375480142053735</v>
      </c>
      <c r="M70">
        <v>1.2638938502313064</v>
      </c>
      <c r="N70">
        <v>1.3743750961924071</v>
      </c>
      <c r="O70">
        <v>1.2270667682442729</v>
      </c>
    </row>
    <row r="71" spans="1:15" x14ac:dyDescent="0.2">
      <c r="A71" s="14">
        <v>43802</v>
      </c>
      <c r="B71">
        <v>3465</v>
      </c>
      <c r="C71">
        <v>3465</v>
      </c>
      <c r="D71">
        <v>2648</v>
      </c>
      <c r="E71">
        <v>2637</v>
      </c>
      <c r="F71">
        <v>1.3139931740614299</v>
      </c>
      <c r="G71">
        <v>1.29974138044388</v>
      </c>
      <c r="H71">
        <v>3.6087233221251201E-2</v>
      </c>
      <c r="I71">
        <v>0.39492619260029599</v>
      </c>
      <c r="J71">
        <v>1.08</v>
      </c>
      <c r="L71">
        <v>1.3358286136651312</v>
      </c>
      <c r="M71">
        <v>1.2636541472226288</v>
      </c>
      <c r="N71">
        <v>1.3719158468863824</v>
      </c>
      <c r="O71">
        <v>1.2275669140013776</v>
      </c>
    </row>
    <row r="72" spans="1:15" x14ac:dyDescent="0.2">
      <c r="A72" s="14">
        <v>43801</v>
      </c>
      <c r="B72">
        <v>3450</v>
      </c>
      <c r="C72">
        <v>3445</v>
      </c>
      <c r="D72">
        <v>2620</v>
      </c>
      <c r="E72">
        <v>2684</v>
      </c>
      <c r="F72">
        <v>1.2835320417287599</v>
      </c>
      <c r="G72">
        <v>1.29913631330554</v>
      </c>
      <c r="H72">
        <v>3.6223385809509602E-2</v>
      </c>
      <c r="I72">
        <v>-0.43077893543261497</v>
      </c>
      <c r="J72">
        <v>-1.22</v>
      </c>
      <c r="L72">
        <v>1.3353596991150496</v>
      </c>
      <c r="M72">
        <v>1.2629129274960305</v>
      </c>
      <c r="N72">
        <v>1.3715830849245592</v>
      </c>
      <c r="O72">
        <v>1.2266895416865209</v>
      </c>
    </row>
    <row r="73" spans="1:15" x14ac:dyDescent="0.2">
      <c r="A73" s="14">
        <v>43798</v>
      </c>
      <c r="B73">
        <v>3425</v>
      </c>
      <c r="C73">
        <v>3420</v>
      </c>
      <c r="D73">
        <v>2594</v>
      </c>
      <c r="E73">
        <v>2597</v>
      </c>
      <c r="F73">
        <v>1.31690412013862</v>
      </c>
      <c r="G73">
        <v>1.2988852978472001</v>
      </c>
      <c r="H73">
        <v>3.63954688736495E-2</v>
      </c>
      <c r="I73">
        <v>0.495084219246401</v>
      </c>
      <c r="J73">
        <v>1.37</v>
      </c>
      <c r="L73">
        <v>1.3352807667208495</v>
      </c>
      <c r="M73">
        <v>1.2624898289735507</v>
      </c>
      <c r="N73">
        <v>1.3716762355944991</v>
      </c>
      <c r="O73">
        <v>1.226094360099901</v>
      </c>
    </row>
    <row r="74" spans="1:15" x14ac:dyDescent="0.2">
      <c r="A74" s="14">
        <v>43797</v>
      </c>
      <c r="B74">
        <v>3435</v>
      </c>
      <c r="C74">
        <v>3430</v>
      </c>
      <c r="D74">
        <v>2613</v>
      </c>
      <c r="E74">
        <v>2593</v>
      </c>
      <c r="F74">
        <v>1.32279213266486</v>
      </c>
      <c r="G74">
        <v>1.29815537001967</v>
      </c>
      <c r="H74">
        <v>3.6575293269977799E-2</v>
      </c>
      <c r="I74">
        <v>0.67359029668847004</v>
      </c>
      <c r="J74">
        <v>1.86</v>
      </c>
      <c r="L74">
        <v>1.3347306632896478</v>
      </c>
      <c r="M74">
        <v>1.2615800767496921</v>
      </c>
      <c r="N74">
        <v>1.3713059565596255</v>
      </c>
      <c r="O74">
        <v>1.2250047834797144</v>
      </c>
    </row>
    <row r="75" spans="1:15" x14ac:dyDescent="0.2">
      <c r="A75" s="14">
        <v>43796</v>
      </c>
      <c r="B75">
        <v>3405</v>
      </c>
      <c r="C75">
        <v>3435</v>
      </c>
      <c r="D75">
        <v>2600</v>
      </c>
      <c r="E75">
        <v>2610</v>
      </c>
      <c r="F75">
        <v>1.3160919540229801</v>
      </c>
      <c r="G75">
        <v>1.2970625431285401</v>
      </c>
      <c r="H75">
        <v>3.70443068468162E-2</v>
      </c>
      <c r="I75">
        <v>0.51369326393750603</v>
      </c>
      <c r="J75">
        <v>1.45</v>
      </c>
      <c r="L75">
        <v>1.3341068499753563</v>
      </c>
      <c r="M75">
        <v>1.2600182362817238</v>
      </c>
      <c r="N75">
        <v>1.3711511568221724</v>
      </c>
      <c r="O75">
        <v>1.2229739294349078</v>
      </c>
    </row>
    <row r="76" spans="1:15" x14ac:dyDescent="0.2">
      <c r="A76" s="14">
        <v>43795</v>
      </c>
      <c r="B76">
        <v>3450</v>
      </c>
      <c r="C76">
        <v>3430</v>
      </c>
      <c r="D76">
        <v>2585</v>
      </c>
      <c r="E76">
        <v>2597</v>
      </c>
      <c r="F76">
        <v>1.32075471698113</v>
      </c>
      <c r="G76">
        <v>1.296317239405</v>
      </c>
      <c r="H76">
        <v>3.7215865347353501E-2</v>
      </c>
      <c r="I76">
        <v>0.65664139065538596</v>
      </c>
      <c r="J76">
        <v>1.85</v>
      </c>
      <c r="L76">
        <v>1.3335331047523535</v>
      </c>
      <c r="M76">
        <v>1.2591013740576464</v>
      </c>
      <c r="N76">
        <v>1.3707489700997071</v>
      </c>
      <c r="O76">
        <v>1.2218855087102929</v>
      </c>
    </row>
    <row r="77" spans="1:15" x14ac:dyDescent="0.2">
      <c r="A77" s="14">
        <v>43794</v>
      </c>
      <c r="B77">
        <v>3470</v>
      </c>
      <c r="C77">
        <v>3420</v>
      </c>
      <c r="D77">
        <v>2567</v>
      </c>
      <c r="E77">
        <v>2576</v>
      </c>
      <c r="F77">
        <v>1.32763975155279</v>
      </c>
      <c r="G77">
        <v>1.29491288363013</v>
      </c>
      <c r="H77">
        <v>3.8240380863362497E-2</v>
      </c>
      <c r="I77">
        <v>0.85581961224687497</v>
      </c>
      <c r="J77">
        <v>2.4700000000000002</v>
      </c>
      <c r="L77">
        <v>1.3331532644934925</v>
      </c>
      <c r="M77">
        <v>1.2566725027667676</v>
      </c>
      <c r="N77">
        <v>1.3713936453568549</v>
      </c>
      <c r="O77">
        <v>1.2184321219034051</v>
      </c>
    </row>
    <row r="78" spans="1:15" x14ac:dyDescent="0.2">
      <c r="A78" s="14">
        <v>43791</v>
      </c>
      <c r="B78">
        <v>3470</v>
      </c>
      <c r="C78">
        <v>3450</v>
      </c>
      <c r="D78">
        <v>2538</v>
      </c>
      <c r="E78">
        <v>2524</v>
      </c>
      <c r="F78">
        <v>1.3668779714738499</v>
      </c>
      <c r="G78">
        <v>1.2944366931539399</v>
      </c>
      <c r="H78">
        <v>3.80517848239195E-2</v>
      </c>
      <c r="I78">
        <v>1.9037550710200799</v>
      </c>
      <c r="J78">
        <v>5.3</v>
      </c>
      <c r="L78">
        <v>1.3324884779778594</v>
      </c>
      <c r="M78">
        <v>1.2563849083300205</v>
      </c>
      <c r="N78">
        <v>1.3705402628017789</v>
      </c>
      <c r="O78">
        <v>1.218333123506101</v>
      </c>
    </row>
    <row r="79" spans="1:15" x14ac:dyDescent="0.2">
      <c r="A79" s="14">
        <v>43790</v>
      </c>
      <c r="B79">
        <v>3475</v>
      </c>
      <c r="C79">
        <v>3510</v>
      </c>
      <c r="D79">
        <v>2553</v>
      </c>
      <c r="E79">
        <v>2545</v>
      </c>
      <c r="F79">
        <v>1.37917485265225</v>
      </c>
      <c r="G79">
        <v>1.2938334119150601</v>
      </c>
      <c r="H79">
        <v>3.7248698913650499E-2</v>
      </c>
      <c r="I79">
        <v>2.2911254144749398</v>
      </c>
      <c r="J79">
        <v>6.19</v>
      </c>
      <c r="L79">
        <v>1.3310821108287105</v>
      </c>
      <c r="M79">
        <v>1.2565847130014096</v>
      </c>
      <c r="N79">
        <v>1.368330809742361</v>
      </c>
      <c r="O79">
        <v>1.2193360140877592</v>
      </c>
    </row>
    <row r="80" spans="1:15" x14ac:dyDescent="0.2">
      <c r="A80" s="14">
        <v>43789</v>
      </c>
      <c r="B80">
        <v>3500</v>
      </c>
      <c r="C80">
        <v>3490</v>
      </c>
      <c r="D80">
        <v>2560</v>
      </c>
      <c r="E80">
        <v>2558</v>
      </c>
      <c r="F80">
        <v>1.3643471462079699</v>
      </c>
      <c r="G80">
        <v>1.2934019146725999</v>
      </c>
      <c r="H80">
        <v>3.643616923424E-2</v>
      </c>
      <c r="I80">
        <v>1.9471100564738999</v>
      </c>
      <c r="J80">
        <v>5.2</v>
      </c>
      <c r="L80">
        <v>1.32983808390684</v>
      </c>
      <c r="M80">
        <v>1.2569657454383598</v>
      </c>
      <c r="N80">
        <v>1.3662742531410799</v>
      </c>
      <c r="O80">
        <v>1.2205295762041199</v>
      </c>
    </row>
    <row r="81" spans="1:15" x14ac:dyDescent="0.2">
      <c r="A81" s="14">
        <v>43788</v>
      </c>
      <c r="B81">
        <v>3470</v>
      </c>
      <c r="C81">
        <v>3500</v>
      </c>
      <c r="D81">
        <v>2559</v>
      </c>
      <c r="E81">
        <v>2564</v>
      </c>
      <c r="F81">
        <v>1.3650546021840799</v>
      </c>
      <c r="G81">
        <v>1.2926538920008801</v>
      </c>
      <c r="H81">
        <v>3.5536783071582201E-2</v>
      </c>
      <c r="I81">
        <v>2.0373456437337998</v>
      </c>
      <c r="J81">
        <v>5.3</v>
      </c>
      <c r="L81">
        <v>1.3281906750724624</v>
      </c>
      <c r="M81">
        <v>1.2571171089292978</v>
      </c>
      <c r="N81">
        <v>1.3637274581440444</v>
      </c>
      <c r="O81">
        <v>1.2215803258577158</v>
      </c>
    </row>
    <row r="82" spans="1:15" x14ac:dyDescent="0.2">
      <c r="A82" s="14">
        <v>43787</v>
      </c>
      <c r="B82">
        <v>3410</v>
      </c>
      <c r="C82">
        <v>3435</v>
      </c>
      <c r="D82">
        <v>2529</v>
      </c>
      <c r="E82">
        <v>2559</v>
      </c>
      <c r="F82">
        <v>1.3423212192262599</v>
      </c>
      <c r="G82">
        <v>1.29200712080629</v>
      </c>
      <c r="H82">
        <v>3.4643393653498299E-2</v>
      </c>
      <c r="I82">
        <v>1.4523432352846899</v>
      </c>
      <c r="J82">
        <v>3.75</v>
      </c>
      <c r="L82">
        <v>1.3266505144597882</v>
      </c>
      <c r="M82">
        <v>1.2573637271527918</v>
      </c>
      <c r="N82">
        <v>1.3612939081132867</v>
      </c>
      <c r="O82">
        <v>1.2227203334992933</v>
      </c>
    </row>
    <row r="83" spans="1:15" x14ac:dyDescent="0.2">
      <c r="A83" s="14">
        <v>43784</v>
      </c>
      <c r="B83">
        <v>3370</v>
      </c>
      <c r="C83">
        <v>3390</v>
      </c>
      <c r="D83">
        <v>2516</v>
      </c>
      <c r="E83">
        <v>2533</v>
      </c>
      <c r="F83">
        <v>1.3383339913146399</v>
      </c>
      <c r="G83">
        <v>1.29194332284933</v>
      </c>
      <c r="H83">
        <v>3.4554971331618799E-2</v>
      </c>
      <c r="I83">
        <v>1.3425179265845599</v>
      </c>
      <c r="J83">
        <v>3.47</v>
      </c>
      <c r="L83">
        <v>1.3264982941809489</v>
      </c>
      <c r="M83">
        <v>1.2573883515177111</v>
      </c>
      <c r="N83">
        <v>1.3610532655125676</v>
      </c>
      <c r="O83">
        <v>1.2228333801860924</v>
      </c>
    </row>
    <row r="84" spans="1:15" x14ac:dyDescent="0.2">
      <c r="A84" s="14">
        <v>43783</v>
      </c>
      <c r="B84">
        <v>3340</v>
      </c>
      <c r="C84">
        <v>3300</v>
      </c>
      <c r="D84">
        <v>2502</v>
      </c>
      <c r="E84">
        <v>2512</v>
      </c>
      <c r="F84">
        <v>1.31369426751592</v>
      </c>
      <c r="G84">
        <v>1.2915856293814401</v>
      </c>
      <c r="H84">
        <v>3.42100375215037E-2</v>
      </c>
      <c r="I84">
        <v>0.64626173299527501</v>
      </c>
      <c r="J84">
        <v>1.68</v>
      </c>
      <c r="L84">
        <v>1.3257956669029438</v>
      </c>
      <c r="M84">
        <v>1.2573755918599363</v>
      </c>
      <c r="N84">
        <v>1.3600057044244473</v>
      </c>
      <c r="O84">
        <v>1.2231655543384328</v>
      </c>
    </row>
    <row r="85" spans="1:15" x14ac:dyDescent="0.2">
      <c r="A85" s="14">
        <v>43782</v>
      </c>
      <c r="B85">
        <v>3345</v>
      </c>
      <c r="C85">
        <v>3305</v>
      </c>
      <c r="D85">
        <v>2526</v>
      </c>
      <c r="E85">
        <v>2515</v>
      </c>
      <c r="F85">
        <v>1.3141153081510899</v>
      </c>
      <c r="G85">
        <v>1.2917435199795999</v>
      </c>
      <c r="H85">
        <v>3.43387963978804E-2</v>
      </c>
      <c r="I85">
        <v>0.651501814806415</v>
      </c>
      <c r="J85">
        <v>1.7</v>
      </c>
      <c r="L85">
        <v>1.3260823163774802</v>
      </c>
      <c r="M85">
        <v>1.2574047235817196</v>
      </c>
      <c r="N85">
        <v>1.3604211127753607</v>
      </c>
      <c r="O85">
        <v>1.2230659271838391</v>
      </c>
    </row>
    <row r="86" spans="1:15" x14ac:dyDescent="0.2">
      <c r="A86" s="14">
        <v>43781</v>
      </c>
      <c r="B86">
        <v>3395</v>
      </c>
      <c r="C86">
        <v>3345</v>
      </c>
      <c r="D86">
        <v>2509</v>
      </c>
      <c r="E86">
        <v>2523</v>
      </c>
      <c r="F86">
        <v>1.32580261593341</v>
      </c>
      <c r="G86">
        <v>1.29175392496036</v>
      </c>
      <c r="H86">
        <v>3.4345691223415097E-2</v>
      </c>
      <c r="I86">
        <v>0.99135261979633504</v>
      </c>
      <c r="J86">
        <v>2.57</v>
      </c>
      <c r="L86">
        <v>1.326099616183775</v>
      </c>
      <c r="M86">
        <v>1.257408233736945</v>
      </c>
      <c r="N86">
        <v>1.3604453074071903</v>
      </c>
      <c r="O86">
        <v>1.2230625425135297</v>
      </c>
    </row>
    <row r="87" spans="1:15" x14ac:dyDescent="0.2">
      <c r="A87" s="14">
        <v>43780</v>
      </c>
      <c r="B87">
        <v>3380</v>
      </c>
      <c r="C87">
        <v>3365</v>
      </c>
      <c r="D87">
        <v>2510</v>
      </c>
      <c r="E87">
        <v>2529</v>
      </c>
      <c r="F87">
        <v>1.3305654408857199</v>
      </c>
      <c r="G87">
        <v>1.2916633880236299</v>
      </c>
      <c r="H87">
        <v>3.4264672048411902E-2</v>
      </c>
      <c r="I87">
        <v>1.1353400028788501</v>
      </c>
      <c r="J87">
        <v>2.92</v>
      </c>
      <c r="L87">
        <v>1.3259280600720418</v>
      </c>
      <c r="M87">
        <v>1.257398715975218</v>
      </c>
      <c r="N87">
        <v>1.3601927321204537</v>
      </c>
      <c r="O87">
        <v>1.2231340439268061</v>
      </c>
    </row>
    <row r="88" spans="1:15" x14ac:dyDescent="0.2">
      <c r="A88" s="14">
        <v>43777</v>
      </c>
      <c r="B88">
        <v>3445</v>
      </c>
      <c r="C88">
        <v>3360</v>
      </c>
      <c r="D88">
        <v>2510</v>
      </c>
      <c r="E88">
        <v>2478</v>
      </c>
      <c r="F88">
        <v>1.35593220338983</v>
      </c>
      <c r="G88">
        <v>1.29197472431383</v>
      </c>
      <c r="H88">
        <v>3.4719790226289897E-2</v>
      </c>
      <c r="I88">
        <v>1.84210442111382</v>
      </c>
      <c r="J88">
        <v>4.72</v>
      </c>
      <c r="L88">
        <v>1.3266945145401199</v>
      </c>
      <c r="M88">
        <v>1.2572549340875401</v>
      </c>
      <c r="N88">
        <v>1.3614143047664098</v>
      </c>
      <c r="O88">
        <v>1.2225351438612502</v>
      </c>
    </row>
    <row r="89" spans="1:15" x14ac:dyDescent="0.2">
      <c r="A89" s="14">
        <v>43776</v>
      </c>
      <c r="B89">
        <v>3435</v>
      </c>
      <c r="C89">
        <v>3460</v>
      </c>
      <c r="D89">
        <v>2510</v>
      </c>
      <c r="E89">
        <v>2503</v>
      </c>
      <c r="F89">
        <v>1.3823411905713101</v>
      </c>
      <c r="G89">
        <v>1.29207067482357</v>
      </c>
      <c r="H89">
        <v>3.4905853661224902E-2</v>
      </c>
      <c r="I89">
        <v>2.5861139688446202</v>
      </c>
      <c r="J89">
        <v>6.53</v>
      </c>
      <c r="L89">
        <v>1.326976528484795</v>
      </c>
      <c r="M89">
        <v>1.257164821162345</v>
      </c>
      <c r="N89">
        <v>1.3618823821460198</v>
      </c>
      <c r="O89">
        <v>1.2222589675011202</v>
      </c>
    </row>
    <row r="90" spans="1:15" x14ac:dyDescent="0.2">
      <c r="A90" s="14">
        <v>43775</v>
      </c>
      <c r="B90">
        <v>3440</v>
      </c>
      <c r="C90">
        <v>3450</v>
      </c>
      <c r="D90">
        <v>2576</v>
      </c>
      <c r="E90">
        <v>2511</v>
      </c>
      <c r="F90">
        <v>1.3739545997610501</v>
      </c>
      <c r="G90">
        <v>1.2918497051236</v>
      </c>
      <c r="H90">
        <v>3.4382230370819999E-2</v>
      </c>
      <c r="I90">
        <v>2.3880037377425301</v>
      </c>
      <c r="J90">
        <v>5.98</v>
      </c>
      <c r="L90">
        <v>1.3262319354944201</v>
      </c>
      <c r="M90">
        <v>1.2574674747527799</v>
      </c>
      <c r="N90">
        <v>1.36061416586524</v>
      </c>
      <c r="O90">
        <v>1.22308524438196</v>
      </c>
    </row>
    <row r="91" spans="1:15" x14ac:dyDescent="0.2">
      <c r="A91" s="14">
        <v>43774</v>
      </c>
      <c r="B91">
        <v>3475</v>
      </c>
      <c r="C91">
        <v>3425</v>
      </c>
      <c r="D91">
        <v>2595</v>
      </c>
      <c r="E91">
        <v>2578</v>
      </c>
      <c r="F91">
        <v>1.3285492629945601</v>
      </c>
      <c r="G91">
        <v>1.2917433008986301</v>
      </c>
      <c r="H91">
        <v>3.4139463491456398E-2</v>
      </c>
      <c r="I91">
        <v>1.0781060488880501</v>
      </c>
      <c r="J91">
        <v>2.77</v>
      </c>
      <c r="L91">
        <v>1.3258827643900866</v>
      </c>
      <c r="M91">
        <v>1.2576038374071736</v>
      </c>
      <c r="N91">
        <v>1.3600222278815428</v>
      </c>
      <c r="O91">
        <v>1.2234643739157174</v>
      </c>
    </row>
    <row r="92" spans="1:15" x14ac:dyDescent="0.2">
      <c r="A92" s="14">
        <v>43770</v>
      </c>
      <c r="B92">
        <v>3410</v>
      </c>
      <c r="C92">
        <v>3440</v>
      </c>
      <c r="D92">
        <v>2530</v>
      </c>
      <c r="E92">
        <v>2546</v>
      </c>
      <c r="F92">
        <v>1.3511390416339299</v>
      </c>
      <c r="G92">
        <v>1.29205665447537</v>
      </c>
      <c r="H92">
        <v>3.4580856287268702E-2</v>
      </c>
      <c r="I92">
        <v>1.7085287497727699</v>
      </c>
      <c r="J92">
        <v>4.37</v>
      </c>
      <c r="L92">
        <v>1.3266375107626387</v>
      </c>
      <c r="M92">
        <v>1.2574757981881013</v>
      </c>
      <c r="N92">
        <v>1.3612183670499074</v>
      </c>
      <c r="O92">
        <v>1.2228949419008326</v>
      </c>
    </row>
    <row r="93" spans="1:15" x14ac:dyDescent="0.2">
      <c r="A93" s="14">
        <v>43769</v>
      </c>
      <c r="B93">
        <v>3325</v>
      </c>
      <c r="C93">
        <v>3430</v>
      </c>
      <c r="D93">
        <v>2501</v>
      </c>
      <c r="E93">
        <v>2505</v>
      </c>
      <c r="F93">
        <v>1.3692614770459</v>
      </c>
      <c r="G93">
        <v>1.29222387241904</v>
      </c>
      <c r="H93">
        <v>3.4895043607180203E-2</v>
      </c>
      <c r="I93">
        <v>2.2076947515551999</v>
      </c>
      <c r="J93">
        <v>5.63</v>
      </c>
      <c r="L93">
        <v>1.3271189160262202</v>
      </c>
      <c r="M93">
        <v>1.2573288288118598</v>
      </c>
      <c r="N93">
        <v>1.3620139596334004</v>
      </c>
      <c r="O93">
        <v>1.2224337852046796</v>
      </c>
    </row>
    <row r="94" spans="1:15" x14ac:dyDescent="0.2">
      <c r="A94" s="14">
        <v>43768</v>
      </c>
      <c r="B94">
        <v>3200</v>
      </c>
      <c r="C94">
        <v>3255</v>
      </c>
      <c r="D94">
        <v>2479</v>
      </c>
      <c r="E94">
        <v>2492</v>
      </c>
      <c r="F94">
        <v>1.3061797752808899</v>
      </c>
      <c r="G94">
        <v>1.2923323270903699</v>
      </c>
      <c r="H94">
        <v>3.5146047619765197E-2</v>
      </c>
      <c r="I94">
        <v>0.39399730918067899</v>
      </c>
      <c r="J94">
        <v>1.06</v>
      </c>
      <c r="L94">
        <v>1.3274783747101351</v>
      </c>
      <c r="M94">
        <v>1.2571862794706048</v>
      </c>
      <c r="N94">
        <v>1.3626244223299002</v>
      </c>
      <c r="O94">
        <v>1.2220402318508397</v>
      </c>
    </row>
    <row r="95" spans="1:15" x14ac:dyDescent="0.2">
      <c r="A95" s="14">
        <v>43767</v>
      </c>
      <c r="B95">
        <v>3145</v>
      </c>
      <c r="C95">
        <v>3105</v>
      </c>
      <c r="D95">
        <v>2469</v>
      </c>
      <c r="E95">
        <v>2476</v>
      </c>
      <c r="F95">
        <v>1.25403877221324</v>
      </c>
      <c r="G95">
        <v>1.2934546375290299</v>
      </c>
      <c r="H95">
        <v>3.6871885060700597E-2</v>
      </c>
      <c r="I95">
        <v>-1.0689951232733099</v>
      </c>
      <c r="J95">
        <v>-3.14</v>
      </c>
      <c r="L95">
        <v>1.3303265225897305</v>
      </c>
      <c r="M95">
        <v>1.2565827524683293</v>
      </c>
      <c r="N95">
        <v>1.3671984076504311</v>
      </c>
      <c r="O95">
        <v>1.2197108674076287</v>
      </c>
    </row>
    <row r="96" spans="1:15" x14ac:dyDescent="0.2">
      <c r="A96" s="14">
        <v>43766</v>
      </c>
      <c r="B96">
        <v>3100</v>
      </c>
      <c r="C96">
        <v>3115</v>
      </c>
      <c r="D96">
        <v>2449</v>
      </c>
      <c r="E96">
        <v>2441</v>
      </c>
      <c r="F96">
        <v>1.27611634575993</v>
      </c>
      <c r="G96">
        <v>1.2953155391475999</v>
      </c>
      <c r="H96">
        <v>3.8328794274270203E-2</v>
      </c>
      <c r="I96">
        <v>-0.50090783577189602</v>
      </c>
      <c r="J96">
        <v>-1.5</v>
      </c>
      <c r="L96">
        <v>1.3336443334218702</v>
      </c>
      <c r="M96">
        <v>1.2569867448733296</v>
      </c>
      <c r="N96">
        <v>1.3719731276961402</v>
      </c>
      <c r="O96">
        <v>1.2186579505990596</v>
      </c>
    </row>
    <row r="97" spans="1:15" x14ac:dyDescent="0.2">
      <c r="A97" s="14">
        <v>43763</v>
      </c>
      <c r="B97">
        <v>3080</v>
      </c>
      <c r="C97">
        <v>3095</v>
      </c>
      <c r="D97">
        <v>2398</v>
      </c>
      <c r="E97">
        <v>2419</v>
      </c>
      <c r="F97">
        <v>1.2794543199669199</v>
      </c>
      <c r="G97">
        <v>1.2967884914868399</v>
      </c>
      <c r="H97">
        <v>3.9662161222351999E-2</v>
      </c>
      <c r="I97">
        <v>-0.437045561454456</v>
      </c>
      <c r="J97">
        <v>-1.35</v>
      </c>
      <c r="L97">
        <v>1.3364506527091919</v>
      </c>
      <c r="M97">
        <v>1.2571263302644879</v>
      </c>
      <c r="N97">
        <v>1.3761128139315439</v>
      </c>
      <c r="O97">
        <v>1.2174641690421359</v>
      </c>
    </row>
    <row r="98" spans="1:15" x14ac:dyDescent="0.2">
      <c r="A98" s="14">
        <v>43762</v>
      </c>
      <c r="B98">
        <v>3050</v>
      </c>
      <c r="C98">
        <v>3060</v>
      </c>
      <c r="D98">
        <v>2400</v>
      </c>
      <c r="E98">
        <v>2407</v>
      </c>
      <c r="F98">
        <v>1.27129206481096</v>
      </c>
      <c r="G98">
        <v>1.2981257250265299</v>
      </c>
      <c r="H98">
        <v>4.0731482709125702E-2</v>
      </c>
      <c r="I98">
        <v>-0.65879409318801596</v>
      </c>
      <c r="J98">
        <v>-2.11</v>
      </c>
      <c r="L98">
        <v>1.3388572077356555</v>
      </c>
      <c r="M98">
        <v>1.2573942423174043</v>
      </c>
      <c r="N98">
        <v>1.3795886904447814</v>
      </c>
      <c r="O98">
        <v>1.2166627596082784</v>
      </c>
    </row>
    <row r="99" spans="1:15" x14ac:dyDescent="0.2">
      <c r="A99" s="14">
        <v>43761</v>
      </c>
      <c r="B99">
        <v>3085</v>
      </c>
      <c r="C99">
        <v>3090</v>
      </c>
      <c r="D99">
        <v>2421</v>
      </c>
      <c r="E99">
        <v>2389</v>
      </c>
      <c r="F99">
        <v>1.2934282126412699</v>
      </c>
      <c r="G99">
        <v>1.2994441128176399</v>
      </c>
      <c r="H99">
        <v>4.1435759614845198E-2</v>
      </c>
      <c r="I99">
        <v>-0.14518619260964799</v>
      </c>
      <c r="J99">
        <v>-0.47</v>
      </c>
      <c r="L99">
        <v>1.3408798724324851</v>
      </c>
      <c r="M99">
        <v>1.2580083532027948</v>
      </c>
      <c r="N99">
        <v>1.3823156320473304</v>
      </c>
      <c r="O99">
        <v>1.2165725935879494</v>
      </c>
    </row>
    <row r="100" spans="1:15" x14ac:dyDescent="0.2">
      <c r="A100" s="14">
        <v>43759</v>
      </c>
      <c r="B100">
        <v>3055</v>
      </c>
      <c r="C100">
        <v>3085</v>
      </c>
      <c r="D100">
        <v>2405</v>
      </c>
      <c r="E100">
        <v>2424</v>
      </c>
      <c r="F100">
        <v>1.2726897689768899</v>
      </c>
      <c r="G100">
        <v>1.3002444358282299</v>
      </c>
      <c r="H100">
        <v>4.1889033175198001E-2</v>
      </c>
      <c r="I100">
        <v>-0.65780145213873298</v>
      </c>
      <c r="J100">
        <v>-2.17</v>
      </c>
      <c r="L100">
        <v>1.3421334690034279</v>
      </c>
      <c r="M100">
        <v>1.2583554026530319</v>
      </c>
      <c r="N100">
        <v>1.3840225021786259</v>
      </c>
      <c r="O100">
        <v>1.2164663694778339</v>
      </c>
    </row>
    <row r="101" spans="1:15" x14ac:dyDescent="0.2">
      <c r="A101" s="14">
        <v>43756</v>
      </c>
      <c r="B101">
        <v>3075</v>
      </c>
      <c r="C101">
        <v>3050</v>
      </c>
      <c r="D101">
        <v>2405</v>
      </c>
      <c r="E101">
        <v>2380</v>
      </c>
      <c r="F101">
        <v>1.28151260504201</v>
      </c>
      <c r="G101">
        <v>1.3012800581856401</v>
      </c>
      <c r="H101">
        <v>4.21542957910509E-2</v>
      </c>
      <c r="I101">
        <v>-0.46893093035197803</v>
      </c>
      <c r="J101">
        <v>-1.54</v>
      </c>
      <c r="L101">
        <v>1.3434343539766909</v>
      </c>
      <c r="M101">
        <v>1.2591257623945893</v>
      </c>
      <c r="N101">
        <v>1.3855886497677419</v>
      </c>
      <c r="O101">
        <v>1.2169714666035383</v>
      </c>
    </row>
    <row r="102" spans="1:15" x14ac:dyDescent="0.2">
      <c r="A102" s="14">
        <v>43755</v>
      </c>
      <c r="B102">
        <v>3065</v>
      </c>
      <c r="C102">
        <v>3080</v>
      </c>
      <c r="D102">
        <v>2368</v>
      </c>
      <c r="E102">
        <v>2389</v>
      </c>
      <c r="F102">
        <v>1.28924236082042</v>
      </c>
      <c r="G102">
        <v>1.3024741877077799</v>
      </c>
      <c r="H102">
        <v>4.2840340897845601E-2</v>
      </c>
      <c r="I102">
        <v>-0.30886371606857599</v>
      </c>
      <c r="J102">
        <v>-1.03</v>
      </c>
      <c r="L102">
        <v>1.3453145286056254</v>
      </c>
      <c r="M102">
        <v>1.2596338468099344</v>
      </c>
      <c r="N102">
        <v>1.3881548695034711</v>
      </c>
      <c r="O102">
        <v>1.2167935059120887</v>
      </c>
    </row>
    <row r="103" spans="1:15" x14ac:dyDescent="0.2">
      <c r="A103" s="14">
        <v>43754</v>
      </c>
      <c r="B103">
        <v>3090</v>
      </c>
      <c r="C103">
        <v>3070</v>
      </c>
      <c r="D103">
        <v>2397</v>
      </c>
      <c r="E103">
        <v>2352</v>
      </c>
      <c r="F103">
        <v>1.30527210884353</v>
      </c>
      <c r="G103">
        <v>1.3040062588772801</v>
      </c>
      <c r="H103">
        <v>4.4367178412863702E-2</v>
      </c>
      <c r="I103">
        <v>2.8531225368330401E-2</v>
      </c>
      <c r="J103">
        <v>0.1</v>
      </c>
      <c r="L103">
        <v>1.3483734372901437</v>
      </c>
      <c r="M103">
        <v>1.2596390804644164</v>
      </c>
      <c r="N103">
        <v>1.3927406157030076</v>
      </c>
      <c r="O103">
        <v>1.2152719020515526</v>
      </c>
    </row>
    <row r="104" spans="1:15" x14ac:dyDescent="0.2">
      <c r="A104" s="14">
        <v>43753</v>
      </c>
      <c r="B104">
        <v>3110</v>
      </c>
      <c r="C104">
        <v>3110</v>
      </c>
      <c r="D104">
        <v>2380</v>
      </c>
      <c r="E104">
        <v>2386</v>
      </c>
      <c r="F104">
        <v>1.30343671416596</v>
      </c>
      <c r="G104">
        <v>1.3055643793932401</v>
      </c>
      <c r="H104">
        <v>4.6390127614097602E-2</v>
      </c>
      <c r="I104">
        <v>-4.5864612509369802E-2</v>
      </c>
      <c r="J104">
        <v>-0.16</v>
      </c>
      <c r="L104">
        <v>1.3519545070073378</v>
      </c>
      <c r="M104">
        <v>1.2591742517791424</v>
      </c>
      <c r="N104">
        <v>1.3983446346214352</v>
      </c>
      <c r="O104">
        <v>1.212784124165045</v>
      </c>
    </row>
    <row r="105" spans="1:15" x14ac:dyDescent="0.2">
      <c r="A105" s="14">
        <v>43749</v>
      </c>
      <c r="B105">
        <v>3085</v>
      </c>
      <c r="C105">
        <v>3080</v>
      </c>
      <c r="D105">
        <v>2362</v>
      </c>
      <c r="E105">
        <v>2350</v>
      </c>
      <c r="F105">
        <v>1.3106382978723401</v>
      </c>
      <c r="G105">
        <v>1.30721060391502</v>
      </c>
      <c r="H105">
        <v>4.8431217140826398E-2</v>
      </c>
      <c r="I105">
        <v>7.0774474805043494E-2</v>
      </c>
      <c r="J105">
        <v>0.26</v>
      </c>
      <c r="L105">
        <v>1.3556418210558463</v>
      </c>
      <c r="M105">
        <v>1.2587793867741937</v>
      </c>
      <c r="N105">
        <v>1.4040730381966728</v>
      </c>
      <c r="O105">
        <v>1.2103481696333671</v>
      </c>
    </row>
    <row r="106" spans="1:15" x14ac:dyDescent="0.2">
      <c r="A106" s="14">
        <v>43748</v>
      </c>
      <c r="B106">
        <v>3095</v>
      </c>
      <c r="C106">
        <v>3060</v>
      </c>
      <c r="D106">
        <v>2372</v>
      </c>
      <c r="E106">
        <v>2374</v>
      </c>
      <c r="F106">
        <v>1.2889637742207201</v>
      </c>
      <c r="G106">
        <v>1.3088130800519</v>
      </c>
      <c r="H106">
        <v>5.0463800810185901E-2</v>
      </c>
      <c r="I106">
        <v>-0.393337511493556</v>
      </c>
      <c r="J106">
        <v>-1.54</v>
      </c>
      <c r="L106">
        <v>1.3592768808620859</v>
      </c>
      <c r="M106">
        <v>1.2583492792417141</v>
      </c>
      <c r="N106">
        <v>1.4097406816722717</v>
      </c>
      <c r="O106">
        <v>1.2078854784315283</v>
      </c>
    </row>
    <row r="107" spans="1:15" x14ac:dyDescent="0.2">
      <c r="A107" s="14">
        <v>43747</v>
      </c>
      <c r="B107">
        <v>3065</v>
      </c>
      <c r="C107">
        <v>3110</v>
      </c>
      <c r="D107">
        <v>2319</v>
      </c>
      <c r="E107">
        <v>2367</v>
      </c>
      <c r="F107">
        <v>1.31389945078158</v>
      </c>
      <c r="G107">
        <v>1.31081272504492</v>
      </c>
      <c r="H107">
        <v>5.2565264095493003E-2</v>
      </c>
      <c r="I107">
        <v>5.8721777389837901E-2</v>
      </c>
      <c r="J107">
        <v>0.23</v>
      </c>
      <c r="L107">
        <v>1.363377989140413</v>
      </c>
      <c r="M107">
        <v>1.258247460949427</v>
      </c>
      <c r="N107">
        <v>1.415943253235906</v>
      </c>
      <c r="O107">
        <v>1.205682196853934</v>
      </c>
    </row>
    <row r="108" spans="1:15" x14ac:dyDescent="0.2">
      <c r="A108" s="14">
        <v>43746</v>
      </c>
      <c r="B108">
        <v>3040</v>
      </c>
      <c r="C108">
        <v>3065</v>
      </c>
      <c r="D108">
        <v>2296</v>
      </c>
      <c r="E108">
        <v>2298</v>
      </c>
      <c r="F108">
        <v>1.3337684943429</v>
      </c>
      <c r="G108">
        <v>1.31283921166179</v>
      </c>
      <c r="H108">
        <v>5.5493327155953301E-2</v>
      </c>
      <c r="I108">
        <v>0.377149537678512</v>
      </c>
      <c r="J108">
        <v>1.57</v>
      </c>
      <c r="L108">
        <v>1.3683325388177432</v>
      </c>
      <c r="M108">
        <v>1.2573458845058367</v>
      </c>
      <c r="N108">
        <v>1.4238258659736966</v>
      </c>
      <c r="O108">
        <v>1.2018525573498833</v>
      </c>
    </row>
    <row r="109" spans="1:15" x14ac:dyDescent="0.2">
      <c r="A109" s="14">
        <v>43745</v>
      </c>
      <c r="B109">
        <v>3005</v>
      </c>
      <c r="C109">
        <v>3040</v>
      </c>
      <c r="D109">
        <v>2275</v>
      </c>
      <c r="E109">
        <v>2287</v>
      </c>
      <c r="F109">
        <v>1.32925229558373</v>
      </c>
      <c r="G109">
        <v>1.3148271577389199</v>
      </c>
      <c r="H109">
        <v>5.8780649200714297E-2</v>
      </c>
      <c r="I109">
        <v>0.24540623557164601</v>
      </c>
      <c r="J109">
        <v>1.0900000000000001</v>
      </c>
      <c r="L109">
        <v>1.3736078069396342</v>
      </c>
      <c r="M109">
        <v>1.2560465085382055</v>
      </c>
      <c r="N109">
        <v>1.4323884561403486</v>
      </c>
      <c r="O109">
        <v>1.1972658593374912</v>
      </c>
    </row>
    <row r="110" spans="1:15" x14ac:dyDescent="0.2">
      <c r="A110" s="14">
        <v>43742</v>
      </c>
      <c r="B110">
        <v>2968</v>
      </c>
      <c r="C110">
        <v>3005</v>
      </c>
      <c r="D110">
        <v>2260</v>
      </c>
      <c r="E110">
        <v>2271</v>
      </c>
      <c r="F110">
        <v>1.32320563628357</v>
      </c>
      <c r="G110">
        <v>1.31616682042403</v>
      </c>
      <c r="H110">
        <v>6.0221440288187197E-2</v>
      </c>
      <c r="I110">
        <v>0.116882223770416</v>
      </c>
      <c r="J110">
        <v>0.53</v>
      </c>
      <c r="L110">
        <v>1.3763882607122171</v>
      </c>
      <c r="M110">
        <v>1.2559453801358429</v>
      </c>
      <c r="N110">
        <v>1.4366097010004044</v>
      </c>
      <c r="O110">
        <v>1.1957239398476556</v>
      </c>
    </row>
    <row r="111" spans="1:15" x14ac:dyDescent="0.2">
      <c r="A111" s="14">
        <v>43741</v>
      </c>
      <c r="B111">
        <v>2940</v>
      </c>
      <c r="C111">
        <v>2989</v>
      </c>
      <c r="D111">
        <v>2259</v>
      </c>
      <c r="E111">
        <v>2256</v>
      </c>
      <c r="F111">
        <v>1.3249113475177301</v>
      </c>
      <c r="G111">
        <v>1.31745701053533</v>
      </c>
      <c r="H111">
        <v>6.13837469558716E-2</v>
      </c>
      <c r="I111">
        <v>0.12143828541051201</v>
      </c>
      <c r="J111">
        <v>0.56000000000000005</v>
      </c>
      <c r="L111">
        <v>1.3788407574912016</v>
      </c>
      <c r="M111">
        <v>1.2560732635794585</v>
      </c>
      <c r="N111">
        <v>1.4402245044470732</v>
      </c>
      <c r="O111">
        <v>1.1946895166235869</v>
      </c>
    </row>
    <row r="112" spans="1:15" x14ac:dyDescent="0.2">
      <c r="A112" s="14">
        <v>43740</v>
      </c>
      <c r="B112">
        <v>2932</v>
      </c>
      <c r="C112">
        <v>2984</v>
      </c>
      <c r="D112">
        <v>2321</v>
      </c>
      <c r="E112">
        <v>2298</v>
      </c>
      <c r="F112">
        <v>1.2985204525674401</v>
      </c>
      <c r="G112">
        <v>1.31853116105931</v>
      </c>
      <c r="H112">
        <v>6.2204177528982697E-2</v>
      </c>
      <c r="I112">
        <v>-0.32169396472671002</v>
      </c>
      <c r="J112">
        <v>-1.54</v>
      </c>
      <c r="L112">
        <v>1.3807353385882928</v>
      </c>
      <c r="M112">
        <v>1.2563269835303272</v>
      </c>
      <c r="N112">
        <v>1.4429395161172753</v>
      </c>
      <c r="O112">
        <v>1.1941228060013447</v>
      </c>
    </row>
    <row r="113" spans="1:15" x14ac:dyDescent="0.2">
      <c r="A113" s="14">
        <v>43739</v>
      </c>
      <c r="B113">
        <v>2926</v>
      </c>
      <c r="C113">
        <v>2949</v>
      </c>
      <c r="D113">
        <v>2332</v>
      </c>
      <c r="E113">
        <v>2324</v>
      </c>
      <c r="F113">
        <v>1.26893287435456</v>
      </c>
      <c r="G113">
        <v>1.3199281997027399</v>
      </c>
      <c r="H113">
        <v>6.2911646710584301E-2</v>
      </c>
      <c r="I113">
        <v>-0.81058640195473297</v>
      </c>
      <c r="J113">
        <v>-4.0199999999999996</v>
      </c>
      <c r="L113">
        <v>1.3828398464133242</v>
      </c>
      <c r="M113">
        <v>1.2570165529921555</v>
      </c>
      <c r="N113">
        <v>1.4457514931239084</v>
      </c>
      <c r="O113">
        <v>1.1941049062815714</v>
      </c>
    </row>
    <row r="114" spans="1:15" x14ac:dyDescent="0.2">
      <c r="A114" s="14">
        <v>43738</v>
      </c>
      <c r="B114">
        <v>2924</v>
      </c>
      <c r="C114">
        <v>2931</v>
      </c>
      <c r="D114">
        <v>2324</v>
      </c>
      <c r="E114">
        <v>2347</v>
      </c>
      <c r="F114">
        <v>1.2488282914358699</v>
      </c>
      <c r="G114">
        <v>1.32152652230093</v>
      </c>
      <c r="H114">
        <v>6.3118177488659097E-2</v>
      </c>
      <c r="I114">
        <v>-1.1517796260534601</v>
      </c>
      <c r="J114">
        <v>-5.82</v>
      </c>
      <c r="L114">
        <v>1.3846446997895892</v>
      </c>
      <c r="M114">
        <v>1.2584083448122709</v>
      </c>
      <c r="N114">
        <v>1.4477628772782483</v>
      </c>
      <c r="O114">
        <v>1.1952901673236118</v>
      </c>
    </row>
    <row r="115" spans="1:15" x14ac:dyDescent="0.2">
      <c r="A115" s="14">
        <v>43735</v>
      </c>
      <c r="B115">
        <v>2985</v>
      </c>
      <c r="C115">
        <v>2983</v>
      </c>
      <c r="D115">
        <v>2354</v>
      </c>
      <c r="E115">
        <v>2342</v>
      </c>
      <c r="F115">
        <v>1.27369769427839</v>
      </c>
      <c r="G115">
        <v>1.32314756726046</v>
      </c>
      <c r="H115">
        <v>6.2790654944576196E-2</v>
      </c>
      <c r="I115">
        <v>-0.78753555008653198</v>
      </c>
      <c r="J115">
        <v>-3.88</v>
      </c>
      <c r="L115">
        <v>1.3859382222050363</v>
      </c>
      <c r="M115">
        <v>1.2603569123158838</v>
      </c>
      <c r="N115">
        <v>1.4487288771496125</v>
      </c>
      <c r="O115">
        <v>1.1975662573713075</v>
      </c>
    </row>
    <row r="116" spans="1:15" x14ac:dyDescent="0.2">
      <c r="A116" s="14">
        <v>43734</v>
      </c>
      <c r="B116">
        <v>2987</v>
      </c>
      <c r="C116">
        <v>2987</v>
      </c>
      <c r="D116">
        <v>2346</v>
      </c>
      <c r="E116">
        <v>2339</v>
      </c>
      <c r="F116">
        <v>1.2770414707139801</v>
      </c>
      <c r="G116">
        <v>1.32439849365274</v>
      </c>
      <c r="H116">
        <v>6.2727557676284906E-2</v>
      </c>
      <c r="I116">
        <v>-0.75496360281013597</v>
      </c>
      <c r="J116">
        <v>-3.71</v>
      </c>
      <c r="L116">
        <v>1.3871260513290249</v>
      </c>
      <c r="M116">
        <v>1.2616709359764551</v>
      </c>
      <c r="N116">
        <v>1.4498536090053098</v>
      </c>
      <c r="O116">
        <v>1.1989433783001702</v>
      </c>
    </row>
    <row r="117" spans="1:15" x14ac:dyDescent="0.2">
      <c r="A117" s="14">
        <v>43733</v>
      </c>
      <c r="B117">
        <v>2954</v>
      </c>
      <c r="C117">
        <v>2972</v>
      </c>
      <c r="D117">
        <v>2318</v>
      </c>
      <c r="E117">
        <v>2338</v>
      </c>
      <c r="F117">
        <v>1.27117194183062</v>
      </c>
      <c r="G117">
        <v>1.3257602459747999</v>
      </c>
      <c r="H117">
        <v>6.2793254054369002E-2</v>
      </c>
      <c r="I117">
        <v>-0.86933389527660199</v>
      </c>
      <c r="J117">
        <v>-4.29</v>
      </c>
      <c r="L117">
        <v>1.3885535000291689</v>
      </c>
      <c r="M117">
        <v>1.2629669919204309</v>
      </c>
      <c r="N117">
        <v>1.4513467540835379</v>
      </c>
      <c r="O117">
        <v>1.200173737866062</v>
      </c>
    </row>
    <row r="118" spans="1:15" x14ac:dyDescent="0.2">
      <c r="A118" s="14">
        <v>43732</v>
      </c>
      <c r="B118">
        <v>2953</v>
      </c>
      <c r="C118">
        <v>2963</v>
      </c>
      <c r="D118">
        <v>2309</v>
      </c>
      <c r="E118">
        <v>2324</v>
      </c>
      <c r="F118">
        <v>1.2749569707401001</v>
      </c>
      <c r="G118">
        <v>1.3270124505076599</v>
      </c>
      <c r="H118">
        <v>6.2628384213329905E-2</v>
      </c>
      <c r="I118">
        <v>-0.83118030939850496</v>
      </c>
      <c r="J118">
        <v>-4.08</v>
      </c>
      <c r="L118">
        <v>1.3896408347209899</v>
      </c>
      <c r="M118">
        <v>1.26438406629433</v>
      </c>
      <c r="N118">
        <v>1.4522692189343198</v>
      </c>
      <c r="O118">
        <v>1.201755682081</v>
      </c>
    </row>
    <row r="119" spans="1:15" x14ac:dyDescent="0.2">
      <c r="A119" s="14">
        <v>43728</v>
      </c>
      <c r="B119">
        <v>3005</v>
      </c>
      <c r="C119">
        <v>2981</v>
      </c>
      <c r="D119">
        <v>2313</v>
      </c>
      <c r="E119">
        <v>2285</v>
      </c>
      <c r="F119">
        <v>1.30459518599562</v>
      </c>
      <c r="G119">
        <v>1.3281576308407601</v>
      </c>
      <c r="H119">
        <v>6.2451061620327299E-2</v>
      </c>
      <c r="I119">
        <v>-0.37729454446084998</v>
      </c>
      <c r="J119">
        <v>-1.81</v>
      </c>
      <c r="L119">
        <v>1.3906086924610874</v>
      </c>
      <c r="M119">
        <v>1.2657065692204328</v>
      </c>
      <c r="N119">
        <v>1.4530597540814147</v>
      </c>
      <c r="O119">
        <v>1.2032555076001055</v>
      </c>
    </row>
    <row r="120" spans="1:15" x14ac:dyDescent="0.2">
      <c r="A120" s="14">
        <v>43727</v>
      </c>
      <c r="B120">
        <v>2940</v>
      </c>
      <c r="C120">
        <v>3005</v>
      </c>
      <c r="D120">
        <v>2272</v>
      </c>
      <c r="E120">
        <v>2309</v>
      </c>
      <c r="F120">
        <v>1.3014291901255901</v>
      </c>
      <c r="G120">
        <v>1.32906082693943</v>
      </c>
      <c r="H120">
        <v>6.2593438611755106E-2</v>
      </c>
      <c r="I120">
        <v>-0.441446219071359</v>
      </c>
      <c r="J120">
        <v>-2.12</v>
      </c>
      <c r="L120">
        <v>1.391654265551185</v>
      </c>
      <c r="M120">
        <v>1.2664673883276749</v>
      </c>
      <c r="N120">
        <v>1.4542477041629402</v>
      </c>
      <c r="O120">
        <v>1.2038739497159197</v>
      </c>
    </row>
    <row r="121" spans="1:15" x14ac:dyDescent="0.2">
      <c r="A121" s="14">
        <v>43726</v>
      </c>
      <c r="B121">
        <v>2890</v>
      </c>
      <c r="C121">
        <v>2919</v>
      </c>
      <c r="D121">
        <v>2245</v>
      </c>
      <c r="E121">
        <v>2257</v>
      </c>
      <c r="F121">
        <v>1.2933097031457601</v>
      </c>
      <c r="G121">
        <v>1.3295196827176701</v>
      </c>
      <c r="H121">
        <v>6.2515288394773397E-2</v>
      </c>
      <c r="I121">
        <v>-0.57921798813829795</v>
      </c>
      <c r="J121">
        <v>-2.8</v>
      </c>
      <c r="L121">
        <v>1.3920349711124436</v>
      </c>
      <c r="M121">
        <v>1.2670043943228966</v>
      </c>
      <c r="N121">
        <v>1.4545502595072168</v>
      </c>
      <c r="O121">
        <v>1.2044891059281233</v>
      </c>
    </row>
    <row r="122" spans="1:15" x14ac:dyDescent="0.2">
      <c r="A122" s="14">
        <v>43725</v>
      </c>
      <c r="B122">
        <v>2840</v>
      </c>
      <c r="C122">
        <v>2873</v>
      </c>
      <c r="D122">
        <v>2280</v>
      </c>
      <c r="E122">
        <v>2256</v>
      </c>
      <c r="F122">
        <v>1.2734929078014099</v>
      </c>
      <c r="G122">
        <v>1.3306821560036699</v>
      </c>
      <c r="H122">
        <v>6.2641635368282697E-2</v>
      </c>
      <c r="I122">
        <v>-0.91295905456537296</v>
      </c>
      <c r="J122">
        <v>-4.49</v>
      </c>
      <c r="L122">
        <v>1.3933237913719525</v>
      </c>
      <c r="M122">
        <v>1.2680405206353873</v>
      </c>
      <c r="N122">
        <v>1.4559654267402353</v>
      </c>
      <c r="O122">
        <v>1.2053988852671045</v>
      </c>
    </row>
    <row r="123" spans="1:15" x14ac:dyDescent="0.2">
      <c r="A123" s="14">
        <v>43721</v>
      </c>
      <c r="B123">
        <v>2833</v>
      </c>
      <c r="C123">
        <v>2859</v>
      </c>
      <c r="D123">
        <v>2280</v>
      </c>
      <c r="E123">
        <v>2276</v>
      </c>
      <c r="F123">
        <v>1.256151142355</v>
      </c>
      <c r="G123">
        <v>1.3321524843672501</v>
      </c>
      <c r="H123">
        <v>6.2576182217560505E-2</v>
      </c>
      <c r="I123">
        <v>-1.2145410493087101</v>
      </c>
      <c r="J123">
        <v>-6.05</v>
      </c>
      <c r="L123">
        <v>1.3947286665848107</v>
      </c>
      <c r="M123">
        <v>1.2695763021496895</v>
      </c>
      <c r="N123">
        <v>1.4573048488023712</v>
      </c>
      <c r="O123">
        <v>1.207000119932129</v>
      </c>
    </row>
    <row r="124" spans="1:15" x14ac:dyDescent="0.2">
      <c r="A124" s="14">
        <v>43720</v>
      </c>
      <c r="B124">
        <v>2818</v>
      </c>
      <c r="C124">
        <v>2832</v>
      </c>
      <c r="D124">
        <v>2260</v>
      </c>
      <c r="E124">
        <v>2279</v>
      </c>
      <c r="F124">
        <v>1.2426502852128101</v>
      </c>
      <c r="G124">
        <v>1.33406109361267</v>
      </c>
      <c r="H124">
        <v>6.2411787808814602E-2</v>
      </c>
      <c r="I124">
        <v>-1.46464012022656</v>
      </c>
      <c r="J124">
        <v>-7.36</v>
      </c>
      <c r="L124">
        <v>1.3964728814214846</v>
      </c>
      <c r="M124">
        <v>1.2716493058038554</v>
      </c>
      <c r="N124">
        <v>1.4588846692302992</v>
      </c>
      <c r="O124">
        <v>1.2092375179950408</v>
      </c>
    </row>
    <row r="125" spans="1:15" x14ac:dyDescent="0.2">
      <c r="A125" s="14">
        <v>43719</v>
      </c>
      <c r="B125">
        <v>2787</v>
      </c>
      <c r="C125">
        <v>2806</v>
      </c>
      <c r="D125">
        <v>2226</v>
      </c>
      <c r="E125">
        <v>2252</v>
      </c>
      <c r="F125">
        <v>1.2460035523978601</v>
      </c>
      <c r="G125">
        <v>1.33631866778543</v>
      </c>
      <c r="H125">
        <v>6.2126076183450001E-2</v>
      </c>
      <c r="I125">
        <v>-1.45373924985825</v>
      </c>
      <c r="J125">
        <v>-7.25</v>
      </c>
      <c r="L125">
        <v>1.3984447439688799</v>
      </c>
      <c r="M125">
        <v>1.2741925916019801</v>
      </c>
      <c r="N125">
        <v>1.46057082015233</v>
      </c>
      <c r="O125">
        <v>1.2120665154185299</v>
      </c>
    </row>
    <row r="126" spans="1:15" x14ac:dyDescent="0.2">
      <c r="A126" s="14">
        <v>43718</v>
      </c>
      <c r="B126">
        <v>2820</v>
      </c>
      <c r="C126">
        <v>2803</v>
      </c>
      <c r="D126">
        <v>2278</v>
      </c>
      <c r="E126">
        <v>2226</v>
      </c>
      <c r="F126">
        <v>1.2592093441150001</v>
      </c>
      <c r="G126">
        <v>1.3387261726339901</v>
      </c>
      <c r="H126">
        <v>6.2078104639694702E-2</v>
      </c>
      <c r="I126">
        <v>-1.28091585560663</v>
      </c>
      <c r="J126">
        <v>-6.31</v>
      </c>
      <c r="L126">
        <v>1.4008042772736848</v>
      </c>
      <c r="M126">
        <v>1.2766480679942953</v>
      </c>
      <c r="N126">
        <v>1.4628823819133794</v>
      </c>
      <c r="O126">
        <v>1.2145699633546008</v>
      </c>
    </row>
    <row r="127" spans="1:15" x14ac:dyDescent="0.2">
      <c r="A127" s="14">
        <v>43717</v>
      </c>
      <c r="B127">
        <v>2819</v>
      </c>
      <c r="C127">
        <v>2824</v>
      </c>
      <c r="D127">
        <v>2244</v>
      </c>
      <c r="E127">
        <v>2277</v>
      </c>
      <c r="F127">
        <v>1.2402283706631501</v>
      </c>
      <c r="G127">
        <v>1.3408405961051</v>
      </c>
      <c r="H127">
        <v>6.2034383917644403E-2</v>
      </c>
      <c r="I127">
        <v>-1.62187836951066</v>
      </c>
      <c r="J127">
        <v>-8.11</v>
      </c>
      <c r="L127">
        <v>1.4028749800227445</v>
      </c>
      <c r="M127">
        <v>1.2788062121874555</v>
      </c>
      <c r="N127">
        <v>1.4649093639403887</v>
      </c>
      <c r="O127">
        <v>1.2167718282698112</v>
      </c>
    </row>
    <row r="128" spans="1:15" x14ac:dyDescent="0.2">
      <c r="A128" s="14">
        <v>43714</v>
      </c>
      <c r="B128">
        <v>2831</v>
      </c>
      <c r="C128">
        <v>2813</v>
      </c>
      <c r="D128">
        <v>2216</v>
      </c>
      <c r="E128">
        <v>2227</v>
      </c>
      <c r="F128">
        <v>1.26313426133812</v>
      </c>
      <c r="G128">
        <v>1.34302888416671</v>
      </c>
      <c r="H128">
        <v>6.1337463820019998E-2</v>
      </c>
      <c r="I128">
        <v>-1.30254200048153</v>
      </c>
      <c r="J128">
        <v>-6.33</v>
      </c>
      <c r="L128">
        <v>1.4043663479867299</v>
      </c>
      <c r="M128">
        <v>1.28169142034669</v>
      </c>
      <c r="N128">
        <v>1.46570381180675</v>
      </c>
      <c r="O128">
        <v>1.2203539565266699</v>
      </c>
    </row>
    <row r="129" spans="1:15" x14ac:dyDescent="0.2">
      <c r="A129" s="14">
        <v>43713</v>
      </c>
      <c r="B129">
        <v>2814</v>
      </c>
      <c r="C129">
        <v>2843</v>
      </c>
      <c r="D129">
        <v>2191</v>
      </c>
      <c r="E129">
        <v>2216</v>
      </c>
      <c r="F129">
        <v>1.28294223826714</v>
      </c>
      <c r="G129">
        <v>1.34524623380048</v>
      </c>
      <c r="H129">
        <v>6.1415040161301199E-2</v>
      </c>
      <c r="I129">
        <v>-1.01447455492502</v>
      </c>
      <c r="J129">
        <v>-4.8600000000000003</v>
      </c>
      <c r="L129">
        <v>1.4066612739617812</v>
      </c>
      <c r="M129">
        <v>1.2838311936391789</v>
      </c>
      <c r="N129">
        <v>1.4680763141230824</v>
      </c>
      <c r="O129">
        <v>1.2224161534778777</v>
      </c>
    </row>
    <row r="130" spans="1:15" x14ac:dyDescent="0.2">
      <c r="A130" s="14">
        <v>43712</v>
      </c>
      <c r="B130">
        <v>2762</v>
      </c>
      <c r="C130">
        <v>2795</v>
      </c>
      <c r="D130">
        <v>2161</v>
      </c>
      <c r="E130">
        <v>2152</v>
      </c>
      <c r="F130">
        <v>1.2987918215613301</v>
      </c>
      <c r="G130">
        <v>1.3470855909316399</v>
      </c>
      <c r="H130">
        <v>6.1587075962299898E-2</v>
      </c>
      <c r="I130">
        <v>-0.78415428262690101</v>
      </c>
      <c r="J130">
        <v>-3.72</v>
      </c>
      <c r="L130">
        <v>1.4086726668939398</v>
      </c>
      <c r="M130">
        <v>1.2854985149693401</v>
      </c>
      <c r="N130">
        <v>1.4702597428562396</v>
      </c>
      <c r="O130">
        <v>1.2239114390070402</v>
      </c>
    </row>
    <row r="131" spans="1:15" x14ac:dyDescent="0.2">
      <c r="A131" s="14">
        <v>43711</v>
      </c>
      <c r="B131">
        <v>2783</v>
      </c>
      <c r="C131">
        <v>2782</v>
      </c>
      <c r="D131">
        <v>2174</v>
      </c>
      <c r="E131">
        <v>2177</v>
      </c>
      <c r="F131">
        <v>1.2779053743683899</v>
      </c>
      <c r="G131">
        <v>1.3484563453321301</v>
      </c>
      <c r="H131">
        <v>6.1641006936807803E-2</v>
      </c>
      <c r="I131">
        <v>-1.14454604928936</v>
      </c>
      <c r="J131">
        <v>-5.52</v>
      </c>
      <c r="L131">
        <v>1.410097352268938</v>
      </c>
      <c r="M131">
        <v>1.2868153383953223</v>
      </c>
      <c r="N131">
        <v>1.4717383592057458</v>
      </c>
      <c r="O131">
        <v>1.2251743314585144</v>
      </c>
    </row>
    <row r="132" spans="1:15" x14ac:dyDescent="0.2">
      <c r="A132" s="14">
        <v>43710</v>
      </c>
      <c r="B132">
        <v>2824</v>
      </c>
      <c r="C132">
        <v>2782</v>
      </c>
      <c r="D132">
        <v>2191</v>
      </c>
      <c r="E132">
        <v>2174</v>
      </c>
      <c r="F132">
        <v>1.2796688132474701</v>
      </c>
      <c r="G132">
        <v>1.3502060942896801</v>
      </c>
      <c r="H132">
        <v>6.1475854976217603E-2</v>
      </c>
      <c r="I132" s="15">
        <v>-1.14739813003832</v>
      </c>
      <c r="J132">
        <v>-5.51</v>
      </c>
      <c r="L132">
        <v>1.4116819492658976</v>
      </c>
      <c r="M132">
        <v>1.2887302393134625</v>
      </c>
      <c r="N132">
        <v>1.4731578042421152</v>
      </c>
      <c r="O132">
        <v>1.227254384337245</v>
      </c>
    </row>
    <row r="133" spans="1:15" x14ac:dyDescent="0.2">
      <c r="A133" s="14">
        <v>43707</v>
      </c>
      <c r="B133">
        <v>2754</v>
      </c>
      <c r="C133">
        <v>2775</v>
      </c>
      <c r="D133">
        <v>2190</v>
      </c>
      <c r="E133">
        <v>2217</v>
      </c>
      <c r="F133">
        <v>1.2516914749661701</v>
      </c>
      <c r="G133">
        <v>1.35175055439852</v>
      </c>
      <c r="H133">
        <v>6.1138475051331798E-2</v>
      </c>
      <c r="I133" s="15">
        <v>-1.6365975655812</v>
      </c>
      <c r="J133">
        <v>-7.99</v>
      </c>
      <c r="L133">
        <v>1.4128890294498517</v>
      </c>
      <c r="M133">
        <v>1.2906120793471882</v>
      </c>
      <c r="N133">
        <v>1.4740275045011835</v>
      </c>
      <c r="O133">
        <v>1.2294736042958565</v>
      </c>
    </row>
    <row r="134" spans="1:15" x14ac:dyDescent="0.2">
      <c r="A134" s="14">
        <v>43706</v>
      </c>
      <c r="B134">
        <v>2747</v>
      </c>
      <c r="C134">
        <v>2711</v>
      </c>
      <c r="D134">
        <v>2179</v>
      </c>
      <c r="E134">
        <v>2175</v>
      </c>
      <c r="F134">
        <v>1.2464367816091899</v>
      </c>
      <c r="G134">
        <v>1.3540920799120899</v>
      </c>
      <c r="H134">
        <v>6.0622225668174101E-2</v>
      </c>
      <c r="I134">
        <v>-1.77583876402306</v>
      </c>
      <c r="J134">
        <v>-8.64</v>
      </c>
      <c r="L134">
        <v>1.414714305580264</v>
      </c>
      <c r="M134">
        <v>1.2934698542439158</v>
      </c>
      <c r="N134">
        <v>1.4753365312484381</v>
      </c>
      <c r="O134">
        <v>1.2328476285757417</v>
      </c>
    </row>
    <row r="135" spans="1:15" x14ac:dyDescent="0.2">
      <c r="A135" s="14">
        <v>43705</v>
      </c>
      <c r="B135">
        <v>2727</v>
      </c>
      <c r="C135">
        <v>2702</v>
      </c>
      <c r="D135">
        <v>2182</v>
      </c>
      <c r="E135">
        <v>2189</v>
      </c>
      <c r="F135">
        <v>1.23435358611238</v>
      </c>
      <c r="G135">
        <v>1.3570049041032199</v>
      </c>
      <c r="H135">
        <v>6.0627952657389697E-2</v>
      </c>
      <c r="I135">
        <v>-2.0230159953437199</v>
      </c>
      <c r="J135">
        <v>-9.94</v>
      </c>
      <c r="L135">
        <v>1.4176328567606096</v>
      </c>
      <c r="M135">
        <v>1.2963769514458303</v>
      </c>
      <c r="N135">
        <v>1.4782608094179994</v>
      </c>
      <c r="O135">
        <v>1.2357489987884405</v>
      </c>
    </row>
    <row r="136" spans="1:15" x14ac:dyDescent="0.2">
      <c r="A136" s="14">
        <v>43704</v>
      </c>
      <c r="B136">
        <v>2748</v>
      </c>
      <c r="C136">
        <v>2731</v>
      </c>
      <c r="D136">
        <v>2178</v>
      </c>
      <c r="E136">
        <v>2181</v>
      </c>
      <c r="F136">
        <v>1.2521779000458499</v>
      </c>
      <c r="G136">
        <v>1.3592135229550499</v>
      </c>
      <c r="H136">
        <v>5.9118021046133701E-2</v>
      </c>
      <c r="I136">
        <v>-1.8105413715672101</v>
      </c>
      <c r="J136">
        <v>-8.5500000000000007</v>
      </c>
      <c r="L136">
        <v>1.4183315440011837</v>
      </c>
      <c r="M136">
        <v>1.3000955019089162</v>
      </c>
      <c r="N136">
        <v>1.4774495650473174</v>
      </c>
      <c r="O136">
        <v>1.2409774808627825</v>
      </c>
    </row>
    <row r="137" spans="1:15" x14ac:dyDescent="0.2">
      <c r="A137" s="14">
        <v>43703</v>
      </c>
      <c r="B137">
        <v>2673</v>
      </c>
      <c r="C137">
        <v>2719</v>
      </c>
      <c r="D137">
        <v>2110</v>
      </c>
      <c r="E137">
        <v>2156</v>
      </c>
      <c r="F137">
        <v>1.2611317254174299</v>
      </c>
      <c r="G137">
        <v>1.36130380444039</v>
      </c>
      <c r="H137">
        <v>5.8058571508795898E-2</v>
      </c>
      <c r="I137">
        <v>-1.7253624472621001</v>
      </c>
      <c r="J137">
        <v>-7.94</v>
      </c>
      <c r="L137">
        <v>1.419362375949186</v>
      </c>
      <c r="M137">
        <v>1.303245232931594</v>
      </c>
      <c r="N137">
        <v>1.4774209474579818</v>
      </c>
      <c r="O137">
        <v>1.2451866614227982</v>
      </c>
    </row>
    <row r="138" spans="1:15" x14ac:dyDescent="0.2">
      <c r="A138" s="14">
        <v>43700</v>
      </c>
      <c r="B138">
        <v>2740</v>
      </c>
      <c r="C138">
        <v>2750</v>
      </c>
      <c r="D138">
        <v>2105</v>
      </c>
      <c r="E138">
        <v>2158</v>
      </c>
      <c r="F138">
        <v>1.27432808155699</v>
      </c>
      <c r="G138">
        <v>1.3634217691614701</v>
      </c>
      <c r="H138">
        <v>5.7257516399562301E-2</v>
      </c>
      <c r="I138">
        <v>-1.5560173267514299</v>
      </c>
      <c r="J138">
        <v>-6.99</v>
      </c>
      <c r="L138">
        <v>1.4206792855610324</v>
      </c>
      <c r="M138">
        <v>1.3061642527619077</v>
      </c>
      <c r="N138">
        <v>1.4779368019605947</v>
      </c>
      <c r="O138">
        <v>1.2489067363623454</v>
      </c>
    </row>
    <row r="139" spans="1:15" x14ac:dyDescent="0.2">
      <c r="A139" s="14">
        <v>43699</v>
      </c>
      <c r="B139">
        <v>2758</v>
      </c>
      <c r="C139">
        <v>2747</v>
      </c>
      <c r="D139">
        <v>2119</v>
      </c>
      <c r="E139">
        <v>2108</v>
      </c>
      <c r="F139">
        <v>1.3031309297912701</v>
      </c>
      <c r="G139">
        <v>1.36474095909714</v>
      </c>
      <c r="H139">
        <v>5.6321750564047202E-2</v>
      </c>
      <c r="I139">
        <v>-1.0938940762470299</v>
      </c>
      <c r="J139">
        <v>-4.7300000000000004</v>
      </c>
      <c r="L139">
        <v>1.4210627096611872</v>
      </c>
      <c r="M139">
        <v>1.3084192085330928</v>
      </c>
      <c r="N139">
        <v>1.4773844602252344</v>
      </c>
      <c r="O139">
        <v>1.2520974579690456</v>
      </c>
    </row>
    <row r="140" spans="1:15" x14ac:dyDescent="0.2">
      <c r="A140" s="14">
        <v>43698</v>
      </c>
      <c r="B140">
        <v>2736</v>
      </c>
      <c r="C140">
        <v>2761</v>
      </c>
      <c r="D140">
        <v>2101</v>
      </c>
      <c r="E140">
        <v>2128</v>
      </c>
      <c r="F140">
        <v>1.2974624060150299</v>
      </c>
      <c r="G140">
        <v>1.3654221207831301</v>
      </c>
      <c r="H140">
        <v>5.5879704863832397E-2</v>
      </c>
      <c r="I140">
        <v>-1.21617884227745</v>
      </c>
      <c r="J140">
        <v>-5.24</v>
      </c>
      <c r="L140">
        <v>1.4213018256469625</v>
      </c>
      <c r="M140">
        <v>1.3095424159192977</v>
      </c>
      <c r="N140">
        <v>1.4771815305107949</v>
      </c>
      <c r="O140">
        <v>1.2536627110554652</v>
      </c>
    </row>
    <row r="141" spans="1:15" x14ac:dyDescent="0.2">
      <c r="A141" s="14">
        <v>43697</v>
      </c>
      <c r="B141">
        <v>2751</v>
      </c>
      <c r="C141">
        <v>2763</v>
      </c>
      <c r="D141">
        <v>2094</v>
      </c>
      <c r="E141">
        <v>2132</v>
      </c>
      <c r="F141">
        <v>1.29596622889305</v>
      </c>
      <c r="G141">
        <v>1.3657751113208001</v>
      </c>
      <c r="H141">
        <v>5.5531826143338001E-2</v>
      </c>
      <c r="I141">
        <v>-1.2570968267378899</v>
      </c>
      <c r="J141">
        <v>-5.39</v>
      </c>
      <c r="L141">
        <v>1.4213069374641381</v>
      </c>
      <c r="M141">
        <v>1.3102432851774621</v>
      </c>
      <c r="N141">
        <v>1.476838763607476</v>
      </c>
      <c r="O141">
        <v>1.2547114590341242</v>
      </c>
    </row>
    <row r="142" spans="1:15" x14ac:dyDescent="0.2">
      <c r="A142" s="14">
        <v>43696</v>
      </c>
      <c r="B142">
        <v>2707</v>
      </c>
      <c r="C142">
        <v>2747</v>
      </c>
      <c r="D142">
        <v>2115</v>
      </c>
      <c r="E142">
        <v>2083</v>
      </c>
      <c r="F142">
        <v>1.31877100336053</v>
      </c>
      <c r="G142">
        <v>1.3656729681257</v>
      </c>
      <c r="H142">
        <v>5.5667016972354599E-2</v>
      </c>
      <c r="I142">
        <v>-0.84254496317734795</v>
      </c>
      <c r="J142">
        <v>-3.56</v>
      </c>
      <c r="L142">
        <v>1.4213399850980546</v>
      </c>
      <c r="M142">
        <v>1.3100059511533455</v>
      </c>
      <c r="N142">
        <v>1.4770070020704091</v>
      </c>
      <c r="O142">
        <v>1.254338934180991</v>
      </c>
    </row>
    <row r="143" spans="1:15" x14ac:dyDescent="0.2">
      <c r="A143" s="14">
        <v>43693</v>
      </c>
      <c r="B143">
        <v>2629</v>
      </c>
      <c r="C143">
        <v>2682</v>
      </c>
      <c r="D143">
        <v>2048</v>
      </c>
      <c r="E143">
        <v>2096</v>
      </c>
      <c r="F143">
        <v>1.2795801526717501</v>
      </c>
      <c r="G143">
        <v>1.36519663444104</v>
      </c>
      <c r="H143">
        <v>5.6216446789571099E-2</v>
      </c>
      <c r="I143">
        <v>-1.52297924644316</v>
      </c>
      <c r="J143">
        <v>-6.69</v>
      </c>
      <c r="L143">
        <v>1.4214130812306112</v>
      </c>
      <c r="M143">
        <v>1.3089801876514688</v>
      </c>
      <c r="N143">
        <v>1.4776295280201821</v>
      </c>
      <c r="O143">
        <v>1.2527637408618979</v>
      </c>
    </row>
    <row r="144" spans="1:15" x14ac:dyDescent="0.2">
      <c r="A144" s="14">
        <v>43692</v>
      </c>
      <c r="B144">
        <v>2551</v>
      </c>
      <c r="C144">
        <v>2632</v>
      </c>
      <c r="D144">
        <v>2016</v>
      </c>
      <c r="E144">
        <v>2054</v>
      </c>
      <c r="F144">
        <v>1.28140214216163</v>
      </c>
      <c r="G144">
        <v>1.36542642802962</v>
      </c>
      <c r="H144">
        <v>5.5900341943311199E-2</v>
      </c>
      <c r="I144">
        <v>-1.50310862057328</v>
      </c>
      <c r="J144">
        <v>-6.56</v>
      </c>
      <c r="L144">
        <v>1.4213267699729313</v>
      </c>
      <c r="M144">
        <v>1.3095260860863087</v>
      </c>
      <c r="N144">
        <v>1.4772271119162423</v>
      </c>
      <c r="O144">
        <v>1.2536257441429977</v>
      </c>
    </row>
    <row r="145" spans="1:15" x14ac:dyDescent="0.2">
      <c r="A145" s="14">
        <v>43691</v>
      </c>
      <c r="B145">
        <v>2611</v>
      </c>
      <c r="C145">
        <v>2635</v>
      </c>
      <c r="D145">
        <v>2076</v>
      </c>
      <c r="E145">
        <v>2041</v>
      </c>
      <c r="F145">
        <v>1.2910338069573699</v>
      </c>
      <c r="G145">
        <v>1.36562860040279</v>
      </c>
      <c r="H145">
        <v>5.5622819977859402E-2</v>
      </c>
      <c r="I145">
        <v>-1.3410825534397099</v>
      </c>
      <c r="J145">
        <v>-5.78</v>
      </c>
      <c r="L145">
        <v>1.4212514203806494</v>
      </c>
      <c r="M145">
        <v>1.3100057804249305</v>
      </c>
      <c r="N145">
        <v>1.4768742403585089</v>
      </c>
      <c r="O145">
        <v>1.2543829604470711</v>
      </c>
    </row>
    <row r="146" spans="1:15" x14ac:dyDescent="0.2">
      <c r="A146" s="14">
        <v>43690</v>
      </c>
      <c r="B146">
        <v>2621</v>
      </c>
      <c r="C146">
        <v>2607</v>
      </c>
      <c r="D146">
        <v>2047</v>
      </c>
      <c r="E146">
        <v>2055</v>
      </c>
      <c r="F146">
        <v>1.2686131386861299</v>
      </c>
      <c r="G146">
        <v>1.3656332738769901</v>
      </c>
      <c r="H146">
        <v>5.5616566640399497E-2</v>
      </c>
      <c r="I146">
        <v>-1.74444668291309</v>
      </c>
      <c r="J146">
        <v>-7.65</v>
      </c>
      <c r="L146">
        <v>1.4212498405173897</v>
      </c>
      <c r="M146">
        <v>1.3100167072365905</v>
      </c>
      <c r="N146">
        <v>1.4768664071577891</v>
      </c>
      <c r="O146">
        <v>1.2544001405961911</v>
      </c>
    </row>
    <row r="147" spans="1:15" x14ac:dyDescent="0.2">
      <c r="A147" s="14">
        <v>43686</v>
      </c>
      <c r="B147">
        <v>2616</v>
      </c>
      <c r="C147">
        <v>2623</v>
      </c>
      <c r="D147">
        <v>2066</v>
      </c>
      <c r="E147">
        <v>2074</v>
      </c>
      <c r="F147">
        <v>1.26470588235294</v>
      </c>
      <c r="G147">
        <v>1.3660446004043201</v>
      </c>
      <c r="H147">
        <v>5.5008259363308602E-2</v>
      </c>
      <c r="I147">
        <v>-1.8422454959369601</v>
      </c>
      <c r="J147">
        <v>-8.01</v>
      </c>
      <c r="L147">
        <v>1.4210528597676286</v>
      </c>
      <c r="M147">
        <v>1.3110363410410115</v>
      </c>
      <c r="N147">
        <v>1.4760611191309372</v>
      </c>
      <c r="O147">
        <v>1.256028081677703</v>
      </c>
    </row>
    <row r="148" spans="1:15" x14ac:dyDescent="0.2">
      <c r="A148" s="14">
        <v>43685</v>
      </c>
      <c r="B148">
        <v>2577</v>
      </c>
      <c r="C148">
        <v>2595</v>
      </c>
      <c r="D148">
        <v>2062</v>
      </c>
      <c r="E148">
        <v>2056</v>
      </c>
      <c r="F148">
        <v>1.2621595330739299</v>
      </c>
      <c r="G148">
        <v>1.3665075477609201</v>
      </c>
      <c r="H148">
        <v>5.4294928987562503E-2</v>
      </c>
      <c r="I148">
        <v>-1.9218740429865</v>
      </c>
      <c r="J148">
        <v>-8.27</v>
      </c>
      <c r="L148">
        <v>1.4208024767484826</v>
      </c>
      <c r="M148">
        <v>1.3122126187733576</v>
      </c>
      <c r="N148">
        <v>1.4750974057360451</v>
      </c>
      <c r="O148">
        <v>1.2579176897857951</v>
      </c>
    </row>
    <row r="149" spans="1:15" x14ac:dyDescent="0.2">
      <c r="A149" s="14">
        <v>43684</v>
      </c>
      <c r="B149">
        <v>2565</v>
      </c>
      <c r="C149">
        <v>2571</v>
      </c>
      <c r="D149">
        <v>2041</v>
      </c>
      <c r="E149">
        <v>2072</v>
      </c>
      <c r="F149">
        <v>1.24083011583011</v>
      </c>
      <c r="G149">
        <v>1.3671555391290899</v>
      </c>
      <c r="H149">
        <v>5.3327086516488098E-2</v>
      </c>
      <c r="I149">
        <v>-2.3688791484965002</v>
      </c>
      <c r="J149">
        <v>-10.18</v>
      </c>
      <c r="L149">
        <v>1.420482625645578</v>
      </c>
      <c r="M149">
        <v>1.3138284526126018</v>
      </c>
      <c r="N149">
        <v>1.4738097121620661</v>
      </c>
      <c r="O149">
        <v>1.2605013660961137</v>
      </c>
    </row>
    <row r="150" spans="1:15" x14ac:dyDescent="0.2">
      <c r="A150" s="14">
        <v>43683</v>
      </c>
      <c r="B150">
        <v>2534</v>
      </c>
      <c r="C150">
        <v>2596</v>
      </c>
      <c r="D150">
        <v>2054</v>
      </c>
      <c r="E150">
        <v>2060</v>
      </c>
      <c r="F150">
        <v>1.26019417475728</v>
      </c>
      <c r="G150">
        <v>1.368111936562</v>
      </c>
      <c r="H150">
        <v>5.1670407806640603E-2</v>
      </c>
      <c r="I150">
        <v>-2.0885796413406701</v>
      </c>
      <c r="J150">
        <v>-8.56</v>
      </c>
      <c r="L150">
        <v>1.4197823443686406</v>
      </c>
      <c r="M150">
        <v>1.3164415287553595</v>
      </c>
      <c r="N150">
        <v>1.4714527521752812</v>
      </c>
      <c r="O150">
        <v>1.2647711209487189</v>
      </c>
    </row>
    <row r="151" spans="1:15" x14ac:dyDescent="0.2">
      <c r="A151" s="14">
        <v>43682</v>
      </c>
      <c r="B151">
        <v>2687</v>
      </c>
      <c r="C151">
        <v>2584</v>
      </c>
      <c r="D151">
        <v>2069</v>
      </c>
      <c r="E151">
        <v>2126</v>
      </c>
      <c r="F151">
        <v>1.2154280338664101</v>
      </c>
      <c r="G151">
        <v>1.36873879442864</v>
      </c>
      <c r="H151">
        <v>5.0632116340486998E-2</v>
      </c>
      <c r="I151">
        <v>-3.0279350665743099</v>
      </c>
      <c r="J151">
        <v>-12.61</v>
      </c>
      <c r="L151">
        <v>1.419370910769127</v>
      </c>
      <c r="M151">
        <v>1.318106678088153</v>
      </c>
      <c r="N151">
        <v>1.4700030271096141</v>
      </c>
      <c r="O151">
        <v>1.2674745617476659</v>
      </c>
    </row>
    <row r="152" spans="1:15" x14ac:dyDescent="0.2">
      <c r="A152" s="14">
        <v>43679</v>
      </c>
      <c r="B152">
        <v>2726</v>
      </c>
      <c r="C152">
        <v>2704</v>
      </c>
      <c r="D152">
        <v>2086</v>
      </c>
      <c r="E152">
        <v>2093</v>
      </c>
      <c r="F152">
        <v>1.2919254658385</v>
      </c>
      <c r="G152">
        <v>1.3702023581437599</v>
      </c>
      <c r="H152">
        <v>4.7679769922813302E-2</v>
      </c>
      <c r="I152">
        <v>-1.64172126736288</v>
      </c>
      <c r="J152">
        <v>-6.06</v>
      </c>
      <c r="L152">
        <v>1.4178821280665732</v>
      </c>
      <c r="M152">
        <v>1.3225225882209466</v>
      </c>
      <c r="N152">
        <v>1.4655618979893865</v>
      </c>
      <c r="O152">
        <v>1.2748428182981333</v>
      </c>
    </row>
    <row r="153" spans="1:15" x14ac:dyDescent="0.2">
      <c r="A153" s="14">
        <v>43678</v>
      </c>
      <c r="B153">
        <v>2807</v>
      </c>
      <c r="C153">
        <v>2786</v>
      </c>
      <c r="D153">
        <v>2120</v>
      </c>
      <c r="E153">
        <v>2108</v>
      </c>
      <c r="F153">
        <v>1.32163187855787</v>
      </c>
      <c r="G153">
        <v>1.3709536967601601</v>
      </c>
      <c r="H153">
        <v>4.6877598861196398E-2</v>
      </c>
      <c r="I153">
        <v>-1.0521404551528599</v>
      </c>
      <c r="J153">
        <v>-3.73</v>
      </c>
      <c r="L153">
        <v>1.4178312956213566</v>
      </c>
      <c r="M153">
        <v>1.3240760978989636</v>
      </c>
      <c r="N153">
        <v>1.4647088944825528</v>
      </c>
      <c r="O153">
        <v>1.2771984990377674</v>
      </c>
    </row>
    <row r="154" spans="1:15" x14ac:dyDescent="0.2">
      <c r="A154" s="14">
        <v>43677</v>
      </c>
      <c r="B154">
        <v>2705</v>
      </c>
      <c r="C154">
        <v>2831</v>
      </c>
      <c r="D154">
        <v>2071</v>
      </c>
      <c r="E154">
        <v>2102</v>
      </c>
      <c r="F154">
        <v>1.34681255946717</v>
      </c>
      <c r="G154">
        <v>1.3711380108573501</v>
      </c>
      <c r="H154">
        <v>4.6710189113286699E-2</v>
      </c>
      <c r="I154">
        <v>-0.52077398640342598</v>
      </c>
      <c r="J154">
        <v>-1.81</v>
      </c>
      <c r="L154">
        <v>1.4178481999706367</v>
      </c>
      <c r="M154">
        <v>1.3244278217440635</v>
      </c>
      <c r="N154">
        <v>1.4645583890839236</v>
      </c>
      <c r="O154">
        <v>1.2777176326307766</v>
      </c>
    </row>
    <row r="155" spans="1:15" x14ac:dyDescent="0.2">
      <c r="A155" s="14">
        <v>43676</v>
      </c>
      <c r="B155">
        <v>2740</v>
      </c>
      <c r="C155">
        <v>2729</v>
      </c>
      <c r="D155">
        <v>2087</v>
      </c>
      <c r="E155">
        <v>2086</v>
      </c>
      <c r="F155">
        <v>1.30824544582933</v>
      </c>
      <c r="G155">
        <v>1.3709410779895901</v>
      </c>
      <c r="H155">
        <v>4.6843277402723003E-2</v>
      </c>
      <c r="I155">
        <v>-1.3384125884542999</v>
      </c>
      <c r="J155">
        <v>-4.79</v>
      </c>
      <c r="L155">
        <v>1.4177843553923131</v>
      </c>
      <c r="M155">
        <v>1.3240978005868671</v>
      </c>
      <c r="N155">
        <v>1.464627632795036</v>
      </c>
      <c r="O155">
        <v>1.2772545231841441</v>
      </c>
    </row>
    <row r="156" spans="1:15" x14ac:dyDescent="0.2">
      <c r="A156" s="14">
        <v>43675</v>
      </c>
      <c r="B156">
        <v>2743</v>
      </c>
      <c r="C156">
        <v>2745</v>
      </c>
      <c r="D156">
        <v>2082</v>
      </c>
      <c r="E156">
        <v>2085</v>
      </c>
      <c r="F156">
        <v>1.3165467625899201</v>
      </c>
      <c r="G156">
        <v>1.3711186951270899</v>
      </c>
      <c r="H156">
        <v>4.6629985429020603E-2</v>
      </c>
      <c r="I156">
        <v>-1.1703184557119699</v>
      </c>
      <c r="J156">
        <v>-4.1500000000000004</v>
      </c>
      <c r="L156">
        <v>1.4177486805561106</v>
      </c>
      <c r="M156">
        <v>1.3244887096980693</v>
      </c>
      <c r="N156">
        <v>1.4643786659851312</v>
      </c>
      <c r="O156">
        <v>1.2778587242690487</v>
      </c>
    </row>
    <row r="157" spans="1:15" x14ac:dyDescent="0.2">
      <c r="A157" s="14">
        <v>43672</v>
      </c>
      <c r="B157">
        <v>2720</v>
      </c>
      <c r="C157">
        <v>2758</v>
      </c>
      <c r="D157">
        <v>2059</v>
      </c>
      <c r="E157">
        <v>2062</v>
      </c>
      <c r="F157">
        <v>1.33753637245392</v>
      </c>
      <c r="G157">
        <v>1.3711983137566399</v>
      </c>
      <c r="H157">
        <v>4.6541752776256697E-2</v>
      </c>
      <c r="I157">
        <v>-0.72326329144800505</v>
      </c>
      <c r="J157">
        <v>-2.52</v>
      </c>
      <c r="L157">
        <v>1.4177400665328965</v>
      </c>
      <c r="M157">
        <v>1.3246565609803833</v>
      </c>
      <c r="N157">
        <v>1.4642818193091534</v>
      </c>
      <c r="O157">
        <v>1.2781148082041265</v>
      </c>
    </row>
    <row r="158" spans="1:15" x14ac:dyDescent="0.2">
      <c r="A158" s="14">
        <v>43671</v>
      </c>
      <c r="B158">
        <v>2739</v>
      </c>
      <c r="C158">
        <v>2724</v>
      </c>
      <c r="D158">
        <v>2108</v>
      </c>
      <c r="E158">
        <v>2077</v>
      </c>
      <c r="F158">
        <v>1.3115069812229101</v>
      </c>
      <c r="G158">
        <v>1.37094606935361</v>
      </c>
      <c r="H158">
        <v>4.6774194164513103E-2</v>
      </c>
      <c r="I158">
        <v>-1.27076669502065</v>
      </c>
      <c r="J158">
        <v>-4.53</v>
      </c>
      <c r="L158">
        <v>1.417720263518123</v>
      </c>
      <c r="M158">
        <v>1.324171875189097</v>
      </c>
      <c r="N158">
        <v>1.4644944576826362</v>
      </c>
      <c r="O158">
        <v>1.2773976810245837</v>
      </c>
    </row>
    <row r="159" spans="1:15" x14ac:dyDescent="0.2">
      <c r="A159" s="14">
        <v>43670</v>
      </c>
      <c r="B159">
        <v>2710</v>
      </c>
      <c r="C159">
        <v>2720</v>
      </c>
      <c r="D159">
        <v>2066</v>
      </c>
      <c r="E159">
        <v>2052</v>
      </c>
      <c r="F159">
        <v>1.32553606237816</v>
      </c>
      <c r="G159">
        <v>1.3709762834157999</v>
      </c>
      <c r="H159">
        <v>4.67365060841681E-2</v>
      </c>
      <c r="I159">
        <v>-0.97226397188962999</v>
      </c>
      <c r="J159">
        <v>-3.43</v>
      </c>
      <c r="L159">
        <v>1.4177127894999679</v>
      </c>
      <c r="M159">
        <v>1.3242397773316319</v>
      </c>
      <c r="N159">
        <v>1.4644492955841362</v>
      </c>
      <c r="O159">
        <v>1.2775032712474637</v>
      </c>
    </row>
    <row r="160" spans="1:15" x14ac:dyDescent="0.2">
      <c r="A160" s="14">
        <v>43669</v>
      </c>
      <c r="B160">
        <v>2662</v>
      </c>
      <c r="C160">
        <v>2710</v>
      </c>
      <c r="D160">
        <v>2025</v>
      </c>
      <c r="E160">
        <v>2061</v>
      </c>
      <c r="F160">
        <v>1.3148956817079001</v>
      </c>
      <c r="G160">
        <v>1.3705965123432799</v>
      </c>
      <c r="H160">
        <v>4.7217449030101298E-2</v>
      </c>
      <c r="I160">
        <v>-1.17966624160205</v>
      </c>
      <c r="J160">
        <v>-4.24</v>
      </c>
      <c r="L160">
        <v>1.4178139613733813</v>
      </c>
      <c r="M160">
        <v>1.3233790633131786</v>
      </c>
      <c r="N160">
        <v>1.4650314104034825</v>
      </c>
      <c r="O160">
        <v>1.2761616142830774</v>
      </c>
    </row>
    <row r="161" spans="1:15" x14ac:dyDescent="0.2">
      <c r="A161" s="14">
        <v>43668</v>
      </c>
      <c r="B161">
        <v>2696</v>
      </c>
      <c r="C161">
        <v>2671</v>
      </c>
      <c r="D161">
        <v>2000</v>
      </c>
      <c r="E161">
        <v>2025</v>
      </c>
      <c r="F161">
        <v>1.3190123456790099</v>
      </c>
      <c r="G161">
        <v>1.36977809694331</v>
      </c>
      <c r="H161">
        <v>4.8684964894994798E-2</v>
      </c>
      <c r="I161">
        <v>-1.0427398145155999</v>
      </c>
      <c r="J161">
        <v>-3.85</v>
      </c>
      <c r="L161">
        <v>1.4184630618383047</v>
      </c>
      <c r="M161">
        <v>1.3210931320483152</v>
      </c>
      <c r="N161">
        <v>1.4671480267332995</v>
      </c>
      <c r="O161">
        <v>1.2724081671533205</v>
      </c>
    </row>
    <row r="162" spans="1:15" x14ac:dyDescent="0.2">
      <c r="A162" s="14">
        <v>43665</v>
      </c>
      <c r="B162">
        <v>2676</v>
      </c>
      <c r="C162">
        <v>2697</v>
      </c>
      <c r="D162">
        <v>1974</v>
      </c>
      <c r="E162">
        <v>1992</v>
      </c>
      <c r="F162">
        <v>1.3539156626505999</v>
      </c>
      <c r="G162">
        <v>1.36936171472602</v>
      </c>
      <c r="H162">
        <v>4.9247653813557501E-2</v>
      </c>
      <c r="I162">
        <v>-0.31364036414602098</v>
      </c>
      <c r="J162">
        <v>-1.1399999999999999</v>
      </c>
      <c r="L162">
        <v>1.4186093685395775</v>
      </c>
      <c r="M162">
        <v>1.3201140609124624</v>
      </c>
      <c r="N162">
        <v>1.4678570223531349</v>
      </c>
      <c r="O162">
        <v>1.2708664070989051</v>
      </c>
    </row>
    <row r="163" spans="1:15" x14ac:dyDescent="0.2">
      <c r="A163" s="14">
        <v>43664</v>
      </c>
      <c r="B163">
        <v>2738</v>
      </c>
      <c r="C163">
        <v>2684</v>
      </c>
      <c r="D163">
        <v>1995</v>
      </c>
      <c r="E163">
        <v>1969</v>
      </c>
      <c r="F163">
        <v>1.3631284916201101</v>
      </c>
      <c r="G163">
        <v>1.36873454998239</v>
      </c>
      <c r="H163">
        <v>4.9737437411655198E-2</v>
      </c>
      <c r="I163">
        <v>-0.112713051858352</v>
      </c>
      <c r="J163">
        <v>-0.41</v>
      </c>
      <c r="L163">
        <v>1.4184719873940452</v>
      </c>
      <c r="M163">
        <v>1.3189971125707347</v>
      </c>
      <c r="N163">
        <v>1.4682094248057003</v>
      </c>
      <c r="O163">
        <v>1.2692596751590797</v>
      </c>
    </row>
    <row r="164" spans="1:15" x14ac:dyDescent="0.2">
      <c r="A164" s="14">
        <v>43663</v>
      </c>
      <c r="B164">
        <v>2735</v>
      </c>
      <c r="C164">
        <v>2737</v>
      </c>
      <c r="D164">
        <v>2018</v>
      </c>
      <c r="E164">
        <v>2004</v>
      </c>
      <c r="F164">
        <v>1.36576846307385</v>
      </c>
      <c r="G164">
        <v>1.3673449943592899</v>
      </c>
      <c r="H164">
        <v>5.1305716421440703E-2</v>
      </c>
      <c r="I164">
        <v>-3.07281799261553E-2</v>
      </c>
      <c r="J164">
        <v>-0.12</v>
      </c>
      <c r="L164">
        <v>1.4186507107807307</v>
      </c>
      <c r="M164">
        <v>1.3160392779378491</v>
      </c>
      <c r="N164">
        <v>1.4699564272021712</v>
      </c>
      <c r="O164">
        <v>1.2647335615164086</v>
      </c>
    </row>
    <row r="165" spans="1:15" x14ac:dyDescent="0.2">
      <c r="A165" s="14">
        <v>43662</v>
      </c>
      <c r="B165">
        <v>2773</v>
      </c>
      <c r="C165">
        <v>2762</v>
      </c>
      <c r="D165">
        <v>2037</v>
      </c>
      <c r="E165">
        <v>2022</v>
      </c>
      <c r="F165">
        <v>1.36597428288822</v>
      </c>
      <c r="G165">
        <v>1.3659382247663301</v>
      </c>
      <c r="H165">
        <v>5.2755646341922702E-2</v>
      </c>
      <c r="I165">
        <v>6.8349313098203302E-4</v>
      </c>
      <c r="J165">
        <v>0</v>
      </c>
      <c r="L165">
        <v>1.4186938711082528</v>
      </c>
      <c r="M165">
        <v>1.3131825784244073</v>
      </c>
      <c r="N165">
        <v>1.4714495174501754</v>
      </c>
      <c r="O165">
        <v>1.2604269320824848</v>
      </c>
    </row>
    <row r="166" spans="1:15" x14ac:dyDescent="0.2">
      <c r="A166" s="14">
        <v>43658</v>
      </c>
      <c r="B166">
        <v>2816</v>
      </c>
      <c r="C166">
        <v>2769</v>
      </c>
      <c r="D166">
        <v>2055</v>
      </c>
      <c r="E166">
        <v>2048</v>
      </c>
      <c r="F166">
        <v>1.35205078125</v>
      </c>
      <c r="G166">
        <v>1.36469088318278</v>
      </c>
      <c r="H166">
        <v>5.3834951316889201E-2</v>
      </c>
      <c r="I166">
        <v>-0.23479359827750301</v>
      </c>
      <c r="J166">
        <v>-0.93</v>
      </c>
      <c r="L166">
        <v>1.4185258344996692</v>
      </c>
      <c r="M166">
        <v>1.3108559318658908</v>
      </c>
      <c r="N166">
        <v>1.4723607858165584</v>
      </c>
      <c r="O166">
        <v>1.2570209805490016</v>
      </c>
    </row>
    <row r="167" spans="1:15" x14ac:dyDescent="0.2">
      <c r="A167" s="14">
        <v>43657</v>
      </c>
      <c r="B167">
        <v>2804</v>
      </c>
      <c r="C167">
        <v>2816</v>
      </c>
      <c r="D167">
        <v>2056</v>
      </c>
      <c r="E167">
        <v>2065</v>
      </c>
      <c r="F167">
        <v>1.3636803874092001</v>
      </c>
      <c r="G167">
        <v>1.36432469913476</v>
      </c>
      <c r="H167">
        <v>5.40127939167954E-2</v>
      </c>
      <c r="I167">
        <v>-1.19288723807546E-2</v>
      </c>
      <c r="J167">
        <v>-0.05</v>
      </c>
      <c r="L167">
        <v>1.4183374930515553</v>
      </c>
      <c r="M167">
        <v>1.3103119052179646</v>
      </c>
      <c r="N167">
        <v>1.4723502869683507</v>
      </c>
      <c r="O167">
        <v>1.2562991113011692</v>
      </c>
    </row>
    <row r="168" spans="1:15" x14ac:dyDescent="0.2">
      <c r="A168" s="14">
        <v>43656</v>
      </c>
      <c r="B168">
        <v>2785</v>
      </c>
      <c r="C168">
        <v>2803</v>
      </c>
      <c r="D168">
        <v>2021</v>
      </c>
      <c r="E168">
        <v>2035</v>
      </c>
      <c r="F168">
        <v>1.3773955773955699</v>
      </c>
      <c r="G168">
        <v>1.3636398309151101</v>
      </c>
      <c r="H168">
        <v>5.4341271013286903E-2</v>
      </c>
      <c r="I168">
        <v>0.25313626685498197</v>
      </c>
      <c r="J168">
        <v>1</v>
      </c>
      <c r="L168">
        <v>1.417981101928397</v>
      </c>
      <c r="M168">
        <v>1.3092985599018232</v>
      </c>
      <c r="N168">
        <v>1.4723223729416839</v>
      </c>
      <c r="O168">
        <v>1.2549572888885363</v>
      </c>
    </row>
    <row r="169" spans="1:15" x14ac:dyDescent="0.2">
      <c r="A169" s="14">
        <v>43655</v>
      </c>
      <c r="B169">
        <v>2807</v>
      </c>
      <c r="C169">
        <v>2796</v>
      </c>
      <c r="D169">
        <v>2000</v>
      </c>
      <c r="E169">
        <v>2011</v>
      </c>
      <c r="F169">
        <v>1.3903530581800001</v>
      </c>
      <c r="G169">
        <v>1.3628191110052901</v>
      </c>
      <c r="H169">
        <v>5.4591569971252599E-2</v>
      </c>
      <c r="I169">
        <v>0.50436261842658903</v>
      </c>
      <c r="J169">
        <v>1.98</v>
      </c>
      <c r="L169">
        <v>1.4174106809765428</v>
      </c>
      <c r="M169">
        <v>1.3082275410340374</v>
      </c>
      <c r="N169">
        <v>1.4720022509477952</v>
      </c>
      <c r="O169">
        <v>1.2536359710627849</v>
      </c>
    </row>
    <row r="170" spans="1:15" x14ac:dyDescent="0.2">
      <c r="A170" s="14">
        <v>43654</v>
      </c>
      <c r="B170">
        <v>2806</v>
      </c>
      <c r="C170">
        <v>2790</v>
      </c>
      <c r="D170">
        <v>2013</v>
      </c>
      <c r="E170">
        <v>2002</v>
      </c>
      <c r="F170">
        <v>1.39360639360639</v>
      </c>
      <c r="G170">
        <v>1.3616791153930199</v>
      </c>
      <c r="H170">
        <v>5.4896557393832403E-2</v>
      </c>
      <c r="I170">
        <v>0.58158980688575701</v>
      </c>
      <c r="J170">
        <v>2.29</v>
      </c>
      <c r="L170">
        <v>1.4165756727868524</v>
      </c>
      <c r="M170">
        <v>1.3067825579991874</v>
      </c>
      <c r="N170">
        <v>1.4714722301806846</v>
      </c>
      <c r="O170">
        <v>1.2518860006053552</v>
      </c>
    </row>
    <row r="171" spans="1:15" x14ac:dyDescent="0.2">
      <c r="A171" s="14">
        <v>43651</v>
      </c>
      <c r="B171">
        <v>2845</v>
      </c>
      <c r="C171">
        <v>2812</v>
      </c>
      <c r="D171">
        <v>2054</v>
      </c>
      <c r="E171">
        <v>2028</v>
      </c>
      <c r="F171">
        <v>1.38658777120315</v>
      </c>
      <c r="G171">
        <v>1.36061269252711</v>
      </c>
      <c r="H171">
        <v>5.50426482517824E-2</v>
      </c>
      <c r="I171">
        <v>0.4719082293647</v>
      </c>
      <c r="J171">
        <v>1.87</v>
      </c>
      <c r="L171">
        <v>1.4156553407788923</v>
      </c>
      <c r="M171">
        <v>1.3055700442753277</v>
      </c>
      <c r="N171">
        <v>1.4706979890306748</v>
      </c>
      <c r="O171">
        <v>1.2505273960235452</v>
      </c>
    </row>
    <row r="172" spans="1:15" x14ac:dyDescent="0.2">
      <c r="A172" s="14">
        <v>43650</v>
      </c>
      <c r="B172">
        <v>2810</v>
      </c>
      <c r="C172">
        <v>2834</v>
      </c>
      <c r="D172">
        <v>2080</v>
      </c>
      <c r="E172">
        <v>2054</v>
      </c>
      <c r="F172">
        <v>1.37974683544303</v>
      </c>
      <c r="G172">
        <v>1.3596058874442001</v>
      </c>
      <c r="H172">
        <v>5.5248529602492803E-2</v>
      </c>
      <c r="I172">
        <v>0.36455174723649297</v>
      </c>
      <c r="J172">
        <v>1.46</v>
      </c>
      <c r="L172">
        <v>1.4148544170466928</v>
      </c>
      <c r="M172">
        <v>1.3043573578417074</v>
      </c>
      <c r="N172">
        <v>1.4701029466491857</v>
      </c>
      <c r="O172">
        <v>1.2491088282392144</v>
      </c>
    </row>
    <row r="173" spans="1:15" x14ac:dyDescent="0.2">
      <c r="A173" s="14">
        <v>43649</v>
      </c>
      <c r="B173">
        <v>2797</v>
      </c>
      <c r="C173">
        <v>2802</v>
      </c>
      <c r="D173">
        <v>2071</v>
      </c>
      <c r="E173">
        <v>2045</v>
      </c>
      <c r="F173">
        <v>1.3701711491442501</v>
      </c>
      <c r="G173">
        <v>1.3591115032974901</v>
      </c>
      <c r="H173">
        <v>5.5231983968631299E-2</v>
      </c>
      <c r="I173">
        <v>0.20023988008545299</v>
      </c>
      <c r="J173">
        <v>0.81</v>
      </c>
      <c r="L173">
        <v>1.4143434872661214</v>
      </c>
      <c r="M173">
        <v>1.3038795193288588</v>
      </c>
      <c r="N173">
        <v>1.4695754712347526</v>
      </c>
      <c r="O173">
        <v>1.2486475353602275</v>
      </c>
    </row>
    <row r="174" spans="1:15" x14ac:dyDescent="0.2">
      <c r="A174" s="14">
        <v>43648</v>
      </c>
      <c r="B174">
        <v>2792</v>
      </c>
      <c r="C174">
        <v>2803</v>
      </c>
      <c r="D174">
        <v>2067</v>
      </c>
      <c r="E174">
        <v>2071</v>
      </c>
      <c r="F174">
        <v>1.35345243843553</v>
      </c>
      <c r="G174">
        <v>1.3588935188295601</v>
      </c>
      <c r="H174">
        <v>5.5220165392467602E-2</v>
      </c>
      <c r="I174">
        <v>-9.8534300927112906E-2</v>
      </c>
      <c r="J174">
        <v>-0.4</v>
      </c>
      <c r="L174">
        <v>1.4141136842220277</v>
      </c>
      <c r="M174">
        <v>1.3036733534370926</v>
      </c>
      <c r="N174">
        <v>1.4693338496144954</v>
      </c>
      <c r="O174">
        <v>1.2484531880446248</v>
      </c>
    </row>
    <row r="175" spans="1:15" x14ac:dyDescent="0.2">
      <c r="A175" s="14">
        <v>43647</v>
      </c>
      <c r="B175">
        <v>2796</v>
      </c>
      <c r="C175">
        <v>2802</v>
      </c>
      <c r="D175">
        <v>2022</v>
      </c>
      <c r="E175">
        <v>2075</v>
      </c>
      <c r="F175">
        <v>1.3503614457831301</v>
      </c>
      <c r="G175">
        <v>1.3587400483005601</v>
      </c>
      <c r="H175">
        <v>5.5251060568883799E-2</v>
      </c>
      <c r="I175">
        <v>-0.15164600337369599</v>
      </c>
      <c r="J175">
        <v>-0.62</v>
      </c>
      <c r="L175">
        <v>1.4139911088694439</v>
      </c>
      <c r="M175">
        <v>1.3034889877316762</v>
      </c>
      <c r="N175">
        <v>1.4692421694383277</v>
      </c>
      <c r="O175">
        <v>1.2482379271627924</v>
      </c>
    </row>
    <row r="176" spans="1:15" x14ac:dyDescent="0.2">
      <c r="A176" s="14">
        <v>43644</v>
      </c>
      <c r="B176">
        <v>2773</v>
      </c>
      <c r="C176">
        <v>2749</v>
      </c>
      <c r="D176">
        <v>1976</v>
      </c>
      <c r="E176">
        <v>2005</v>
      </c>
      <c r="F176">
        <v>1.37107231920199</v>
      </c>
      <c r="G176">
        <v>1.3590660332723099</v>
      </c>
      <c r="H176">
        <v>5.5272785309864597E-2</v>
      </c>
      <c r="I176">
        <v>0.21721876077659599</v>
      </c>
      <c r="J176">
        <v>0.88</v>
      </c>
      <c r="L176">
        <v>1.4143388185821746</v>
      </c>
      <c r="M176">
        <v>1.3037932479624452</v>
      </c>
      <c r="N176">
        <v>1.469611603892039</v>
      </c>
      <c r="O176">
        <v>1.2485204626525808</v>
      </c>
    </row>
    <row r="177" spans="1:15" x14ac:dyDescent="0.2">
      <c r="A177" s="14">
        <v>43643</v>
      </c>
      <c r="B177">
        <v>2777</v>
      </c>
      <c r="C177">
        <v>2776</v>
      </c>
      <c r="D177">
        <v>1945</v>
      </c>
      <c r="E177">
        <v>1977</v>
      </c>
      <c r="F177">
        <v>1.40414769853313</v>
      </c>
      <c r="G177">
        <v>1.3592112763786599</v>
      </c>
      <c r="H177">
        <v>5.53184375039142E-2</v>
      </c>
      <c r="I177">
        <v>0.81232269351941</v>
      </c>
      <c r="J177">
        <v>3.2</v>
      </c>
      <c r="L177">
        <v>1.4145297138825741</v>
      </c>
      <c r="M177">
        <v>1.3038928388747457</v>
      </c>
      <c r="N177">
        <v>1.4698481513864883</v>
      </c>
      <c r="O177">
        <v>1.2485744013708315</v>
      </c>
    </row>
    <row r="178" spans="1:15" x14ac:dyDescent="0.2">
      <c r="A178" s="14">
        <v>43642</v>
      </c>
      <c r="B178">
        <v>2785</v>
      </c>
      <c r="C178">
        <v>2776</v>
      </c>
      <c r="D178">
        <v>1973</v>
      </c>
      <c r="E178">
        <v>1952</v>
      </c>
      <c r="F178">
        <v>1.4221311475409799</v>
      </c>
      <c r="G178">
        <v>1.3592007346674599</v>
      </c>
      <c r="H178">
        <v>5.5309947909514101E-2</v>
      </c>
      <c r="I178">
        <v>1.1377774749755301</v>
      </c>
      <c r="J178">
        <v>4.43</v>
      </c>
      <c r="L178">
        <v>1.414510682576974</v>
      </c>
      <c r="M178">
        <v>1.3038907867579459</v>
      </c>
      <c r="N178">
        <v>1.4698206304864883</v>
      </c>
      <c r="O178">
        <v>1.2485808388484316</v>
      </c>
    </row>
    <row r="179" spans="1:15" x14ac:dyDescent="0.2">
      <c r="A179" s="14">
        <v>43641</v>
      </c>
      <c r="B179">
        <v>2813</v>
      </c>
      <c r="C179">
        <v>2811</v>
      </c>
      <c r="D179">
        <v>1958</v>
      </c>
      <c r="E179">
        <v>1970</v>
      </c>
      <c r="F179">
        <v>1.42690355329949</v>
      </c>
      <c r="G179">
        <v>1.3584459290736901</v>
      </c>
      <c r="H179">
        <v>5.4830192524624302E-2</v>
      </c>
      <c r="I179">
        <v>1.2485388263966299</v>
      </c>
      <c r="J179">
        <v>4.8</v>
      </c>
      <c r="L179">
        <v>1.4132761215983145</v>
      </c>
      <c r="M179">
        <v>1.3036157365490657</v>
      </c>
      <c r="N179">
        <v>1.4681063141229387</v>
      </c>
      <c r="O179">
        <v>1.2487855440244415</v>
      </c>
    </row>
    <row r="180" spans="1:15" x14ac:dyDescent="0.2">
      <c r="A180" s="14">
        <v>43640</v>
      </c>
      <c r="B180">
        <v>2818</v>
      </c>
      <c r="C180">
        <v>2813</v>
      </c>
      <c r="D180">
        <v>1968</v>
      </c>
      <c r="E180">
        <v>1966</v>
      </c>
      <c r="F180">
        <v>1.4308240081383501</v>
      </c>
      <c r="G180">
        <v>1.3574641368070299</v>
      </c>
      <c r="H180">
        <v>5.4251796912456698E-2</v>
      </c>
      <c r="I180">
        <v>1.3522109037180501</v>
      </c>
      <c r="J180">
        <v>5.13</v>
      </c>
      <c r="L180">
        <v>1.4117159337194867</v>
      </c>
      <c r="M180">
        <v>1.3032123398945732</v>
      </c>
      <c r="N180">
        <v>1.4659677306319434</v>
      </c>
      <c r="O180">
        <v>1.2489605429821165</v>
      </c>
    </row>
    <row r="181" spans="1:15" x14ac:dyDescent="0.2">
      <c r="A181" s="14">
        <v>43637</v>
      </c>
      <c r="B181">
        <v>2880</v>
      </c>
      <c r="C181">
        <v>2816</v>
      </c>
      <c r="D181">
        <v>1964</v>
      </c>
      <c r="E181">
        <v>1957</v>
      </c>
      <c r="F181">
        <v>1.43893714869698</v>
      </c>
      <c r="G181">
        <v>1.35640486264672</v>
      </c>
      <c r="H181">
        <v>5.3580533827840802E-2</v>
      </c>
      <c r="I181">
        <v>1.54034086923146</v>
      </c>
      <c r="J181">
        <v>5.74</v>
      </c>
      <c r="L181">
        <v>1.4099853964745608</v>
      </c>
      <c r="M181">
        <v>1.3028243288188792</v>
      </c>
      <c r="N181">
        <v>1.4635659303024016</v>
      </c>
      <c r="O181">
        <v>1.2492437949910384</v>
      </c>
    </row>
    <row r="182" spans="1:15" x14ac:dyDescent="0.2">
      <c r="A182" s="14">
        <v>43636</v>
      </c>
      <c r="B182">
        <v>2900</v>
      </c>
      <c r="C182">
        <v>2879</v>
      </c>
      <c r="D182">
        <v>1971</v>
      </c>
      <c r="E182">
        <v>1964</v>
      </c>
      <c r="F182">
        <v>1.4658859470468399</v>
      </c>
      <c r="G182">
        <v>1.3554686066470001</v>
      </c>
      <c r="H182">
        <v>5.2737059846799501E-2</v>
      </c>
      <c r="I182">
        <v>2.0937333389574899</v>
      </c>
      <c r="J182">
        <v>7.53</v>
      </c>
      <c r="L182">
        <v>1.4082056664937996</v>
      </c>
      <c r="M182">
        <v>1.3027315468002005</v>
      </c>
      <c r="N182">
        <v>1.4609427263405992</v>
      </c>
      <c r="O182">
        <v>1.249994486953401</v>
      </c>
    </row>
    <row r="183" spans="1:15" x14ac:dyDescent="0.2">
      <c r="A183" s="14">
        <v>43635</v>
      </c>
      <c r="B183">
        <v>2861</v>
      </c>
      <c r="C183">
        <v>2899</v>
      </c>
      <c r="D183">
        <v>1986</v>
      </c>
      <c r="E183">
        <v>1955</v>
      </c>
      <c r="F183">
        <v>1.48286445012787</v>
      </c>
      <c r="G183">
        <v>1.3541665162419301</v>
      </c>
      <c r="H183">
        <v>5.1177273077110702E-2</v>
      </c>
      <c r="I183">
        <v>2.5147477805632499</v>
      </c>
      <c r="J183">
        <v>8.68</v>
      </c>
      <c r="L183">
        <v>1.4053437893190408</v>
      </c>
      <c r="M183">
        <v>1.3029892431648193</v>
      </c>
      <c r="N183">
        <v>1.4565210623961515</v>
      </c>
      <c r="O183">
        <v>1.2518119700877086</v>
      </c>
    </row>
    <row r="184" spans="1:15" x14ac:dyDescent="0.2">
      <c r="A184" s="14">
        <v>43634</v>
      </c>
      <c r="B184">
        <v>2834</v>
      </c>
      <c r="C184">
        <v>2828</v>
      </c>
      <c r="D184">
        <v>2003</v>
      </c>
      <c r="E184">
        <v>1978</v>
      </c>
      <c r="F184">
        <v>1.42972699696663</v>
      </c>
      <c r="G184">
        <v>1.3524455317564701</v>
      </c>
      <c r="H184">
        <v>4.8941917278469901E-2</v>
      </c>
      <c r="I184">
        <v>1.57904449820473</v>
      </c>
      <c r="J184">
        <v>5.41</v>
      </c>
      <c r="L184">
        <v>1.4013874490349401</v>
      </c>
      <c r="M184">
        <v>1.3035036144780001</v>
      </c>
      <c r="N184">
        <v>1.4503293663134098</v>
      </c>
      <c r="O184">
        <v>1.2545616971995304</v>
      </c>
    </row>
    <row r="185" spans="1:15" x14ac:dyDescent="0.2">
      <c r="A185" s="14">
        <v>43633</v>
      </c>
      <c r="B185">
        <v>2826</v>
      </c>
      <c r="C185">
        <v>2830</v>
      </c>
      <c r="D185">
        <v>2009</v>
      </c>
      <c r="E185">
        <v>1993</v>
      </c>
      <c r="F185">
        <v>1.4199698946312</v>
      </c>
      <c r="G185">
        <v>1.35156110813644</v>
      </c>
      <c r="H185">
        <v>4.8129983802024101E-2</v>
      </c>
      <c r="I185">
        <v>1.4213340851340699</v>
      </c>
      <c r="J185">
        <v>4.82</v>
      </c>
      <c r="L185">
        <v>1.3996910919384642</v>
      </c>
      <c r="M185">
        <v>1.3034311243344159</v>
      </c>
      <c r="N185">
        <v>1.4478210757404884</v>
      </c>
      <c r="O185">
        <v>1.2553011405323917</v>
      </c>
    </row>
    <row r="186" spans="1:15" x14ac:dyDescent="0.2">
      <c r="A186" s="14">
        <v>43630</v>
      </c>
      <c r="B186">
        <v>2830</v>
      </c>
      <c r="C186">
        <v>2825</v>
      </c>
      <c r="D186">
        <v>2007</v>
      </c>
      <c r="E186">
        <v>2010</v>
      </c>
      <c r="F186">
        <v>1.4054726368159201</v>
      </c>
      <c r="G186">
        <v>1.35082284146151</v>
      </c>
      <c r="H186">
        <v>4.7495476360020897E-2</v>
      </c>
      <c r="I186">
        <v>1.15063158731486</v>
      </c>
      <c r="J186">
        <v>3.89</v>
      </c>
      <c r="L186">
        <v>1.3983183178215308</v>
      </c>
      <c r="M186">
        <v>1.3033273651014892</v>
      </c>
      <c r="N186">
        <v>1.4458137941815519</v>
      </c>
      <c r="O186">
        <v>1.2558318887414681</v>
      </c>
    </row>
    <row r="187" spans="1:15" x14ac:dyDescent="0.2">
      <c r="A187" s="14">
        <v>43629</v>
      </c>
      <c r="B187">
        <v>2808</v>
      </c>
      <c r="C187">
        <v>2808</v>
      </c>
      <c r="D187">
        <v>2023</v>
      </c>
      <c r="E187">
        <v>2001</v>
      </c>
      <c r="F187">
        <v>1.40329835082458</v>
      </c>
      <c r="G187">
        <v>1.35036707030828</v>
      </c>
      <c r="H187">
        <v>4.7131480961509001E-2</v>
      </c>
      <c r="I187">
        <v>1.1230557461058699</v>
      </c>
      <c r="J187">
        <v>3.77</v>
      </c>
      <c r="L187">
        <v>1.3974985512697891</v>
      </c>
      <c r="M187">
        <v>1.3032355893467709</v>
      </c>
      <c r="N187">
        <v>1.4446300322312979</v>
      </c>
      <c r="O187">
        <v>1.256104108385262</v>
      </c>
    </row>
    <row r="188" spans="1:15" x14ac:dyDescent="0.2">
      <c r="A188" s="14">
        <v>43628</v>
      </c>
      <c r="B188">
        <v>2806</v>
      </c>
      <c r="C188">
        <v>2829</v>
      </c>
      <c r="D188">
        <v>2037</v>
      </c>
      <c r="E188">
        <v>2037</v>
      </c>
      <c r="F188">
        <v>1.3888070692194401</v>
      </c>
      <c r="G188">
        <v>1.3492210012763799</v>
      </c>
      <c r="H188">
        <v>4.6874809732983802E-2</v>
      </c>
      <c r="I188">
        <v>0.84450621066104203</v>
      </c>
      <c r="J188">
        <v>2.85</v>
      </c>
      <c r="L188">
        <v>1.3960958110093638</v>
      </c>
      <c r="M188">
        <v>1.302346191543396</v>
      </c>
      <c r="N188">
        <v>1.4429706207423476</v>
      </c>
      <c r="O188">
        <v>1.2554713818104122</v>
      </c>
    </row>
    <row r="189" spans="1:15" x14ac:dyDescent="0.2">
      <c r="A189" s="14">
        <v>43627</v>
      </c>
      <c r="B189">
        <v>2793</v>
      </c>
      <c r="C189">
        <v>2797</v>
      </c>
      <c r="D189">
        <v>2050</v>
      </c>
      <c r="E189">
        <v>2041</v>
      </c>
      <c r="F189">
        <v>1.37040666340029</v>
      </c>
      <c r="G189">
        <v>1.34870501668823</v>
      </c>
      <c r="H189">
        <v>4.6648665067938397E-2</v>
      </c>
      <c r="I189">
        <v>0.46521474259674001</v>
      </c>
      <c r="J189">
        <v>1.58</v>
      </c>
      <c r="L189">
        <v>1.3953536817561683</v>
      </c>
      <c r="M189">
        <v>1.3020563516202917</v>
      </c>
      <c r="N189">
        <v>1.4420023468241068</v>
      </c>
      <c r="O189">
        <v>1.2554076865523531</v>
      </c>
    </row>
    <row r="190" spans="1:15" x14ac:dyDescent="0.2">
      <c r="A190" s="14">
        <v>43626</v>
      </c>
      <c r="B190">
        <v>2799</v>
      </c>
      <c r="C190">
        <v>2787</v>
      </c>
      <c r="D190">
        <v>2022</v>
      </c>
      <c r="E190">
        <v>2038</v>
      </c>
      <c r="F190">
        <v>1.3675171736997001</v>
      </c>
      <c r="G190">
        <v>1.34842349730245</v>
      </c>
      <c r="H190">
        <v>4.6580508995644102E-2</v>
      </c>
      <c r="I190">
        <v>0.40990699348174298</v>
      </c>
      <c r="J190">
        <v>1.4</v>
      </c>
      <c r="L190">
        <v>1.3950040062980942</v>
      </c>
      <c r="M190">
        <v>1.3018429883068059</v>
      </c>
      <c r="N190">
        <v>1.4415845152937383</v>
      </c>
      <c r="O190">
        <v>1.2552624793111617</v>
      </c>
    </row>
    <row r="191" spans="1:15" x14ac:dyDescent="0.2">
      <c r="A191" s="14">
        <v>43623</v>
      </c>
      <c r="B191">
        <v>2737</v>
      </c>
      <c r="C191">
        <v>2768</v>
      </c>
      <c r="D191">
        <v>2008</v>
      </c>
      <c r="E191">
        <v>2007</v>
      </c>
      <c r="F191">
        <v>1.37917289486796</v>
      </c>
      <c r="G191">
        <v>1.34829291601626</v>
      </c>
      <c r="H191">
        <v>4.6540510027283599E-2</v>
      </c>
      <c r="I191">
        <v>0.66350752996890805</v>
      </c>
      <c r="J191">
        <v>2.2400000000000002</v>
      </c>
      <c r="L191">
        <v>1.3948334260435435</v>
      </c>
      <c r="M191">
        <v>1.3017524059889765</v>
      </c>
      <c r="N191">
        <v>1.4413739360708271</v>
      </c>
      <c r="O191">
        <v>1.2552118959616929</v>
      </c>
    </row>
    <row r="192" spans="1:15" x14ac:dyDescent="0.2">
      <c r="A192" s="14">
        <v>43622</v>
      </c>
      <c r="B192">
        <v>2707</v>
      </c>
      <c r="C192">
        <v>2737</v>
      </c>
      <c r="D192">
        <v>1989</v>
      </c>
      <c r="E192">
        <v>2005</v>
      </c>
      <c r="F192">
        <v>1.36508728179551</v>
      </c>
      <c r="G192">
        <v>1.3474342795593499</v>
      </c>
      <c r="H192">
        <v>4.6556919014883798E-2</v>
      </c>
      <c r="I192">
        <v>0.37917032762657399</v>
      </c>
      <c r="J192">
        <v>1.29</v>
      </c>
      <c r="L192">
        <v>1.3939911985742337</v>
      </c>
      <c r="M192">
        <v>1.3008773605444661</v>
      </c>
      <c r="N192">
        <v>1.4405481175891175</v>
      </c>
      <c r="O192">
        <v>1.2543204415295823</v>
      </c>
    </row>
    <row r="193" spans="1:15" x14ac:dyDescent="0.2">
      <c r="A193" s="14">
        <v>43621</v>
      </c>
      <c r="B193">
        <v>2716</v>
      </c>
      <c r="C193">
        <v>2704</v>
      </c>
      <c r="D193">
        <v>1956</v>
      </c>
      <c r="E193">
        <v>1987</v>
      </c>
      <c r="F193">
        <v>1.36084549572219</v>
      </c>
      <c r="G193">
        <v>1.3474957420647</v>
      </c>
      <c r="H193">
        <v>4.6583218533878298E-2</v>
      </c>
      <c r="I193">
        <v>0.28657860228740401</v>
      </c>
      <c r="J193">
        <v>0.98</v>
      </c>
      <c r="L193">
        <v>1.3940789605985784</v>
      </c>
      <c r="M193">
        <v>1.3009125235308217</v>
      </c>
      <c r="N193">
        <v>1.4406621791324565</v>
      </c>
      <c r="O193">
        <v>1.2543293049969435</v>
      </c>
    </row>
    <row r="194" spans="1:15" x14ac:dyDescent="0.2">
      <c r="A194" s="14">
        <v>43620</v>
      </c>
      <c r="B194">
        <v>2669</v>
      </c>
      <c r="C194">
        <v>2639</v>
      </c>
      <c r="D194">
        <v>1980</v>
      </c>
      <c r="E194">
        <v>1923</v>
      </c>
      <c r="F194">
        <v>1.37233489339573</v>
      </c>
      <c r="G194">
        <v>1.3480929194926301</v>
      </c>
      <c r="H194">
        <v>4.7035417902173499E-2</v>
      </c>
      <c r="I194">
        <v>0.51539828887071903</v>
      </c>
      <c r="J194">
        <v>1.77</v>
      </c>
      <c r="L194">
        <v>1.3951283373948036</v>
      </c>
      <c r="M194">
        <v>1.3010575015904566</v>
      </c>
      <c r="N194">
        <v>1.442163755296977</v>
      </c>
      <c r="O194">
        <v>1.2540220836882832</v>
      </c>
    </row>
    <row r="195" spans="1:15" x14ac:dyDescent="0.2">
      <c r="A195" s="14">
        <v>43619</v>
      </c>
      <c r="B195">
        <v>2682</v>
      </c>
      <c r="C195">
        <v>2661</v>
      </c>
      <c r="D195">
        <v>1960</v>
      </c>
      <c r="E195">
        <v>1992</v>
      </c>
      <c r="F195">
        <v>1.3358433734939701</v>
      </c>
      <c r="G195">
        <v>1.34816695809774</v>
      </c>
      <c r="H195">
        <v>4.7077870257810801E-2</v>
      </c>
      <c r="I195">
        <v>-0.26177022317029303</v>
      </c>
      <c r="J195">
        <v>-0.92</v>
      </c>
      <c r="L195">
        <v>1.3952448283555507</v>
      </c>
      <c r="M195">
        <v>1.3010890878399293</v>
      </c>
      <c r="N195">
        <v>1.4423226986133617</v>
      </c>
      <c r="O195">
        <v>1.2540112175821183</v>
      </c>
    </row>
    <row r="196" spans="1:15" x14ac:dyDescent="0.2">
      <c r="A196" s="14">
        <v>43616</v>
      </c>
      <c r="B196">
        <v>2748</v>
      </c>
      <c r="C196">
        <v>2732</v>
      </c>
      <c r="D196">
        <v>1976</v>
      </c>
      <c r="E196">
        <v>1979</v>
      </c>
      <c r="F196">
        <v>1.38049519959575</v>
      </c>
      <c r="G196">
        <v>1.3488049884801401</v>
      </c>
      <c r="H196">
        <v>4.7230544673046999E-2</v>
      </c>
      <c r="I196">
        <v>0.67096857203291504</v>
      </c>
      <c r="J196">
        <v>2.2999999999999998</v>
      </c>
      <c r="L196">
        <v>1.3960355331531871</v>
      </c>
      <c r="M196">
        <v>1.3015744438070931</v>
      </c>
      <c r="N196">
        <v>1.4432660778262341</v>
      </c>
      <c r="O196">
        <v>1.2543438991340461</v>
      </c>
    </row>
    <row r="197" spans="1:15" x14ac:dyDescent="0.2">
      <c r="A197" s="14">
        <v>43615</v>
      </c>
      <c r="B197">
        <v>2758</v>
      </c>
      <c r="C197">
        <v>2762</v>
      </c>
      <c r="D197">
        <v>1975</v>
      </c>
      <c r="E197">
        <v>1996</v>
      </c>
      <c r="F197">
        <v>1.3837675350701399</v>
      </c>
      <c r="G197">
        <v>1.34845990227094</v>
      </c>
      <c r="H197">
        <v>4.7092089493450201E-2</v>
      </c>
      <c r="I197">
        <v>0.749757192322276</v>
      </c>
      <c r="J197">
        <v>2.5499999999999998</v>
      </c>
      <c r="L197">
        <v>1.3955519917643902</v>
      </c>
      <c r="M197">
        <v>1.3013678127774899</v>
      </c>
      <c r="N197">
        <v>1.4426440812578405</v>
      </c>
      <c r="O197">
        <v>1.2542757232840396</v>
      </c>
    </row>
    <row r="198" spans="1:15" x14ac:dyDescent="0.2">
      <c r="A198" s="14">
        <v>43614</v>
      </c>
      <c r="B198">
        <v>2820</v>
      </c>
      <c r="C198">
        <v>2786</v>
      </c>
      <c r="D198">
        <v>1997</v>
      </c>
      <c r="E198">
        <v>1991</v>
      </c>
      <c r="F198">
        <v>1.3992968357609199</v>
      </c>
      <c r="G198">
        <v>1.3486806454814999</v>
      </c>
      <c r="H198">
        <v>4.7295439242197299E-2</v>
      </c>
      <c r="I198">
        <v>1.0702129230732</v>
      </c>
      <c r="J198">
        <v>3.62</v>
      </c>
      <c r="L198">
        <v>1.3959760847236973</v>
      </c>
      <c r="M198">
        <v>1.3013852062393025</v>
      </c>
      <c r="N198">
        <v>1.4432715239658944</v>
      </c>
      <c r="O198">
        <v>1.2540897669971054</v>
      </c>
    </row>
    <row r="199" spans="1:15" x14ac:dyDescent="0.2">
      <c r="A199" s="14">
        <v>43613</v>
      </c>
      <c r="B199">
        <v>2865</v>
      </c>
      <c r="C199">
        <v>2855</v>
      </c>
      <c r="D199">
        <v>1989</v>
      </c>
      <c r="E199">
        <v>2022</v>
      </c>
      <c r="F199">
        <v>1.41196834817012</v>
      </c>
      <c r="G199">
        <v>1.3484848927995601</v>
      </c>
      <c r="H199">
        <v>4.7115577863831699E-2</v>
      </c>
      <c r="I199">
        <v>1.3473984242332899</v>
      </c>
      <c r="J199">
        <v>4.5</v>
      </c>
      <c r="L199">
        <v>1.3956004706633918</v>
      </c>
      <c r="M199">
        <v>1.3013693149357284</v>
      </c>
      <c r="N199">
        <v>1.4427160485272235</v>
      </c>
      <c r="O199">
        <v>1.2542537370718967</v>
      </c>
    </row>
    <row r="200" spans="1:15" x14ac:dyDescent="0.2">
      <c r="A200" s="14">
        <v>43612</v>
      </c>
      <c r="B200">
        <v>2837</v>
      </c>
      <c r="C200">
        <v>2846</v>
      </c>
      <c r="D200">
        <v>2010</v>
      </c>
      <c r="E200">
        <v>1995</v>
      </c>
      <c r="F200">
        <v>1.4265664160400999</v>
      </c>
      <c r="G200">
        <v>1.3472290835762399</v>
      </c>
      <c r="H200">
        <v>4.6659764931631598E-2</v>
      </c>
      <c r="I200">
        <v>1.70033716586665</v>
      </c>
      <c r="J200">
        <v>5.56</v>
      </c>
      <c r="L200">
        <v>1.3938888485078715</v>
      </c>
      <c r="M200">
        <v>1.3005693186446083</v>
      </c>
      <c r="N200">
        <v>1.4405486134395031</v>
      </c>
      <c r="O200">
        <v>1.2539095537129767</v>
      </c>
    </row>
    <row r="201" spans="1:15" x14ac:dyDescent="0.2">
      <c r="A201" s="14">
        <v>43609</v>
      </c>
      <c r="B201">
        <v>2801</v>
      </c>
      <c r="C201">
        <v>2837</v>
      </c>
      <c r="D201">
        <v>2015</v>
      </c>
      <c r="E201">
        <v>2001</v>
      </c>
      <c r="F201">
        <v>1.41779110444777</v>
      </c>
      <c r="G201">
        <v>1.3448525432671301</v>
      </c>
      <c r="H201">
        <v>4.7095485669649599E-2</v>
      </c>
      <c r="I201">
        <v>1.5487378491489101</v>
      </c>
      <c r="J201">
        <v>5.14</v>
      </c>
      <c r="L201">
        <v>1.3919480289367796</v>
      </c>
      <c r="M201">
        <v>1.2977570575974806</v>
      </c>
      <c r="N201">
        <v>1.4390435146064293</v>
      </c>
      <c r="O201">
        <v>1.2506615719278309</v>
      </c>
    </row>
    <row r="202" spans="1:15" x14ac:dyDescent="0.2">
      <c r="A202" s="14">
        <v>43608</v>
      </c>
      <c r="B202">
        <v>2831</v>
      </c>
      <c r="C202">
        <v>2841</v>
      </c>
      <c r="D202">
        <v>1979</v>
      </c>
      <c r="E202">
        <v>2023</v>
      </c>
      <c r="F202">
        <v>1.4043499752842299</v>
      </c>
      <c r="G202">
        <v>1.3429136424192401</v>
      </c>
      <c r="H202">
        <v>4.7046087989059501E-2</v>
      </c>
      <c r="I202">
        <v>1.3058754827663599</v>
      </c>
      <c r="J202">
        <v>4.37</v>
      </c>
      <c r="L202">
        <v>1.3899597304082996</v>
      </c>
      <c r="M202">
        <v>1.2958675544301805</v>
      </c>
      <c r="N202">
        <v>1.4370058183973591</v>
      </c>
      <c r="O202">
        <v>1.248821466441121</v>
      </c>
    </row>
    <row r="203" spans="1:15" x14ac:dyDescent="0.2">
      <c r="A203" s="14">
        <v>43607</v>
      </c>
      <c r="B203">
        <v>2819</v>
      </c>
      <c r="C203">
        <v>2836</v>
      </c>
      <c r="D203">
        <v>2003</v>
      </c>
      <c r="E203">
        <v>1984</v>
      </c>
      <c r="F203">
        <v>1.42943548387096</v>
      </c>
      <c r="G203">
        <v>1.34065575079849</v>
      </c>
      <c r="H203">
        <v>4.8095309032816398E-2</v>
      </c>
      <c r="I203">
        <v>1.8459125194911501</v>
      </c>
      <c r="J203">
        <v>6.21</v>
      </c>
      <c r="L203">
        <v>1.3887510598313064</v>
      </c>
      <c r="M203">
        <v>1.2925604417656735</v>
      </c>
      <c r="N203">
        <v>1.4368463688641229</v>
      </c>
      <c r="O203">
        <v>1.2444651327328571</v>
      </c>
    </row>
    <row r="204" spans="1:15" x14ac:dyDescent="0.2">
      <c r="A204" s="14">
        <v>43606</v>
      </c>
      <c r="B204">
        <v>2802</v>
      </c>
      <c r="C204">
        <v>2829</v>
      </c>
      <c r="D204">
        <v>1963</v>
      </c>
      <c r="E204">
        <v>1991</v>
      </c>
      <c r="F204">
        <v>1.42089402310396</v>
      </c>
      <c r="G204">
        <v>1.33808275936028</v>
      </c>
      <c r="H204">
        <v>4.8437597488306498E-2</v>
      </c>
      <c r="I204">
        <v>1.7096484556995499</v>
      </c>
      <c r="J204">
        <v>5.83</v>
      </c>
      <c r="L204">
        <v>1.3865203568485864</v>
      </c>
      <c r="M204">
        <v>1.2896451618719735</v>
      </c>
      <c r="N204">
        <v>1.4349579543368929</v>
      </c>
      <c r="O204">
        <v>1.2412075643836671</v>
      </c>
    </row>
    <row r="205" spans="1:15" x14ac:dyDescent="0.2">
      <c r="A205" s="14">
        <v>43605</v>
      </c>
      <c r="B205">
        <v>2810</v>
      </c>
      <c r="C205">
        <v>2806</v>
      </c>
      <c r="D205">
        <v>2001</v>
      </c>
      <c r="E205">
        <v>2002</v>
      </c>
      <c r="F205">
        <v>1.4015984015984</v>
      </c>
      <c r="G205">
        <v>1.33654039140147</v>
      </c>
      <c r="H205">
        <v>4.7610802250041599E-2</v>
      </c>
      <c r="I205">
        <v>1.3664548195439801</v>
      </c>
      <c r="J205">
        <v>4.6399999999999997</v>
      </c>
      <c r="L205">
        <v>1.3841511936515116</v>
      </c>
      <c r="M205">
        <v>1.2889295891514283</v>
      </c>
      <c r="N205">
        <v>1.4317619959015531</v>
      </c>
      <c r="O205">
        <v>1.2413187869013869</v>
      </c>
    </row>
    <row r="206" spans="1:15" x14ac:dyDescent="0.2">
      <c r="A206" s="14">
        <v>43602</v>
      </c>
      <c r="B206">
        <v>2758</v>
      </c>
      <c r="C206">
        <v>2807</v>
      </c>
      <c r="D206">
        <v>1989</v>
      </c>
      <c r="E206">
        <v>1992</v>
      </c>
      <c r="F206">
        <v>1.4091365461847301</v>
      </c>
      <c r="G206">
        <v>1.33504846966859</v>
      </c>
      <c r="H206">
        <v>4.7300919928607799E-2</v>
      </c>
      <c r="I206">
        <v>1.5663136494590499</v>
      </c>
      <c r="J206">
        <v>5.26</v>
      </c>
      <c r="L206">
        <v>1.3823493895971979</v>
      </c>
      <c r="M206">
        <v>1.2877475497399822</v>
      </c>
      <c r="N206">
        <v>1.4296503095258055</v>
      </c>
      <c r="O206">
        <v>1.2404466298113745</v>
      </c>
    </row>
    <row r="207" spans="1:15" x14ac:dyDescent="0.2">
      <c r="A207" s="14">
        <v>43601</v>
      </c>
      <c r="B207">
        <v>2739</v>
      </c>
      <c r="C207">
        <v>2731</v>
      </c>
      <c r="D207">
        <v>1953</v>
      </c>
      <c r="E207">
        <v>1957</v>
      </c>
      <c r="F207">
        <v>1.3955033214103201</v>
      </c>
      <c r="G207">
        <v>1.33350211050773</v>
      </c>
      <c r="H207">
        <v>4.67460612977562E-2</v>
      </c>
      <c r="I207">
        <v>1.32634085485108</v>
      </c>
      <c r="J207">
        <v>4.4400000000000004</v>
      </c>
      <c r="L207">
        <v>1.3802481718054862</v>
      </c>
      <c r="M207">
        <v>1.2867560492099739</v>
      </c>
      <c r="N207">
        <v>1.4269942331032424</v>
      </c>
      <c r="O207">
        <v>1.2400099879122177</v>
      </c>
    </row>
    <row r="208" spans="1:15" x14ac:dyDescent="0.2">
      <c r="A208" s="14">
        <v>43600</v>
      </c>
      <c r="B208">
        <v>2812</v>
      </c>
      <c r="C208">
        <v>2739</v>
      </c>
      <c r="D208">
        <v>1940</v>
      </c>
      <c r="E208">
        <v>1919</v>
      </c>
      <c r="F208">
        <v>1.4273058884835801</v>
      </c>
      <c r="G208">
        <v>1.3318818956465699</v>
      </c>
      <c r="H208">
        <v>4.6674841175449303E-2</v>
      </c>
      <c r="I208">
        <v>2.0444417256465499</v>
      </c>
      <c r="J208">
        <v>6.69</v>
      </c>
      <c r="L208">
        <v>1.3785567368220193</v>
      </c>
      <c r="M208">
        <v>1.2852070544711205</v>
      </c>
      <c r="N208">
        <v>1.4252315779974685</v>
      </c>
      <c r="O208">
        <v>1.2385322132956713</v>
      </c>
    </row>
    <row r="209" spans="1:15" x14ac:dyDescent="0.2">
      <c r="A209" s="14">
        <v>43599</v>
      </c>
      <c r="B209">
        <v>2700</v>
      </c>
      <c r="C209">
        <v>2817</v>
      </c>
      <c r="D209">
        <v>1921</v>
      </c>
      <c r="E209">
        <v>1923</v>
      </c>
      <c r="F209">
        <v>1.4648985959438301</v>
      </c>
      <c r="G209">
        <v>1.3298137590083401</v>
      </c>
      <c r="H209">
        <v>4.5829609257256702E-2</v>
      </c>
      <c r="I209">
        <v>2.94754502874367</v>
      </c>
      <c r="J209">
        <v>9.2200000000000006</v>
      </c>
      <c r="L209">
        <v>1.3756433682655969</v>
      </c>
      <c r="M209">
        <v>1.2839841497510833</v>
      </c>
      <c r="N209">
        <v>1.4214729775228534</v>
      </c>
      <c r="O209">
        <v>1.2381545404938268</v>
      </c>
    </row>
    <row r="210" spans="1:15" x14ac:dyDescent="0.2">
      <c r="A210" s="14">
        <v>43598</v>
      </c>
      <c r="B210">
        <v>2716</v>
      </c>
      <c r="C210">
        <v>2723</v>
      </c>
      <c r="D210">
        <v>1921</v>
      </c>
      <c r="E210">
        <v>1945</v>
      </c>
      <c r="F210">
        <v>1.4</v>
      </c>
      <c r="G210">
        <v>1.3273045697518799</v>
      </c>
      <c r="H210">
        <v>4.3455178232343197E-2</v>
      </c>
      <c r="I210">
        <v>1.6728830304050399</v>
      </c>
      <c r="J210">
        <v>5.19</v>
      </c>
      <c r="L210">
        <v>1.3707597479842231</v>
      </c>
      <c r="M210">
        <v>1.2838493915195368</v>
      </c>
      <c r="N210">
        <v>1.4142149262165664</v>
      </c>
      <c r="O210">
        <v>1.2403942132871935</v>
      </c>
    </row>
    <row r="211" spans="1:15" x14ac:dyDescent="0.2">
      <c r="A211" s="14">
        <v>43595</v>
      </c>
      <c r="B211">
        <v>2714</v>
      </c>
      <c r="C211">
        <v>2708</v>
      </c>
      <c r="D211">
        <v>1909</v>
      </c>
      <c r="E211">
        <v>1922</v>
      </c>
      <c r="F211">
        <v>1.40894901144641</v>
      </c>
      <c r="G211">
        <v>1.3256454380690701</v>
      </c>
      <c r="H211">
        <v>4.3021286124331697E-2</v>
      </c>
      <c r="I211">
        <v>1.9363338682295299</v>
      </c>
      <c r="J211">
        <v>5.91</v>
      </c>
      <c r="L211">
        <v>1.3686667241934019</v>
      </c>
      <c r="M211">
        <v>1.2826241519447383</v>
      </c>
      <c r="N211">
        <v>1.4116880103177334</v>
      </c>
      <c r="O211">
        <v>1.2396028658204068</v>
      </c>
    </row>
    <row r="212" spans="1:15" x14ac:dyDescent="0.2">
      <c r="A212" s="14">
        <v>43594</v>
      </c>
      <c r="B212">
        <v>2751</v>
      </c>
      <c r="C212">
        <v>2715</v>
      </c>
      <c r="D212">
        <v>1988</v>
      </c>
      <c r="E212">
        <v>1912</v>
      </c>
      <c r="F212">
        <v>1.4199790794978999</v>
      </c>
      <c r="G212">
        <v>1.3240207415723599</v>
      </c>
      <c r="H212">
        <v>4.2136424580252199E-2</v>
      </c>
      <c r="I212">
        <v>2.2773251143503899</v>
      </c>
      <c r="J212">
        <v>6.76</v>
      </c>
      <c r="L212">
        <v>1.3661571661526122</v>
      </c>
      <c r="M212">
        <v>1.2818843169921077</v>
      </c>
      <c r="N212">
        <v>1.4082935907328644</v>
      </c>
      <c r="O212">
        <v>1.2397478924118555</v>
      </c>
    </row>
    <row r="213" spans="1:15" x14ac:dyDescent="0.2">
      <c r="A213" s="14">
        <v>43593</v>
      </c>
      <c r="B213">
        <v>2752</v>
      </c>
      <c r="C213">
        <v>2774</v>
      </c>
      <c r="D213">
        <v>2005</v>
      </c>
      <c r="E213">
        <v>2020</v>
      </c>
      <c r="F213">
        <v>1.37326732673267</v>
      </c>
      <c r="G213">
        <v>1.32253686868652</v>
      </c>
      <c r="H213">
        <v>4.0664940079014403E-2</v>
      </c>
      <c r="I213">
        <v>1.24752324600928</v>
      </c>
      <c r="J213">
        <v>3.69</v>
      </c>
      <c r="L213">
        <v>1.3632018087655344</v>
      </c>
      <c r="M213">
        <v>1.2818719286075055</v>
      </c>
      <c r="N213">
        <v>1.4038667488445489</v>
      </c>
      <c r="O213">
        <v>1.2412069885284911</v>
      </c>
    </row>
    <row r="214" spans="1:15" x14ac:dyDescent="0.2">
      <c r="A214" s="14">
        <v>43592</v>
      </c>
      <c r="B214">
        <v>2678</v>
      </c>
      <c r="C214">
        <v>2745</v>
      </c>
      <c r="D214">
        <v>2016</v>
      </c>
      <c r="E214">
        <v>2027</v>
      </c>
      <c r="F214">
        <v>1.35421805624075</v>
      </c>
      <c r="G214">
        <v>1.3221062521387801</v>
      </c>
      <c r="H214">
        <v>4.0294769728085003E-2</v>
      </c>
      <c r="I214">
        <v>0.79692238766123602</v>
      </c>
      <c r="J214">
        <v>2.37</v>
      </c>
      <c r="L214">
        <v>1.3624010218668652</v>
      </c>
      <c r="M214">
        <v>1.281811482410695</v>
      </c>
      <c r="N214">
        <v>1.4026957915949501</v>
      </c>
      <c r="O214">
        <v>1.2415167126826101</v>
      </c>
    </row>
    <row r="215" spans="1:15" x14ac:dyDescent="0.2">
      <c r="A215" s="14">
        <v>43581</v>
      </c>
      <c r="B215">
        <v>2681</v>
      </c>
      <c r="C215">
        <v>2677</v>
      </c>
      <c r="D215">
        <v>2085</v>
      </c>
      <c r="E215">
        <v>2022</v>
      </c>
      <c r="F215">
        <v>1.3239366963402499</v>
      </c>
      <c r="G215">
        <v>1.3216128877615601</v>
      </c>
      <c r="H215">
        <v>4.0124743603163197E-2</v>
      </c>
      <c r="I215">
        <v>5.7914602562416699E-2</v>
      </c>
      <c r="J215">
        <v>0.18</v>
      </c>
      <c r="L215">
        <v>1.3617376313647231</v>
      </c>
      <c r="M215">
        <v>1.281488144158397</v>
      </c>
      <c r="N215">
        <v>1.4018623749678865</v>
      </c>
      <c r="O215">
        <v>1.2413634005552336</v>
      </c>
    </row>
    <row r="216" spans="1:15" x14ac:dyDescent="0.2">
      <c r="A216" s="14">
        <v>43580</v>
      </c>
      <c r="B216">
        <v>2669</v>
      </c>
      <c r="C216">
        <v>2699</v>
      </c>
      <c r="D216">
        <v>2093</v>
      </c>
      <c r="E216">
        <v>2095</v>
      </c>
      <c r="F216">
        <v>1.28830548926014</v>
      </c>
      <c r="G216">
        <v>1.3214819919901499</v>
      </c>
      <c r="H216">
        <v>4.0132961388445701E-2</v>
      </c>
      <c r="I216">
        <v>-0.82666470607287901</v>
      </c>
      <c r="J216">
        <v>-2.58</v>
      </c>
      <c r="L216">
        <v>1.3616149533785957</v>
      </c>
      <c r="M216">
        <v>1.2813490306017041</v>
      </c>
      <c r="N216">
        <v>1.4017479147670413</v>
      </c>
      <c r="O216">
        <v>1.2412160692132586</v>
      </c>
    </row>
    <row r="217" spans="1:15" x14ac:dyDescent="0.2">
      <c r="A217" s="14">
        <v>43579</v>
      </c>
      <c r="B217">
        <v>2699</v>
      </c>
      <c r="C217">
        <v>2679</v>
      </c>
      <c r="D217">
        <v>2077</v>
      </c>
      <c r="E217">
        <v>2088</v>
      </c>
      <c r="F217">
        <v>1.2830459770114899</v>
      </c>
      <c r="G217">
        <v>1.32194451416544</v>
      </c>
      <c r="H217">
        <v>3.9947408349216403E-2</v>
      </c>
      <c r="I217" s="15">
        <v>-0.97374369856234899</v>
      </c>
      <c r="J217">
        <v>-3.03</v>
      </c>
      <c r="L217">
        <v>1.3618919225146564</v>
      </c>
      <c r="M217">
        <v>1.2819971058162236</v>
      </c>
      <c r="N217">
        <v>1.4018393308638728</v>
      </c>
      <c r="O217">
        <v>1.2420496974670072</v>
      </c>
    </row>
    <row r="218" spans="1:15" x14ac:dyDescent="0.2">
      <c r="A218" s="14">
        <v>43578</v>
      </c>
      <c r="B218">
        <v>2672</v>
      </c>
      <c r="C218">
        <v>2687</v>
      </c>
      <c r="D218">
        <v>2073</v>
      </c>
      <c r="E218">
        <v>2072</v>
      </c>
      <c r="F218">
        <v>1.29681467181467</v>
      </c>
      <c r="G218">
        <v>1.3223822669696299</v>
      </c>
      <c r="H218">
        <v>3.96978586662253E-2</v>
      </c>
      <c r="I218">
        <v>-0.64405476804001305</v>
      </c>
      <c r="J218">
        <v>-1.97</v>
      </c>
      <c r="L218">
        <v>1.3620801256358552</v>
      </c>
      <c r="M218">
        <v>1.2826844083034046</v>
      </c>
      <c r="N218">
        <v>1.4017779843020806</v>
      </c>
      <c r="O218">
        <v>1.2429865496371792</v>
      </c>
    </row>
    <row r="219" spans="1:15" x14ac:dyDescent="0.2">
      <c r="A219" s="14">
        <v>43577</v>
      </c>
      <c r="B219">
        <v>2667</v>
      </c>
      <c r="C219">
        <v>2680</v>
      </c>
      <c r="D219">
        <v>2060</v>
      </c>
      <c r="E219">
        <v>2067</v>
      </c>
      <c r="F219">
        <v>1.29656507014997</v>
      </c>
      <c r="G219">
        <v>1.3230135779533601</v>
      </c>
      <c r="H219">
        <v>3.9662712195350003E-2</v>
      </c>
      <c r="I219">
        <v>-0.66683558282965005</v>
      </c>
      <c r="J219">
        <v>-2.04</v>
      </c>
      <c r="L219">
        <v>1.3626762901487099</v>
      </c>
      <c r="M219">
        <v>1.2833508657580102</v>
      </c>
      <c r="N219">
        <v>1.4023390023440601</v>
      </c>
      <c r="O219">
        <v>1.24368815356266</v>
      </c>
    </row>
    <row r="220" spans="1:15" x14ac:dyDescent="0.2">
      <c r="A220" s="14">
        <v>43574</v>
      </c>
      <c r="B220">
        <v>2660</v>
      </c>
      <c r="C220">
        <v>2668</v>
      </c>
      <c r="D220">
        <v>2070</v>
      </c>
      <c r="E220">
        <v>2066</v>
      </c>
      <c r="F220">
        <v>1.2913843175217801</v>
      </c>
      <c r="G220">
        <v>1.32335477742118</v>
      </c>
      <c r="H220">
        <v>3.9543610973241598E-2</v>
      </c>
      <c r="I220">
        <v>-0.808486102117429</v>
      </c>
      <c r="J220">
        <v>-2.48</v>
      </c>
      <c r="L220">
        <v>1.3628983883944217</v>
      </c>
      <c r="M220">
        <v>1.2838111664479384</v>
      </c>
      <c r="N220">
        <v>1.4024419993676631</v>
      </c>
      <c r="O220">
        <v>1.2442675554746969</v>
      </c>
    </row>
    <row r="221" spans="1:15" x14ac:dyDescent="0.2">
      <c r="A221" s="14">
        <v>43573</v>
      </c>
      <c r="B221">
        <v>2740</v>
      </c>
      <c r="C221">
        <v>2660</v>
      </c>
      <c r="D221">
        <v>2084</v>
      </c>
      <c r="E221">
        <v>2047</v>
      </c>
      <c r="F221">
        <v>1.2994626282364401</v>
      </c>
      <c r="G221">
        <v>1.32403372574461</v>
      </c>
      <c r="H221">
        <v>3.9425834545672403E-2</v>
      </c>
      <c r="I221">
        <v>-0.62322326949616802</v>
      </c>
      <c r="J221">
        <v>-1.89</v>
      </c>
      <c r="L221">
        <v>1.3634595602902824</v>
      </c>
      <c r="M221">
        <v>1.2846078911989376</v>
      </c>
      <c r="N221">
        <v>1.4028853948359548</v>
      </c>
      <c r="O221">
        <v>1.2451820566532652</v>
      </c>
    </row>
    <row r="222" spans="1:15" x14ac:dyDescent="0.2">
      <c r="A222" s="14">
        <v>43572</v>
      </c>
      <c r="B222">
        <v>2729</v>
      </c>
      <c r="C222">
        <v>2721</v>
      </c>
      <c r="D222">
        <v>2082</v>
      </c>
      <c r="E222">
        <v>2094</v>
      </c>
      <c r="F222">
        <v>1.29942693409742</v>
      </c>
      <c r="G222">
        <v>1.32448000287902</v>
      </c>
      <c r="H222">
        <v>3.9334507425717799E-2</v>
      </c>
      <c r="I222">
        <v>-0.63692341461032698</v>
      </c>
      <c r="J222">
        <v>-1.93</v>
      </c>
      <c r="L222">
        <v>1.3638145103047379</v>
      </c>
      <c r="M222">
        <v>1.2851454954533021</v>
      </c>
      <c r="N222">
        <v>1.4031490177304555</v>
      </c>
      <c r="O222">
        <v>1.2458109880275845</v>
      </c>
    </row>
    <row r="223" spans="1:15" x14ac:dyDescent="0.2">
      <c r="A223" s="14">
        <v>43571</v>
      </c>
      <c r="B223">
        <v>2742</v>
      </c>
      <c r="C223">
        <v>2729</v>
      </c>
      <c r="D223">
        <v>2070</v>
      </c>
      <c r="E223">
        <v>2082</v>
      </c>
      <c r="F223">
        <v>1.31075888568683</v>
      </c>
      <c r="G223">
        <v>1.3245148846927499</v>
      </c>
      <c r="H223">
        <v>3.9313429261455902E-2</v>
      </c>
      <c r="I223">
        <v>-0.34990585314823702</v>
      </c>
      <c r="J223">
        <v>-1.05</v>
      </c>
      <c r="L223">
        <v>1.3638283139542058</v>
      </c>
      <c r="M223">
        <v>1.285201455431294</v>
      </c>
      <c r="N223">
        <v>1.4031417432156617</v>
      </c>
      <c r="O223">
        <v>1.2458880261698382</v>
      </c>
    </row>
    <row r="224" spans="1:15" x14ac:dyDescent="0.2">
      <c r="A224" s="14">
        <v>43570</v>
      </c>
      <c r="B224">
        <v>2707</v>
      </c>
      <c r="C224">
        <v>2738</v>
      </c>
      <c r="D224">
        <v>2068</v>
      </c>
      <c r="E224">
        <v>2086</v>
      </c>
      <c r="F224">
        <v>1.31255992329817</v>
      </c>
      <c r="G224">
        <v>1.3243728543477</v>
      </c>
      <c r="H224">
        <v>3.9382052164226203E-2</v>
      </c>
      <c r="I224">
        <v>-0.29995722417570297</v>
      </c>
      <c r="J224">
        <v>-0.9</v>
      </c>
      <c r="L224">
        <v>1.3637549065119263</v>
      </c>
      <c r="M224">
        <v>1.2849908021834737</v>
      </c>
      <c r="N224">
        <v>1.4031369586761524</v>
      </c>
      <c r="O224">
        <v>1.2456087500192476</v>
      </c>
    </row>
    <row r="225" spans="1:15" x14ac:dyDescent="0.2">
      <c r="A225" s="14">
        <v>43567</v>
      </c>
      <c r="B225">
        <v>2712</v>
      </c>
      <c r="C225">
        <v>2702</v>
      </c>
      <c r="D225">
        <v>2056</v>
      </c>
      <c r="E225">
        <v>2067</v>
      </c>
      <c r="F225">
        <v>1.30720851475568</v>
      </c>
      <c r="G225">
        <v>1.3244407657298001</v>
      </c>
      <c r="H225">
        <v>3.93660113860674E-2</v>
      </c>
      <c r="I225">
        <v>-0.43774439846388402</v>
      </c>
      <c r="J225">
        <v>-1.32</v>
      </c>
      <c r="L225">
        <v>1.3638067771158675</v>
      </c>
      <c r="M225">
        <v>1.2850747543437326</v>
      </c>
      <c r="N225">
        <v>1.4031727885019349</v>
      </c>
      <c r="O225">
        <v>1.2457087429576652</v>
      </c>
    </row>
    <row r="226" spans="1:15" x14ac:dyDescent="0.2">
      <c r="A226" s="14">
        <v>43566</v>
      </c>
      <c r="B226">
        <v>2741</v>
      </c>
      <c r="C226">
        <v>2714</v>
      </c>
      <c r="D226">
        <v>2039</v>
      </c>
      <c r="E226">
        <v>2048</v>
      </c>
      <c r="F226">
        <v>1.3251953125</v>
      </c>
      <c r="G226">
        <v>1.3239173195601099</v>
      </c>
      <c r="H226">
        <v>3.9849703387007003E-2</v>
      </c>
      <c r="I226">
        <v>3.2070325027883401E-2</v>
      </c>
      <c r="J226">
        <v>0.1</v>
      </c>
      <c r="L226">
        <v>1.363767022947117</v>
      </c>
      <c r="M226">
        <v>1.2840676161731028</v>
      </c>
      <c r="N226">
        <v>1.4036167263341239</v>
      </c>
      <c r="O226">
        <v>1.2442179127860959</v>
      </c>
    </row>
    <row r="227" spans="1:15" x14ac:dyDescent="0.2">
      <c r="A227" s="14">
        <v>43565</v>
      </c>
      <c r="B227">
        <v>2725</v>
      </c>
      <c r="C227">
        <v>2737</v>
      </c>
      <c r="D227">
        <v>2018</v>
      </c>
      <c r="E227">
        <v>2030</v>
      </c>
      <c r="F227">
        <v>1.3482758620689601</v>
      </c>
      <c r="G227">
        <v>1.3229437009006899</v>
      </c>
      <c r="H227">
        <v>4.06897698228997E-2</v>
      </c>
      <c r="I227">
        <v>0.62256830841090405</v>
      </c>
      <c r="J227">
        <v>1.88</v>
      </c>
      <c r="L227">
        <v>1.3636334707235895</v>
      </c>
      <c r="M227">
        <v>1.2822539310777903</v>
      </c>
      <c r="N227">
        <v>1.4043232405464894</v>
      </c>
      <c r="O227">
        <v>1.2415641612548904</v>
      </c>
    </row>
    <row r="228" spans="1:15" x14ac:dyDescent="0.2">
      <c r="A228" s="14">
        <v>43564</v>
      </c>
      <c r="B228">
        <v>2737</v>
      </c>
      <c r="C228">
        <v>2727</v>
      </c>
      <c r="D228">
        <v>2056</v>
      </c>
      <c r="E228">
        <v>2042</v>
      </c>
      <c r="F228">
        <v>1.3354554358471999</v>
      </c>
      <c r="G228">
        <v>1.32219007145236</v>
      </c>
      <c r="H228">
        <v>4.0737011261340203E-2</v>
      </c>
      <c r="I228">
        <v>0.325634207913229</v>
      </c>
      <c r="J228">
        <v>0.99</v>
      </c>
      <c r="L228">
        <v>1.3629270827137001</v>
      </c>
      <c r="M228">
        <v>1.2814530601910199</v>
      </c>
      <c r="N228">
        <v>1.4036640939750404</v>
      </c>
      <c r="O228">
        <v>1.2407160489296796</v>
      </c>
    </row>
    <row r="229" spans="1:15" x14ac:dyDescent="0.2">
      <c r="A229" s="14">
        <v>43563</v>
      </c>
      <c r="B229">
        <v>2750</v>
      </c>
      <c r="C229">
        <v>2752</v>
      </c>
      <c r="D229">
        <v>2060</v>
      </c>
      <c r="E229">
        <v>2066</v>
      </c>
      <c r="F229">
        <v>1.3320425943852801</v>
      </c>
      <c r="G229">
        <v>1.3217543499435001</v>
      </c>
      <c r="H229">
        <v>4.0767551025177699E-2</v>
      </c>
      <c r="I229">
        <v>0.25236356325232601</v>
      </c>
      <c r="J229">
        <v>0.77</v>
      </c>
      <c r="L229">
        <v>1.3625219009686778</v>
      </c>
      <c r="M229">
        <v>1.2809867989183223</v>
      </c>
      <c r="N229">
        <v>1.4032894519938555</v>
      </c>
      <c r="O229">
        <v>1.2402192478931446</v>
      </c>
    </row>
    <row r="230" spans="1:15" x14ac:dyDescent="0.2">
      <c r="A230" s="14">
        <v>43560</v>
      </c>
      <c r="B230">
        <v>2721</v>
      </c>
      <c r="C230">
        <v>2733</v>
      </c>
      <c r="D230">
        <v>2096</v>
      </c>
      <c r="E230">
        <v>2068</v>
      </c>
      <c r="F230">
        <v>1.3215667311411901</v>
      </c>
      <c r="G230">
        <v>1.3212369964941399</v>
      </c>
      <c r="H230">
        <v>4.0879754633145499E-2</v>
      </c>
      <c r="I230">
        <v>8.0659644366651607E-3</v>
      </c>
      <c r="J230">
        <v>0.02</v>
      </c>
      <c r="L230">
        <v>1.3621167511272854</v>
      </c>
      <c r="M230">
        <v>1.2803572418609945</v>
      </c>
      <c r="N230">
        <v>1.402996505760431</v>
      </c>
      <c r="O230">
        <v>1.2394774872278489</v>
      </c>
    </row>
    <row r="231" spans="1:15" x14ac:dyDescent="0.2">
      <c r="A231" s="14">
        <v>43559</v>
      </c>
      <c r="B231">
        <v>2763</v>
      </c>
      <c r="C231">
        <v>2731</v>
      </c>
      <c r="D231">
        <v>2075</v>
      </c>
      <c r="E231">
        <v>2065</v>
      </c>
      <c r="F231">
        <v>1.3225181598062901</v>
      </c>
      <c r="G231">
        <v>1.32105535230236</v>
      </c>
      <c r="H231">
        <v>4.09081428497741E-2</v>
      </c>
      <c r="I231">
        <v>3.5758345454678798E-2</v>
      </c>
      <c r="J231">
        <v>0.11</v>
      </c>
      <c r="L231">
        <v>1.3619634951521342</v>
      </c>
      <c r="M231">
        <v>1.2801472094525859</v>
      </c>
      <c r="N231">
        <v>1.4028716380019082</v>
      </c>
      <c r="O231">
        <v>1.2392390666028119</v>
      </c>
    </row>
    <row r="232" spans="1:15" x14ac:dyDescent="0.2">
      <c r="A232" s="14">
        <v>43558</v>
      </c>
      <c r="B232">
        <v>2762</v>
      </c>
      <c r="C232">
        <v>2748</v>
      </c>
      <c r="D232">
        <v>2073</v>
      </c>
      <c r="E232">
        <v>2084</v>
      </c>
      <c r="F232">
        <v>1.3186180422264799</v>
      </c>
      <c r="G232">
        <v>1.3211156066637799</v>
      </c>
      <c r="H232">
        <v>4.0913580825916798E-2</v>
      </c>
      <c r="I232">
        <v>-6.1044875243932602E-2</v>
      </c>
      <c r="J232">
        <v>-0.19</v>
      </c>
      <c r="L232">
        <v>1.3620291874896968</v>
      </c>
      <c r="M232">
        <v>1.280202025837863</v>
      </c>
      <c r="N232">
        <v>1.4029427683156135</v>
      </c>
      <c r="O232">
        <v>1.2392884450119463</v>
      </c>
    </row>
    <row r="233" spans="1:15" x14ac:dyDescent="0.2">
      <c r="A233" s="14">
        <v>43557</v>
      </c>
      <c r="B233">
        <v>2764</v>
      </c>
      <c r="C233">
        <v>2709</v>
      </c>
      <c r="D233">
        <v>2101</v>
      </c>
      <c r="E233">
        <v>2062</v>
      </c>
      <c r="F233">
        <v>1.31377303588748</v>
      </c>
      <c r="G233">
        <v>1.32108341224654</v>
      </c>
      <c r="H233">
        <v>4.09164833632987E-2</v>
      </c>
      <c r="I233">
        <v>-0.17866580307378499</v>
      </c>
      <c r="J233">
        <v>-0.56000000000000005</v>
      </c>
      <c r="L233">
        <v>1.3619998956098387</v>
      </c>
      <c r="M233">
        <v>1.2801669288832414</v>
      </c>
      <c r="N233">
        <v>1.4029163789731374</v>
      </c>
      <c r="O233">
        <v>1.2392504455199427</v>
      </c>
    </row>
    <row r="234" spans="1:15" x14ac:dyDescent="0.2">
      <c r="A234" s="14">
        <v>43556</v>
      </c>
      <c r="B234">
        <v>2731</v>
      </c>
      <c r="C234">
        <v>2729</v>
      </c>
      <c r="D234">
        <v>2150</v>
      </c>
      <c r="E234">
        <v>2104</v>
      </c>
      <c r="F234">
        <v>1.2970532319391599</v>
      </c>
      <c r="G234">
        <v>1.32124990439404</v>
      </c>
      <c r="H234">
        <v>4.0911802982809199E-2</v>
      </c>
      <c r="I234">
        <v>-0.59143500629990597</v>
      </c>
      <c r="J234">
        <v>-1.87</v>
      </c>
      <c r="L234">
        <v>1.3621617073768493</v>
      </c>
      <c r="M234">
        <v>1.2803381014112307</v>
      </c>
      <c r="N234">
        <v>1.4030735103596583</v>
      </c>
      <c r="O234">
        <v>1.2394262984284217</v>
      </c>
    </row>
    <row r="235" spans="1:15" x14ac:dyDescent="0.2">
      <c r="A235" s="14">
        <v>43553</v>
      </c>
      <c r="B235">
        <v>2670</v>
      </c>
      <c r="C235">
        <v>2675</v>
      </c>
      <c r="D235">
        <v>2100</v>
      </c>
      <c r="E235">
        <v>2134</v>
      </c>
      <c r="F235">
        <v>1.2535145267104</v>
      </c>
      <c r="G235">
        <v>1.32156618748327</v>
      </c>
      <c r="H235">
        <v>4.0815097894350297E-2</v>
      </c>
      <c r="I235">
        <v>-1.6673158777916599</v>
      </c>
      <c r="J235">
        <v>-5.43</v>
      </c>
      <c r="L235">
        <v>1.3623812853776203</v>
      </c>
      <c r="M235">
        <v>1.2807510895889198</v>
      </c>
      <c r="N235">
        <v>1.4031963832719707</v>
      </c>
      <c r="O235">
        <v>1.2399359916945694</v>
      </c>
    </row>
    <row r="236" spans="1:15" x14ac:dyDescent="0.2">
      <c r="A236" s="14">
        <v>43552</v>
      </c>
      <c r="B236">
        <v>2659</v>
      </c>
      <c r="C236">
        <v>2667</v>
      </c>
      <c r="D236">
        <v>2058</v>
      </c>
      <c r="E236">
        <v>2071</v>
      </c>
      <c r="F236">
        <v>1.2877836793819399</v>
      </c>
      <c r="G236">
        <v>1.3225601147502</v>
      </c>
      <c r="H236">
        <v>4.0046215529128099E-2</v>
      </c>
      <c r="I236">
        <v>-0.86840753636172097</v>
      </c>
      <c r="J236">
        <v>-2.7</v>
      </c>
      <c r="L236">
        <v>1.3626063302793281</v>
      </c>
      <c r="M236">
        <v>1.2825138992210718</v>
      </c>
      <c r="N236">
        <v>1.4026525458084562</v>
      </c>
      <c r="O236">
        <v>1.2424676836919437</v>
      </c>
    </row>
    <row r="237" spans="1:15" x14ac:dyDescent="0.2">
      <c r="A237" s="14">
        <v>43551</v>
      </c>
      <c r="B237">
        <v>2680</v>
      </c>
      <c r="C237">
        <v>2717</v>
      </c>
      <c r="D237">
        <v>2080</v>
      </c>
      <c r="E237">
        <v>2079</v>
      </c>
      <c r="F237">
        <v>1.3068783068783001</v>
      </c>
      <c r="G237">
        <v>1.3232398057477901</v>
      </c>
      <c r="H237">
        <v>3.98824701739071E-2</v>
      </c>
      <c r="I237">
        <v>-0.41024286605486499</v>
      </c>
      <c r="J237">
        <v>-1.25</v>
      </c>
      <c r="L237">
        <v>1.3631222759216972</v>
      </c>
      <c r="M237">
        <v>1.283357335573883</v>
      </c>
      <c r="N237">
        <v>1.4030047460956043</v>
      </c>
      <c r="O237">
        <v>1.2434748653999759</v>
      </c>
    </row>
    <row r="238" spans="1:15" x14ac:dyDescent="0.2">
      <c r="A238" s="14">
        <v>43550</v>
      </c>
      <c r="B238">
        <v>2612</v>
      </c>
      <c r="C238">
        <v>2684</v>
      </c>
      <c r="D238">
        <v>2091</v>
      </c>
      <c r="E238">
        <v>2132</v>
      </c>
      <c r="F238">
        <v>1.2589118198874201</v>
      </c>
      <c r="G238">
        <v>1.32370577368722</v>
      </c>
      <c r="H238">
        <v>3.9892742350793597E-2</v>
      </c>
      <c r="I238">
        <v>-1.6242040527080499</v>
      </c>
      <c r="J238">
        <v>-5.15</v>
      </c>
      <c r="L238">
        <v>1.3635985160380135</v>
      </c>
      <c r="M238">
        <v>1.2838130313364264</v>
      </c>
      <c r="N238">
        <v>1.4034912583888071</v>
      </c>
      <c r="O238">
        <v>1.2439202889856329</v>
      </c>
    </row>
    <row r="239" spans="1:15" x14ac:dyDescent="0.2">
      <c r="A239" s="14">
        <v>43549</v>
      </c>
      <c r="B239">
        <v>2624</v>
      </c>
      <c r="C239">
        <v>2610</v>
      </c>
      <c r="D239">
        <v>2082</v>
      </c>
      <c r="E239">
        <v>2071</v>
      </c>
      <c r="F239">
        <v>1.26026074360212</v>
      </c>
      <c r="G239">
        <v>1.3256382314733399</v>
      </c>
      <c r="H239">
        <v>4.0216325295561697E-2</v>
      </c>
      <c r="I239">
        <v>-1.62564549074885</v>
      </c>
      <c r="J239">
        <v>-5.19</v>
      </c>
      <c r="L239">
        <v>1.3658545567689016</v>
      </c>
      <c r="M239">
        <v>1.2854219061777783</v>
      </c>
      <c r="N239">
        <v>1.4060708820644634</v>
      </c>
      <c r="O239">
        <v>1.2452055808822164</v>
      </c>
    </row>
    <row r="240" spans="1:15" x14ac:dyDescent="0.2">
      <c r="A240" s="14">
        <v>43546</v>
      </c>
      <c r="B240">
        <v>2700</v>
      </c>
      <c r="C240">
        <v>2667</v>
      </c>
      <c r="D240">
        <v>2080</v>
      </c>
      <c r="E240">
        <v>2096</v>
      </c>
      <c r="F240">
        <v>1.27242366412213</v>
      </c>
      <c r="G240">
        <v>1.32808310238962</v>
      </c>
      <c r="H240">
        <v>4.1713318303923101E-2</v>
      </c>
      <c r="I240">
        <v>-1.3343325472682099</v>
      </c>
      <c r="J240">
        <v>-4.37</v>
      </c>
      <c r="L240">
        <v>1.3697964206935431</v>
      </c>
      <c r="M240">
        <v>1.2863697840856969</v>
      </c>
      <c r="N240">
        <v>1.4115097389974662</v>
      </c>
      <c r="O240">
        <v>1.2446564657817738</v>
      </c>
    </row>
    <row r="241" spans="1:15" x14ac:dyDescent="0.2">
      <c r="A241" s="14">
        <v>43544</v>
      </c>
      <c r="B241">
        <v>2683</v>
      </c>
      <c r="C241">
        <v>2726</v>
      </c>
      <c r="D241">
        <v>2028</v>
      </c>
      <c r="E241">
        <v>2058</v>
      </c>
      <c r="F241">
        <v>1.3245869776482</v>
      </c>
      <c r="G241">
        <v>1.3306459181695001</v>
      </c>
      <c r="H241">
        <v>4.4053887228508601E-2</v>
      </c>
      <c r="I241">
        <v>-0.13753475351396</v>
      </c>
      <c r="J241">
        <v>-0.46</v>
      </c>
      <c r="L241">
        <v>1.3746998053980086</v>
      </c>
      <c r="M241">
        <v>1.2865920309409915</v>
      </c>
      <c r="N241">
        <v>1.4187536926265172</v>
      </c>
      <c r="O241">
        <v>1.2425381437124829</v>
      </c>
    </row>
    <row r="242" spans="1:15" x14ac:dyDescent="0.2">
      <c r="A242" s="14">
        <v>43543</v>
      </c>
      <c r="B242">
        <v>2665</v>
      </c>
      <c r="C242">
        <v>2664</v>
      </c>
      <c r="D242">
        <v>2020</v>
      </c>
      <c r="E242">
        <v>2030</v>
      </c>
      <c r="F242">
        <v>1.31231527093596</v>
      </c>
      <c r="G242">
        <v>1.33310858511023</v>
      </c>
      <c r="H242">
        <v>4.8576667043099403E-2</v>
      </c>
      <c r="I242">
        <v>-0.42805147903254998</v>
      </c>
      <c r="J242">
        <v>-1.58</v>
      </c>
      <c r="L242">
        <v>1.3816852521533294</v>
      </c>
      <c r="M242">
        <v>1.2845319180671306</v>
      </c>
      <c r="N242">
        <v>1.4302619191964288</v>
      </c>
      <c r="O242">
        <v>1.2359552510240313</v>
      </c>
    </row>
    <row r="243" spans="1:15" x14ac:dyDescent="0.2">
      <c r="A243" s="14">
        <v>43542</v>
      </c>
      <c r="B243">
        <v>2622</v>
      </c>
      <c r="C243">
        <v>2658</v>
      </c>
      <c r="D243">
        <v>1985</v>
      </c>
      <c r="E243">
        <v>2020</v>
      </c>
      <c r="F243">
        <v>1.3158415841584099</v>
      </c>
      <c r="G243">
        <v>1.33538829557889</v>
      </c>
      <c r="H243">
        <v>5.1473012499400297E-2</v>
      </c>
      <c r="I243">
        <v>-0.379746792956972</v>
      </c>
      <c r="J243">
        <v>-1.49</v>
      </c>
      <c r="L243">
        <v>1.3868613080782903</v>
      </c>
      <c r="M243">
        <v>1.2839152830794898</v>
      </c>
      <c r="N243">
        <v>1.4383343205776906</v>
      </c>
      <c r="O243">
        <v>1.2324422705800895</v>
      </c>
    </row>
    <row r="244" spans="1:15" x14ac:dyDescent="0.2">
      <c r="A244" s="14">
        <v>43539</v>
      </c>
      <c r="B244">
        <v>2579</v>
      </c>
      <c r="C244">
        <v>2581</v>
      </c>
      <c r="D244">
        <v>1960</v>
      </c>
      <c r="E244">
        <v>1978</v>
      </c>
      <c r="F244">
        <v>1.30485338725985</v>
      </c>
      <c r="G244">
        <v>1.3375986135365501</v>
      </c>
      <c r="H244">
        <v>5.4079474168142003E-2</v>
      </c>
      <c r="I244">
        <v>-0.605501935445661</v>
      </c>
      <c r="J244">
        <v>-2.5099999999999998</v>
      </c>
      <c r="L244">
        <v>1.3916780877046921</v>
      </c>
      <c r="M244">
        <v>1.283519139368408</v>
      </c>
      <c r="N244">
        <v>1.445757561872834</v>
      </c>
      <c r="O244">
        <v>1.2294396652002662</v>
      </c>
    </row>
    <row r="245" spans="1:15" x14ac:dyDescent="0.2">
      <c r="A245" s="14">
        <v>43538</v>
      </c>
      <c r="B245">
        <v>2612</v>
      </c>
      <c r="C245">
        <v>2555</v>
      </c>
      <c r="D245">
        <v>1986</v>
      </c>
      <c r="E245">
        <v>1945</v>
      </c>
      <c r="F245">
        <v>1.31362467866323</v>
      </c>
      <c r="G245">
        <v>1.3397846444277499</v>
      </c>
      <c r="H245">
        <v>5.5991530361126897E-2</v>
      </c>
      <c r="I245">
        <v>-0.46721290873439603</v>
      </c>
      <c r="J245">
        <v>-1.99</v>
      </c>
      <c r="L245">
        <v>1.3957761747888768</v>
      </c>
      <c r="M245">
        <v>1.283793114066623</v>
      </c>
      <c r="N245">
        <v>1.4517677051500038</v>
      </c>
      <c r="O245">
        <v>1.2278015837054961</v>
      </c>
    </row>
    <row r="246" spans="1:15" x14ac:dyDescent="0.2">
      <c r="A246" s="14">
        <v>43537</v>
      </c>
      <c r="B246">
        <v>2621</v>
      </c>
      <c r="C246">
        <v>2592</v>
      </c>
      <c r="D246">
        <v>1975</v>
      </c>
      <c r="E246">
        <v>1977</v>
      </c>
      <c r="F246">
        <v>1.31107738998482</v>
      </c>
      <c r="G246">
        <v>1.34172723670993</v>
      </c>
      <c r="H246">
        <v>5.7555767480966698E-2</v>
      </c>
      <c r="I246">
        <v>-0.53252433364290397</v>
      </c>
      <c r="J246">
        <v>-2.34</v>
      </c>
      <c r="L246">
        <v>1.3992830041908968</v>
      </c>
      <c r="M246">
        <v>1.2841714692289632</v>
      </c>
      <c r="N246">
        <v>1.4568387716718634</v>
      </c>
      <c r="O246">
        <v>1.2266157017479966</v>
      </c>
    </row>
    <row r="247" spans="1:15" x14ac:dyDescent="0.2">
      <c r="A247" s="14">
        <v>43536</v>
      </c>
      <c r="B247">
        <v>2640</v>
      </c>
      <c r="C247">
        <v>2637</v>
      </c>
      <c r="D247">
        <v>1951</v>
      </c>
      <c r="E247">
        <v>1964</v>
      </c>
      <c r="F247">
        <v>1.3426680244399101</v>
      </c>
      <c r="G247">
        <v>1.3434544664613599</v>
      </c>
      <c r="H247">
        <v>5.8545312276015102E-2</v>
      </c>
      <c r="I247">
        <v>-1.34330485375632E-2</v>
      </c>
      <c r="J247">
        <v>-0.06</v>
      </c>
      <c r="L247">
        <v>1.401999778737375</v>
      </c>
      <c r="M247">
        <v>1.2849091541853448</v>
      </c>
      <c r="N247">
        <v>1.4605450910133901</v>
      </c>
      <c r="O247">
        <v>1.2263638419093297</v>
      </c>
    </row>
    <row r="248" spans="1:15" x14ac:dyDescent="0.2">
      <c r="A248" s="14">
        <v>43535</v>
      </c>
      <c r="B248">
        <v>2633</v>
      </c>
      <c r="C248">
        <v>2621</v>
      </c>
      <c r="D248">
        <v>1934</v>
      </c>
      <c r="E248">
        <v>1936</v>
      </c>
      <c r="F248">
        <v>1.35382231404958</v>
      </c>
      <c r="G248">
        <v>1.3447488756691</v>
      </c>
      <c r="H248">
        <v>5.95777162913389E-2</v>
      </c>
      <c r="I248">
        <v>0.15229584054739301</v>
      </c>
      <c r="J248">
        <v>0.67</v>
      </c>
      <c r="L248">
        <v>1.4043265919604389</v>
      </c>
      <c r="M248">
        <v>1.2851711593777611</v>
      </c>
      <c r="N248">
        <v>1.4639043082517778</v>
      </c>
      <c r="O248">
        <v>1.2255934430864222</v>
      </c>
    </row>
    <row r="249" spans="1:15" x14ac:dyDescent="0.2">
      <c r="A249" s="14">
        <v>43532</v>
      </c>
      <c r="B249">
        <v>2618</v>
      </c>
      <c r="C249">
        <v>2598</v>
      </c>
      <c r="D249">
        <v>1949</v>
      </c>
      <c r="E249">
        <v>1936</v>
      </c>
      <c r="F249">
        <v>1.34194214876033</v>
      </c>
      <c r="G249">
        <v>1.3457236115201301</v>
      </c>
      <c r="H249">
        <v>6.0311697276079199E-2</v>
      </c>
      <c r="I249">
        <v>-6.2698662624156895E-2</v>
      </c>
      <c r="J249">
        <v>-0.28000000000000003</v>
      </c>
      <c r="L249">
        <v>1.4060353087962092</v>
      </c>
      <c r="M249">
        <v>1.285411914244051</v>
      </c>
      <c r="N249">
        <v>1.4663470060722885</v>
      </c>
      <c r="O249">
        <v>1.2251002169679717</v>
      </c>
    </row>
    <row r="250" spans="1:15" x14ac:dyDescent="0.2">
      <c r="A250" s="14">
        <v>43531</v>
      </c>
      <c r="B250">
        <v>2714</v>
      </c>
      <c r="C250">
        <v>2718</v>
      </c>
      <c r="D250">
        <v>1971</v>
      </c>
      <c r="E250">
        <v>1977</v>
      </c>
      <c r="F250">
        <v>1.3748103186646401</v>
      </c>
      <c r="G250">
        <v>1.3468473189275001</v>
      </c>
      <c r="H250">
        <v>6.1011830572931199E-2</v>
      </c>
      <c r="I250">
        <v>0.45832094324249101</v>
      </c>
      <c r="J250">
        <v>2.0299999999999998</v>
      </c>
      <c r="L250">
        <v>1.4078591495004313</v>
      </c>
      <c r="M250">
        <v>1.2858354883545688</v>
      </c>
      <c r="N250">
        <v>1.4688709800733626</v>
      </c>
      <c r="O250">
        <v>1.2248236577816376</v>
      </c>
    </row>
    <row r="251" spans="1:15" x14ac:dyDescent="0.2">
      <c r="A251" s="14">
        <v>43530</v>
      </c>
      <c r="B251">
        <v>2746</v>
      </c>
      <c r="C251">
        <v>2728</v>
      </c>
      <c r="D251">
        <v>1962</v>
      </c>
      <c r="E251">
        <v>1974</v>
      </c>
      <c r="F251">
        <v>1.3819655521783101</v>
      </c>
      <c r="G251">
        <v>1.3474704741629899</v>
      </c>
      <c r="H251">
        <v>6.1530723304281103E-2</v>
      </c>
      <c r="I251">
        <v>0.56061551307860102</v>
      </c>
      <c r="J251">
        <v>2.5</v>
      </c>
      <c r="L251">
        <v>1.4090011974672709</v>
      </c>
      <c r="M251">
        <v>1.2859397508587089</v>
      </c>
      <c r="N251">
        <v>1.4705319207715521</v>
      </c>
      <c r="O251">
        <v>1.2244090275544277</v>
      </c>
    </row>
    <row r="252" spans="1:15" x14ac:dyDescent="0.2">
      <c r="A252" s="14">
        <v>43529</v>
      </c>
      <c r="B252">
        <v>2694</v>
      </c>
      <c r="C252">
        <v>2759</v>
      </c>
      <c r="D252">
        <v>1953</v>
      </c>
      <c r="E252">
        <v>1966</v>
      </c>
      <c r="F252">
        <v>1.40335707019328</v>
      </c>
      <c r="G252">
        <v>1.3476403711739999</v>
      </c>
      <c r="H252">
        <v>6.1643224617382399E-2</v>
      </c>
      <c r="I252">
        <v>0.90385763180157896</v>
      </c>
      <c r="J252">
        <v>3.97</v>
      </c>
      <c r="L252">
        <v>1.4092835957913823</v>
      </c>
      <c r="M252">
        <v>1.2859971465566176</v>
      </c>
      <c r="N252">
        <v>1.4709268204087647</v>
      </c>
      <c r="O252">
        <v>1.2243539219392352</v>
      </c>
    </row>
    <row r="253" spans="1:15" x14ac:dyDescent="0.2">
      <c r="A253" s="14">
        <v>43528</v>
      </c>
      <c r="B253">
        <v>2725</v>
      </c>
      <c r="C253">
        <v>2701</v>
      </c>
      <c r="D253">
        <v>1979</v>
      </c>
      <c r="E253">
        <v>1978</v>
      </c>
      <c r="F253">
        <v>1.3655207280080801</v>
      </c>
      <c r="G253">
        <v>1.3472460956749801</v>
      </c>
      <c r="H253">
        <v>6.1379599356182597E-2</v>
      </c>
      <c r="I253">
        <v>0.29773137206474598</v>
      </c>
      <c r="J253">
        <v>1.34</v>
      </c>
      <c r="L253">
        <v>1.4086256950311626</v>
      </c>
      <c r="M253">
        <v>1.2858664963187976</v>
      </c>
      <c r="N253">
        <v>1.4700052943873454</v>
      </c>
      <c r="O253">
        <v>1.2244868969626148</v>
      </c>
    </row>
    <row r="254" spans="1:15" x14ac:dyDescent="0.2">
      <c r="A254" s="14">
        <v>43525</v>
      </c>
      <c r="B254">
        <v>2693</v>
      </c>
      <c r="C254">
        <v>2670</v>
      </c>
      <c r="D254">
        <v>1984</v>
      </c>
      <c r="E254">
        <v>1973</v>
      </c>
      <c r="F254">
        <v>1.3532691332995399</v>
      </c>
      <c r="G254">
        <v>1.3475552345062201</v>
      </c>
      <c r="H254">
        <v>6.1529065965146901E-2</v>
      </c>
      <c r="I254">
        <v>9.2865033845226E-2</v>
      </c>
      <c r="J254">
        <v>0.42</v>
      </c>
      <c r="L254">
        <v>1.4090843004713669</v>
      </c>
      <c r="M254">
        <v>1.2860261685410732</v>
      </c>
      <c r="N254">
        <v>1.4706133664365137</v>
      </c>
      <c r="O254">
        <v>1.2244971025759264</v>
      </c>
    </row>
    <row r="255" spans="1:15" x14ac:dyDescent="0.2">
      <c r="A255" s="14">
        <v>43524</v>
      </c>
      <c r="B255">
        <v>2660</v>
      </c>
      <c r="C255">
        <v>2696</v>
      </c>
      <c r="D255">
        <v>1956</v>
      </c>
      <c r="E255">
        <v>1995</v>
      </c>
      <c r="F255">
        <v>1.35137844611528</v>
      </c>
      <c r="G255">
        <v>1.3477534043039801</v>
      </c>
      <c r="H255">
        <v>6.1571070128488399E-2</v>
      </c>
      <c r="I255">
        <v>5.88757317963381E-2</v>
      </c>
      <c r="J255">
        <v>0.27</v>
      </c>
      <c r="L255">
        <v>1.4093244744324684</v>
      </c>
      <c r="M255">
        <v>1.2861823341754917</v>
      </c>
      <c r="N255">
        <v>1.4708955445609568</v>
      </c>
      <c r="O255">
        <v>1.2246112640470033</v>
      </c>
    </row>
    <row r="256" spans="1:15" x14ac:dyDescent="0.2">
      <c r="A256" s="14">
        <v>43523</v>
      </c>
      <c r="B256">
        <v>2635</v>
      </c>
      <c r="C256">
        <v>2669</v>
      </c>
      <c r="D256">
        <v>1921</v>
      </c>
      <c r="E256">
        <v>1950</v>
      </c>
      <c r="F256">
        <v>1.3687179487179399</v>
      </c>
      <c r="G256">
        <v>1.3479606548143399</v>
      </c>
      <c r="H256">
        <v>6.1609072104499098E-2</v>
      </c>
      <c r="I256">
        <v>0.33691943726069001</v>
      </c>
      <c r="J256">
        <v>1.52</v>
      </c>
      <c r="L256">
        <v>1.409569726918839</v>
      </c>
      <c r="M256">
        <v>1.2863515827098408</v>
      </c>
      <c r="N256">
        <v>1.471178799023338</v>
      </c>
      <c r="O256">
        <v>1.2247425106053418</v>
      </c>
    </row>
    <row r="257" spans="1:15" x14ac:dyDescent="0.2">
      <c r="A257" s="14">
        <v>43522</v>
      </c>
      <c r="B257">
        <v>2625</v>
      </c>
      <c r="C257">
        <v>2627</v>
      </c>
      <c r="D257">
        <v>1939</v>
      </c>
      <c r="E257">
        <v>1920</v>
      </c>
      <c r="F257">
        <v>1.3682291666666599</v>
      </c>
      <c r="G257">
        <v>1.3481458647734701</v>
      </c>
      <c r="H257">
        <v>6.1692017981510902E-2</v>
      </c>
      <c r="I257">
        <v>0.32554133501055199</v>
      </c>
      <c r="J257">
        <v>1.47</v>
      </c>
      <c r="L257">
        <v>1.4098378827549809</v>
      </c>
      <c r="M257">
        <v>1.2864538467919593</v>
      </c>
      <c r="N257">
        <v>1.4715299007364919</v>
      </c>
      <c r="O257">
        <v>1.2247618288104483</v>
      </c>
    </row>
    <row r="258" spans="1:15" x14ac:dyDescent="0.2">
      <c r="A258" s="14">
        <v>43521</v>
      </c>
      <c r="B258">
        <v>2614</v>
      </c>
      <c r="C258">
        <v>2625</v>
      </c>
      <c r="D258">
        <v>1910</v>
      </c>
      <c r="E258">
        <v>1939</v>
      </c>
      <c r="F258">
        <v>1.3537906137184099</v>
      </c>
      <c r="G258">
        <v>1.3487354083368499</v>
      </c>
      <c r="H258">
        <v>6.2091099239167703E-2</v>
      </c>
      <c r="I258">
        <v>8.1415942759871393E-2</v>
      </c>
      <c r="J258">
        <v>0.37</v>
      </c>
      <c r="L258">
        <v>1.4108265075760176</v>
      </c>
      <c r="M258">
        <v>1.2866443090976822</v>
      </c>
      <c r="N258">
        <v>1.4729176068151852</v>
      </c>
      <c r="O258">
        <v>1.2245532098585146</v>
      </c>
    </row>
    <row r="259" spans="1:15" x14ac:dyDescent="0.2">
      <c r="A259" s="14">
        <v>43518</v>
      </c>
      <c r="B259">
        <v>2563</v>
      </c>
      <c r="C259">
        <v>2570</v>
      </c>
      <c r="D259">
        <v>1875</v>
      </c>
      <c r="E259">
        <v>1885</v>
      </c>
      <c r="F259">
        <v>1.3633952254641899</v>
      </c>
      <c r="G259">
        <v>1.34903403767956</v>
      </c>
      <c r="H259">
        <v>6.2168506109516297E-2</v>
      </c>
      <c r="I259">
        <v>0.23100422840026</v>
      </c>
      <c r="J259">
        <v>1.05</v>
      </c>
      <c r="L259">
        <v>1.4112025437890763</v>
      </c>
      <c r="M259">
        <v>1.2868655315700437</v>
      </c>
      <c r="N259">
        <v>1.4733710498985926</v>
      </c>
      <c r="O259">
        <v>1.2246970254605274</v>
      </c>
    </row>
    <row r="260" spans="1:15" x14ac:dyDescent="0.2">
      <c r="A260" s="14">
        <v>43517</v>
      </c>
      <c r="B260">
        <v>2528</v>
      </c>
      <c r="C260">
        <v>2575</v>
      </c>
      <c r="D260">
        <v>1867</v>
      </c>
      <c r="E260">
        <v>1887</v>
      </c>
      <c r="F260">
        <v>1.3645998940116499</v>
      </c>
      <c r="G260">
        <v>1.3491850394459299</v>
      </c>
      <c r="H260">
        <v>6.2216939773740598E-2</v>
      </c>
      <c r="I260">
        <v>0.247759768027531</v>
      </c>
      <c r="J260">
        <v>1.1299999999999999</v>
      </c>
      <c r="L260">
        <v>1.4114019792196706</v>
      </c>
      <c r="M260">
        <v>1.2869680996721893</v>
      </c>
      <c r="N260">
        <v>1.4736189189934112</v>
      </c>
      <c r="O260">
        <v>1.2247511598984486</v>
      </c>
    </row>
    <row r="261" spans="1:15" x14ac:dyDescent="0.2">
      <c r="A261" s="14">
        <v>43516</v>
      </c>
      <c r="B261">
        <v>2525</v>
      </c>
      <c r="C261">
        <v>2541</v>
      </c>
      <c r="D261">
        <v>1876</v>
      </c>
      <c r="E261">
        <v>1853</v>
      </c>
      <c r="F261">
        <v>1.3712898003237901</v>
      </c>
      <c r="G261">
        <v>1.34887290318608</v>
      </c>
      <c r="H261">
        <v>6.2197542347085202E-2</v>
      </c>
      <c r="I261">
        <v>0.360414516262062</v>
      </c>
      <c r="J261">
        <v>1.63</v>
      </c>
      <c r="L261">
        <v>1.4110704455331653</v>
      </c>
      <c r="M261">
        <v>1.2866753608389947</v>
      </c>
      <c r="N261">
        <v>1.4732679878802504</v>
      </c>
      <c r="O261">
        <v>1.2244778184919096</v>
      </c>
    </row>
    <row r="262" spans="1:15" x14ac:dyDescent="0.2">
      <c r="A262" s="14">
        <v>43515</v>
      </c>
      <c r="B262">
        <v>2521</v>
      </c>
      <c r="C262">
        <v>2499</v>
      </c>
      <c r="D262">
        <v>1848</v>
      </c>
      <c r="E262">
        <v>1897</v>
      </c>
      <c r="F262">
        <v>1.31734317343173</v>
      </c>
      <c r="G262">
        <v>1.3476089067314301</v>
      </c>
      <c r="H262">
        <v>6.2690456672206601E-2</v>
      </c>
      <c r="I262">
        <v>-0.48278055235671602</v>
      </c>
      <c r="J262">
        <v>-2.2999999999999998</v>
      </c>
      <c r="L262">
        <v>1.4102993634036367</v>
      </c>
      <c r="M262">
        <v>1.2849184500592234</v>
      </c>
      <c r="N262">
        <v>1.4729898200758433</v>
      </c>
      <c r="O262">
        <v>1.2222279933870168</v>
      </c>
    </row>
    <row r="263" spans="1:15" x14ac:dyDescent="0.2">
      <c r="A263" s="14">
        <v>43514</v>
      </c>
      <c r="B263">
        <v>2539</v>
      </c>
      <c r="C263">
        <v>2495</v>
      </c>
      <c r="D263">
        <v>1840</v>
      </c>
      <c r="E263">
        <v>1848</v>
      </c>
      <c r="F263">
        <v>1.3501082251082199</v>
      </c>
      <c r="G263">
        <v>1.34732339232513</v>
      </c>
      <c r="H263">
        <v>6.2876134826796395E-2</v>
      </c>
      <c r="I263">
        <v>4.42907756775857E-2</v>
      </c>
      <c r="J263">
        <v>0.21</v>
      </c>
      <c r="L263">
        <v>1.4101995271519263</v>
      </c>
      <c r="M263">
        <v>1.2844472574983337</v>
      </c>
      <c r="N263">
        <v>1.4730756619787229</v>
      </c>
      <c r="O263">
        <v>1.2215711226715371</v>
      </c>
    </row>
    <row r="264" spans="1:15" x14ac:dyDescent="0.2">
      <c r="A264" s="14">
        <v>43511</v>
      </c>
      <c r="B264">
        <v>2510</v>
      </c>
      <c r="C264">
        <v>2480</v>
      </c>
      <c r="D264">
        <v>1840</v>
      </c>
      <c r="E264">
        <v>1838</v>
      </c>
      <c r="F264">
        <v>1.3492927094668099</v>
      </c>
      <c r="G264">
        <v>1.34646179101234</v>
      </c>
      <c r="H264">
        <v>6.3273564025085605E-2</v>
      </c>
      <c r="I264">
        <v>4.4740935619502299E-2</v>
      </c>
      <c r="J264">
        <v>0.21</v>
      </c>
      <c r="L264">
        <v>1.4097353550374256</v>
      </c>
      <c r="M264">
        <v>1.2831882269872543</v>
      </c>
      <c r="N264">
        <v>1.4730089190625111</v>
      </c>
      <c r="O264">
        <v>1.2199146629621689</v>
      </c>
    </row>
    <row r="265" spans="1:15" x14ac:dyDescent="0.2">
      <c r="A265" s="14">
        <v>43510</v>
      </c>
      <c r="B265">
        <v>2479</v>
      </c>
      <c r="C265">
        <v>2505</v>
      </c>
      <c r="D265">
        <v>1868</v>
      </c>
      <c r="E265">
        <v>1845</v>
      </c>
      <c r="F265">
        <v>1.3577235772357701</v>
      </c>
      <c r="G265">
        <v>1.3452702333756199</v>
      </c>
      <c r="H265">
        <v>6.4045791508504493E-2</v>
      </c>
      <c r="I265">
        <v>0.194444374358199</v>
      </c>
      <c r="J265">
        <v>0.92</v>
      </c>
      <c r="L265">
        <v>1.4093160248841243</v>
      </c>
      <c r="M265">
        <v>1.2812244418671155</v>
      </c>
      <c r="N265">
        <v>1.473361816392629</v>
      </c>
      <c r="O265">
        <v>1.2171786503586108</v>
      </c>
    </row>
    <row r="266" spans="1:15" x14ac:dyDescent="0.2">
      <c r="A266" s="14">
        <v>43509</v>
      </c>
      <c r="B266">
        <v>2504</v>
      </c>
      <c r="C266">
        <v>2456</v>
      </c>
      <c r="D266">
        <v>1830</v>
      </c>
      <c r="E266">
        <v>1868</v>
      </c>
      <c r="F266">
        <v>1.3147751605995699</v>
      </c>
      <c r="G266">
        <v>1.34364969933921</v>
      </c>
      <c r="H266">
        <v>6.52367606219139E-2</v>
      </c>
      <c r="I266">
        <v>-0.44261147341426998</v>
      </c>
      <c r="J266">
        <v>-2.2000000000000002</v>
      </c>
      <c r="L266">
        <v>1.4088864599611239</v>
      </c>
      <c r="M266">
        <v>1.278412938717296</v>
      </c>
      <c r="N266">
        <v>1.4741232205830377</v>
      </c>
      <c r="O266">
        <v>1.2131761780953823</v>
      </c>
    </row>
    <row r="267" spans="1:15" x14ac:dyDescent="0.2">
      <c r="A267" s="14">
        <v>43508</v>
      </c>
      <c r="B267">
        <v>2515</v>
      </c>
      <c r="C267">
        <v>2486</v>
      </c>
      <c r="D267">
        <v>1787</v>
      </c>
      <c r="E267">
        <v>1815</v>
      </c>
      <c r="F267">
        <v>1.3696969696969601</v>
      </c>
      <c r="G267">
        <v>1.3425060792184</v>
      </c>
      <c r="H267">
        <v>6.6473002790438801E-2</v>
      </c>
      <c r="I267">
        <v>0.40905163505685699</v>
      </c>
      <c r="J267">
        <v>1.99</v>
      </c>
      <c r="L267">
        <v>1.4089790820088388</v>
      </c>
      <c r="M267">
        <v>1.2760330764279613</v>
      </c>
      <c r="N267">
        <v>1.4754520847992776</v>
      </c>
      <c r="O267">
        <v>1.2095600736375225</v>
      </c>
    </row>
    <row r="268" spans="1:15" x14ac:dyDescent="0.2">
      <c r="A268" s="14">
        <v>43504</v>
      </c>
      <c r="B268">
        <v>2495</v>
      </c>
      <c r="C268">
        <v>2495</v>
      </c>
      <c r="D268">
        <v>1797</v>
      </c>
      <c r="E268">
        <v>1775</v>
      </c>
      <c r="F268">
        <v>1.4056338028169</v>
      </c>
      <c r="G268">
        <v>1.3408996920937599</v>
      </c>
      <c r="H268">
        <v>6.7247731539463604E-2</v>
      </c>
      <c r="I268">
        <v>0.96262147794749597</v>
      </c>
      <c r="J268">
        <v>4.6100000000000003</v>
      </c>
      <c r="L268">
        <v>1.4081474236332234</v>
      </c>
      <c r="M268">
        <v>1.2736519605542964</v>
      </c>
      <c r="N268">
        <v>1.4753951551726872</v>
      </c>
      <c r="O268">
        <v>1.2064042290148327</v>
      </c>
    </row>
    <row r="269" spans="1:15" x14ac:dyDescent="0.2">
      <c r="A269" s="14">
        <v>43503</v>
      </c>
      <c r="B269">
        <v>2550</v>
      </c>
      <c r="C269">
        <v>2505</v>
      </c>
      <c r="D269">
        <v>1849</v>
      </c>
      <c r="E269">
        <v>1818</v>
      </c>
      <c r="F269">
        <v>1.3778877887788701</v>
      </c>
      <c r="G269">
        <v>1.3389592897487801</v>
      </c>
      <c r="H269">
        <v>6.7451159293074894E-2</v>
      </c>
      <c r="I269">
        <v>0.57713610022553796</v>
      </c>
      <c r="J269">
        <v>2.83</v>
      </c>
      <c r="L269">
        <v>1.406410449041855</v>
      </c>
      <c r="M269">
        <v>1.2715081304557052</v>
      </c>
      <c r="N269">
        <v>1.4738616083349299</v>
      </c>
      <c r="O269">
        <v>1.2040569711626303</v>
      </c>
    </row>
    <row r="270" spans="1:15" x14ac:dyDescent="0.2">
      <c r="A270" s="14">
        <v>43502</v>
      </c>
      <c r="B270">
        <v>2525</v>
      </c>
      <c r="C270">
        <v>2546</v>
      </c>
      <c r="D270">
        <v>1865</v>
      </c>
      <c r="E270">
        <v>1840</v>
      </c>
      <c r="F270">
        <v>1.3836956521739101</v>
      </c>
      <c r="G270">
        <v>1.33778137571072</v>
      </c>
      <c r="H270">
        <v>6.7532389774100907E-2</v>
      </c>
      <c r="I270">
        <v>0.67988526123198001</v>
      </c>
      <c r="J270">
        <v>3.32</v>
      </c>
      <c r="L270">
        <v>1.4053137654848209</v>
      </c>
      <c r="M270">
        <v>1.2702489859366191</v>
      </c>
      <c r="N270">
        <v>1.4728461552589218</v>
      </c>
      <c r="O270">
        <v>1.2027165961625181</v>
      </c>
    </row>
    <row r="271" spans="1:15" x14ac:dyDescent="0.2">
      <c r="A271" s="14">
        <v>43501</v>
      </c>
      <c r="B271">
        <v>2598</v>
      </c>
      <c r="C271">
        <v>2525</v>
      </c>
      <c r="D271">
        <v>1861</v>
      </c>
      <c r="E271">
        <v>1864</v>
      </c>
      <c r="F271">
        <v>1.3546137339055699</v>
      </c>
      <c r="G271">
        <v>1.33671992959454</v>
      </c>
      <c r="H271">
        <v>6.7427932114234895E-2</v>
      </c>
      <c r="I271">
        <v>0.26537673260860001</v>
      </c>
      <c r="J271">
        <v>1.32</v>
      </c>
      <c r="L271">
        <v>1.4041478617087748</v>
      </c>
      <c r="M271">
        <v>1.2692919974803052</v>
      </c>
      <c r="N271">
        <v>1.4715757938230098</v>
      </c>
      <c r="O271">
        <v>1.2018640653660702</v>
      </c>
    </row>
    <row r="272" spans="1:15" x14ac:dyDescent="0.2">
      <c r="A272" s="14">
        <v>43500</v>
      </c>
      <c r="B272">
        <v>2547</v>
      </c>
      <c r="C272">
        <v>2599</v>
      </c>
      <c r="D272">
        <v>1814</v>
      </c>
      <c r="E272">
        <v>1856</v>
      </c>
      <c r="F272">
        <v>1.4003232758620601</v>
      </c>
      <c r="G272">
        <v>1.33616246500633</v>
      </c>
      <c r="H272">
        <v>6.7450518496633402E-2</v>
      </c>
      <c r="I272">
        <v>0.95122783761757002</v>
      </c>
      <c r="J272">
        <v>4.58</v>
      </c>
      <c r="L272">
        <v>1.4036129835029634</v>
      </c>
      <c r="M272">
        <v>1.2687119465096965</v>
      </c>
      <c r="N272">
        <v>1.4710635019995968</v>
      </c>
      <c r="O272">
        <v>1.2012614280130631</v>
      </c>
    </row>
    <row r="273" spans="1:15" x14ac:dyDescent="0.2">
      <c r="A273" s="14">
        <v>43497</v>
      </c>
      <c r="B273">
        <v>2400</v>
      </c>
      <c r="C273">
        <v>2502</v>
      </c>
      <c r="D273">
        <v>1806</v>
      </c>
      <c r="E273">
        <v>1807</v>
      </c>
      <c r="F273">
        <v>1.3846153846153799</v>
      </c>
      <c r="G273">
        <v>1.33516390178794</v>
      </c>
      <c r="H273">
        <v>6.7046421999853598E-2</v>
      </c>
      <c r="I273">
        <v>0.73757079576223705</v>
      </c>
      <c r="J273">
        <v>3.57</v>
      </c>
      <c r="L273">
        <v>1.4022103237877936</v>
      </c>
      <c r="M273">
        <v>1.2681174797880863</v>
      </c>
      <c r="N273">
        <v>1.4692567457876471</v>
      </c>
      <c r="O273">
        <v>1.2010710577882329</v>
      </c>
    </row>
    <row r="274" spans="1:15" x14ac:dyDescent="0.2">
      <c r="A274" s="14">
        <v>43496</v>
      </c>
      <c r="B274">
        <v>2263</v>
      </c>
      <c r="C274">
        <v>2401</v>
      </c>
      <c r="D274">
        <v>1826</v>
      </c>
      <c r="E274">
        <v>1822</v>
      </c>
      <c r="F274">
        <v>1.31778265642151</v>
      </c>
      <c r="G274">
        <v>1.33422952318155</v>
      </c>
      <c r="H274">
        <v>6.68387356096143E-2</v>
      </c>
      <c r="I274">
        <v>-0.24606789177008501</v>
      </c>
      <c r="J274">
        <v>-1.25</v>
      </c>
      <c r="L274">
        <v>1.4010682587911643</v>
      </c>
      <c r="M274">
        <v>1.2673907875719357</v>
      </c>
      <c r="N274">
        <v>1.4679069944007785</v>
      </c>
      <c r="O274">
        <v>1.2005520519623214</v>
      </c>
    </row>
    <row r="275" spans="1:15" x14ac:dyDescent="0.2">
      <c r="A275" s="14">
        <v>43495</v>
      </c>
      <c r="B275">
        <v>2189</v>
      </c>
      <c r="C275">
        <v>2237</v>
      </c>
      <c r="D275">
        <v>1790</v>
      </c>
      <c r="E275">
        <v>1792</v>
      </c>
      <c r="F275">
        <v>1.2483258928571399</v>
      </c>
      <c r="G275">
        <v>1.3343796507560699</v>
      </c>
      <c r="H275">
        <v>6.68142661025347E-2</v>
      </c>
      <c r="I275">
        <v>-1.28795484735059</v>
      </c>
      <c r="J275">
        <v>-6.89</v>
      </c>
      <c r="L275">
        <v>1.4011939168586045</v>
      </c>
      <c r="M275">
        <v>1.2675653846535353</v>
      </c>
      <c r="N275">
        <v>1.4680081829611393</v>
      </c>
      <c r="O275">
        <v>1.2007511185510005</v>
      </c>
    </row>
    <row r="276" spans="1:15" x14ac:dyDescent="0.2">
      <c r="A276" s="14">
        <v>43494</v>
      </c>
      <c r="B276">
        <v>2306</v>
      </c>
      <c r="C276">
        <v>2289</v>
      </c>
      <c r="D276">
        <v>1771</v>
      </c>
      <c r="E276">
        <v>1799</v>
      </c>
      <c r="F276">
        <v>1.2723735408560299</v>
      </c>
      <c r="G276">
        <v>1.3354090932426299</v>
      </c>
      <c r="H276">
        <v>6.6071120782485004E-2</v>
      </c>
      <c r="I276">
        <v>-0.95405604808978905</v>
      </c>
      <c r="J276">
        <v>-4.95</v>
      </c>
      <c r="L276">
        <v>1.4014802140251148</v>
      </c>
      <c r="M276">
        <v>1.269337972460145</v>
      </c>
      <c r="N276">
        <v>1.4675513348075999</v>
      </c>
      <c r="O276">
        <v>1.2032668516776599</v>
      </c>
    </row>
    <row r="277" spans="1:15" x14ac:dyDescent="0.2">
      <c r="A277" s="14">
        <v>43493</v>
      </c>
      <c r="B277">
        <v>2307</v>
      </c>
      <c r="C277">
        <v>2286</v>
      </c>
      <c r="D277">
        <v>1862</v>
      </c>
      <c r="E277">
        <v>1851</v>
      </c>
      <c r="F277">
        <v>1.2350081037277101</v>
      </c>
      <c r="G277">
        <v>1.3361900632520101</v>
      </c>
      <c r="H277">
        <v>6.5666345239301593E-2</v>
      </c>
      <c r="I277">
        <v>-1.54084956541401</v>
      </c>
      <c r="J277">
        <v>-8.19</v>
      </c>
      <c r="L277">
        <v>1.4018564084913117</v>
      </c>
      <c r="M277">
        <v>1.2705237180127085</v>
      </c>
      <c r="N277">
        <v>1.4675227537306132</v>
      </c>
      <c r="O277">
        <v>1.2048573727734069</v>
      </c>
    </row>
    <row r="278" spans="1:15" x14ac:dyDescent="0.2">
      <c r="A278" s="14">
        <v>43490</v>
      </c>
      <c r="B278">
        <v>2325</v>
      </c>
      <c r="C278">
        <v>2306</v>
      </c>
      <c r="D278">
        <v>1801</v>
      </c>
      <c r="E278">
        <v>1865</v>
      </c>
      <c r="F278">
        <v>1.23646112600536</v>
      </c>
      <c r="G278">
        <v>1.33753800715036</v>
      </c>
      <c r="H278">
        <v>6.4604552400652895E-2</v>
      </c>
      <c r="I278">
        <v>-1.5645473482761001</v>
      </c>
      <c r="J278">
        <v>-8.17</v>
      </c>
      <c r="L278">
        <v>1.4021425595510129</v>
      </c>
      <c r="M278">
        <v>1.2729334547497071</v>
      </c>
      <c r="N278">
        <v>1.4667471119516657</v>
      </c>
      <c r="O278">
        <v>1.2083289023490542</v>
      </c>
    </row>
    <row r="279" spans="1:15" x14ac:dyDescent="0.2">
      <c r="A279" s="14">
        <v>43489</v>
      </c>
      <c r="B279">
        <v>2355</v>
      </c>
      <c r="C279">
        <v>2352</v>
      </c>
      <c r="D279">
        <v>1826</v>
      </c>
      <c r="E279">
        <v>1802</v>
      </c>
      <c r="F279">
        <v>1.3052164261931101</v>
      </c>
      <c r="G279">
        <v>1.3385996730112799</v>
      </c>
      <c r="H279">
        <v>6.3580943594973405E-2</v>
      </c>
      <c r="I279">
        <v>-0.52505113844836104</v>
      </c>
      <c r="J279">
        <v>-2.56</v>
      </c>
      <c r="L279">
        <v>1.4021806166062534</v>
      </c>
      <c r="M279">
        <v>1.2750187294163065</v>
      </c>
      <c r="N279">
        <v>1.4657615602012268</v>
      </c>
      <c r="O279">
        <v>1.211437785821333</v>
      </c>
    </row>
    <row r="280" spans="1:15" x14ac:dyDescent="0.2">
      <c r="A280" s="14">
        <v>43488</v>
      </c>
      <c r="B280">
        <v>2350</v>
      </c>
      <c r="C280">
        <v>2355</v>
      </c>
      <c r="D280">
        <v>1825</v>
      </c>
      <c r="E280">
        <v>1826</v>
      </c>
      <c r="F280">
        <v>1.28970427163198</v>
      </c>
      <c r="G280">
        <v>1.33872852932972</v>
      </c>
      <c r="H280">
        <v>6.35229233916495E-2</v>
      </c>
      <c r="I280">
        <v>-0.77175695135251599</v>
      </c>
      <c r="J280">
        <v>-3.8</v>
      </c>
      <c r="L280">
        <v>1.4022514527213694</v>
      </c>
      <c r="M280">
        <v>1.2752056059380705</v>
      </c>
      <c r="N280">
        <v>1.4657743761130191</v>
      </c>
      <c r="O280">
        <v>1.2116826825464209</v>
      </c>
    </row>
    <row r="281" spans="1:15" x14ac:dyDescent="0.2">
      <c r="A281" s="14">
        <v>43487</v>
      </c>
      <c r="B281">
        <v>2405</v>
      </c>
      <c r="C281">
        <v>2382</v>
      </c>
      <c r="D281">
        <v>1876</v>
      </c>
      <c r="E281">
        <v>1842</v>
      </c>
      <c r="F281">
        <v>1.29315960912052</v>
      </c>
      <c r="G281">
        <v>1.3395058602968299</v>
      </c>
      <c r="H281">
        <v>6.3274478764547004E-2</v>
      </c>
      <c r="I281">
        <v>-0.73246357901704495</v>
      </c>
      <c r="J281">
        <v>-3.58</v>
      </c>
      <c r="L281">
        <v>1.4027803390613769</v>
      </c>
      <c r="M281">
        <v>1.276231381532283</v>
      </c>
      <c r="N281">
        <v>1.4660548178259241</v>
      </c>
      <c r="O281">
        <v>1.2129569027677358</v>
      </c>
    </row>
    <row r="282" spans="1:15" x14ac:dyDescent="0.2">
      <c r="A282" s="14">
        <v>43486</v>
      </c>
      <c r="B282">
        <v>2400</v>
      </c>
      <c r="C282">
        <v>2390</v>
      </c>
      <c r="D282">
        <v>1895</v>
      </c>
      <c r="E282">
        <v>1876</v>
      </c>
      <c r="F282">
        <v>1.27398720682302</v>
      </c>
      <c r="G282">
        <v>1.34050246626535</v>
      </c>
      <c r="H282">
        <v>6.3125116218694405E-2</v>
      </c>
      <c r="I282">
        <v>-1.0537051403104301</v>
      </c>
      <c r="J282">
        <v>-5.22</v>
      </c>
      <c r="L282">
        <v>1.4036275824840443</v>
      </c>
      <c r="M282">
        <v>1.2773773500466556</v>
      </c>
      <c r="N282">
        <v>1.4667526987027388</v>
      </c>
      <c r="O282">
        <v>1.2142522338279611</v>
      </c>
    </row>
    <row r="283" spans="1:15" x14ac:dyDescent="0.2">
      <c r="A283" s="14"/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I34" sqref="I34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7">
        <v>1</v>
      </c>
      <c r="F1" s="268" t="s">
        <v>1574</v>
      </c>
      <c r="G1" s="269">
        <v>4</v>
      </c>
      <c r="N1" s="252" t="s">
        <v>1573</v>
      </c>
      <c r="O1" s="253" t="s">
        <v>1571</v>
      </c>
      <c r="P1" s="254" t="s">
        <v>1572</v>
      </c>
    </row>
    <row r="2" spans="1:16" s="106" customFormat="1" x14ac:dyDescent="0.2">
      <c r="B2" s="210"/>
      <c r="C2" s="208" t="s">
        <v>1409</v>
      </c>
      <c r="D2" s="208" t="s">
        <v>1410</v>
      </c>
      <c r="E2" s="208" t="s">
        <v>1411</v>
      </c>
      <c r="F2" s="208" t="s">
        <v>1412</v>
      </c>
      <c r="G2" s="209" t="s">
        <v>1416</v>
      </c>
      <c r="H2" s="209" t="s">
        <v>1413</v>
      </c>
      <c r="I2" s="209" t="s">
        <v>818</v>
      </c>
      <c r="J2" s="255" t="s">
        <v>1419</v>
      </c>
      <c r="K2" s="256"/>
      <c r="M2" s="248" t="s">
        <v>1563</v>
      </c>
      <c r="N2" s="250">
        <v>1.8838191116602301</v>
      </c>
      <c r="O2" s="246">
        <f>MAX(I42:I1000)</f>
        <v>2.69868177423553</v>
      </c>
      <c r="P2" s="247">
        <f>MIN(I42:I1000)</f>
        <v>-1.74276414971683</v>
      </c>
    </row>
    <row r="3" spans="1:16" s="106" customFormat="1" x14ac:dyDescent="0.2">
      <c r="B3" s="211" t="s">
        <v>1420</v>
      </c>
      <c r="C3" s="258">
        <v>1973</v>
      </c>
      <c r="D3" s="259" t="s">
        <v>4597</v>
      </c>
      <c r="E3" s="258" t="s">
        <v>4599</v>
      </c>
      <c r="F3" s="258">
        <v>4095</v>
      </c>
      <c r="G3" s="258">
        <v>200</v>
      </c>
      <c r="H3" s="258" t="s">
        <v>4600</v>
      </c>
      <c r="I3" s="260"/>
      <c r="J3" s="261">
        <v>819000</v>
      </c>
      <c r="K3" s="257"/>
      <c r="M3" s="248" t="s">
        <v>1564</v>
      </c>
      <c r="N3" s="250">
        <v>5.7</v>
      </c>
      <c r="O3" s="247">
        <f>MAX(J42:J1000)</f>
        <v>7.89</v>
      </c>
      <c r="P3" s="247">
        <f>MIN(J42:J1000)</f>
        <v>-5.0999999999999996</v>
      </c>
    </row>
    <row r="4" spans="1:16" s="106" customFormat="1" x14ac:dyDescent="0.2">
      <c r="B4" s="212" t="s">
        <v>1421</v>
      </c>
      <c r="C4" s="262">
        <v>3635</v>
      </c>
      <c r="D4" s="262" t="s">
        <v>4598</v>
      </c>
      <c r="E4" s="262" t="s">
        <v>4599</v>
      </c>
      <c r="F4" s="262">
        <v>2907</v>
      </c>
      <c r="G4" s="262">
        <v>300</v>
      </c>
      <c r="H4" s="262" t="s">
        <v>4601</v>
      </c>
      <c r="I4" s="263"/>
      <c r="J4" s="264">
        <v>872100</v>
      </c>
      <c r="K4" s="257"/>
      <c r="M4" s="249" t="s">
        <v>1565</v>
      </c>
      <c r="N4" s="250">
        <v>6.48</v>
      </c>
      <c r="O4" s="270"/>
      <c r="P4" s="271"/>
    </row>
    <row r="5" spans="1:16" s="106" customFormat="1" x14ac:dyDescent="0.2">
      <c r="M5" s="249" t="s">
        <v>1567</v>
      </c>
      <c r="N5" s="250">
        <v>0.92353226724998805</v>
      </c>
      <c r="O5" s="270"/>
      <c r="P5" s="271"/>
    </row>
    <row r="6" spans="1:16" s="106" customFormat="1" ht="15" thickBot="1" x14ac:dyDescent="0.25">
      <c r="M6" s="249" t="s">
        <v>1568</v>
      </c>
      <c r="N6" s="250">
        <v>0.95962813993208895</v>
      </c>
      <c r="O6" s="270"/>
      <c r="P6" s="271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49" t="s">
        <v>1569</v>
      </c>
      <c r="N7" s="250">
        <v>4.3391209629974503E-2</v>
      </c>
      <c r="O7" s="270"/>
      <c r="P7" s="271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49" t="s">
        <v>1570</v>
      </c>
      <c r="N8" s="251">
        <v>1.52335381148016E-2</v>
      </c>
      <c r="O8" s="272"/>
      <c r="P8" s="273"/>
    </row>
    <row r="9" spans="1:16" s="106" customFormat="1" x14ac:dyDescent="0.2">
      <c r="A9" s="203" t="s">
        <v>1418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5" t="s">
        <v>1559</v>
      </c>
      <c r="B10" s="97"/>
      <c r="C10" s="10"/>
      <c r="D10" s="10"/>
      <c r="E10" s="196"/>
      <c r="F10" s="197"/>
      <c r="G10" s="197"/>
      <c r="H10" s="213"/>
      <c r="I10" s="199"/>
      <c r="J10" s="199"/>
      <c r="K10" s="198"/>
    </row>
    <row r="11" spans="1:16" x14ac:dyDescent="0.2">
      <c r="A11" s="206" t="s">
        <v>1406</v>
      </c>
      <c r="B11" s="196"/>
      <c r="C11" s="354"/>
      <c r="D11" s="355"/>
      <c r="E11" s="196"/>
      <c r="F11" s="196"/>
      <c r="G11" s="197"/>
      <c r="H11" s="203"/>
      <c r="I11" s="196"/>
      <c r="J11" s="200"/>
      <c r="K11" s="201"/>
      <c r="L11" s="95"/>
      <c r="M11" s="95"/>
      <c r="N11" s="95"/>
      <c r="O11" s="95"/>
      <c r="P11" s="96"/>
    </row>
    <row r="12" spans="1:16" x14ac:dyDescent="0.2">
      <c r="A12" s="274">
        <v>4140</v>
      </c>
      <c r="B12" s="196"/>
      <c r="C12" s="354"/>
      <c r="D12" s="355"/>
      <c r="E12" s="196"/>
      <c r="F12" s="196"/>
      <c r="G12" s="196"/>
      <c r="H12" s="203"/>
      <c r="I12" s="196"/>
      <c r="J12" s="202"/>
      <c r="K12" s="10"/>
      <c r="L12" s="10"/>
      <c r="M12" s="10"/>
      <c r="N12" s="10"/>
      <c r="O12" s="10"/>
      <c r="P12" s="98"/>
    </row>
    <row r="13" spans="1:16" x14ac:dyDescent="0.2">
      <c r="A13" s="206" t="s">
        <v>1407</v>
      </c>
      <c r="B13" s="196"/>
      <c r="C13" s="354"/>
      <c r="D13" s="355"/>
      <c r="E13" s="196"/>
      <c r="F13" s="196"/>
      <c r="G13" s="196"/>
      <c r="H13" s="203"/>
      <c r="I13" s="196"/>
      <c r="J13" s="202"/>
      <c r="K13" s="10"/>
      <c r="L13" s="10"/>
      <c r="M13" s="10"/>
      <c r="N13" s="10"/>
      <c r="O13" s="10"/>
      <c r="P13" s="98"/>
    </row>
    <row r="14" spans="1:16" x14ac:dyDescent="0.2">
      <c r="A14" s="274">
        <v>3050</v>
      </c>
      <c r="B14" s="196"/>
      <c r="C14" s="354"/>
      <c r="D14" s="355"/>
      <c r="E14" s="196"/>
      <c r="F14" s="196"/>
      <c r="G14" s="196"/>
      <c r="H14" s="203"/>
      <c r="I14" s="196"/>
      <c r="J14" s="202"/>
      <c r="K14" s="10"/>
      <c r="L14" s="10"/>
      <c r="M14" s="10"/>
      <c r="N14" s="10"/>
      <c r="O14" s="10"/>
      <c r="P14" s="98"/>
    </row>
    <row r="15" spans="1:16" x14ac:dyDescent="0.2">
      <c r="A15" s="206" t="s">
        <v>1417</v>
      </c>
      <c r="B15" s="196"/>
      <c r="C15" s="354"/>
      <c r="D15" s="355"/>
      <c r="E15" s="196"/>
      <c r="F15" s="196"/>
      <c r="G15" s="196"/>
      <c r="H15" s="203"/>
      <c r="I15" s="196"/>
      <c r="J15" s="202"/>
      <c r="K15" s="10"/>
      <c r="L15" s="10"/>
      <c r="M15" s="10"/>
      <c r="N15" s="10"/>
      <c r="O15" s="10"/>
      <c r="P15" s="98"/>
    </row>
    <row r="16" spans="1:16" x14ac:dyDescent="0.2">
      <c r="A16" s="274">
        <v>1.2815126050420169</v>
      </c>
      <c r="B16" s="196"/>
      <c r="C16" s="354"/>
      <c r="D16" s="355"/>
      <c r="E16" s="196"/>
      <c r="F16" s="196"/>
      <c r="G16" s="196"/>
      <c r="H16" s="203"/>
      <c r="I16" s="196"/>
      <c r="J16" s="202"/>
      <c r="K16" s="10"/>
      <c r="L16" s="10"/>
      <c r="M16" s="10"/>
      <c r="N16" s="10"/>
      <c r="O16" s="10"/>
      <c r="P16" s="98"/>
    </row>
    <row r="17" spans="1:16" x14ac:dyDescent="0.2">
      <c r="A17" s="276"/>
      <c r="B17" s="196"/>
      <c r="C17" s="354"/>
      <c r="D17" s="355"/>
      <c r="E17" s="196"/>
      <c r="F17" s="196"/>
      <c r="G17" s="196"/>
      <c r="H17" s="203"/>
      <c r="I17" s="196"/>
      <c r="J17" s="202"/>
      <c r="K17" s="195"/>
      <c r="L17" s="10"/>
      <c r="M17" s="10"/>
      <c r="N17" s="10"/>
      <c r="O17" s="10"/>
      <c r="P17" s="98"/>
    </row>
    <row r="18" spans="1:16" x14ac:dyDescent="0.2">
      <c r="A18" s="277"/>
      <c r="B18" s="196"/>
      <c r="C18" s="354"/>
      <c r="D18" s="355"/>
      <c r="E18" s="196"/>
      <c r="F18" s="196"/>
      <c r="G18" s="196"/>
      <c r="H18" s="203"/>
      <c r="I18" s="196"/>
      <c r="J18" s="202"/>
      <c r="K18" s="195"/>
      <c r="L18" s="10"/>
      <c r="M18" s="10"/>
      <c r="N18" s="10"/>
      <c r="O18" s="10"/>
      <c r="P18" s="98"/>
    </row>
    <row r="19" spans="1:16" x14ac:dyDescent="0.2">
      <c r="A19" s="196"/>
      <c r="B19" s="202"/>
      <c r="C19" s="354"/>
      <c r="D19" s="355"/>
      <c r="E19" s="196"/>
      <c r="F19" s="196"/>
      <c r="G19" s="196"/>
      <c r="H19" s="203"/>
      <c r="I19" s="196"/>
      <c r="J19" s="202"/>
      <c r="K19" s="195"/>
      <c r="L19" s="10"/>
      <c r="M19" s="10"/>
      <c r="N19" s="10"/>
      <c r="O19" s="10"/>
      <c r="P19" s="98"/>
    </row>
    <row r="20" spans="1:16" x14ac:dyDescent="0.2">
      <c r="A20" s="196"/>
      <c r="B20" s="202"/>
      <c r="C20" s="196"/>
      <c r="D20" s="196"/>
      <c r="E20" s="196"/>
      <c r="F20" s="196"/>
      <c r="G20" s="196"/>
      <c r="H20" s="203"/>
      <c r="I20" s="196"/>
      <c r="J20" s="202"/>
      <c r="K20" s="195"/>
      <c r="L20" s="10"/>
      <c r="M20" s="10"/>
      <c r="N20" s="10"/>
      <c r="O20" s="10"/>
      <c r="P20" s="98"/>
    </row>
    <row r="21" spans="1:16" x14ac:dyDescent="0.2">
      <c r="A21" s="196"/>
      <c r="B21" s="202"/>
      <c r="C21" s="196"/>
      <c r="E21" s="196"/>
      <c r="F21" s="196"/>
      <c r="G21" s="196"/>
      <c r="H21" s="203"/>
      <c r="I21" s="196"/>
      <c r="J21" s="202"/>
      <c r="K21" s="10"/>
      <c r="L21" s="10"/>
      <c r="M21" s="10"/>
      <c r="N21" s="10"/>
      <c r="O21" s="10"/>
      <c r="P21" s="98"/>
    </row>
    <row r="22" spans="1:16" x14ac:dyDescent="0.2">
      <c r="A22" s="196"/>
      <c r="B22" s="202"/>
      <c r="C22" s="196"/>
      <c r="D22" s="196"/>
      <c r="E22" s="196"/>
      <c r="F22" s="196"/>
      <c r="G22" s="196"/>
      <c r="H22" s="203"/>
      <c r="I22" s="196"/>
      <c r="J22" s="202"/>
      <c r="K22" s="10"/>
      <c r="L22" s="10"/>
      <c r="M22" s="10"/>
      <c r="N22" s="10"/>
      <c r="O22" s="10"/>
      <c r="P22" s="98"/>
    </row>
    <row r="23" spans="1:16" x14ac:dyDescent="0.2">
      <c r="A23" s="196"/>
      <c r="B23" s="202"/>
      <c r="C23" s="196"/>
      <c r="D23" s="196"/>
      <c r="E23" s="196"/>
      <c r="F23" s="196"/>
      <c r="G23" s="196"/>
      <c r="H23" s="203"/>
      <c r="I23" s="196"/>
      <c r="J23" s="202"/>
      <c r="K23" s="10"/>
      <c r="L23" s="10"/>
      <c r="M23" s="10"/>
      <c r="N23" s="10"/>
      <c r="O23" s="10"/>
      <c r="P23" s="98"/>
    </row>
    <row r="24" spans="1:16" x14ac:dyDescent="0.2">
      <c r="A24" s="196"/>
      <c r="B24" s="202"/>
      <c r="C24" s="196"/>
      <c r="D24" s="196"/>
      <c r="E24" s="196"/>
      <c r="F24" s="196"/>
      <c r="G24" s="196"/>
      <c r="H24" s="203"/>
      <c r="I24" s="196"/>
      <c r="J24" s="202"/>
      <c r="K24" s="10"/>
      <c r="L24" s="10"/>
      <c r="M24" s="10"/>
      <c r="N24" s="10"/>
      <c r="O24" s="10"/>
      <c r="P24" s="98"/>
    </row>
    <row r="25" spans="1:16" x14ac:dyDescent="0.2">
      <c r="A25" s="196"/>
      <c r="B25" s="202"/>
      <c r="C25" s="197"/>
      <c r="D25" s="197"/>
      <c r="E25" s="197"/>
      <c r="F25" s="196"/>
      <c r="G25" s="196"/>
      <c r="H25" s="203"/>
      <c r="I25" s="196"/>
      <c r="J25" s="202"/>
      <c r="K25" s="10"/>
      <c r="L25" s="10"/>
      <c r="M25" s="10"/>
      <c r="N25" s="10"/>
      <c r="O25" s="10"/>
      <c r="P25" s="98"/>
    </row>
    <row r="26" spans="1:16" x14ac:dyDescent="0.2">
      <c r="A26" s="196"/>
      <c r="B26" s="202"/>
      <c r="C26" s="196"/>
      <c r="D26" s="196"/>
      <c r="E26" s="196"/>
      <c r="F26" s="196"/>
      <c r="G26" s="196"/>
      <c r="H26" s="203"/>
      <c r="I26" s="196"/>
      <c r="J26" s="202"/>
      <c r="K26" s="10"/>
      <c r="L26" s="10"/>
      <c r="M26" s="10"/>
      <c r="N26" s="10"/>
      <c r="O26" s="10"/>
      <c r="P26" s="98"/>
    </row>
    <row r="27" spans="1:16" x14ac:dyDescent="0.2">
      <c r="A27" s="196"/>
      <c r="B27" s="202"/>
      <c r="C27" s="196"/>
      <c r="D27" s="196"/>
      <c r="E27" s="196"/>
      <c r="F27" s="196"/>
      <c r="G27" s="196"/>
      <c r="H27" s="203"/>
      <c r="I27" s="196"/>
      <c r="J27" s="202"/>
      <c r="K27" s="10"/>
      <c r="L27" s="10"/>
      <c r="M27" s="10"/>
      <c r="N27" s="10"/>
      <c r="O27" s="10"/>
      <c r="P27" s="98"/>
    </row>
    <row r="28" spans="1:16" x14ac:dyDescent="0.2">
      <c r="A28" s="196"/>
      <c r="B28" s="202"/>
      <c r="C28" s="196"/>
      <c r="D28" s="196"/>
      <c r="E28" s="196"/>
      <c r="F28" s="196"/>
      <c r="G28" s="196"/>
      <c r="H28" s="203"/>
      <c r="I28" s="196"/>
      <c r="J28" s="202"/>
      <c r="K28" s="10"/>
      <c r="L28" s="10"/>
      <c r="M28" s="10"/>
      <c r="N28" s="10"/>
      <c r="O28" s="10"/>
      <c r="P28" s="98"/>
    </row>
    <row r="29" spans="1:16" x14ac:dyDescent="0.2">
      <c r="A29" s="196"/>
      <c r="B29" s="202"/>
      <c r="C29" s="196"/>
      <c r="D29" s="196"/>
      <c r="E29" s="196"/>
      <c r="F29" s="196"/>
      <c r="G29" s="196"/>
      <c r="H29" s="203"/>
      <c r="I29" s="196"/>
      <c r="J29" s="202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771</v>
      </c>
      <c r="B41" s="106" t="s">
        <v>4580</v>
      </c>
      <c r="C41" s="106" t="s">
        <v>4581</v>
      </c>
      <c r="D41" s="106" t="s">
        <v>4582</v>
      </c>
      <c r="E41" s="106" t="s">
        <v>4583</v>
      </c>
      <c r="F41" s="106" t="s">
        <v>772</v>
      </c>
      <c r="G41" s="106" t="s">
        <v>773</v>
      </c>
      <c r="H41" s="106" t="s">
        <v>774</v>
      </c>
      <c r="I41" s="106" t="s">
        <v>775</v>
      </c>
      <c r="J41" s="106" t="s">
        <v>776</v>
      </c>
      <c r="K41" s="106" t="s">
        <v>4602</v>
      </c>
      <c r="L41" s="106" t="s">
        <v>4603</v>
      </c>
    </row>
    <row r="42" spans="1:13" x14ac:dyDescent="0.2">
      <c r="A42" s="14">
        <v>43850</v>
      </c>
      <c r="B42">
        <v>4100</v>
      </c>
      <c r="C42">
        <v>4095</v>
      </c>
      <c r="D42">
        <v>2877</v>
      </c>
      <c r="E42">
        <v>2907</v>
      </c>
      <c r="F42">
        <v>1.40866873065015</v>
      </c>
      <c r="G42">
        <v>1.32837219201419</v>
      </c>
      <c r="H42">
        <v>4.2624335924267599E-2</v>
      </c>
      <c r="I42">
        <v>1.8838191116602301</v>
      </c>
      <c r="J42">
        <v>5.7</v>
      </c>
      <c r="K42">
        <v>4095</v>
      </c>
      <c r="L42">
        <v>3725.3571428571431</v>
      </c>
    </row>
    <row r="43" spans="1:13" x14ac:dyDescent="0.2">
      <c r="A43" s="207">
        <v>43847</v>
      </c>
      <c r="B43" s="10">
        <v>4255</v>
      </c>
      <c r="C43" s="10">
        <v>4100</v>
      </c>
      <c r="D43" s="10">
        <v>2933</v>
      </c>
      <c r="E43" s="10">
        <v>2847</v>
      </c>
      <c r="F43" s="10">
        <v>1.4401123990164999</v>
      </c>
      <c r="G43" s="10">
        <v>1.3265389014966</v>
      </c>
      <c r="H43" s="10">
        <v>4.2084805479549701E-2</v>
      </c>
      <c r="I43" s="10">
        <v>2.69868177423553</v>
      </c>
      <c r="J43" s="10">
        <v>7.89</v>
      </c>
      <c r="K43" s="10">
        <v>4100</v>
      </c>
      <c r="L43" s="10">
        <v>3648.4663865546222</v>
      </c>
      <c r="M43" s="10"/>
    </row>
    <row r="44" spans="1:13" x14ac:dyDescent="0.2">
      <c r="A44" s="14">
        <v>43846</v>
      </c>
      <c r="B44" s="106">
        <v>4100</v>
      </c>
      <c r="C44" s="106">
        <v>4120</v>
      </c>
      <c r="D44" s="106">
        <v>2939</v>
      </c>
      <c r="E44" s="106">
        <v>2916</v>
      </c>
      <c r="F44" s="106">
        <v>1.41289437585733</v>
      </c>
      <c r="G44" s="106">
        <v>1.3243368291195801</v>
      </c>
      <c r="H44" s="106">
        <v>4.0370432406900199E-2</v>
      </c>
      <c r="I44" s="106">
        <v>2.1936239336049601</v>
      </c>
      <c r="J44" s="106">
        <v>6.27</v>
      </c>
      <c r="K44">
        <v>4120</v>
      </c>
      <c r="L44" s="106">
        <v>3736.8907563025214</v>
      </c>
    </row>
    <row r="45" spans="1:13" x14ac:dyDescent="0.2">
      <c r="A45" s="14">
        <v>43845</v>
      </c>
      <c r="B45">
        <v>4120</v>
      </c>
      <c r="C45">
        <v>4140</v>
      </c>
      <c r="D45">
        <v>2958</v>
      </c>
      <c r="E45">
        <v>2938</v>
      </c>
      <c r="F45">
        <v>1.4091218515997199</v>
      </c>
      <c r="G45">
        <v>1.3228928399214199</v>
      </c>
      <c r="H45">
        <v>3.9093698807301701E-2</v>
      </c>
      <c r="I45">
        <v>2.2057010287856702</v>
      </c>
      <c r="J45">
        <v>6.12</v>
      </c>
      <c r="K45">
        <v>4140</v>
      </c>
      <c r="L45">
        <v>3765.0840336134456</v>
      </c>
    </row>
    <row r="46" spans="1:13" x14ac:dyDescent="0.2">
      <c r="A46" s="14">
        <v>43844</v>
      </c>
      <c r="B46">
        <v>4080</v>
      </c>
      <c r="C46">
        <v>4120</v>
      </c>
      <c r="D46">
        <v>2971</v>
      </c>
      <c r="E46">
        <v>2959</v>
      </c>
      <c r="F46">
        <v>1.3923622845555901</v>
      </c>
      <c r="G46">
        <v>1.32145693776843</v>
      </c>
      <c r="H46">
        <v>3.7858403939904202E-2</v>
      </c>
      <c r="I46">
        <v>1.87290903493212</v>
      </c>
      <c r="J46">
        <v>5.09</v>
      </c>
      <c r="K46">
        <v>4120</v>
      </c>
      <c r="L46">
        <v>3791.9957983193281</v>
      </c>
    </row>
    <row r="47" spans="1:13" x14ac:dyDescent="0.2">
      <c r="A47" s="14">
        <v>43840</v>
      </c>
      <c r="B47">
        <v>4060</v>
      </c>
      <c r="C47">
        <v>4030</v>
      </c>
      <c r="D47">
        <v>2935</v>
      </c>
      <c r="E47">
        <v>2926</v>
      </c>
      <c r="F47">
        <v>1.3773069036226899</v>
      </c>
      <c r="G47">
        <v>1.3201362366829701</v>
      </c>
      <c r="H47">
        <v>3.7081583196672797E-2</v>
      </c>
      <c r="I47">
        <v>1.54175366883607</v>
      </c>
      <c r="J47">
        <v>4.1500000000000004</v>
      </c>
      <c r="K47">
        <v>4030</v>
      </c>
      <c r="L47">
        <v>3749.7058823529414</v>
      </c>
    </row>
    <row r="48" spans="1:13" x14ac:dyDescent="0.2">
      <c r="A48" s="14">
        <v>43839</v>
      </c>
      <c r="B48">
        <v>4015</v>
      </c>
      <c r="C48">
        <v>4020</v>
      </c>
      <c r="D48">
        <v>2892</v>
      </c>
      <c r="E48">
        <v>2904</v>
      </c>
      <c r="F48">
        <v>1.3842975206611501</v>
      </c>
      <c r="G48">
        <v>1.31875205007202</v>
      </c>
      <c r="H48">
        <v>3.6858595190386402E-2</v>
      </c>
      <c r="I48">
        <v>1.77829540845416</v>
      </c>
      <c r="J48">
        <v>4.7300000000000004</v>
      </c>
      <c r="K48">
        <v>4020</v>
      </c>
      <c r="L48">
        <v>3721.5126050420172</v>
      </c>
    </row>
    <row r="49" spans="1:12" x14ac:dyDescent="0.2">
      <c r="A49" s="14">
        <v>43838</v>
      </c>
      <c r="B49">
        <v>3995</v>
      </c>
      <c r="C49">
        <v>3965</v>
      </c>
      <c r="D49">
        <v>2852</v>
      </c>
      <c r="E49">
        <v>2852</v>
      </c>
      <c r="F49">
        <v>1.39025245441795</v>
      </c>
      <c r="G49">
        <v>1.3170434316946</v>
      </c>
      <c r="H49">
        <v>3.6750585415913903E-2</v>
      </c>
      <c r="I49">
        <v>1.9920505182386701</v>
      </c>
      <c r="J49">
        <v>5.27</v>
      </c>
      <c r="K49">
        <v>3965</v>
      </c>
      <c r="L49">
        <v>3654.8739495798322</v>
      </c>
    </row>
    <row r="50" spans="1:12" x14ac:dyDescent="0.2">
      <c r="A50" s="14">
        <v>43837</v>
      </c>
      <c r="B50">
        <v>3970</v>
      </c>
      <c r="C50">
        <v>4020</v>
      </c>
      <c r="D50">
        <v>2837</v>
      </c>
      <c r="E50">
        <v>2885</v>
      </c>
      <c r="F50">
        <v>1.39341421143847</v>
      </c>
      <c r="G50">
        <v>1.3150754027718701</v>
      </c>
      <c r="H50">
        <v>3.6729589983777303E-2</v>
      </c>
      <c r="I50">
        <v>2.1328527952858698</v>
      </c>
      <c r="J50">
        <v>5.62</v>
      </c>
      <c r="K50">
        <v>4020</v>
      </c>
      <c r="L50">
        <v>3697.1638655462189</v>
      </c>
    </row>
    <row r="51" spans="1:12" x14ac:dyDescent="0.2">
      <c r="A51" s="14">
        <v>43836</v>
      </c>
      <c r="B51">
        <v>3845</v>
      </c>
      <c r="C51">
        <v>3905</v>
      </c>
      <c r="D51">
        <v>2807</v>
      </c>
      <c r="E51">
        <v>2831</v>
      </c>
      <c r="F51">
        <v>1.3793712469092101</v>
      </c>
      <c r="G51">
        <v>1.31310992731799</v>
      </c>
      <c r="H51">
        <v>3.6427815025889598E-2</v>
      </c>
      <c r="I51">
        <v>1.8189759540650401</v>
      </c>
      <c r="J51">
        <v>4.8</v>
      </c>
      <c r="K51">
        <v>3905</v>
      </c>
      <c r="L51">
        <v>3627.9621848739498</v>
      </c>
    </row>
    <row r="52" spans="1:12" x14ac:dyDescent="0.2">
      <c r="A52" s="14">
        <v>43829</v>
      </c>
      <c r="B52">
        <v>3910</v>
      </c>
      <c r="C52">
        <v>3870</v>
      </c>
      <c r="D52">
        <v>2840</v>
      </c>
      <c r="E52">
        <v>2853</v>
      </c>
      <c r="F52">
        <v>1.3564668769716</v>
      </c>
      <c r="G52">
        <v>1.3115077686140699</v>
      </c>
      <c r="H52">
        <v>3.6119453673285E-2</v>
      </c>
      <c r="I52">
        <v>1.24473389781052</v>
      </c>
      <c r="J52">
        <v>3.31</v>
      </c>
      <c r="K52">
        <v>3870</v>
      </c>
      <c r="L52">
        <v>3656.1554621848741</v>
      </c>
    </row>
    <row r="53" spans="1:12" x14ac:dyDescent="0.2">
      <c r="A53" s="14">
        <v>43826</v>
      </c>
      <c r="B53">
        <v>3740</v>
      </c>
      <c r="C53">
        <v>3870</v>
      </c>
      <c r="D53">
        <v>2835</v>
      </c>
      <c r="E53">
        <v>2855</v>
      </c>
      <c r="F53">
        <v>1.3555166374781</v>
      </c>
      <c r="G53">
        <v>1.30995792186329</v>
      </c>
      <c r="H53">
        <v>3.6647037042734698E-2</v>
      </c>
      <c r="I53">
        <v>1.2431759643129501</v>
      </c>
      <c r="J53">
        <v>3.36</v>
      </c>
      <c r="K53">
        <v>3870</v>
      </c>
      <c r="L53">
        <v>3658.7184873949582</v>
      </c>
    </row>
    <row r="54" spans="1:12" x14ac:dyDescent="0.2">
      <c r="A54" s="14">
        <v>43825</v>
      </c>
      <c r="B54">
        <v>3720</v>
      </c>
      <c r="C54">
        <v>3760</v>
      </c>
      <c r="D54">
        <v>2812</v>
      </c>
      <c r="E54">
        <v>2820</v>
      </c>
      <c r="F54">
        <v>1.3333333333333299</v>
      </c>
      <c r="G54">
        <v>1.3087261568480899</v>
      </c>
      <c r="H54">
        <v>3.6647594652932401E-2</v>
      </c>
      <c r="I54">
        <v>0.67145406726630796</v>
      </c>
      <c r="J54">
        <v>1.85</v>
      </c>
      <c r="K54">
        <v>3760</v>
      </c>
      <c r="L54">
        <v>3613.8655462184879</v>
      </c>
    </row>
    <row r="55" spans="1:12" x14ac:dyDescent="0.2">
      <c r="A55" s="14">
        <v>43824</v>
      </c>
      <c r="B55">
        <v>3755</v>
      </c>
      <c r="C55">
        <v>3760</v>
      </c>
      <c r="D55">
        <v>2808</v>
      </c>
      <c r="E55">
        <v>2812</v>
      </c>
      <c r="F55">
        <v>1.3371266002844899</v>
      </c>
      <c r="G55">
        <v>1.30805427558054</v>
      </c>
      <c r="H55">
        <v>3.6652222311598003E-2</v>
      </c>
      <c r="I55">
        <v>0.793194051285392</v>
      </c>
      <c r="J55">
        <v>2.17</v>
      </c>
      <c r="K55">
        <v>3760</v>
      </c>
      <c r="L55">
        <v>3603.6134453781515</v>
      </c>
    </row>
    <row r="56" spans="1:12" x14ac:dyDescent="0.2">
      <c r="A56" s="14">
        <v>43823</v>
      </c>
      <c r="B56">
        <v>3710</v>
      </c>
      <c r="C56">
        <v>3685</v>
      </c>
      <c r="D56">
        <v>2830</v>
      </c>
      <c r="E56">
        <v>2800</v>
      </c>
      <c r="F56">
        <v>1.3160714285714199</v>
      </c>
      <c r="G56">
        <v>1.3075431451975701</v>
      </c>
      <c r="H56">
        <v>3.6510254988435999E-2</v>
      </c>
      <c r="I56">
        <v>0.23358597129927999</v>
      </c>
      <c r="J56">
        <v>0.65</v>
      </c>
      <c r="K56">
        <v>3685</v>
      </c>
      <c r="L56">
        <v>3588.2352941176473</v>
      </c>
    </row>
    <row r="57" spans="1:12" x14ac:dyDescent="0.2">
      <c r="A57" s="14">
        <v>43822</v>
      </c>
      <c r="B57">
        <v>3605</v>
      </c>
      <c r="C57">
        <v>3585</v>
      </c>
      <c r="D57">
        <v>2891</v>
      </c>
      <c r="E57">
        <v>2847</v>
      </c>
      <c r="F57">
        <v>1.2592202318229699</v>
      </c>
      <c r="G57">
        <v>1.30703426447486</v>
      </c>
      <c r="H57">
        <v>3.6653539678493698E-2</v>
      </c>
      <c r="I57">
        <v>-1.30448608978265</v>
      </c>
      <c r="J57">
        <v>-3.8</v>
      </c>
      <c r="K57">
        <v>3585</v>
      </c>
      <c r="L57">
        <v>3648.4663865546222</v>
      </c>
    </row>
    <row r="58" spans="1:12" x14ac:dyDescent="0.2">
      <c r="A58" s="14">
        <v>43819</v>
      </c>
      <c r="B58">
        <v>3560</v>
      </c>
      <c r="C58">
        <v>3580</v>
      </c>
      <c r="D58">
        <v>2844</v>
      </c>
      <c r="E58">
        <v>2878</v>
      </c>
      <c r="F58">
        <v>1.2439193884642099</v>
      </c>
      <c r="G58">
        <v>1.3073069122271801</v>
      </c>
      <c r="H58">
        <v>3.6371831365292803E-2</v>
      </c>
      <c r="I58">
        <v>-1.74276414971683</v>
      </c>
      <c r="J58">
        <v>-5.0999999999999996</v>
      </c>
      <c r="K58">
        <v>3580</v>
      </c>
      <c r="L58">
        <v>3688.1932773109247</v>
      </c>
    </row>
    <row r="59" spans="1:12" x14ac:dyDescent="0.2">
      <c r="A59" s="14">
        <v>43818</v>
      </c>
      <c r="B59">
        <v>3570</v>
      </c>
      <c r="C59">
        <v>3570</v>
      </c>
      <c r="D59">
        <v>2779</v>
      </c>
      <c r="E59">
        <v>2820</v>
      </c>
      <c r="F59">
        <v>1.26595744680851</v>
      </c>
      <c r="G59">
        <v>1.30741054004721</v>
      </c>
      <c r="H59">
        <v>3.6201759083125298E-2</v>
      </c>
      <c r="I59">
        <v>-1.14505743059397</v>
      </c>
      <c r="J59">
        <v>-3.27</v>
      </c>
      <c r="K59">
        <v>3570</v>
      </c>
      <c r="L59">
        <v>3613.8655462184879</v>
      </c>
    </row>
    <row r="60" spans="1:12" x14ac:dyDescent="0.2">
      <c r="A60" s="14">
        <v>43817</v>
      </c>
      <c r="B60">
        <v>3585</v>
      </c>
      <c r="C60">
        <v>3570</v>
      </c>
      <c r="D60">
        <v>2720</v>
      </c>
      <c r="E60">
        <v>2764</v>
      </c>
      <c r="F60">
        <v>1.2916063675832099</v>
      </c>
      <c r="G60">
        <v>1.3071502645112201</v>
      </c>
      <c r="H60">
        <v>3.6567182296124802E-2</v>
      </c>
      <c r="I60">
        <v>-0.42507778702051102</v>
      </c>
      <c r="J60">
        <v>-1.2</v>
      </c>
      <c r="K60">
        <v>3570</v>
      </c>
      <c r="L60">
        <v>3542.1008403361348</v>
      </c>
    </row>
    <row r="61" spans="1:12" x14ac:dyDescent="0.2">
      <c r="A61" s="14">
        <v>43816</v>
      </c>
      <c r="B61">
        <v>3610</v>
      </c>
      <c r="C61">
        <v>3575</v>
      </c>
      <c r="D61">
        <v>2704</v>
      </c>
      <c r="E61">
        <v>2730</v>
      </c>
      <c r="F61">
        <v>1.3095238095238</v>
      </c>
      <c r="G61">
        <v>1.3063868940916099</v>
      </c>
      <c r="H61">
        <v>3.7470157041790499E-2</v>
      </c>
      <c r="I61">
        <v>8.3717701761885394E-2</v>
      </c>
      <c r="J61">
        <v>0.24</v>
      </c>
      <c r="K61">
        <v>3575</v>
      </c>
      <c r="L61">
        <v>3498.5294117647063</v>
      </c>
    </row>
    <row r="62" spans="1:12" x14ac:dyDescent="0.2">
      <c r="A62" s="14">
        <v>43815</v>
      </c>
      <c r="B62">
        <v>3580</v>
      </c>
      <c r="C62">
        <v>3580</v>
      </c>
      <c r="D62">
        <v>2707</v>
      </c>
      <c r="E62">
        <v>2701</v>
      </c>
      <c r="F62">
        <v>1.32543502406516</v>
      </c>
      <c r="G62">
        <v>1.3056222819652401</v>
      </c>
      <c r="H62">
        <v>3.7979973244588301E-2</v>
      </c>
      <c r="I62">
        <v>0.52166287670418299</v>
      </c>
      <c r="J62">
        <v>1.49</v>
      </c>
      <c r="K62">
        <v>3580</v>
      </c>
      <c r="L62">
        <v>3461.3655462184879</v>
      </c>
    </row>
    <row r="63" spans="1:12" x14ac:dyDescent="0.2">
      <c r="A63" s="14">
        <v>43812</v>
      </c>
      <c r="B63">
        <v>3620</v>
      </c>
      <c r="C63">
        <v>3570</v>
      </c>
      <c r="D63">
        <v>2727</v>
      </c>
      <c r="E63">
        <v>2709</v>
      </c>
      <c r="F63">
        <v>1.3178294573643401</v>
      </c>
      <c r="G63">
        <v>1.3047649046499299</v>
      </c>
      <c r="H63">
        <v>3.8247894976033897E-2</v>
      </c>
      <c r="I63">
        <v>0.34157573175174399</v>
      </c>
      <c r="J63">
        <v>0.99</v>
      </c>
      <c r="K63">
        <v>3570</v>
      </c>
      <c r="L63">
        <v>3471.6176470588239</v>
      </c>
    </row>
    <row r="64" spans="1:12" x14ac:dyDescent="0.2">
      <c r="A64" s="14">
        <v>43811</v>
      </c>
      <c r="B64">
        <v>3580</v>
      </c>
      <c r="C64">
        <v>3565</v>
      </c>
      <c r="D64">
        <v>2711</v>
      </c>
      <c r="E64">
        <v>2705</v>
      </c>
      <c r="F64">
        <v>1.3179297597042501</v>
      </c>
      <c r="G64">
        <v>1.3041848863058401</v>
      </c>
      <c r="H64">
        <v>3.83750085904409E-2</v>
      </c>
      <c r="I64">
        <v>0.35817251652250198</v>
      </c>
      <c r="J64">
        <v>1.04</v>
      </c>
      <c r="K64">
        <v>3565</v>
      </c>
      <c r="L64">
        <v>3466.4915966386557</v>
      </c>
    </row>
    <row r="65" spans="1:12" x14ac:dyDescent="0.2">
      <c r="A65" s="14">
        <v>43810</v>
      </c>
      <c r="B65">
        <v>3625</v>
      </c>
      <c r="C65">
        <v>3565</v>
      </c>
      <c r="D65">
        <v>2692</v>
      </c>
      <c r="E65">
        <v>2714</v>
      </c>
      <c r="F65">
        <v>1.3135593220338899</v>
      </c>
      <c r="G65">
        <v>1.3039875685736599</v>
      </c>
      <c r="H65">
        <v>3.8341859723939699E-2</v>
      </c>
      <c r="I65">
        <v>0.24964238900114399</v>
      </c>
      <c r="J65">
        <v>0.73</v>
      </c>
      <c r="K65">
        <v>3565</v>
      </c>
      <c r="L65">
        <v>3478.0252100840339</v>
      </c>
    </row>
    <row r="66" spans="1:12" x14ac:dyDescent="0.2">
      <c r="A66" s="14">
        <v>43809</v>
      </c>
      <c r="B66">
        <v>3630</v>
      </c>
      <c r="C66">
        <v>3625</v>
      </c>
      <c r="D66">
        <v>2647</v>
      </c>
      <c r="E66">
        <v>2693</v>
      </c>
      <c r="F66">
        <v>1.3460824359450401</v>
      </c>
      <c r="G66">
        <v>1.30377294302674</v>
      </c>
      <c r="H66">
        <v>3.8332731010539599E-2</v>
      </c>
      <c r="I66">
        <v>1.1037432450784801</v>
      </c>
      <c r="J66">
        <v>3.14</v>
      </c>
      <c r="K66">
        <v>3625</v>
      </c>
      <c r="L66">
        <v>3451.1134453781515</v>
      </c>
    </row>
    <row r="67" spans="1:12" x14ac:dyDescent="0.2">
      <c r="A67" s="14">
        <v>43808</v>
      </c>
      <c r="B67">
        <v>3580</v>
      </c>
      <c r="C67">
        <v>3585</v>
      </c>
      <c r="D67">
        <v>2642</v>
      </c>
      <c r="E67">
        <v>2662</v>
      </c>
      <c r="F67">
        <v>1.3467317806160699</v>
      </c>
      <c r="G67">
        <v>1.3031047269327201</v>
      </c>
      <c r="H67">
        <v>3.8024944995431201E-2</v>
      </c>
      <c r="I67">
        <v>1.14732720030488</v>
      </c>
      <c r="J67">
        <v>3.24</v>
      </c>
      <c r="K67">
        <v>3585</v>
      </c>
      <c r="L67">
        <v>3411.386554621849</v>
      </c>
    </row>
    <row r="68" spans="1:12" x14ac:dyDescent="0.2">
      <c r="A68" s="14">
        <v>43805</v>
      </c>
      <c r="B68">
        <v>3550</v>
      </c>
      <c r="C68">
        <v>3585</v>
      </c>
      <c r="D68">
        <v>2646</v>
      </c>
      <c r="E68">
        <v>2631</v>
      </c>
      <c r="F68">
        <v>1.36259977194982</v>
      </c>
      <c r="G68">
        <v>1.3027319165693101</v>
      </c>
      <c r="H68">
        <v>3.7731317050854897E-2</v>
      </c>
      <c r="I68">
        <v>1.5866887259679401</v>
      </c>
      <c r="J68">
        <v>4.3899999999999997</v>
      </c>
      <c r="K68">
        <v>3585</v>
      </c>
      <c r="L68">
        <v>3371.6596638655465</v>
      </c>
    </row>
    <row r="69" spans="1:12" x14ac:dyDescent="0.2">
      <c r="A69" s="14">
        <v>43804</v>
      </c>
      <c r="B69">
        <v>3560</v>
      </c>
      <c r="C69">
        <v>3570</v>
      </c>
      <c r="D69">
        <v>2649</v>
      </c>
      <c r="E69">
        <v>2646</v>
      </c>
      <c r="F69">
        <v>1.34920634920634</v>
      </c>
      <c r="G69">
        <v>1.3016249883122699</v>
      </c>
      <c r="H69">
        <v>3.7172367654957399E-2</v>
      </c>
      <c r="I69">
        <v>1.2800196461989199</v>
      </c>
      <c r="J69">
        <v>3.53</v>
      </c>
      <c r="K69">
        <v>3570</v>
      </c>
      <c r="L69">
        <v>3390.8823529411766</v>
      </c>
    </row>
    <row r="70" spans="1:12" x14ac:dyDescent="0.2">
      <c r="A70" s="14">
        <v>43803</v>
      </c>
      <c r="B70">
        <v>3450</v>
      </c>
      <c r="C70">
        <v>3590</v>
      </c>
      <c r="D70">
        <v>2634</v>
      </c>
      <c r="E70">
        <v>2631</v>
      </c>
      <c r="F70">
        <v>1.3645001900417999</v>
      </c>
      <c r="G70">
        <v>1.30072093221834</v>
      </c>
      <c r="H70">
        <v>3.6827081987033501E-2</v>
      </c>
      <c r="I70">
        <v>1.7318574913407501</v>
      </c>
      <c r="J70">
        <v>4.67</v>
      </c>
      <c r="K70">
        <v>3590</v>
      </c>
      <c r="L70">
        <v>3371.6596638655465</v>
      </c>
    </row>
    <row r="71" spans="1:12" x14ac:dyDescent="0.2">
      <c r="A71" s="14">
        <v>43802</v>
      </c>
      <c r="B71">
        <v>3465</v>
      </c>
      <c r="C71">
        <v>3465</v>
      </c>
      <c r="D71">
        <v>2648</v>
      </c>
      <c r="E71">
        <v>2637</v>
      </c>
      <c r="F71">
        <v>1.3139931740614299</v>
      </c>
      <c r="G71">
        <v>1.29974138044388</v>
      </c>
      <c r="H71">
        <v>3.6087233221251201E-2</v>
      </c>
      <c r="I71">
        <v>0.39492619260029599</v>
      </c>
      <c r="J71">
        <v>1.08</v>
      </c>
      <c r="K71">
        <v>3465</v>
      </c>
      <c r="L71">
        <v>3379.3487394957988</v>
      </c>
    </row>
    <row r="72" spans="1:12" x14ac:dyDescent="0.2">
      <c r="A72" s="14">
        <v>43801</v>
      </c>
      <c r="B72">
        <v>3450</v>
      </c>
      <c r="C72">
        <v>3445</v>
      </c>
      <c r="D72">
        <v>2620</v>
      </c>
      <c r="E72">
        <v>2684</v>
      </c>
      <c r="F72">
        <v>1.2835320417287599</v>
      </c>
      <c r="G72">
        <v>1.29913631330554</v>
      </c>
      <c r="H72">
        <v>3.6223385809509602E-2</v>
      </c>
      <c r="I72">
        <v>-0.43077893543261497</v>
      </c>
      <c r="J72">
        <v>-1.22</v>
      </c>
      <c r="K72">
        <v>3445</v>
      </c>
      <c r="L72">
        <v>3439.5798319327732</v>
      </c>
    </row>
    <row r="73" spans="1:12" x14ac:dyDescent="0.2">
      <c r="A73" s="14">
        <v>43798</v>
      </c>
      <c r="B73">
        <v>3425</v>
      </c>
      <c r="C73">
        <v>3420</v>
      </c>
      <c r="D73">
        <v>2594</v>
      </c>
      <c r="E73">
        <v>2597</v>
      </c>
      <c r="F73">
        <v>1.31690412013862</v>
      </c>
      <c r="G73">
        <v>1.2988852978472001</v>
      </c>
      <c r="H73">
        <v>3.63954688736495E-2</v>
      </c>
      <c r="I73">
        <v>0.495084219246401</v>
      </c>
      <c r="J73">
        <v>1.37</v>
      </c>
      <c r="K73">
        <v>3420</v>
      </c>
      <c r="L73">
        <v>3328.088235294118</v>
      </c>
    </row>
    <row r="74" spans="1:12" x14ac:dyDescent="0.2">
      <c r="A74" s="14">
        <v>43797</v>
      </c>
      <c r="B74">
        <v>3435</v>
      </c>
      <c r="C74">
        <v>3430</v>
      </c>
      <c r="D74">
        <v>2613</v>
      </c>
      <c r="E74">
        <v>2593</v>
      </c>
      <c r="F74">
        <v>1.32279213266486</v>
      </c>
      <c r="G74">
        <v>1.29815537001967</v>
      </c>
      <c r="H74">
        <v>3.6575293269977799E-2</v>
      </c>
      <c r="I74">
        <v>0.67359029668847004</v>
      </c>
      <c r="J74">
        <v>1.86</v>
      </c>
      <c r="K74">
        <v>3430</v>
      </c>
      <c r="L74">
        <v>3322.9621848739498</v>
      </c>
    </row>
    <row r="75" spans="1:12" x14ac:dyDescent="0.2">
      <c r="A75" s="14">
        <v>43796</v>
      </c>
      <c r="B75">
        <v>3405</v>
      </c>
      <c r="C75">
        <v>3435</v>
      </c>
      <c r="D75">
        <v>2600</v>
      </c>
      <c r="E75">
        <v>2610</v>
      </c>
      <c r="F75">
        <v>1.3160919540229801</v>
      </c>
      <c r="G75">
        <v>1.2970625431285401</v>
      </c>
      <c r="H75">
        <v>3.70443068468162E-2</v>
      </c>
      <c r="I75">
        <v>0.51369326393750603</v>
      </c>
      <c r="J75">
        <v>1.45</v>
      </c>
      <c r="K75">
        <v>3435</v>
      </c>
      <c r="L75">
        <v>3344.747899159664</v>
      </c>
    </row>
    <row r="76" spans="1:12" x14ac:dyDescent="0.2">
      <c r="A76" s="14">
        <v>43795</v>
      </c>
      <c r="B76">
        <v>3450</v>
      </c>
      <c r="C76">
        <v>3430</v>
      </c>
      <c r="D76">
        <v>2585</v>
      </c>
      <c r="E76">
        <v>2597</v>
      </c>
      <c r="F76">
        <v>1.32075471698113</v>
      </c>
      <c r="G76">
        <v>1.296317239405</v>
      </c>
      <c r="H76">
        <v>3.7215865347353501E-2</v>
      </c>
      <c r="I76">
        <v>0.65664139065538596</v>
      </c>
      <c r="J76">
        <v>1.85</v>
      </c>
      <c r="K76">
        <v>3430</v>
      </c>
      <c r="L76">
        <v>3328.088235294118</v>
      </c>
    </row>
    <row r="77" spans="1:12" x14ac:dyDescent="0.2">
      <c r="A77" s="14">
        <v>43794</v>
      </c>
      <c r="B77">
        <v>3470</v>
      </c>
      <c r="C77">
        <v>3420</v>
      </c>
      <c r="D77">
        <v>2567</v>
      </c>
      <c r="E77">
        <v>2576</v>
      </c>
      <c r="F77">
        <v>1.32763975155279</v>
      </c>
      <c r="G77">
        <v>1.29491288363013</v>
      </c>
      <c r="H77">
        <v>3.8240380863362497E-2</v>
      </c>
      <c r="I77">
        <v>0.85581961224687497</v>
      </c>
      <c r="J77">
        <v>2.4700000000000002</v>
      </c>
      <c r="K77">
        <v>3420</v>
      </c>
      <c r="L77">
        <v>3301.1764705882356</v>
      </c>
    </row>
    <row r="78" spans="1:12" x14ac:dyDescent="0.2">
      <c r="A78" s="14">
        <v>43791</v>
      </c>
      <c r="B78">
        <v>3470</v>
      </c>
      <c r="C78">
        <v>3450</v>
      </c>
      <c r="D78">
        <v>2538</v>
      </c>
      <c r="E78">
        <v>2524</v>
      </c>
      <c r="F78">
        <v>1.3668779714738499</v>
      </c>
      <c r="G78">
        <v>1.2944366931539399</v>
      </c>
      <c r="H78">
        <v>3.80517848239195E-2</v>
      </c>
      <c r="I78">
        <v>1.9037550710200799</v>
      </c>
      <c r="J78">
        <v>5.3</v>
      </c>
      <c r="K78">
        <v>3450</v>
      </c>
      <c r="L78">
        <v>3234.5378151260506</v>
      </c>
    </row>
    <row r="79" spans="1:12" x14ac:dyDescent="0.2">
      <c r="A79" s="14">
        <v>43790</v>
      </c>
      <c r="B79">
        <v>3475</v>
      </c>
      <c r="C79">
        <v>3510</v>
      </c>
      <c r="D79">
        <v>2553</v>
      </c>
      <c r="E79">
        <v>2545</v>
      </c>
      <c r="F79">
        <v>1.37917485265225</v>
      </c>
      <c r="G79">
        <v>1.2938334119150601</v>
      </c>
      <c r="H79">
        <v>3.7248698913650499E-2</v>
      </c>
      <c r="I79">
        <v>2.2911254144749398</v>
      </c>
      <c r="J79">
        <v>6.19</v>
      </c>
      <c r="K79">
        <v>3510</v>
      </c>
      <c r="L79">
        <v>3261.4495798319331</v>
      </c>
    </row>
    <row r="80" spans="1:12" x14ac:dyDescent="0.2">
      <c r="A80" s="14">
        <v>43789</v>
      </c>
      <c r="B80">
        <v>3500</v>
      </c>
      <c r="C80">
        <v>3490</v>
      </c>
      <c r="D80">
        <v>2560</v>
      </c>
      <c r="E80">
        <v>2558</v>
      </c>
      <c r="F80">
        <v>1.3643471462079699</v>
      </c>
      <c r="G80">
        <v>1.2934019146725999</v>
      </c>
      <c r="H80">
        <v>3.643616923424E-2</v>
      </c>
      <c r="I80">
        <v>1.9471100564738999</v>
      </c>
      <c r="J80">
        <v>5.2</v>
      </c>
      <c r="K80">
        <v>3490</v>
      </c>
      <c r="L80">
        <v>3278.1092436974791</v>
      </c>
    </row>
    <row r="81" spans="1:12" x14ac:dyDescent="0.2">
      <c r="A81" s="14">
        <v>43788</v>
      </c>
      <c r="B81">
        <v>3470</v>
      </c>
      <c r="C81">
        <v>3500</v>
      </c>
      <c r="D81">
        <v>2559</v>
      </c>
      <c r="E81">
        <v>2564</v>
      </c>
      <c r="F81">
        <v>1.3650546021840799</v>
      </c>
      <c r="G81">
        <v>1.2926538920008801</v>
      </c>
      <c r="H81">
        <v>3.5536783071582201E-2</v>
      </c>
      <c r="I81">
        <v>2.0373456437337998</v>
      </c>
      <c r="J81">
        <v>5.3</v>
      </c>
      <c r="K81">
        <v>3500</v>
      </c>
      <c r="L81">
        <v>3285.7983193277314</v>
      </c>
    </row>
    <row r="82" spans="1:12" x14ac:dyDescent="0.2">
      <c r="A82" s="14">
        <v>43787</v>
      </c>
      <c r="B82">
        <v>3410</v>
      </c>
      <c r="C82">
        <v>3435</v>
      </c>
      <c r="D82">
        <v>2529</v>
      </c>
      <c r="E82">
        <v>2559</v>
      </c>
      <c r="F82">
        <v>1.3423212192262599</v>
      </c>
      <c r="G82">
        <v>1.29200712080629</v>
      </c>
      <c r="H82">
        <v>3.4643393653498299E-2</v>
      </c>
      <c r="I82">
        <v>1.4523432352846899</v>
      </c>
      <c r="J82">
        <v>3.75</v>
      </c>
      <c r="K82">
        <v>3435</v>
      </c>
      <c r="L82">
        <v>3279.3907563025214</v>
      </c>
    </row>
    <row r="83" spans="1:12" x14ac:dyDescent="0.2">
      <c r="A83" s="14">
        <v>43784</v>
      </c>
      <c r="B83">
        <v>3370</v>
      </c>
      <c r="C83">
        <v>3390</v>
      </c>
      <c r="D83">
        <v>2516</v>
      </c>
      <c r="E83">
        <v>2533</v>
      </c>
      <c r="F83">
        <v>1.3383339913146399</v>
      </c>
      <c r="G83">
        <v>1.29194332284933</v>
      </c>
      <c r="H83">
        <v>3.4554971331618799E-2</v>
      </c>
      <c r="I83">
        <v>1.3425179265845599</v>
      </c>
      <c r="J83">
        <v>3.47</v>
      </c>
      <c r="K83">
        <v>3390</v>
      </c>
      <c r="L83">
        <v>3246.0714285714289</v>
      </c>
    </row>
    <row r="84" spans="1:12" x14ac:dyDescent="0.2">
      <c r="A84" s="14">
        <v>43783</v>
      </c>
      <c r="B84">
        <v>3340</v>
      </c>
      <c r="C84">
        <v>3300</v>
      </c>
      <c r="D84">
        <v>2502</v>
      </c>
      <c r="E84">
        <v>2512</v>
      </c>
      <c r="F84">
        <v>1.31369426751592</v>
      </c>
      <c r="G84">
        <v>1.2915856293814401</v>
      </c>
      <c r="H84">
        <v>3.42100375215037E-2</v>
      </c>
      <c r="I84">
        <v>0.64626173299527501</v>
      </c>
      <c r="J84">
        <v>1.68</v>
      </c>
      <c r="K84">
        <v>3300</v>
      </c>
      <c r="L84">
        <v>3219.1596638655465</v>
      </c>
    </row>
    <row r="85" spans="1:12" x14ac:dyDescent="0.2">
      <c r="A85" s="14">
        <v>43782</v>
      </c>
      <c r="B85">
        <v>3345</v>
      </c>
      <c r="C85">
        <v>3305</v>
      </c>
      <c r="D85">
        <v>2526</v>
      </c>
      <c r="E85">
        <v>2515</v>
      </c>
      <c r="F85">
        <v>1.3141153081510899</v>
      </c>
      <c r="G85">
        <v>1.2917435199795999</v>
      </c>
      <c r="H85">
        <v>3.43387963978804E-2</v>
      </c>
      <c r="I85">
        <v>0.651501814806415</v>
      </c>
      <c r="J85">
        <v>1.7</v>
      </c>
      <c r="K85">
        <v>3305</v>
      </c>
      <c r="L85">
        <v>3223.0042016806724</v>
      </c>
    </row>
    <row r="86" spans="1:12" x14ac:dyDescent="0.2">
      <c r="A86" s="14">
        <v>43781</v>
      </c>
      <c r="B86">
        <v>3395</v>
      </c>
      <c r="C86">
        <v>3345</v>
      </c>
      <c r="D86">
        <v>2509</v>
      </c>
      <c r="E86">
        <v>2523</v>
      </c>
      <c r="F86">
        <v>1.32580261593341</v>
      </c>
      <c r="G86">
        <v>1.29175392496036</v>
      </c>
      <c r="H86">
        <v>3.4345691223415097E-2</v>
      </c>
      <c r="I86">
        <v>0.99135261979633504</v>
      </c>
      <c r="J86">
        <v>2.57</v>
      </c>
      <c r="K86">
        <v>3345</v>
      </c>
      <c r="L86">
        <v>3233.2563025210088</v>
      </c>
    </row>
    <row r="87" spans="1:12" x14ac:dyDescent="0.2">
      <c r="A87" s="14">
        <v>43780</v>
      </c>
      <c r="B87">
        <v>3380</v>
      </c>
      <c r="C87">
        <v>3365</v>
      </c>
      <c r="D87">
        <v>2510</v>
      </c>
      <c r="E87">
        <v>2529</v>
      </c>
      <c r="F87">
        <v>1.3305654408857199</v>
      </c>
      <c r="G87">
        <v>1.2916633880236299</v>
      </c>
      <c r="H87">
        <v>3.4264672048411902E-2</v>
      </c>
      <c r="I87">
        <v>1.1353400028788501</v>
      </c>
      <c r="J87">
        <v>2.92</v>
      </c>
      <c r="K87">
        <v>3365</v>
      </c>
      <c r="L87">
        <v>3240.9453781512607</v>
      </c>
    </row>
    <row r="88" spans="1:12" x14ac:dyDescent="0.2">
      <c r="A88" s="14">
        <v>43777</v>
      </c>
      <c r="B88">
        <v>3445</v>
      </c>
      <c r="C88">
        <v>3360</v>
      </c>
      <c r="D88">
        <v>2510</v>
      </c>
      <c r="E88">
        <v>2478</v>
      </c>
      <c r="F88">
        <v>1.35593220338983</v>
      </c>
      <c r="G88">
        <v>1.29197472431383</v>
      </c>
      <c r="H88">
        <v>3.4719790226289897E-2</v>
      </c>
      <c r="I88">
        <v>1.84210442111382</v>
      </c>
      <c r="J88">
        <v>4.72</v>
      </c>
      <c r="K88">
        <v>3360</v>
      </c>
      <c r="L88">
        <v>3175.588235294118</v>
      </c>
    </row>
    <row r="89" spans="1:12" x14ac:dyDescent="0.2">
      <c r="A89" s="14">
        <v>43776</v>
      </c>
      <c r="B89">
        <v>3435</v>
      </c>
      <c r="C89">
        <v>3460</v>
      </c>
      <c r="D89">
        <v>2510</v>
      </c>
      <c r="E89">
        <v>2503</v>
      </c>
      <c r="F89">
        <v>1.3823411905713101</v>
      </c>
      <c r="G89">
        <v>1.29207067482357</v>
      </c>
      <c r="H89">
        <v>3.4905853661224902E-2</v>
      </c>
      <c r="I89">
        <v>2.5861139688446202</v>
      </c>
      <c r="J89">
        <v>6.53</v>
      </c>
      <c r="K89">
        <v>3460</v>
      </c>
      <c r="L89">
        <v>3207.6260504201682</v>
      </c>
    </row>
    <row r="90" spans="1:12" x14ac:dyDescent="0.2">
      <c r="A90" s="14">
        <v>43775</v>
      </c>
      <c r="B90">
        <v>3440</v>
      </c>
      <c r="C90">
        <v>3450</v>
      </c>
      <c r="D90">
        <v>2576</v>
      </c>
      <c r="E90">
        <v>2511</v>
      </c>
      <c r="F90">
        <v>1.3739545997610501</v>
      </c>
      <c r="G90">
        <v>1.2918497051236</v>
      </c>
      <c r="H90">
        <v>3.4382230370819999E-2</v>
      </c>
      <c r="I90">
        <v>2.3880037377425301</v>
      </c>
      <c r="J90">
        <v>5.98</v>
      </c>
      <c r="K90">
        <v>3450</v>
      </c>
      <c r="L90">
        <v>3217.8781512605046</v>
      </c>
    </row>
    <row r="91" spans="1:12" x14ac:dyDescent="0.2">
      <c r="A91" s="14">
        <v>43774</v>
      </c>
      <c r="B91">
        <v>3475</v>
      </c>
      <c r="C91">
        <v>3425</v>
      </c>
      <c r="D91">
        <v>2595</v>
      </c>
      <c r="E91">
        <v>2578</v>
      </c>
      <c r="F91">
        <v>1.3285492629945601</v>
      </c>
      <c r="G91">
        <v>1.2917433008986301</v>
      </c>
      <c r="H91">
        <v>3.4139463491456398E-2</v>
      </c>
      <c r="I91">
        <v>1.0781060488880501</v>
      </c>
      <c r="J91">
        <v>2.77</v>
      </c>
      <c r="K91">
        <v>3425</v>
      </c>
      <c r="L91">
        <v>3303.7394957983197</v>
      </c>
    </row>
    <row r="92" spans="1:12" x14ac:dyDescent="0.2">
      <c r="A92" s="14">
        <v>43770</v>
      </c>
      <c r="B92">
        <v>3410</v>
      </c>
      <c r="C92">
        <v>3440</v>
      </c>
      <c r="D92">
        <v>2530</v>
      </c>
      <c r="E92">
        <v>2546</v>
      </c>
      <c r="F92">
        <v>1.3511390416339299</v>
      </c>
      <c r="G92">
        <v>1.29205665447537</v>
      </c>
      <c r="H92">
        <v>3.4580856287268702E-2</v>
      </c>
      <c r="I92">
        <v>1.7085287497727699</v>
      </c>
      <c r="J92">
        <v>4.37</v>
      </c>
      <c r="K92">
        <v>3440</v>
      </c>
      <c r="L92">
        <v>3262.7310924369749</v>
      </c>
    </row>
    <row r="93" spans="1:12" x14ac:dyDescent="0.2">
      <c r="A93" s="14">
        <v>43769</v>
      </c>
      <c r="B93">
        <v>3325</v>
      </c>
      <c r="C93">
        <v>3430</v>
      </c>
      <c r="D93">
        <v>2501</v>
      </c>
      <c r="E93">
        <v>2505</v>
      </c>
      <c r="F93">
        <v>1.3692614770459</v>
      </c>
      <c r="G93">
        <v>1.29222387241904</v>
      </c>
      <c r="H93">
        <v>3.4895043607180203E-2</v>
      </c>
      <c r="I93">
        <v>2.2076947515551999</v>
      </c>
      <c r="J93">
        <v>5.63</v>
      </c>
      <c r="K93">
        <v>3430</v>
      </c>
      <c r="L93">
        <v>3210.1890756302523</v>
      </c>
    </row>
    <row r="94" spans="1:12" x14ac:dyDescent="0.2">
      <c r="A94" s="14">
        <v>43768</v>
      </c>
      <c r="B94">
        <v>3200</v>
      </c>
      <c r="C94">
        <v>3255</v>
      </c>
      <c r="D94">
        <v>2479</v>
      </c>
      <c r="E94">
        <v>2492</v>
      </c>
      <c r="F94">
        <v>1.3061797752808899</v>
      </c>
      <c r="G94">
        <v>1.2923323270903699</v>
      </c>
      <c r="H94">
        <v>3.5146047619765197E-2</v>
      </c>
      <c r="I94">
        <v>0.39399730918067899</v>
      </c>
      <c r="J94">
        <v>1.06</v>
      </c>
      <c r="K94">
        <v>3255</v>
      </c>
      <c r="L94">
        <v>3193.5294117647063</v>
      </c>
    </row>
    <row r="95" spans="1:12" x14ac:dyDescent="0.2">
      <c r="A95" s="14">
        <v>43767</v>
      </c>
      <c r="B95">
        <v>3145</v>
      </c>
      <c r="C95">
        <v>3105</v>
      </c>
      <c r="D95">
        <v>2469</v>
      </c>
      <c r="E95">
        <v>2476</v>
      </c>
      <c r="F95">
        <v>1.25403877221324</v>
      </c>
      <c r="G95">
        <v>1.2934546375290299</v>
      </c>
      <c r="H95">
        <v>3.6871885060700597E-2</v>
      </c>
      <c r="I95">
        <v>-1.0689951232733099</v>
      </c>
      <c r="J95">
        <v>-3.14</v>
      </c>
      <c r="K95">
        <v>3105</v>
      </c>
      <c r="L95">
        <v>3173.0252100840339</v>
      </c>
    </row>
    <row r="96" spans="1:12" x14ac:dyDescent="0.2">
      <c r="A96" s="14">
        <v>43766</v>
      </c>
      <c r="B96">
        <v>3100</v>
      </c>
      <c r="C96">
        <v>3115</v>
      </c>
      <c r="D96">
        <v>2449</v>
      </c>
      <c r="E96">
        <v>2441</v>
      </c>
      <c r="F96">
        <v>1.27611634575993</v>
      </c>
      <c r="G96">
        <v>1.2953155391475999</v>
      </c>
      <c r="H96">
        <v>3.8328794274270203E-2</v>
      </c>
      <c r="I96">
        <v>-0.50090783577189602</v>
      </c>
      <c r="J96">
        <v>-1.5</v>
      </c>
      <c r="K96">
        <v>3115</v>
      </c>
      <c r="L96">
        <v>3128.1722689075632</v>
      </c>
    </row>
    <row r="97" spans="1:12" x14ac:dyDescent="0.2">
      <c r="A97" s="14">
        <v>43763</v>
      </c>
      <c r="B97">
        <v>3080</v>
      </c>
      <c r="C97">
        <v>3095</v>
      </c>
      <c r="D97">
        <v>2398</v>
      </c>
      <c r="E97">
        <v>2419</v>
      </c>
      <c r="F97">
        <v>1.2794543199669199</v>
      </c>
      <c r="G97">
        <v>1.2967884914868399</v>
      </c>
      <c r="H97">
        <v>3.9662161222351999E-2</v>
      </c>
      <c r="I97">
        <v>-0.437045561454456</v>
      </c>
      <c r="J97">
        <v>-1.35</v>
      </c>
      <c r="K97">
        <v>3095</v>
      </c>
      <c r="L97">
        <v>3099.9789915966389</v>
      </c>
    </row>
    <row r="98" spans="1:12" x14ac:dyDescent="0.2">
      <c r="A98" s="14">
        <v>43762</v>
      </c>
      <c r="B98">
        <v>3050</v>
      </c>
      <c r="C98">
        <v>3060</v>
      </c>
      <c r="D98">
        <v>2400</v>
      </c>
      <c r="E98">
        <v>2407</v>
      </c>
      <c r="F98">
        <v>1.27129206481096</v>
      </c>
      <c r="G98">
        <v>1.2981257250265299</v>
      </c>
      <c r="H98">
        <v>4.0731482709125702E-2</v>
      </c>
      <c r="I98">
        <v>-0.65879409318801596</v>
      </c>
      <c r="J98">
        <v>-2.11</v>
      </c>
      <c r="K98">
        <v>3060</v>
      </c>
      <c r="L98">
        <v>3084.6008403361348</v>
      </c>
    </row>
    <row r="99" spans="1:12" x14ac:dyDescent="0.2">
      <c r="A99" s="14">
        <v>43761</v>
      </c>
      <c r="B99">
        <v>3085</v>
      </c>
      <c r="C99">
        <v>3090</v>
      </c>
      <c r="D99">
        <v>2421</v>
      </c>
      <c r="E99">
        <v>2389</v>
      </c>
      <c r="F99">
        <v>1.2934282126412699</v>
      </c>
      <c r="G99">
        <v>1.2994441128176399</v>
      </c>
      <c r="H99">
        <v>4.1435759614845198E-2</v>
      </c>
      <c r="I99">
        <v>-0.14518619260964799</v>
      </c>
      <c r="J99">
        <v>-0.47</v>
      </c>
      <c r="K99">
        <v>3090</v>
      </c>
      <c r="L99">
        <v>3061.5336134453783</v>
      </c>
    </row>
    <row r="100" spans="1:12" x14ac:dyDescent="0.2">
      <c r="A100" s="14">
        <v>43759</v>
      </c>
      <c r="B100">
        <v>3055</v>
      </c>
      <c r="C100">
        <v>3085</v>
      </c>
      <c r="D100">
        <v>2405</v>
      </c>
      <c r="E100">
        <v>2424</v>
      </c>
      <c r="F100">
        <v>1.2726897689768899</v>
      </c>
      <c r="G100">
        <v>1.3002444358282299</v>
      </c>
      <c r="H100">
        <v>4.1889033175198001E-2</v>
      </c>
      <c r="I100">
        <v>-0.65780145213873298</v>
      </c>
      <c r="J100">
        <v>-2.17</v>
      </c>
      <c r="K100">
        <v>3085</v>
      </c>
      <c r="L100">
        <v>3106.386554621849</v>
      </c>
    </row>
    <row r="101" spans="1:12" x14ac:dyDescent="0.2">
      <c r="A101" s="14">
        <v>43756</v>
      </c>
      <c r="B101">
        <v>3075</v>
      </c>
      <c r="C101">
        <v>3050</v>
      </c>
      <c r="D101">
        <v>2405</v>
      </c>
      <c r="E101">
        <v>2380</v>
      </c>
      <c r="F101">
        <v>1.28151260504201</v>
      </c>
      <c r="G101">
        <v>1.3012800581856401</v>
      </c>
      <c r="H101">
        <v>4.21542957910509E-2</v>
      </c>
      <c r="I101">
        <v>-0.46893093035197803</v>
      </c>
      <c r="J101">
        <v>-1.54</v>
      </c>
      <c r="K101">
        <v>3050</v>
      </c>
      <c r="L101">
        <v>3050.0000000000005</v>
      </c>
    </row>
    <row r="102" spans="1:12" x14ac:dyDescent="0.2">
      <c r="A102" s="14"/>
    </row>
    <row r="103" spans="1:12" x14ac:dyDescent="0.2">
      <c r="A103" s="14"/>
    </row>
    <row r="104" spans="1:12" x14ac:dyDescent="0.2">
      <c r="A104" s="14"/>
    </row>
    <row r="105" spans="1:12" x14ac:dyDescent="0.2">
      <c r="A105" s="14"/>
    </row>
    <row r="106" spans="1:12" x14ac:dyDescent="0.2">
      <c r="A106" s="14"/>
    </row>
    <row r="107" spans="1:12" x14ac:dyDescent="0.2">
      <c r="A107" s="14"/>
    </row>
    <row r="108" spans="1:12" x14ac:dyDescent="0.2">
      <c r="A108" s="14"/>
    </row>
    <row r="109" spans="1:12" x14ac:dyDescent="0.2">
      <c r="A109" s="14"/>
    </row>
    <row r="110" spans="1:12" x14ac:dyDescent="0.2">
      <c r="A110" s="14"/>
    </row>
    <row r="111" spans="1:12" x14ac:dyDescent="0.2">
      <c r="A111" s="14"/>
    </row>
    <row r="112" spans="1:12" x14ac:dyDescent="0.2">
      <c r="A112" s="14"/>
    </row>
    <row r="113" spans="1:1" x14ac:dyDescent="0.2">
      <c r="A113" s="14"/>
    </row>
    <row r="114" spans="1:1" x14ac:dyDescent="0.2">
      <c r="A114" s="14"/>
    </row>
    <row r="115" spans="1:1" x14ac:dyDescent="0.2">
      <c r="A115" s="14"/>
    </row>
    <row r="116" spans="1:1" x14ac:dyDescent="0.2">
      <c r="A116" s="14"/>
    </row>
    <row r="117" spans="1:1" x14ac:dyDescent="0.2">
      <c r="A117" s="14"/>
    </row>
    <row r="118" spans="1:1" x14ac:dyDescent="0.2">
      <c r="A118" s="14"/>
    </row>
    <row r="119" spans="1:1" x14ac:dyDescent="0.2">
      <c r="A119" s="14"/>
    </row>
    <row r="120" spans="1:1" x14ac:dyDescent="0.2">
      <c r="A120" s="14"/>
    </row>
    <row r="121" spans="1:1" x14ac:dyDescent="0.2">
      <c r="A121" s="14"/>
    </row>
    <row r="122" spans="1:1" x14ac:dyDescent="0.2">
      <c r="A122" s="14"/>
    </row>
    <row r="123" spans="1:1" x14ac:dyDescent="0.2">
      <c r="A123" s="14"/>
    </row>
    <row r="124" spans="1:1" x14ac:dyDescent="0.2">
      <c r="A124" s="14"/>
    </row>
    <row r="125" spans="1:1" x14ac:dyDescent="0.2">
      <c r="A125" s="14"/>
    </row>
    <row r="126" spans="1:1" x14ac:dyDescent="0.2">
      <c r="A126" s="14"/>
    </row>
    <row r="127" spans="1:1" x14ac:dyDescent="0.2">
      <c r="A127" s="14"/>
    </row>
    <row r="128" spans="1:1" x14ac:dyDescent="0.2">
      <c r="A128" s="14"/>
    </row>
    <row r="129" spans="1:1" x14ac:dyDescent="0.2">
      <c r="A129" s="14"/>
    </row>
    <row r="130" spans="1:1" x14ac:dyDescent="0.2">
      <c r="A130" s="14"/>
    </row>
    <row r="131" spans="1:1" x14ac:dyDescent="0.2">
      <c r="A131" s="14"/>
    </row>
    <row r="132" spans="1:1" x14ac:dyDescent="0.2">
      <c r="A132" s="14"/>
    </row>
    <row r="133" spans="1:1" x14ac:dyDescent="0.2">
      <c r="A133" s="14"/>
    </row>
    <row r="134" spans="1:1" x14ac:dyDescent="0.2">
      <c r="A134" s="14"/>
    </row>
    <row r="135" spans="1:1" x14ac:dyDescent="0.2">
      <c r="A135" s="14"/>
    </row>
    <row r="136" spans="1:1" x14ac:dyDescent="0.2">
      <c r="A136" s="14"/>
    </row>
    <row r="137" spans="1:1" x14ac:dyDescent="0.2">
      <c r="A137" s="14"/>
    </row>
    <row r="138" spans="1:1" x14ac:dyDescent="0.2">
      <c r="A138" s="14"/>
    </row>
    <row r="139" spans="1:1" x14ac:dyDescent="0.2">
      <c r="A139" s="14"/>
    </row>
    <row r="140" spans="1:1" x14ac:dyDescent="0.2">
      <c r="A140" s="14"/>
    </row>
    <row r="141" spans="1:1" x14ac:dyDescent="0.2">
      <c r="A141" s="14"/>
    </row>
    <row r="142" spans="1:1" x14ac:dyDescent="0.2">
      <c r="A142" s="14"/>
    </row>
    <row r="143" spans="1:1" x14ac:dyDescent="0.2">
      <c r="A143" s="14"/>
    </row>
    <row r="144" spans="1:1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1" x14ac:dyDescent="0.2">
      <c r="A161" s="14"/>
    </row>
    <row r="162" spans="1:1" x14ac:dyDescent="0.2">
      <c r="A162" s="14"/>
    </row>
    <row r="163" spans="1:1" x14ac:dyDescent="0.2">
      <c r="A163" s="14"/>
    </row>
    <row r="164" spans="1:1" x14ac:dyDescent="0.2">
      <c r="A164" s="14"/>
    </row>
    <row r="165" spans="1:1" x14ac:dyDescent="0.2">
      <c r="A165" s="14"/>
    </row>
    <row r="166" spans="1:1" x14ac:dyDescent="0.2">
      <c r="A166" s="14"/>
    </row>
    <row r="167" spans="1:1" x14ac:dyDescent="0.2">
      <c r="A167" s="14"/>
    </row>
    <row r="168" spans="1:1" x14ac:dyDescent="0.2">
      <c r="A168" s="14"/>
    </row>
    <row r="169" spans="1:1" x14ac:dyDescent="0.2">
      <c r="A169" s="14"/>
    </row>
    <row r="170" spans="1:1" x14ac:dyDescent="0.2">
      <c r="A170" s="14"/>
    </row>
    <row r="171" spans="1:1" x14ac:dyDescent="0.2">
      <c r="A171" s="14"/>
    </row>
    <row r="172" spans="1:1" x14ac:dyDescent="0.2">
      <c r="A172" s="14"/>
    </row>
    <row r="173" spans="1:1" x14ac:dyDescent="0.2">
      <c r="A173" s="14"/>
    </row>
    <row r="174" spans="1:1" x14ac:dyDescent="0.2">
      <c r="A174" s="14"/>
    </row>
    <row r="175" spans="1:1" x14ac:dyDescent="0.2">
      <c r="A175" s="14"/>
    </row>
    <row r="176" spans="1:1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20</v>
      </c>
    </row>
    <row r="2" spans="1:1" x14ac:dyDescent="0.2">
      <c r="A2" s="1" t="s">
        <v>21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I25" sqref="I25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78" t="s">
        <v>1597</v>
      </c>
    </row>
    <row r="2" spans="2:23" s="106" customFormat="1" ht="24.75" thickBot="1" x14ac:dyDescent="0.25">
      <c r="C2" s="58" t="s">
        <v>74</v>
      </c>
      <c r="D2" s="68" t="s">
        <v>98</v>
      </c>
      <c r="E2" s="60"/>
      <c r="F2" s="59" t="s">
        <v>42</v>
      </c>
      <c r="G2" s="61" t="s">
        <v>43</v>
      </c>
      <c r="H2" s="62" t="s">
        <v>75</v>
      </c>
      <c r="I2" s="62" t="s">
        <v>76</v>
      </c>
      <c r="J2" s="60" t="s">
        <v>22</v>
      </c>
      <c r="K2" s="60" t="s">
        <v>77</v>
      </c>
      <c r="L2" s="62" t="s">
        <v>78</v>
      </c>
      <c r="M2" s="63" t="s">
        <v>99</v>
      </c>
      <c r="N2" s="60" t="s">
        <v>79</v>
      </c>
      <c r="O2" s="63" t="s">
        <v>93</v>
      </c>
      <c r="P2" s="60" t="s">
        <v>186</v>
      </c>
      <c r="Q2" s="60" t="s">
        <v>80</v>
      </c>
      <c r="R2" s="63" t="s">
        <v>95</v>
      </c>
      <c r="S2" s="66" t="s">
        <v>96</v>
      </c>
      <c r="T2" s="65"/>
      <c r="U2" s="67" t="s">
        <v>192</v>
      </c>
      <c r="V2" s="67" t="s">
        <v>97</v>
      </c>
      <c r="W2" s="64" t="s">
        <v>94</v>
      </c>
    </row>
    <row r="3" spans="2:23" s="106" customFormat="1" x14ac:dyDescent="0.2">
      <c r="B3" s="124" t="s">
        <v>201</v>
      </c>
      <c r="C3" s="291">
        <f>ROW()/2-1</f>
        <v>0.5</v>
      </c>
      <c r="D3" s="293">
        <v>43807</v>
      </c>
      <c r="E3" s="33" t="s">
        <v>189</v>
      </c>
      <c r="F3" s="33">
        <v>3105</v>
      </c>
      <c r="G3" s="55" t="s">
        <v>813</v>
      </c>
      <c r="H3" s="49"/>
      <c r="I3" s="49">
        <v>1000</v>
      </c>
      <c r="J3" s="50">
        <f>H3*I3</f>
        <v>0</v>
      </c>
      <c r="K3" s="52" t="s">
        <v>815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295">
        <f>P3+P4</f>
        <v>0</v>
      </c>
      <c r="S3" s="296" t="e">
        <f>R3/(J3+J4)</f>
        <v>#DIV/0!</v>
      </c>
      <c r="U3" s="298">
        <f>$P$1</f>
        <v>0</v>
      </c>
      <c r="V3" s="286">
        <f>IF(U3&gt;D3,DATEDIF(D3,U3,"d"),0)</f>
        <v>0</v>
      </c>
      <c r="W3" s="287"/>
    </row>
    <row r="4" spans="2:23" s="106" customFormat="1" x14ac:dyDescent="0.2">
      <c r="B4" s="124" t="s">
        <v>679</v>
      </c>
      <c r="C4" s="292"/>
      <c r="D4" s="294">
        <v>43748</v>
      </c>
      <c r="E4" s="29" t="s">
        <v>191</v>
      </c>
      <c r="F4" s="29">
        <v>7762</v>
      </c>
      <c r="G4" s="54" t="s">
        <v>814</v>
      </c>
      <c r="H4" s="46"/>
      <c r="I4" s="46">
        <v>1700</v>
      </c>
      <c r="J4" s="47">
        <f>H4*I4</f>
        <v>0</v>
      </c>
      <c r="K4" s="145" t="s">
        <v>815</v>
      </c>
      <c r="L4" s="41"/>
      <c r="M4" s="31"/>
      <c r="N4" s="146">
        <f>IF(OR(K4="現物",J4=0),0,IF(E4="売",J4*Fee_Refer!$B$12/365*V4, J4*Fee_Refer!$B$11/365*V3))</f>
        <v>0</v>
      </c>
      <c r="O4" s="169">
        <v>0</v>
      </c>
      <c r="P4" s="148">
        <f>IF(L4&gt;0,(L4-H4)*I4-M4-N4-O4,0)</f>
        <v>0</v>
      </c>
      <c r="Q4" s="48" t="e">
        <f>P4/J4</f>
        <v>#DIV/0!</v>
      </c>
      <c r="R4" s="295"/>
      <c r="S4" s="297"/>
      <c r="U4" s="286"/>
      <c r="V4" s="286"/>
      <c r="W4" s="286"/>
    </row>
    <row r="6" spans="2:23" x14ac:dyDescent="0.2">
      <c r="C6" s="14">
        <v>43806</v>
      </c>
      <c r="D6" s="106" t="s">
        <v>816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1"/>
  <sheetViews>
    <sheetView workbookViewId="0">
      <selection activeCell="I37" sqref="I37"/>
    </sheetView>
  </sheetViews>
  <sheetFormatPr defaultRowHeight="14.25" x14ac:dyDescent="0.2"/>
  <cols>
    <col min="1" max="1" width="9" style="102"/>
    <col min="4" max="4" width="9.875" customWidth="1"/>
    <col min="19" max="19" width="15" customWidth="1"/>
    <col min="22" max="22" width="11.25" customWidth="1"/>
  </cols>
  <sheetData>
    <row r="1" spans="1:35" x14ac:dyDescent="0.2">
      <c r="B1" s="106" t="s">
        <v>4784</v>
      </c>
      <c r="C1" s="106" t="s">
        <v>4785</v>
      </c>
      <c r="D1" s="106" t="s">
        <v>4786</v>
      </c>
      <c r="E1" s="106" t="s">
        <v>4787</v>
      </c>
      <c r="F1" s="106" t="s">
        <v>4788</v>
      </c>
      <c r="G1" s="106" t="s">
        <v>4789</v>
      </c>
      <c r="H1" s="106" t="s">
        <v>4790</v>
      </c>
      <c r="I1" s="106" t="s">
        <v>4791</v>
      </c>
      <c r="J1" s="106" t="s">
        <v>4792</v>
      </c>
      <c r="K1" s="106" t="s">
        <v>4793</v>
      </c>
      <c r="L1" s="106" t="s">
        <v>4794</v>
      </c>
      <c r="M1" s="106" t="s">
        <v>4795</v>
      </c>
      <c r="N1" s="106" t="s">
        <v>4796</v>
      </c>
      <c r="O1" s="106" t="s">
        <v>4797</v>
      </c>
      <c r="P1" s="106" t="s">
        <v>33</v>
      </c>
      <c r="Q1" s="106" t="s">
        <v>34</v>
      </c>
      <c r="R1" s="106" t="s">
        <v>35</v>
      </c>
      <c r="S1" s="106" t="s">
        <v>36</v>
      </c>
      <c r="T1" s="106" t="s">
        <v>4798</v>
      </c>
      <c r="U1" s="106" t="s">
        <v>4799</v>
      </c>
      <c r="V1" s="106" t="s">
        <v>4800</v>
      </c>
      <c r="W1" s="106" t="s">
        <v>4801</v>
      </c>
      <c r="X1" s="106" t="s">
        <v>4802</v>
      </c>
      <c r="Y1" s="106" t="s">
        <v>4803</v>
      </c>
      <c r="Z1" s="106" t="s">
        <v>4804</v>
      </c>
      <c r="AA1" s="106" t="s">
        <v>4805</v>
      </c>
      <c r="AB1" s="106" t="s">
        <v>4806</v>
      </c>
      <c r="AC1" s="106" t="s">
        <v>4807</v>
      </c>
      <c r="AD1" s="106" t="s">
        <v>4808</v>
      </c>
      <c r="AE1" s="106" t="s">
        <v>4809</v>
      </c>
      <c r="AF1" s="106" t="s">
        <v>4810</v>
      </c>
      <c r="AG1" s="106" t="s">
        <v>4811</v>
      </c>
      <c r="AH1" s="106" t="s">
        <v>4812</v>
      </c>
      <c r="AI1" t="s">
        <v>4813</v>
      </c>
    </row>
    <row r="2" spans="1:35" x14ac:dyDescent="0.2">
      <c r="A2" s="102">
        <v>78</v>
      </c>
      <c r="B2" s="106">
        <v>3110</v>
      </c>
      <c r="C2" s="106" t="s">
        <v>817</v>
      </c>
      <c r="D2" s="106" t="s">
        <v>4814</v>
      </c>
      <c r="E2" s="106">
        <v>4975</v>
      </c>
      <c r="F2" s="106">
        <v>5020</v>
      </c>
      <c r="G2" s="106">
        <v>200</v>
      </c>
      <c r="H2" s="106" t="s">
        <v>4815</v>
      </c>
      <c r="I2" s="106">
        <v>9468</v>
      </c>
      <c r="J2" s="106" t="s">
        <v>4816</v>
      </c>
      <c r="K2" s="106" t="s">
        <v>4817</v>
      </c>
      <c r="L2" s="106">
        <v>2015</v>
      </c>
      <c r="M2" s="106">
        <v>2055</v>
      </c>
      <c r="N2" s="106">
        <v>500</v>
      </c>
      <c r="O2" s="106" t="s">
        <v>4818</v>
      </c>
      <c r="P2" s="106">
        <v>0.92014167795181201</v>
      </c>
      <c r="Q2" s="106">
        <v>0.91858385935499198</v>
      </c>
      <c r="R2" s="15">
        <v>0.29164515210953001</v>
      </c>
      <c r="S2" s="106">
        <v>0.25608957034364899</v>
      </c>
      <c r="T2" s="106">
        <v>1.3828959999431401</v>
      </c>
      <c r="U2" s="106">
        <v>1.3828959999431401</v>
      </c>
      <c r="V2" s="106">
        <v>1.83275223322408</v>
      </c>
      <c r="W2" s="106">
        <v>7.66</v>
      </c>
      <c r="X2" s="106">
        <v>2.34</v>
      </c>
      <c r="Y2" s="106">
        <v>523811</v>
      </c>
      <c r="Z2" s="106">
        <v>20952</v>
      </c>
      <c r="AA2" s="106">
        <v>1.23</v>
      </c>
      <c r="AB2" s="106">
        <v>25</v>
      </c>
      <c r="AC2" s="106">
        <v>16</v>
      </c>
      <c r="AD2" s="106">
        <v>9</v>
      </c>
      <c r="AE2" s="106">
        <v>64</v>
      </c>
      <c r="AF2" s="106">
        <v>9</v>
      </c>
      <c r="AG2" s="106">
        <v>15</v>
      </c>
      <c r="AH2" s="106">
        <v>5</v>
      </c>
      <c r="AI2">
        <v>5</v>
      </c>
    </row>
    <row r="3" spans="1:35" x14ac:dyDescent="0.2">
      <c r="A3" s="102">
        <v>1</v>
      </c>
      <c r="B3">
        <v>3635</v>
      </c>
      <c r="C3" s="106" t="s">
        <v>49</v>
      </c>
      <c r="D3" s="106" t="s">
        <v>4817</v>
      </c>
      <c r="E3">
        <v>2929</v>
      </c>
      <c r="F3">
        <v>2952</v>
      </c>
      <c r="G3">
        <v>200</v>
      </c>
      <c r="H3" s="106" t="s">
        <v>4818</v>
      </c>
      <c r="I3">
        <v>6920</v>
      </c>
      <c r="J3" s="106" t="s">
        <v>4819</v>
      </c>
      <c r="K3" s="106" t="s">
        <v>4820</v>
      </c>
      <c r="L3">
        <v>5800</v>
      </c>
      <c r="M3">
        <v>6000</v>
      </c>
      <c r="N3">
        <v>100</v>
      </c>
      <c r="O3" s="106" t="s">
        <v>4815</v>
      </c>
      <c r="P3">
        <v>0.96930956782535005</v>
      </c>
      <c r="Q3">
        <v>0.98187934959326695</v>
      </c>
      <c r="R3" s="15">
        <v>4.7751293671756498E-2</v>
      </c>
      <c r="S3" s="106">
        <v>7.7498511491400704E-3</v>
      </c>
      <c r="T3">
        <v>-1.60999110141931</v>
      </c>
      <c r="U3">
        <v>1.60999110141931</v>
      </c>
      <c r="V3">
        <v>1.4571257322459299</v>
      </c>
      <c r="W3">
        <v>-17.079999999999998</v>
      </c>
      <c r="X3">
        <v>1.6</v>
      </c>
      <c r="Y3">
        <v>519397</v>
      </c>
      <c r="Z3">
        <v>23609</v>
      </c>
      <c r="AA3">
        <v>1.1499999999999999</v>
      </c>
      <c r="AB3">
        <v>22</v>
      </c>
      <c r="AC3">
        <v>14</v>
      </c>
      <c r="AD3">
        <v>8</v>
      </c>
      <c r="AE3">
        <v>63.64</v>
      </c>
      <c r="AF3">
        <v>10</v>
      </c>
      <c r="AG3">
        <v>9</v>
      </c>
      <c r="AH3">
        <v>7</v>
      </c>
      <c r="AI3">
        <v>6</v>
      </c>
    </row>
    <row r="4" spans="1:35" x14ac:dyDescent="0.2">
      <c r="A4" s="102">
        <v>91</v>
      </c>
      <c r="B4">
        <v>6967</v>
      </c>
      <c r="C4" s="106" t="s">
        <v>1152</v>
      </c>
      <c r="D4" s="106" t="s">
        <v>4820</v>
      </c>
      <c r="E4">
        <v>1351</v>
      </c>
      <c r="F4">
        <v>1377</v>
      </c>
      <c r="G4">
        <v>700</v>
      </c>
      <c r="H4" s="106" t="s">
        <v>4815</v>
      </c>
      <c r="I4">
        <v>8572</v>
      </c>
      <c r="J4" s="106" t="s">
        <v>4779</v>
      </c>
      <c r="K4" s="106" t="s">
        <v>4821</v>
      </c>
      <c r="L4">
        <v>514</v>
      </c>
      <c r="M4">
        <v>521</v>
      </c>
      <c r="N4">
        <v>1900</v>
      </c>
      <c r="O4" s="106" t="s">
        <v>4818</v>
      </c>
      <c r="P4">
        <v>0.92297171806559597</v>
      </c>
      <c r="Q4">
        <v>0.91301932483896298</v>
      </c>
      <c r="R4">
        <v>1.46291478781202E-2</v>
      </c>
      <c r="S4">
        <v>9.0083994851141602E-2</v>
      </c>
      <c r="T4">
        <v>1.07961850170574</v>
      </c>
      <c r="U4">
        <v>1.07961850170574</v>
      </c>
      <c r="V4">
        <v>1.0711312902963701</v>
      </c>
      <c r="W4">
        <v>6.39</v>
      </c>
      <c r="X4">
        <v>2.7</v>
      </c>
      <c r="Y4">
        <v>508066</v>
      </c>
      <c r="Z4">
        <v>25403</v>
      </c>
      <c r="AA4">
        <v>1.17</v>
      </c>
      <c r="AB4">
        <v>20</v>
      </c>
      <c r="AC4">
        <v>14</v>
      </c>
      <c r="AD4">
        <v>6</v>
      </c>
      <c r="AE4">
        <v>70</v>
      </c>
      <c r="AF4">
        <v>11</v>
      </c>
      <c r="AG4">
        <v>12</v>
      </c>
      <c r="AH4">
        <v>4</v>
      </c>
      <c r="AI4">
        <v>4</v>
      </c>
    </row>
    <row r="5" spans="1:35" x14ac:dyDescent="0.2">
      <c r="A5" s="102">
        <v>109</v>
      </c>
      <c r="B5">
        <v>3105</v>
      </c>
      <c r="C5" s="106" t="s">
        <v>52</v>
      </c>
      <c r="D5" s="106" t="s">
        <v>4820</v>
      </c>
      <c r="E5">
        <v>1024</v>
      </c>
      <c r="F5">
        <v>1024</v>
      </c>
      <c r="G5">
        <v>1000</v>
      </c>
      <c r="H5" s="106" t="s">
        <v>4818</v>
      </c>
      <c r="I5">
        <v>9810</v>
      </c>
      <c r="J5" s="106" t="s">
        <v>4778</v>
      </c>
      <c r="K5" s="106" t="s">
        <v>4822</v>
      </c>
      <c r="L5">
        <v>5160</v>
      </c>
      <c r="M5">
        <v>5170</v>
      </c>
      <c r="N5">
        <v>200</v>
      </c>
      <c r="O5" s="106" t="s">
        <v>4815</v>
      </c>
      <c r="P5">
        <v>0.93467167459306699</v>
      </c>
      <c r="Q5">
        <v>0.90402146207762901</v>
      </c>
      <c r="R5">
        <v>0.114865028672146</v>
      </c>
      <c r="S5">
        <v>0.126336709784411</v>
      </c>
      <c r="T5">
        <v>-0.16832826539464199</v>
      </c>
      <c r="U5">
        <v>0.16832826539464199</v>
      </c>
      <c r="V5">
        <v>4.5266750338024998E-2</v>
      </c>
      <c r="W5">
        <v>-0.37</v>
      </c>
      <c r="X5">
        <v>0.97</v>
      </c>
      <c r="Y5">
        <v>507870</v>
      </c>
      <c r="Z5">
        <v>26730</v>
      </c>
      <c r="AA5">
        <v>1.88</v>
      </c>
      <c r="AB5">
        <v>19</v>
      </c>
      <c r="AC5">
        <v>12</v>
      </c>
      <c r="AD5">
        <v>7</v>
      </c>
      <c r="AE5">
        <v>63.16</v>
      </c>
      <c r="AF5">
        <v>13</v>
      </c>
      <c r="AG5">
        <v>9</v>
      </c>
      <c r="AH5">
        <v>3</v>
      </c>
      <c r="AI5">
        <v>7</v>
      </c>
    </row>
    <row r="6" spans="1:35" x14ac:dyDescent="0.2">
      <c r="A6" s="102">
        <v>46</v>
      </c>
      <c r="B6">
        <v>5393</v>
      </c>
      <c r="C6" s="106" t="s">
        <v>248</v>
      </c>
      <c r="D6" s="106" t="s">
        <v>4814</v>
      </c>
      <c r="E6">
        <v>2809</v>
      </c>
      <c r="F6">
        <v>2838</v>
      </c>
      <c r="G6">
        <v>300</v>
      </c>
      <c r="H6" s="106" t="s">
        <v>4815</v>
      </c>
      <c r="I6">
        <v>8253</v>
      </c>
      <c r="J6" s="106" t="s">
        <v>804</v>
      </c>
      <c r="K6" s="106" t="s">
        <v>4821</v>
      </c>
      <c r="L6">
        <v>1878</v>
      </c>
      <c r="M6">
        <v>1905</v>
      </c>
      <c r="N6">
        <v>400</v>
      </c>
      <c r="O6" s="106" t="s">
        <v>4818</v>
      </c>
      <c r="P6">
        <v>0.94703749003015403</v>
      </c>
      <c r="Q6">
        <v>0.93876343626693703</v>
      </c>
      <c r="R6">
        <v>8.0852576976123899E-2</v>
      </c>
      <c r="S6" s="15">
        <v>0.122673715680025</v>
      </c>
      <c r="T6">
        <v>1.13917043953279</v>
      </c>
      <c r="U6">
        <v>1.13917043953279</v>
      </c>
      <c r="V6">
        <v>0.99583917640130504</v>
      </c>
      <c r="W6">
        <v>4.43</v>
      </c>
      <c r="X6">
        <v>10.5</v>
      </c>
      <c r="Y6">
        <v>501736</v>
      </c>
      <c r="Z6">
        <v>29514</v>
      </c>
      <c r="AA6">
        <v>1.51</v>
      </c>
      <c r="AB6">
        <v>17</v>
      </c>
      <c r="AC6">
        <v>14</v>
      </c>
      <c r="AD6">
        <v>3</v>
      </c>
      <c r="AE6">
        <v>82.35</v>
      </c>
      <c r="AF6">
        <v>12</v>
      </c>
      <c r="AG6">
        <v>9</v>
      </c>
      <c r="AH6">
        <v>1</v>
      </c>
      <c r="AI6">
        <v>7</v>
      </c>
    </row>
    <row r="7" spans="1:35" x14ac:dyDescent="0.2">
      <c r="A7" s="102">
        <v>8</v>
      </c>
      <c r="B7">
        <v>1973</v>
      </c>
      <c r="C7" s="106" t="s">
        <v>4823</v>
      </c>
      <c r="D7" s="106" t="s">
        <v>4817</v>
      </c>
      <c r="E7">
        <v>4205</v>
      </c>
      <c r="F7">
        <v>4210</v>
      </c>
      <c r="G7">
        <v>200</v>
      </c>
      <c r="H7" s="106" t="s">
        <v>4815</v>
      </c>
      <c r="I7">
        <v>3635</v>
      </c>
      <c r="J7" s="106" t="s">
        <v>49</v>
      </c>
      <c r="K7" s="106" t="s">
        <v>4817</v>
      </c>
      <c r="L7">
        <v>2929</v>
      </c>
      <c r="M7">
        <v>2952</v>
      </c>
      <c r="N7">
        <v>300</v>
      </c>
      <c r="O7" s="106" t="s">
        <v>4818</v>
      </c>
      <c r="P7">
        <v>0.92614214105336601</v>
      </c>
      <c r="Q7">
        <v>0.96021051320944195</v>
      </c>
      <c r="R7">
        <v>9.5529539372903399E-2</v>
      </c>
      <c r="S7">
        <v>1.13965067451857E-2</v>
      </c>
      <c r="T7">
        <v>2.0978745242012198</v>
      </c>
      <c r="U7">
        <v>2.0978745242012198</v>
      </c>
      <c r="V7">
        <v>2.3068505940114301</v>
      </c>
      <c r="W7">
        <v>6.57</v>
      </c>
      <c r="X7">
        <v>5.18</v>
      </c>
      <c r="Y7">
        <v>416117</v>
      </c>
      <c r="Z7">
        <v>26007</v>
      </c>
      <c r="AA7">
        <v>1.37</v>
      </c>
      <c r="AB7">
        <v>16</v>
      </c>
      <c r="AC7">
        <v>12</v>
      </c>
      <c r="AD7">
        <v>4</v>
      </c>
      <c r="AE7">
        <v>75</v>
      </c>
      <c r="AF7">
        <v>13</v>
      </c>
      <c r="AG7">
        <v>8</v>
      </c>
      <c r="AH7">
        <v>1</v>
      </c>
      <c r="AI7">
        <v>7</v>
      </c>
    </row>
    <row r="8" spans="1:35" x14ac:dyDescent="0.2">
      <c r="A8" s="102">
        <v>61</v>
      </c>
      <c r="B8">
        <v>6755</v>
      </c>
      <c r="C8" s="106" t="s">
        <v>805</v>
      </c>
      <c r="D8" s="106" t="s">
        <v>4820</v>
      </c>
      <c r="E8">
        <v>2560</v>
      </c>
      <c r="F8">
        <v>2587</v>
      </c>
      <c r="G8">
        <v>400</v>
      </c>
      <c r="H8" s="106" t="s">
        <v>4815</v>
      </c>
      <c r="I8">
        <v>8572</v>
      </c>
      <c r="J8" s="106" t="s">
        <v>4779</v>
      </c>
      <c r="K8" s="106" t="s">
        <v>4821</v>
      </c>
      <c r="L8">
        <v>514</v>
      </c>
      <c r="M8">
        <v>521</v>
      </c>
      <c r="N8">
        <v>2000</v>
      </c>
      <c r="O8" s="106" t="s">
        <v>4818</v>
      </c>
      <c r="P8">
        <v>0.95307720122816897</v>
      </c>
      <c r="Q8">
        <v>0.93058222411843206</v>
      </c>
      <c r="R8">
        <v>0.162968195421614</v>
      </c>
      <c r="S8" s="15">
        <v>0.12702499737565201</v>
      </c>
      <c r="T8">
        <v>1.0271298987842501</v>
      </c>
      <c r="U8">
        <v>1.0271298987842501</v>
      </c>
      <c r="V8">
        <v>1.0583728834104</v>
      </c>
      <c r="W8">
        <v>6.95</v>
      </c>
      <c r="X8">
        <v>0.7</v>
      </c>
      <c r="Y8">
        <v>403631</v>
      </c>
      <c r="Z8">
        <v>28831</v>
      </c>
      <c r="AA8">
        <v>1.44</v>
      </c>
      <c r="AB8">
        <v>14</v>
      </c>
      <c r="AC8">
        <v>11</v>
      </c>
      <c r="AD8">
        <v>3</v>
      </c>
      <c r="AE8">
        <v>78.569999999999993</v>
      </c>
      <c r="AF8">
        <v>12</v>
      </c>
      <c r="AG8">
        <v>8</v>
      </c>
      <c r="AH8">
        <v>1</v>
      </c>
      <c r="AI8">
        <v>5</v>
      </c>
    </row>
    <row r="9" spans="1:35" x14ac:dyDescent="0.2">
      <c r="A9" s="102">
        <v>80</v>
      </c>
      <c r="B9">
        <v>6588</v>
      </c>
      <c r="C9" s="106" t="s">
        <v>630</v>
      </c>
      <c r="D9" s="106" t="s">
        <v>4820</v>
      </c>
      <c r="E9">
        <v>4575</v>
      </c>
      <c r="F9">
        <v>4525</v>
      </c>
      <c r="G9">
        <v>200</v>
      </c>
      <c r="H9" s="106" t="s">
        <v>4818</v>
      </c>
      <c r="I9">
        <v>7729</v>
      </c>
      <c r="J9" s="106" t="s">
        <v>822</v>
      </c>
      <c r="K9" s="106" t="s">
        <v>4824</v>
      </c>
      <c r="L9">
        <v>4155</v>
      </c>
      <c r="M9">
        <v>4205</v>
      </c>
      <c r="N9">
        <v>200</v>
      </c>
      <c r="O9" s="106" t="s">
        <v>4815</v>
      </c>
      <c r="P9">
        <v>0.90247293111589699</v>
      </c>
      <c r="Q9">
        <v>0.91792660415152305</v>
      </c>
      <c r="R9">
        <v>0.112078986094545</v>
      </c>
      <c r="S9" s="15">
        <v>0.27429055051624801</v>
      </c>
      <c r="T9">
        <v>-0.48904568633627299</v>
      </c>
      <c r="U9">
        <v>0.48904568633627299</v>
      </c>
      <c r="V9">
        <v>2.92026805518131E-2</v>
      </c>
      <c r="W9">
        <v>-1.68</v>
      </c>
      <c r="X9">
        <v>7.07</v>
      </c>
      <c r="Y9">
        <v>386360</v>
      </c>
      <c r="Z9">
        <v>42929</v>
      </c>
      <c r="AA9">
        <v>2.14</v>
      </c>
      <c r="AB9">
        <v>9</v>
      </c>
      <c r="AC9">
        <v>7</v>
      </c>
      <c r="AD9">
        <v>2</v>
      </c>
      <c r="AE9">
        <v>77.78</v>
      </c>
      <c r="AF9">
        <v>11</v>
      </c>
      <c r="AG9">
        <v>6</v>
      </c>
      <c r="AH9">
        <v>1</v>
      </c>
      <c r="AI9">
        <v>2</v>
      </c>
    </row>
    <row r="10" spans="1:35" x14ac:dyDescent="0.2">
      <c r="A10" s="102">
        <v>34</v>
      </c>
      <c r="B10">
        <v>6952</v>
      </c>
      <c r="C10" s="106" t="s">
        <v>631</v>
      </c>
      <c r="D10" s="106" t="s">
        <v>4820</v>
      </c>
      <c r="E10">
        <v>2260</v>
      </c>
      <c r="F10">
        <v>2287</v>
      </c>
      <c r="G10">
        <v>400</v>
      </c>
      <c r="H10" s="106" t="s">
        <v>4815</v>
      </c>
      <c r="I10">
        <v>7729</v>
      </c>
      <c r="J10" s="106" t="s">
        <v>822</v>
      </c>
      <c r="K10" s="106" t="s">
        <v>4824</v>
      </c>
      <c r="L10">
        <v>4155</v>
      </c>
      <c r="M10">
        <v>4205</v>
      </c>
      <c r="N10">
        <v>200</v>
      </c>
      <c r="O10" s="106" t="s">
        <v>4818</v>
      </c>
      <c r="P10">
        <v>0.92427424096388</v>
      </c>
      <c r="Q10">
        <v>0.94602953145212398</v>
      </c>
      <c r="R10">
        <v>3.8765209087798402E-2</v>
      </c>
      <c r="S10">
        <v>5.43714432659336E-2</v>
      </c>
      <c r="T10">
        <v>1.44136220665674</v>
      </c>
      <c r="U10">
        <v>1.44136220665674</v>
      </c>
      <c r="V10">
        <v>1.4798557751619601</v>
      </c>
      <c r="W10">
        <v>4.22</v>
      </c>
      <c r="X10">
        <v>8.7799999999999994</v>
      </c>
      <c r="Y10">
        <v>385325</v>
      </c>
      <c r="Z10">
        <v>18349</v>
      </c>
      <c r="AA10">
        <v>0.8</v>
      </c>
      <c r="AB10">
        <v>21</v>
      </c>
      <c r="AC10">
        <v>12</v>
      </c>
      <c r="AD10">
        <v>9</v>
      </c>
      <c r="AE10">
        <v>57.14</v>
      </c>
      <c r="AF10">
        <v>11</v>
      </c>
      <c r="AG10">
        <v>11</v>
      </c>
      <c r="AH10">
        <v>6</v>
      </c>
      <c r="AI10">
        <v>4</v>
      </c>
    </row>
    <row r="11" spans="1:35" x14ac:dyDescent="0.2">
      <c r="A11" s="102">
        <v>41</v>
      </c>
      <c r="B11">
        <v>6755</v>
      </c>
      <c r="C11" s="106" t="s">
        <v>805</v>
      </c>
      <c r="D11" s="106" t="s">
        <v>4820</v>
      </c>
      <c r="E11">
        <v>2560</v>
      </c>
      <c r="F11">
        <v>2587</v>
      </c>
      <c r="G11">
        <v>400</v>
      </c>
      <c r="H11" s="106" t="s">
        <v>4815</v>
      </c>
      <c r="I11">
        <v>6951</v>
      </c>
      <c r="J11" s="106" t="s">
        <v>239</v>
      </c>
      <c r="K11" s="106" t="s">
        <v>4820</v>
      </c>
      <c r="L11">
        <v>3530</v>
      </c>
      <c r="M11">
        <v>3620</v>
      </c>
      <c r="N11">
        <v>300</v>
      </c>
      <c r="O11" s="106" t="s">
        <v>4818</v>
      </c>
      <c r="P11">
        <v>0.93053220380903401</v>
      </c>
      <c r="Q11">
        <v>0.94376703698080699</v>
      </c>
      <c r="R11">
        <v>0.12637207532422501</v>
      </c>
      <c r="S11">
        <v>0.14588383169053001</v>
      </c>
      <c r="T11">
        <v>0.37487634166026101</v>
      </c>
      <c r="U11">
        <v>0.37487634166026101</v>
      </c>
      <c r="V11">
        <v>0.48253469097023999</v>
      </c>
      <c r="W11">
        <v>2.0299999999999998</v>
      </c>
      <c r="X11">
        <v>4.71</v>
      </c>
      <c r="Y11">
        <v>379045</v>
      </c>
      <c r="Z11">
        <v>18952</v>
      </c>
      <c r="AA11">
        <v>0.89</v>
      </c>
      <c r="AB11">
        <v>20</v>
      </c>
      <c r="AC11">
        <v>12</v>
      </c>
      <c r="AD11">
        <v>8</v>
      </c>
      <c r="AE11">
        <v>60</v>
      </c>
      <c r="AF11">
        <v>10</v>
      </c>
      <c r="AG11">
        <v>11</v>
      </c>
      <c r="AH11">
        <v>6</v>
      </c>
      <c r="AI11">
        <v>3</v>
      </c>
    </row>
    <row r="12" spans="1:35" x14ac:dyDescent="0.2">
      <c r="A12" s="102">
        <v>43</v>
      </c>
      <c r="B12">
        <v>1719</v>
      </c>
      <c r="C12" s="106" t="s">
        <v>823</v>
      </c>
      <c r="D12" s="106" t="s">
        <v>4825</v>
      </c>
      <c r="E12">
        <v>976</v>
      </c>
      <c r="F12">
        <v>976</v>
      </c>
      <c r="G12">
        <v>1100</v>
      </c>
      <c r="H12" s="106" t="s">
        <v>4815</v>
      </c>
      <c r="I12">
        <v>1803</v>
      </c>
      <c r="J12" s="106" t="s">
        <v>4826</v>
      </c>
      <c r="K12" s="106" t="s">
        <v>4825</v>
      </c>
      <c r="L12">
        <v>1145</v>
      </c>
      <c r="M12">
        <v>1157</v>
      </c>
      <c r="N12">
        <v>900</v>
      </c>
      <c r="O12" s="106" t="s">
        <v>4818</v>
      </c>
      <c r="P12">
        <v>0.92065578858758101</v>
      </c>
      <c r="Q12">
        <v>0.94265880346031605</v>
      </c>
      <c r="R12">
        <v>3.03655306547524E-2</v>
      </c>
      <c r="S12" s="15">
        <v>8.8042481187197194E-2</v>
      </c>
      <c r="T12">
        <v>0.24286128261356699</v>
      </c>
      <c r="U12">
        <v>0.24286128261356699</v>
      </c>
      <c r="V12">
        <v>0.115375180985054</v>
      </c>
      <c r="W12">
        <v>0.67</v>
      </c>
      <c r="X12">
        <v>3.1</v>
      </c>
      <c r="Y12">
        <v>366456</v>
      </c>
      <c r="Z12">
        <v>16657</v>
      </c>
      <c r="AA12">
        <v>0.79</v>
      </c>
      <c r="AB12">
        <v>22</v>
      </c>
      <c r="AC12">
        <v>13</v>
      </c>
      <c r="AD12">
        <v>9</v>
      </c>
      <c r="AE12">
        <v>59.09</v>
      </c>
      <c r="AF12">
        <v>11</v>
      </c>
      <c r="AG12">
        <v>12</v>
      </c>
      <c r="AH12">
        <v>4</v>
      </c>
      <c r="AI12">
        <v>6</v>
      </c>
    </row>
    <row r="13" spans="1:35" x14ac:dyDescent="0.2">
      <c r="A13" s="102">
        <v>11</v>
      </c>
      <c r="B13">
        <v>3635</v>
      </c>
      <c r="C13" s="106" t="s">
        <v>49</v>
      </c>
      <c r="D13" s="106" t="s">
        <v>4817</v>
      </c>
      <c r="E13">
        <v>2929</v>
      </c>
      <c r="F13">
        <v>2952</v>
      </c>
      <c r="G13">
        <v>300</v>
      </c>
      <c r="H13" s="106" t="s">
        <v>4818</v>
      </c>
      <c r="I13">
        <v>6755</v>
      </c>
      <c r="J13" s="106" t="s">
        <v>805</v>
      </c>
      <c r="K13" s="106" t="s">
        <v>4820</v>
      </c>
      <c r="L13">
        <v>2560</v>
      </c>
      <c r="M13">
        <v>2587</v>
      </c>
      <c r="N13">
        <v>300</v>
      </c>
      <c r="O13" s="106" t="s">
        <v>4815</v>
      </c>
      <c r="P13">
        <v>0.96913457794578395</v>
      </c>
      <c r="Q13">
        <v>0.95695680694525798</v>
      </c>
      <c r="R13">
        <v>0.10910625453666201</v>
      </c>
      <c r="S13" s="15">
        <v>0.101556754778791</v>
      </c>
      <c r="T13">
        <v>-1.2344800011852299</v>
      </c>
      <c r="U13">
        <v>1.2344800011852299</v>
      </c>
      <c r="V13">
        <v>1.1241278698864501</v>
      </c>
      <c r="W13">
        <v>-7.79</v>
      </c>
      <c r="X13">
        <v>12.36</v>
      </c>
      <c r="Y13">
        <v>365863</v>
      </c>
      <c r="Z13">
        <v>20326</v>
      </c>
      <c r="AA13">
        <v>1.01</v>
      </c>
      <c r="AB13">
        <v>18</v>
      </c>
      <c r="AC13">
        <v>11</v>
      </c>
      <c r="AD13">
        <v>7</v>
      </c>
      <c r="AE13">
        <v>61.11</v>
      </c>
      <c r="AF13">
        <v>12</v>
      </c>
      <c r="AG13">
        <v>10</v>
      </c>
      <c r="AH13">
        <v>4</v>
      </c>
      <c r="AI13">
        <v>4</v>
      </c>
    </row>
    <row r="14" spans="1:35" x14ac:dyDescent="0.2">
      <c r="A14" s="102">
        <v>56</v>
      </c>
      <c r="B14">
        <v>6406</v>
      </c>
      <c r="C14" s="106" t="s">
        <v>4827</v>
      </c>
      <c r="D14" s="106" t="s">
        <v>4828</v>
      </c>
      <c r="E14">
        <v>1807</v>
      </c>
      <c r="F14">
        <v>1820</v>
      </c>
      <c r="G14">
        <v>600</v>
      </c>
      <c r="H14" s="106" t="s">
        <v>4815</v>
      </c>
      <c r="I14">
        <v>8060</v>
      </c>
      <c r="J14" s="106" t="s">
        <v>1592</v>
      </c>
      <c r="K14" s="106" t="s">
        <v>4822</v>
      </c>
      <c r="L14">
        <v>2598</v>
      </c>
      <c r="M14">
        <v>2605</v>
      </c>
      <c r="N14">
        <v>400</v>
      </c>
      <c r="O14" s="106" t="s">
        <v>4818</v>
      </c>
      <c r="P14">
        <v>0.924252140951763</v>
      </c>
      <c r="Q14">
        <v>0.93531217349036599</v>
      </c>
      <c r="R14">
        <v>0.26706675041028599</v>
      </c>
      <c r="S14" s="15">
        <v>1.17169661129909E-2</v>
      </c>
      <c r="T14">
        <v>0.87129958397239204</v>
      </c>
      <c r="U14">
        <v>0.87129958397239204</v>
      </c>
      <c r="V14">
        <v>0.73422295288577599</v>
      </c>
      <c r="W14">
        <v>3.9</v>
      </c>
      <c r="X14">
        <v>4.8</v>
      </c>
      <c r="Y14">
        <v>363827</v>
      </c>
      <c r="Z14">
        <v>20213</v>
      </c>
      <c r="AA14">
        <v>0.9</v>
      </c>
      <c r="AB14">
        <v>18</v>
      </c>
      <c r="AC14">
        <v>12</v>
      </c>
      <c r="AD14">
        <v>6</v>
      </c>
      <c r="AE14">
        <v>66.67</v>
      </c>
      <c r="AF14">
        <v>11</v>
      </c>
      <c r="AG14">
        <v>8</v>
      </c>
      <c r="AH14">
        <v>3</v>
      </c>
      <c r="AI14">
        <v>7</v>
      </c>
    </row>
    <row r="15" spans="1:35" x14ac:dyDescent="0.2">
      <c r="A15" s="102">
        <v>93</v>
      </c>
      <c r="B15">
        <v>8036</v>
      </c>
      <c r="C15" s="106" t="s">
        <v>4829</v>
      </c>
      <c r="D15" s="106" t="s">
        <v>4822</v>
      </c>
      <c r="E15">
        <v>7800</v>
      </c>
      <c r="F15">
        <v>7850</v>
      </c>
      <c r="G15">
        <v>100</v>
      </c>
      <c r="H15" s="106" t="s">
        <v>4818</v>
      </c>
      <c r="I15">
        <v>9468</v>
      </c>
      <c r="J15" s="106" t="s">
        <v>4816</v>
      </c>
      <c r="K15" s="106" t="s">
        <v>4817</v>
      </c>
      <c r="L15">
        <v>2015</v>
      </c>
      <c r="M15">
        <v>2055</v>
      </c>
      <c r="N15">
        <v>400</v>
      </c>
      <c r="O15" s="106" t="s">
        <v>4815</v>
      </c>
      <c r="P15">
        <v>0.96753806603138404</v>
      </c>
      <c r="Q15">
        <v>0.91251759371533003</v>
      </c>
      <c r="R15" s="106">
        <v>3.2328654280935197E-2</v>
      </c>
      <c r="S15" s="15">
        <v>0.211532259277109</v>
      </c>
      <c r="T15">
        <v>-1.14424808303743</v>
      </c>
      <c r="U15">
        <v>1.14424808303743</v>
      </c>
      <c r="V15">
        <v>0.81691581855189799</v>
      </c>
      <c r="W15">
        <v>-7.41</v>
      </c>
      <c r="X15">
        <v>4.71</v>
      </c>
      <c r="Y15">
        <v>319633</v>
      </c>
      <c r="Z15">
        <v>16823</v>
      </c>
      <c r="AA15">
        <v>0.99</v>
      </c>
      <c r="AB15">
        <v>19</v>
      </c>
      <c r="AC15">
        <v>12</v>
      </c>
      <c r="AD15">
        <v>7</v>
      </c>
      <c r="AE15">
        <v>63.16</v>
      </c>
      <c r="AF15">
        <v>11</v>
      </c>
      <c r="AG15">
        <v>11</v>
      </c>
      <c r="AH15">
        <v>5</v>
      </c>
      <c r="AI15">
        <v>3</v>
      </c>
    </row>
    <row r="16" spans="1:35" x14ac:dyDescent="0.2">
      <c r="A16" s="102">
        <v>57</v>
      </c>
      <c r="B16">
        <v>6098</v>
      </c>
      <c r="C16" s="106" t="s">
        <v>251</v>
      </c>
      <c r="D16" s="106" t="s">
        <v>4830</v>
      </c>
      <c r="E16">
        <v>4225</v>
      </c>
      <c r="F16">
        <v>4353</v>
      </c>
      <c r="G16">
        <v>300</v>
      </c>
      <c r="H16" s="106" t="s">
        <v>4815</v>
      </c>
      <c r="I16">
        <v>9746</v>
      </c>
      <c r="J16" s="106" t="s">
        <v>4831</v>
      </c>
      <c r="K16" s="106" t="s">
        <v>4817</v>
      </c>
      <c r="L16">
        <v>5390</v>
      </c>
      <c r="M16">
        <v>5480</v>
      </c>
      <c r="N16">
        <v>200</v>
      </c>
      <c r="O16" s="106" t="s">
        <v>4818</v>
      </c>
      <c r="P16">
        <v>0.93630685101697098</v>
      </c>
      <c r="Q16">
        <v>0.93317325841702303</v>
      </c>
      <c r="R16">
        <v>0.24446455243908699</v>
      </c>
      <c r="S16" s="15">
        <v>6.6058198896254999E-2</v>
      </c>
      <c r="T16">
        <v>0.80527125896501695</v>
      </c>
      <c r="U16">
        <v>0.80527125896501695</v>
      </c>
      <c r="V16">
        <v>0.42464885191915303</v>
      </c>
      <c r="W16">
        <v>2.21</v>
      </c>
      <c r="X16">
        <v>19.149999999999999</v>
      </c>
      <c r="Y16">
        <v>299716</v>
      </c>
      <c r="Z16">
        <v>21408</v>
      </c>
      <c r="AA16">
        <v>1.25</v>
      </c>
      <c r="AB16">
        <v>14</v>
      </c>
      <c r="AC16">
        <v>10</v>
      </c>
      <c r="AD16">
        <v>4</v>
      </c>
      <c r="AE16">
        <v>71.430000000000007</v>
      </c>
      <c r="AF16">
        <v>9</v>
      </c>
      <c r="AG16">
        <v>7</v>
      </c>
      <c r="AH16">
        <v>2</v>
      </c>
      <c r="AI16">
        <v>5</v>
      </c>
    </row>
    <row r="17" spans="1:35" x14ac:dyDescent="0.2">
      <c r="A17" s="102">
        <v>75</v>
      </c>
      <c r="B17">
        <v>3105</v>
      </c>
      <c r="C17" s="106" t="s">
        <v>52</v>
      </c>
      <c r="D17" s="106" t="s">
        <v>4820</v>
      </c>
      <c r="E17">
        <v>1024</v>
      </c>
      <c r="F17">
        <v>1024</v>
      </c>
      <c r="G17">
        <v>900</v>
      </c>
      <c r="H17" s="106" t="s">
        <v>4815</v>
      </c>
      <c r="I17">
        <v>5802</v>
      </c>
      <c r="J17" s="106" t="s">
        <v>4832</v>
      </c>
      <c r="K17" s="106" t="s">
        <v>4833</v>
      </c>
      <c r="L17">
        <v>1597</v>
      </c>
      <c r="M17">
        <v>1612.5</v>
      </c>
      <c r="N17">
        <v>600</v>
      </c>
      <c r="O17" s="106" t="s">
        <v>4818</v>
      </c>
      <c r="P17">
        <v>0.93125314268963999</v>
      </c>
      <c r="Q17">
        <v>0.92031315952389803</v>
      </c>
      <c r="R17">
        <v>0.141858162624828</v>
      </c>
      <c r="S17" s="15">
        <v>0.22960080052860199</v>
      </c>
      <c r="T17">
        <v>0.74430669498964297</v>
      </c>
      <c r="U17">
        <v>0.74430669498964297</v>
      </c>
      <c r="V17">
        <v>1.1143871514691099</v>
      </c>
      <c r="W17">
        <v>1.61</v>
      </c>
      <c r="X17">
        <v>4.74</v>
      </c>
      <c r="Y17">
        <v>287787</v>
      </c>
      <c r="Z17">
        <v>16929</v>
      </c>
      <c r="AA17">
        <v>0.81</v>
      </c>
      <c r="AB17">
        <v>17</v>
      </c>
      <c r="AC17">
        <v>9</v>
      </c>
      <c r="AD17">
        <v>8</v>
      </c>
      <c r="AE17">
        <v>52.94</v>
      </c>
      <c r="AF17">
        <v>14</v>
      </c>
      <c r="AG17">
        <v>5</v>
      </c>
      <c r="AH17">
        <v>1</v>
      </c>
      <c r="AI17">
        <v>11</v>
      </c>
    </row>
    <row r="18" spans="1:35" x14ac:dyDescent="0.2">
      <c r="A18" s="102">
        <v>71</v>
      </c>
      <c r="B18">
        <v>6755</v>
      </c>
      <c r="C18" s="106" t="s">
        <v>805</v>
      </c>
      <c r="D18" s="106" t="s">
        <v>4820</v>
      </c>
      <c r="E18">
        <v>2560</v>
      </c>
      <c r="F18">
        <v>2587</v>
      </c>
      <c r="G18">
        <v>400</v>
      </c>
      <c r="H18" s="106" t="s">
        <v>4815</v>
      </c>
      <c r="I18">
        <v>9468</v>
      </c>
      <c r="J18" s="106" t="s">
        <v>4816</v>
      </c>
      <c r="K18" s="106" t="s">
        <v>4817</v>
      </c>
      <c r="L18">
        <v>2015</v>
      </c>
      <c r="M18">
        <v>2055</v>
      </c>
      <c r="N18">
        <v>500</v>
      </c>
      <c r="O18" s="106" t="s">
        <v>4818</v>
      </c>
      <c r="P18">
        <v>0.95632968679152197</v>
      </c>
      <c r="Q18">
        <v>0.92542236551790102</v>
      </c>
      <c r="R18" s="106">
        <v>0.14813630465272001</v>
      </c>
      <c r="S18" s="15">
        <v>0.10328081610576099</v>
      </c>
      <c r="T18">
        <v>0.54170065551865298</v>
      </c>
      <c r="U18">
        <v>0.54170065551865298</v>
      </c>
      <c r="V18">
        <v>0.72061094552626803</v>
      </c>
      <c r="W18">
        <v>2.34</v>
      </c>
      <c r="X18">
        <v>0.71</v>
      </c>
      <c r="Y18">
        <v>275204</v>
      </c>
      <c r="Z18">
        <v>17200</v>
      </c>
      <c r="AA18">
        <v>0.82</v>
      </c>
      <c r="AB18">
        <v>16</v>
      </c>
      <c r="AC18">
        <v>11</v>
      </c>
      <c r="AD18">
        <v>5</v>
      </c>
      <c r="AE18">
        <v>68.75</v>
      </c>
      <c r="AF18">
        <v>9</v>
      </c>
      <c r="AG18">
        <v>11</v>
      </c>
      <c r="AH18">
        <v>4</v>
      </c>
      <c r="AI18">
        <v>1</v>
      </c>
    </row>
    <row r="19" spans="1:35" x14ac:dyDescent="0.2">
      <c r="A19" s="102">
        <v>35</v>
      </c>
      <c r="B19">
        <v>6758</v>
      </c>
      <c r="C19" s="106" t="s">
        <v>4834</v>
      </c>
      <c r="D19" s="106" t="s">
        <v>4820</v>
      </c>
      <c r="E19">
        <v>7910</v>
      </c>
      <c r="F19">
        <v>7959</v>
      </c>
      <c r="G19">
        <v>100</v>
      </c>
      <c r="H19" s="106" t="s">
        <v>4815</v>
      </c>
      <c r="I19">
        <v>8036</v>
      </c>
      <c r="J19" s="106" t="s">
        <v>4829</v>
      </c>
      <c r="K19" s="106" t="s">
        <v>4822</v>
      </c>
      <c r="L19">
        <v>7800</v>
      </c>
      <c r="M19">
        <v>7850</v>
      </c>
      <c r="N19">
        <v>100</v>
      </c>
      <c r="O19" s="106" t="s">
        <v>4818</v>
      </c>
      <c r="P19">
        <v>0.94810460029512</v>
      </c>
      <c r="Q19">
        <v>0.945771679698302</v>
      </c>
      <c r="R19" s="15">
        <v>0.10946671026652099</v>
      </c>
      <c r="S19">
        <v>7.2796286417949399E-2</v>
      </c>
      <c r="T19">
        <v>1.6115043709574599</v>
      </c>
      <c r="U19">
        <v>1.6115043709574599</v>
      </c>
      <c r="V19">
        <v>1.48203183125313</v>
      </c>
      <c r="W19">
        <v>3.24</v>
      </c>
      <c r="X19">
        <v>1.37</v>
      </c>
      <c r="Y19">
        <v>275047</v>
      </c>
      <c r="Z19">
        <v>25004</v>
      </c>
      <c r="AA19">
        <v>1.53</v>
      </c>
      <c r="AB19">
        <v>11</v>
      </c>
      <c r="AC19">
        <v>7</v>
      </c>
      <c r="AD19">
        <v>4</v>
      </c>
      <c r="AE19">
        <v>63.64</v>
      </c>
      <c r="AF19">
        <v>13</v>
      </c>
      <c r="AG19">
        <v>7</v>
      </c>
      <c r="AH19">
        <v>1</v>
      </c>
      <c r="AI19">
        <v>3</v>
      </c>
    </row>
    <row r="20" spans="1:35" x14ac:dyDescent="0.2">
      <c r="A20" s="102">
        <v>95</v>
      </c>
      <c r="B20">
        <v>2379</v>
      </c>
      <c r="C20" s="106" t="s">
        <v>681</v>
      </c>
      <c r="D20" s="106" t="s">
        <v>4830</v>
      </c>
      <c r="E20">
        <v>3430</v>
      </c>
      <c r="F20">
        <v>3455</v>
      </c>
      <c r="G20">
        <v>200</v>
      </c>
      <c r="H20" s="106" t="s">
        <v>4818</v>
      </c>
      <c r="I20">
        <v>6758</v>
      </c>
      <c r="J20" s="106" t="s">
        <v>4834</v>
      </c>
      <c r="K20" s="106" t="s">
        <v>4820</v>
      </c>
      <c r="L20">
        <v>7910</v>
      </c>
      <c r="M20">
        <v>7959</v>
      </c>
      <c r="N20">
        <v>100</v>
      </c>
      <c r="O20" s="106" t="s">
        <v>4815</v>
      </c>
      <c r="P20">
        <v>0.92873136442942195</v>
      </c>
      <c r="Q20">
        <v>0.91167714269651901</v>
      </c>
      <c r="R20">
        <v>4.8495494280758E-2</v>
      </c>
      <c r="S20">
        <v>0.28708797995519197</v>
      </c>
      <c r="T20">
        <v>-0.45700296836398902</v>
      </c>
      <c r="U20">
        <v>0.45700296836398902</v>
      </c>
      <c r="V20">
        <v>0.332952843736119</v>
      </c>
      <c r="W20">
        <v>-1.63</v>
      </c>
      <c r="X20">
        <v>13.18</v>
      </c>
      <c r="Y20">
        <v>269197</v>
      </c>
      <c r="Z20">
        <v>20707</v>
      </c>
      <c r="AA20">
        <v>0.83</v>
      </c>
      <c r="AB20">
        <v>13</v>
      </c>
      <c r="AC20">
        <v>8</v>
      </c>
      <c r="AD20">
        <v>5</v>
      </c>
      <c r="AE20">
        <v>61.54</v>
      </c>
      <c r="AF20">
        <v>11</v>
      </c>
      <c r="AG20">
        <v>5</v>
      </c>
      <c r="AH20">
        <v>2</v>
      </c>
      <c r="AI20">
        <v>6</v>
      </c>
    </row>
    <row r="21" spans="1:35" x14ac:dyDescent="0.2">
      <c r="A21" s="102">
        <v>89</v>
      </c>
      <c r="B21">
        <v>5393</v>
      </c>
      <c r="C21" s="106" t="s">
        <v>248</v>
      </c>
      <c r="D21" s="106" t="s">
        <v>4814</v>
      </c>
      <c r="E21">
        <v>2809</v>
      </c>
      <c r="F21">
        <v>2838</v>
      </c>
      <c r="G21">
        <v>300</v>
      </c>
      <c r="H21" s="106" t="s">
        <v>4815</v>
      </c>
      <c r="I21">
        <v>7701</v>
      </c>
      <c r="J21" s="106" t="s">
        <v>1197</v>
      </c>
      <c r="K21" s="106" t="s">
        <v>4824</v>
      </c>
      <c r="L21">
        <v>3270</v>
      </c>
      <c r="M21">
        <v>3255</v>
      </c>
      <c r="N21">
        <v>300</v>
      </c>
      <c r="O21" s="106" t="s">
        <v>4818</v>
      </c>
      <c r="P21">
        <v>0.90597723465126601</v>
      </c>
      <c r="Q21">
        <v>0.91528135950061695</v>
      </c>
      <c r="R21">
        <v>1.5984729691100399E-2</v>
      </c>
      <c r="S21" s="106">
        <v>7.4546970652908398E-2</v>
      </c>
      <c r="T21">
        <v>2.2635090069875901</v>
      </c>
      <c r="U21">
        <v>2.2635090069875901</v>
      </c>
      <c r="V21">
        <v>2.17209487695875</v>
      </c>
      <c r="W21">
        <v>9.86</v>
      </c>
      <c r="X21">
        <v>12.81</v>
      </c>
      <c r="Y21">
        <v>265172</v>
      </c>
      <c r="Z21">
        <v>20398</v>
      </c>
      <c r="AA21">
        <v>1</v>
      </c>
      <c r="AB21">
        <v>13</v>
      </c>
      <c r="AC21">
        <v>9</v>
      </c>
      <c r="AD21">
        <v>4</v>
      </c>
      <c r="AE21">
        <v>69.23</v>
      </c>
      <c r="AF21">
        <v>11</v>
      </c>
      <c r="AG21">
        <v>7</v>
      </c>
      <c r="AH21">
        <v>2</v>
      </c>
      <c r="AI21">
        <v>4</v>
      </c>
    </row>
    <row r="22" spans="1:35" x14ac:dyDescent="0.2">
      <c r="A22" s="102">
        <v>84</v>
      </c>
      <c r="B22">
        <v>8020</v>
      </c>
      <c r="C22" s="106" t="s">
        <v>1619</v>
      </c>
      <c r="D22" s="106" t="s">
        <v>4822</v>
      </c>
      <c r="E22">
        <v>1470</v>
      </c>
      <c r="F22">
        <v>1477</v>
      </c>
      <c r="G22">
        <v>700</v>
      </c>
      <c r="H22" s="106" t="s">
        <v>4815</v>
      </c>
      <c r="I22">
        <v>9810</v>
      </c>
      <c r="J22" s="106" t="s">
        <v>4778</v>
      </c>
      <c r="K22" s="106" t="s">
        <v>4822</v>
      </c>
      <c r="L22">
        <v>5160</v>
      </c>
      <c r="M22">
        <v>5170</v>
      </c>
      <c r="N22">
        <v>200</v>
      </c>
      <c r="O22" s="106" t="s">
        <v>4818</v>
      </c>
      <c r="P22">
        <v>0.94765712932729396</v>
      </c>
      <c r="Q22">
        <v>0.91669962142244998</v>
      </c>
      <c r="R22" s="15">
        <v>0.173069050669138</v>
      </c>
      <c r="S22" s="15">
        <v>2.8674738213400601E-2</v>
      </c>
      <c r="T22">
        <v>0.47610303358176098</v>
      </c>
      <c r="U22">
        <v>0.47610303358176098</v>
      </c>
      <c r="V22">
        <v>0.54967464551346601</v>
      </c>
      <c r="W22">
        <v>0.76</v>
      </c>
      <c r="X22">
        <v>0.01</v>
      </c>
      <c r="Y22">
        <v>259837</v>
      </c>
      <c r="Z22">
        <v>19987</v>
      </c>
      <c r="AA22">
        <v>1.3</v>
      </c>
      <c r="AB22">
        <v>13</v>
      </c>
      <c r="AC22">
        <v>10</v>
      </c>
      <c r="AD22">
        <v>3</v>
      </c>
      <c r="AE22">
        <v>76.92</v>
      </c>
      <c r="AF22">
        <v>13</v>
      </c>
      <c r="AG22">
        <v>7</v>
      </c>
      <c r="AH22">
        <v>1</v>
      </c>
      <c r="AI22">
        <v>5</v>
      </c>
    </row>
    <row r="23" spans="1:35" x14ac:dyDescent="0.2">
      <c r="A23" s="102">
        <v>81</v>
      </c>
      <c r="B23">
        <v>5393</v>
      </c>
      <c r="C23" s="106" t="s">
        <v>248</v>
      </c>
      <c r="D23" s="106" t="s">
        <v>4814</v>
      </c>
      <c r="E23">
        <v>2809</v>
      </c>
      <c r="F23">
        <v>2838</v>
      </c>
      <c r="G23">
        <v>200</v>
      </c>
      <c r="H23" s="106" t="s">
        <v>4815</v>
      </c>
      <c r="I23">
        <v>6981</v>
      </c>
      <c r="J23" s="106" t="s">
        <v>1548</v>
      </c>
      <c r="K23" s="106" t="s">
        <v>4820</v>
      </c>
      <c r="L23">
        <v>6645</v>
      </c>
      <c r="M23">
        <v>6728</v>
      </c>
      <c r="N23">
        <v>100</v>
      </c>
      <c r="O23" s="106" t="s">
        <v>4818</v>
      </c>
      <c r="P23">
        <v>0.909809858247839</v>
      </c>
      <c r="Q23">
        <v>0.91778358500512303</v>
      </c>
      <c r="R23" s="15">
        <v>0.144241447996377</v>
      </c>
      <c r="S23" s="15">
        <v>0.19901179783096401</v>
      </c>
      <c r="T23">
        <v>1.0632182250970299</v>
      </c>
      <c r="U23">
        <v>1.0632182250970299</v>
      </c>
      <c r="V23">
        <v>1.00546964930264</v>
      </c>
      <c r="W23">
        <v>6.7</v>
      </c>
      <c r="X23">
        <v>15.64</v>
      </c>
      <c r="Y23">
        <v>250383</v>
      </c>
      <c r="Z23">
        <v>19260</v>
      </c>
      <c r="AA23">
        <v>1.32</v>
      </c>
      <c r="AB23">
        <v>13</v>
      </c>
      <c r="AC23">
        <v>9</v>
      </c>
      <c r="AD23">
        <v>4</v>
      </c>
      <c r="AE23">
        <v>69.23</v>
      </c>
      <c r="AF23">
        <v>10</v>
      </c>
      <c r="AG23">
        <v>8</v>
      </c>
      <c r="AH23">
        <v>3</v>
      </c>
      <c r="AI23">
        <v>2</v>
      </c>
    </row>
    <row r="24" spans="1:35" x14ac:dyDescent="0.2">
      <c r="A24" s="102">
        <v>25</v>
      </c>
      <c r="B24">
        <v>1973</v>
      </c>
      <c r="C24" s="106" t="s">
        <v>4823</v>
      </c>
      <c r="D24" s="106" t="s">
        <v>4817</v>
      </c>
      <c r="E24">
        <v>4205</v>
      </c>
      <c r="F24">
        <v>4210</v>
      </c>
      <c r="G24">
        <v>200</v>
      </c>
      <c r="H24" s="106" t="s">
        <v>4818</v>
      </c>
      <c r="I24">
        <v>6755</v>
      </c>
      <c r="J24" s="106" t="s">
        <v>805</v>
      </c>
      <c r="K24" s="106" t="s">
        <v>4820</v>
      </c>
      <c r="L24">
        <v>2560</v>
      </c>
      <c r="M24">
        <v>2587</v>
      </c>
      <c r="N24">
        <v>300</v>
      </c>
      <c r="O24" s="106" t="s">
        <v>4815</v>
      </c>
      <c r="P24">
        <v>0.90254081485902105</v>
      </c>
      <c r="Q24">
        <v>0.94975247288966802</v>
      </c>
      <c r="R24" s="106">
        <v>0.139861660042323</v>
      </c>
      <c r="S24">
        <v>0.112795912055557</v>
      </c>
      <c r="T24">
        <v>-0.11953279206940801</v>
      </c>
      <c r="U24">
        <v>0.11953279206940801</v>
      </c>
      <c r="V24">
        <v>0.128559214947122</v>
      </c>
      <c r="W24">
        <v>-0.61</v>
      </c>
      <c r="X24">
        <v>7.83</v>
      </c>
      <c r="Y24">
        <v>248500</v>
      </c>
      <c r="Z24">
        <v>11833</v>
      </c>
      <c r="AA24">
        <v>0.69</v>
      </c>
      <c r="AB24">
        <v>21</v>
      </c>
      <c r="AC24">
        <v>14</v>
      </c>
      <c r="AD24">
        <v>7</v>
      </c>
      <c r="AE24">
        <v>66.67</v>
      </c>
      <c r="AF24">
        <v>12</v>
      </c>
      <c r="AG24">
        <v>10</v>
      </c>
      <c r="AH24">
        <v>6</v>
      </c>
      <c r="AI24">
        <v>5</v>
      </c>
    </row>
    <row r="25" spans="1:35" x14ac:dyDescent="0.2">
      <c r="A25" s="102">
        <v>108</v>
      </c>
      <c r="B25">
        <v>1973</v>
      </c>
      <c r="C25" s="106" t="s">
        <v>4823</v>
      </c>
      <c r="D25" s="106" t="s">
        <v>4817</v>
      </c>
      <c r="E25">
        <v>4205</v>
      </c>
      <c r="F25">
        <v>4210</v>
      </c>
      <c r="G25">
        <v>200</v>
      </c>
      <c r="H25" s="106" t="s">
        <v>4815</v>
      </c>
      <c r="I25">
        <v>6758</v>
      </c>
      <c r="J25" s="106" t="s">
        <v>4834</v>
      </c>
      <c r="K25" s="106" t="s">
        <v>4820</v>
      </c>
      <c r="L25">
        <v>7910</v>
      </c>
      <c r="M25">
        <v>7959</v>
      </c>
      <c r="N25">
        <v>100</v>
      </c>
      <c r="O25" s="106" t="s">
        <v>4818</v>
      </c>
      <c r="P25">
        <v>0.93385388328156604</v>
      </c>
      <c r="Q25">
        <v>0.90425038265293101</v>
      </c>
      <c r="R25">
        <v>0.21392133388662701</v>
      </c>
      <c r="S25" s="106">
        <v>0.22064444348543399</v>
      </c>
      <c r="T25">
        <v>1.7188575296775701</v>
      </c>
      <c r="U25">
        <v>1.7188575296775701</v>
      </c>
      <c r="V25">
        <v>1.7478481861397099</v>
      </c>
      <c r="W25">
        <v>5.43</v>
      </c>
      <c r="X25">
        <v>5.79</v>
      </c>
      <c r="Y25">
        <v>246160</v>
      </c>
      <c r="Z25">
        <v>17583</v>
      </c>
      <c r="AA25">
        <v>0.94</v>
      </c>
      <c r="AB25">
        <v>14</v>
      </c>
      <c r="AC25">
        <v>10</v>
      </c>
      <c r="AD25">
        <v>4</v>
      </c>
      <c r="AE25">
        <v>71.430000000000007</v>
      </c>
      <c r="AF25">
        <v>13</v>
      </c>
      <c r="AG25">
        <v>7</v>
      </c>
      <c r="AH25">
        <v>2</v>
      </c>
      <c r="AI25">
        <v>5</v>
      </c>
    </row>
    <row r="26" spans="1:35" x14ac:dyDescent="0.2">
      <c r="A26" s="102">
        <v>50</v>
      </c>
      <c r="B26">
        <v>5802</v>
      </c>
      <c r="C26" s="106" t="s">
        <v>4832</v>
      </c>
      <c r="D26" s="106" t="s">
        <v>4833</v>
      </c>
      <c r="E26">
        <v>1597</v>
      </c>
      <c r="F26">
        <v>1612.5</v>
      </c>
      <c r="G26">
        <v>600</v>
      </c>
      <c r="H26" s="106" t="s">
        <v>4818</v>
      </c>
      <c r="I26">
        <v>7205</v>
      </c>
      <c r="J26" s="106" t="s">
        <v>63</v>
      </c>
      <c r="K26" s="106" t="s">
        <v>4835</v>
      </c>
      <c r="L26">
        <v>1117</v>
      </c>
      <c r="M26">
        <v>1136</v>
      </c>
      <c r="N26">
        <v>900</v>
      </c>
      <c r="O26" s="106" t="s">
        <v>4815</v>
      </c>
      <c r="P26">
        <v>0.906865115894541</v>
      </c>
      <c r="Q26">
        <v>0.93635656431624303</v>
      </c>
      <c r="R26" s="15">
        <v>9.6567212646363698E-2</v>
      </c>
      <c r="S26" s="15">
        <v>0.13778157644549399</v>
      </c>
      <c r="T26">
        <v>-1.13273788890712</v>
      </c>
      <c r="U26">
        <v>1.13273788890712</v>
      </c>
      <c r="V26">
        <v>0.91787894432572303</v>
      </c>
      <c r="W26">
        <v>-3.58</v>
      </c>
      <c r="X26">
        <v>5.67</v>
      </c>
      <c r="Y26">
        <v>245787</v>
      </c>
      <c r="Z26">
        <v>16386</v>
      </c>
      <c r="AA26">
        <v>0.75</v>
      </c>
      <c r="AB26">
        <v>15</v>
      </c>
      <c r="AC26">
        <v>9</v>
      </c>
      <c r="AD26">
        <v>6</v>
      </c>
      <c r="AE26">
        <v>60</v>
      </c>
      <c r="AF26">
        <v>14</v>
      </c>
      <c r="AG26">
        <v>5</v>
      </c>
      <c r="AH26">
        <v>2</v>
      </c>
      <c r="AI26">
        <v>8</v>
      </c>
    </row>
    <row r="27" spans="1:35" x14ac:dyDescent="0.2">
      <c r="A27" s="102">
        <v>62</v>
      </c>
      <c r="B27">
        <v>6755</v>
      </c>
      <c r="C27" s="106" t="s">
        <v>805</v>
      </c>
      <c r="D27" s="106" t="s">
        <v>4820</v>
      </c>
      <c r="E27">
        <v>2560</v>
      </c>
      <c r="F27">
        <v>2587</v>
      </c>
      <c r="G27">
        <v>400</v>
      </c>
      <c r="H27" s="106" t="s">
        <v>4815</v>
      </c>
      <c r="I27">
        <v>6967</v>
      </c>
      <c r="J27" s="106" t="s">
        <v>1152</v>
      </c>
      <c r="K27" s="106" t="s">
        <v>4820</v>
      </c>
      <c r="L27">
        <v>1351</v>
      </c>
      <c r="M27">
        <v>1377</v>
      </c>
      <c r="N27">
        <v>800</v>
      </c>
      <c r="O27" s="106" t="s">
        <v>4818</v>
      </c>
      <c r="P27">
        <v>0.96070260511241901</v>
      </c>
      <c r="Q27">
        <v>0.93034755277212999</v>
      </c>
      <c r="R27" s="15">
        <v>9.9981072972386897E-2</v>
      </c>
      <c r="S27" s="15">
        <v>0.12596954847276001</v>
      </c>
      <c r="T27">
        <v>0.16465716714716799</v>
      </c>
      <c r="U27">
        <v>0.16465716714716799</v>
      </c>
      <c r="V27">
        <v>0.232198531281539</v>
      </c>
      <c r="W27">
        <v>0.6</v>
      </c>
      <c r="X27">
        <v>6.46</v>
      </c>
      <c r="Y27">
        <v>233986</v>
      </c>
      <c r="Z27">
        <v>12315</v>
      </c>
      <c r="AA27">
        <v>0.6</v>
      </c>
      <c r="AB27">
        <v>19</v>
      </c>
      <c r="AC27">
        <v>12</v>
      </c>
      <c r="AD27">
        <v>7</v>
      </c>
      <c r="AE27">
        <v>63.16</v>
      </c>
      <c r="AF27">
        <v>9</v>
      </c>
      <c r="AG27">
        <v>11</v>
      </c>
      <c r="AH27">
        <v>5</v>
      </c>
      <c r="AI27">
        <v>3</v>
      </c>
    </row>
    <row r="28" spans="1:35" x14ac:dyDescent="0.2">
      <c r="A28" s="102">
        <v>28</v>
      </c>
      <c r="B28">
        <v>4819</v>
      </c>
      <c r="C28" s="106" t="s">
        <v>4836</v>
      </c>
      <c r="D28" s="106" t="s">
        <v>4817</v>
      </c>
      <c r="E28">
        <v>4275</v>
      </c>
      <c r="F28">
        <v>4405</v>
      </c>
      <c r="G28">
        <v>200</v>
      </c>
      <c r="H28" s="106" t="s">
        <v>4818</v>
      </c>
      <c r="I28">
        <v>6098</v>
      </c>
      <c r="J28" s="106" t="s">
        <v>251</v>
      </c>
      <c r="K28" s="106" t="s">
        <v>4830</v>
      </c>
      <c r="L28">
        <v>4225</v>
      </c>
      <c r="M28">
        <v>4353</v>
      </c>
      <c r="N28">
        <v>200</v>
      </c>
      <c r="O28" s="106" t="s">
        <v>4815</v>
      </c>
      <c r="P28">
        <v>0.93520292823911</v>
      </c>
      <c r="Q28">
        <v>0.94796810978060397</v>
      </c>
      <c r="R28">
        <v>4.8234955240954003E-2</v>
      </c>
      <c r="S28">
        <v>2.9170785227608199E-3</v>
      </c>
      <c r="T28">
        <v>-0.40106588361060502</v>
      </c>
      <c r="U28">
        <v>0.40106588361060502</v>
      </c>
      <c r="V28">
        <v>2.40760343888223E-2</v>
      </c>
      <c r="W28">
        <v>-1.63</v>
      </c>
      <c r="X28">
        <v>1.18</v>
      </c>
      <c r="Y28">
        <v>225867</v>
      </c>
      <c r="Z28">
        <v>15058</v>
      </c>
      <c r="AA28">
        <v>0.81</v>
      </c>
      <c r="AB28">
        <v>15</v>
      </c>
      <c r="AC28">
        <v>9</v>
      </c>
      <c r="AD28">
        <v>6</v>
      </c>
      <c r="AE28">
        <v>60</v>
      </c>
      <c r="AF28">
        <v>10</v>
      </c>
      <c r="AG28">
        <v>7</v>
      </c>
      <c r="AH28">
        <v>3</v>
      </c>
      <c r="AI28">
        <v>5</v>
      </c>
    </row>
    <row r="29" spans="1:35" x14ac:dyDescent="0.2">
      <c r="A29" s="102">
        <v>3</v>
      </c>
      <c r="B29">
        <v>2413</v>
      </c>
      <c r="C29" s="106" t="s">
        <v>4837</v>
      </c>
      <c r="D29" s="106" t="s">
        <v>4830</v>
      </c>
      <c r="E29">
        <v>3190</v>
      </c>
      <c r="F29">
        <v>3260</v>
      </c>
      <c r="G29">
        <v>200</v>
      </c>
      <c r="H29" s="106" t="s">
        <v>4818</v>
      </c>
      <c r="I29">
        <v>4686</v>
      </c>
      <c r="J29" s="106" t="s">
        <v>4838</v>
      </c>
      <c r="K29" s="106" t="s">
        <v>4817</v>
      </c>
      <c r="L29">
        <v>6310</v>
      </c>
      <c r="M29">
        <v>6300</v>
      </c>
      <c r="N29">
        <v>100</v>
      </c>
      <c r="O29" s="106" t="s">
        <v>4815</v>
      </c>
      <c r="P29">
        <v>0.93095630752656799</v>
      </c>
      <c r="Q29">
        <v>0.97209711405919397</v>
      </c>
      <c r="R29" s="15">
        <v>0.34183770442009098</v>
      </c>
      <c r="S29" s="15">
        <v>2.3750658897611899E-2</v>
      </c>
      <c r="T29">
        <v>-0.80282091513721399</v>
      </c>
      <c r="U29">
        <v>0.80282091513721399</v>
      </c>
      <c r="V29">
        <v>1.0017657106692099</v>
      </c>
      <c r="W29">
        <v>-6.94</v>
      </c>
      <c r="X29">
        <v>3.49</v>
      </c>
      <c r="Y29">
        <v>217837</v>
      </c>
      <c r="Z29">
        <v>12814</v>
      </c>
      <c r="AA29">
        <v>0.7</v>
      </c>
      <c r="AB29">
        <v>17</v>
      </c>
      <c r="AC29">
        <v>10</v>
      </c>
      <c r="AD29">
        <v>7</v>
      </c>
      <c r="AE29">
        <v>58.82</v>
      </c>
      <c r="AF29">
        <v>10</v>
      </c>
      <c r="AG29">
        <v>9</v>
      </c>
      <c r="AH29">
        <v>5</v>
      </c>
      <c r="AI29">
        <v>3</v>
      </c>
    </row>
    <row r="30" spans="1:35" x14ac:dyDescent="0.2">
      <c r="A30" s="102">
        <v>99</v>
      </c>
      <c r="B30">
        <v>3038</v>
      </c>
      <c r="C30" s="106" t="s">
        <v>1625</v>
      </c>
      <c r="D30" s="106" t="s">
        <v>4822</v>
      </c>
      <c r="E30">
        <v>4270</v>
      </c>
      <c r="F30">
        <v>4420</v>
      </c>
      <c r="G30">
        <v>200</v>
      </c>
      <c r="H30" s="106" t="s">
        <v>4815</v>
      </c>
      <c r="I30">
        <v>6758</v>
      </c>
      <c r="J30" s="106" t="s">
        <v>4834</v>
      </c>
      <c r="K30" s="106" t="s">
        <v>4820</v>
      </c>
      <c r="L30">
        <v>7910</v>
      </c>
      <c r="M30">
        <v>7959</v>
      </c>
      <c r="N30">
        <v>100</v>
      </c>
      <c r="O30" s="106" t="s">
        <v>4818</v>
      </c>
      <c r="P30">
        <v>0.94686389393352999</v>
      </c>
      <c r="Q30">
        <v>0.90991313124338502</v>
      </c>
      <c r="R30">
        <v>2.1324119938814799E-2</v>
      </c>
      <c r="S30" s="15">
        <v>0.270831192193836</v>
      </c>
      <c r="T30">
        <v>2.8226075110286799</v>
      </c>
      <c r="U30">
        <v>2.8226075110286799</v>
      </c>
      <c r="V30">
        <v>2.1485376044326499</v>
      </c>
      <c r="W30">
        <v>12.7</v>
      </c>
      <c r="X30">
        <v>11.07</v>
      </c>
      <c r="Y30">
        <v>216497</v>
      </c>
      <c r="Z30">
        <v>9413</v>
      </c>
      <c r="AA30">
        <v>0.9</v>
      </c>
      <c r="AB30">
        <v>23</v>
      </c>
      <c r="AC30">
        <v>15</v>
      </c>
      <c r="AD30">
        <v>8</v>
      </c>
      <c r="AE30">
        <v>65.22</v>
      </c>
      <c r="AF30">
        <v>9</v>
      </c>
      <c r="AG30">
        <v>11</v>
      </c>
      <c r="AH30">
        <v>7</v>
      </c>
      <c r="AI30">
        <v>5</v>
      </c>
    </row>
    <row r="31" spans="1:35" x14ac:dyDescent="0.2">
      <c r="A31" s="102">
        <v>87</v>
      </c>
      <c r="B31">
        <v>2371</v>
      </c>
      <c r="C31" s="106" t="s">
        <v>879</v>
      </c>
      <c r="D31" s="106" t="s">
        <v>4830</v>
      </c>
      <c r="E31">
        <v>2945</v>
      </c>
      <c r="F31">
        <v>2961</v>
      </c>
      <c r="G31">
        <v>300</v>
      </c>
      <c r="H31" s="106" t="s">
        <v>4818</v>
      </c>
      <c r="I31">
        <v>2413</v>
      </c>
      <c r="J31" s="106" t="s">
        <v>4837</v>
      </c>
      <c r="K31" s="106" t="s">
        <v>4830</v>
      </c>
      <c r="L31">
        <v>3190</v>
      </c>
      <c r="M31">
        <v>3260</v>
      </c>
      <c r="N31">
        <v>300</v>
      </c>
      <c r="O31" s="106" t="s">
        <v>4815</v>
      </c>
      <c r="P31">
        <v>0.93713736671790604</v>
      </c>
      <c r="Q31">
        <v>0.91578557493155999</v>
      </c>
      <c r="R31">
        <v>3.5956724521786498E-2</v>
      </c>
      <c r="S31">
        <v>0.111704788690835</v>
      </c>
      <c r="T31">
        <v>-1.00165979019174E-2</v>
      </c>
      <c r="U31">
        <v>1.00165979019174E-2</v>
      </c>
      <c r="V31">
        <v>0.109690100496597</v>
      </c>
      <c r="W31">
        <v>-0.05</v>
      </c>
      <c r="X31">
        <v>9.17</v>
      </c>
      <c r="Y31">
        <v>212192</v>
      </c>
      <c r="Z31">
        <v>9645</v>
      </c>
      <c r="AA31">
        <v>0.48</v>
      </c>
      <c r="AB31">
        <v>22</v>
      </c>
      <c r="AC31">
        <v>13</v>
      </c>
      <c r="AD31">
        <v>9</v>
      </c>
      <c r="AE31">
        <v>59.09</v>
      </c>
      <c r="AF31">
        <v>11</v>
      </c>
      <c r="AG31">
        <v>10</v>
      </c>
      <c r="AH31">
        <v>6</v>
      </c>
      <c r="AI31">
        <v>6</v>
      </c>
    </row>
    <row r="32" spans="1:35" x14ac:dyDescent="0.2">
      <c r="A32" s="102">
        <v>15</v>
      </c>
      <c r="B32">
        <v>3105</v>
      </c>
      <c r="C32" s="106" t="s">
        <v>52</v>
      </c>
      <c r="D32" s="106" t="s">
        <v>4820</v>
      </c>
      <c r="E32">
        <v>1024</v>
      </c>
      <c r="F32">
        <v>1024</v>
      </c>
      <c r="G32">
        <v>1000</v>
      </c>
      <c r="H32" s="106" t="s">
        <v>4815</v>
      </c>
      <c r="I32">
        <v>6770</v>
      </c>
      <c r="J32" s="106" t="s">
        <v>25</v>
      </c>
      <c r="K32" s="106" t="s">
        <v>4820</v>
      </c>
      <c r="L32">
        <v>2477</v>
      </c>
      <c r="M32">
        <v>2461</v>
      </c>
      <c r="N32">
        <v>400</v>
      </c>
      <c r="O32" s="106" t="s">
        <v>4818</v>
      </c>
      <c r="P32">
        <v>0.90060707743745405</v>
      </c>
      <c r="Q32">
        <v>0.95466455871082401</v>
      </c>
      <c r="R32">
        <v>0.13819302282927701</v>
      </c>
      <c r="S32" s="106">
        <v>6.6178291523845299E-3</v>
      </c>
      <c r="T32">
        <v>0.71682382700283498</v>
      </c>
      <c r="U32">
        <v>0.71682382700283498</v>
      </c>
      <c r="V32">
        <v>0.17185093467573601</v>
      </c>
      <c r="W32">
        <v>1.64</v>
      </c>
      <c r="X32">
        <v>4.0199999999999996</v>
      </c>
      <c r="Y32">
        <v>211945</v>
      </c>
      <c r="Z32">
        <v>10093</v>
      </c>
      <c r="AA32">
        <v>0.54</v>
      </c>
      <c r="AB32">
        <v>21</v>
      </c>
      <c r="AC32">
        <v>12</v>
      </c>
      <c r="AD32">
        <v>9</v>
      </c>
      <c r="AE32">
        <v>57.14</v>
      </c>
      <c r="AF32">
        <v>9</v>
      </c>
      <c r="AG32">
        <v>11</v>
      </c>
      <c r="AH32">
        <v>7</v>
      </c>
      <c r="AI32">
        <v>3</v>
      </c>
    </row>
    <row r="33" spans="1:35" x14ac:dyDescent="0.2">
      <c r="A33" s="102">
        <v>9</v>
      </c>
      <c r="B33">
        <v>3003</v>
      </c>
      <c r="C33" s="106" t="s">
        <v>828</v>
      </c>
      <c r="D33" s="106" t="s">
        <v>4839</v>
      </c>
      <c r="E33">
        <v>1315</v>
      </c>
      <c r="F33">
        <v>1329</v>
      </c>
      <c r="G33">
        <v>800</v>
      </c>
      <c r="H33" s="106" t="s">
        <v>4818</v>
      </c>
      <c r="I33">
        <v>8804</v>
      </c>
      <c r="J33" s="106" t="s">
        <v>1323</v>
      </c>
      <c r="K33" s="106" t="s">
        <v>4839</v>
      </c>
      <c r="L33">
        <v>1746</v>
      </c>
      <c r="M33">
        <v>1749</v>
      </c>
      <c r="N33">
        <v>600</v>
      </c>
      <c r="O33" s="106" t="s">
        <v>4815</v>
      </c>
      <c r="P33">
        <v>0.96292904961521797</v>
      </c>
      <c r="Q33">
        <v>0.95953940060185405</v>
      </c>
      <c r="R33">
        <v>0.14887123933305199</v>
      </c>
      <c r="S33" s="106">
        <v>0.133641572484481</v>
      </c>
      <c r="T33">
        <v>-4.2253504016043102E-2</v>
      </c>
      <c r="U33">
        <v>4.2253504016043102E-2</v>
      </c>
      <c r="V33">
        <v>0.14680725683255799</v>
      </c>
      <c r="W33">
        <v>-0.08</v>
      </c>
      <c r="X33">
        <v>1.32</v>
      </c>
      <c r="Y33">
        <v>208657</v>
      </c>
      <c r="Z33">
        <v>14904</v>
      </c>
      <c r="AA33">
        <v>0.68</v>
      </c>
      <c r="AB33">
        <v>14</v>
      </c>
      <c r="AC33">
        <v>9</v>
      </c>
      <c r="AD33">
        <v>5</v>
      </c>
      <c r="AE33">
        <v>64.290000000000006</v>
      </c>
      <c r="AF33">
        <v>15</v>
      </c>
      <c r="AG33">
        <v>2</v>
      </c>
      <c r="AH33">
        <v>0</v>
      </c>
      <c r="AI33">
        <v>12</v>
      </c>
    </row>
    <row r="34" spans="1:35" x14ac:dyDescent="0.2">
      <c r="A34" s="102">
        <v>39</v>
      </c>
      <c r="B34">
        <v>5333</v>
      </c>
      <c r="C34" s="106" t="s">
        <v>249</v>
      </c>
      <c r="D34" s="106" t="s">
        <v>4814</v>
      </c>
      <c r="E34">
        <v>1943</v>
      </c>
      <c r="F34">
        <v>1959</v>
      </c>
      <c r="G34">
        <v>600</v>
      </c>
      <c r="H34" s="106" t="s">
        <v>4815</v>
      </c>
      <c r="I34">
        <v>7282</v>
      </c>
      <c r="J34" s="106" t="s">
        <v>628</v>
      </c>
      <c r="K34" s="106" t="s">
        <v>4835</v>
      </c>
      <c r="L34">
        <v>2678</v>
      </c>
      <c r="M34">
        <v>2732</v>
      </c>
      <c r="N34">
        <v>400</v>
      </c>
      <c r="O34" s="106" t="s">
        <v>4818</v>
      </c>
      <c r="P34">
        <v>0.94303418144847395</v>
      </c>
      <c r="Q34">
        <v>0.94503554326780603</v>
      </c>
      <c r="R34" s="15">
        <v>7.1921306481790501E-3</v>
      </c>
      <c r="S34">
        <v>1.36860014665596E-2</v>
      </c>
      <c r="T34">
        <v>0.88007668697502806</v>
      </c>
      <c r="U34">
        <v>0.88007668697502806</v>
      </c>
      <c r="V34">
        <v>1.1176900503865801</v>
      </c>
      <c r="W34">
        <v>1.6</v>
      </c>
      <c r="X34">
        <v>7.56</v>
      </c>
      <c r="Y34">
        <v>202725</v>
      </c>
      <c r="Z34">
        <v>11262</v>
      </c>
      <c r="AA34">
        <v>0.56999999999999995</v>
      </c>
      <c r="AB34">
        <v>18</v>
      </c>
      <c r="AC34">
        <v>10</v>
      </c>
      <c r="AD34">
        <v>8</v>
      </c>
      <c r="AE34">
        <v>55.56</v>
      </c>
      <c r="AF34">
        <v>14</v>
      </c>
      <c r="AG34">
        <v>5</v>
      </c>
      <c r="AH34">
        <v>2</v>
      </c>
      <c r="AI34">
        <v>11</v>
      </c>
    </row>
    <row r="35" spans="1:35" x14ac:dyDescent="0.2">
      <c r="A35" s="102">
        <v>77</v>
      </c>
      <c r="B35">
        <v>8766</v>
      </c>
      <c r="C35" s="106" t="s">
        <v>1320</v>
      </c>
      <c r="D35" s="106" t="s">
        <v>4840</v>
      </c>
      <c r="E35">
        <v>6074</v>
      </c>
      <c r="F35">
        <v>6126</v>
      </c>
      <c r="G35">
        <v>100</v>
      </c>
      <c r="H35" s="106" t="s">
        <v>4818</v>
      </c>
      <c r="I35">
        <v>9934</v>
      </c>
      <c r="J35" s="106" t="s">
        <v>4841</v>
      </c>
      <c r="K35" s="106" t="s">
        <v>4822</v>
      </c>
      <c r="L35">
        <v>2756</v>
      </c>
      <c r="M35">
        <v>2783</v>
      </c>
      <c r="N35">
        <v>200</v>
      </c>
      <c r="O35" s="106" t="s">
        <v>4815</v>
      </c>
      <c r="P35">
        <v>0.926327345099758</v>
      </c>
      <c r="Q35">
        <v>0.91865219411313903</v>
      </c>
      <c r="R35" s="106">
        <v>9.3497316723640796E-4</v>
      </c>
      <c r="S35" s="15">
        <v>1.79288774300319E-3</v>
      </c>
      <c r="T35">
        <v>-1.11933468120974</v>
      </c>
      <c r="U35">
        <v>1.11933468120974</v>
      </c>
      <c r="V35">
        <v>1.22579407513003</v>
      </c>
      <c r="W35">
        <v>-3.46</v>
      </c>
      <c r="X35">
        <v>9.14</v>
      </c>
      <c r="Y35">
        <v>192507</v>
      </c>
      <c r="Z35">
        <v>11324</v>
      </c>
      <c r="AA35">
        <v>0.53</v>
      </c>
      <c r="AB35">
        <v>17</v>
      </c>
      <c r="AC35">
        <v>9</v>
      </c>
      <c r="AD35">
        <v>8</v>
      </c>
      <c r="AE35">
        <v>52.94</v>
      </c>
      <c r="AF35">
        <v>15</v>
      </c>
      <c r="AG35">
        <v>5</v>
      </c>
      <c r="AH35">
        <v>3</v>
      </c>
      <c r="AI35">
        <v>9</v>
      </c>
    </row>
    <row r="36" spans="1:35" x14ac:dyDescent="0.2">
      <c r="A36" s="102">
        <v>6</v>
      </c>
      <c r="B36">
        <v>3635</v>
      </c>
      <c r="C36" s="106" t="s">
        <v>49</v>
      </c>
      <c r="D36" s="106" t="s">
        <v>4817</v>
      </c>
      <c r="E36">
        <v>2929</v>
      </c>
      <c r="F36">
        <v>2952</v>
      </c>
      <c r="G36">
        <v>400</v>
      </c>
      <c r="H36" s="106" t="s">
        <v>4815</v>
      </c>
      <c r="I36">
        <v>4519</v>
      </c>
      <c r="J36" s="106" t="s">
        <v>629</v>
      </c>
      <c r="K36" s="106" t="s">
        <v>4842</v>
      </c>
      <c r="L36">
        <v>10715</v>
      </c>
      <c r="M36">
        <v>10625</v>
      </c>
      <c r="N36">
        <v>100</v>
      </c>
      <c r="O36" s="106" t="s">
        <v>4818</v>
      </c>
      <c r="P36">
        <v>0.95267502183764996</v>
      </c>
      <c r="Q36">
        <v>0.96535005245376804</v>
      </c>
      <c r="R36">
        <v>2.15054036345174E-2</v>
      </c>
      <c r="S36">
        <v>2.7904503719844501E-2</v>
      </c>
      <c r="T36">
        <v>9.7133219180230101E-2</v>
      </c>
      <c r="U36">
        <v>9.7133219180230101E-2</v>
      </c>
      <c r="V36">
        <v>0.16000432143614099</v>
      </c>
      <c r="W36">
        <v>0.22</v>
      </c>
      <c r="X36">
        <v>11.13</v>
      </c>
      <c r="Y36">
        <v>177510</v>
      </c>
      <c r="Z36">
        <v>12679</v>
      </c>
      <c r="AA36">
        <v>1.08</v>
      </c>
      <c r="AB36">
        <v>14</v>
      </c>
      <c r="AC36">
        <v>8</v>
      </c>
      <c r="AD36">
        <v>6</v>
      </c>
      <c r="AE36">
        <v>57.14</v>
      </c>
      <c r="AF36">
        <v>11</v>
      </c>
      <c r="AG36">
        <v>8</v>
      </c>
      <c r="AH36">
        <v>2</v>
      </c>
      <c r="AI36">
        <v>4</v>
      </c>
    </row>
    <row r="37" spans="1:35" x14ac:dyDescent="0.2">
      <c r="A37" s="102">
        <v>90</v>
      </c>
      <c r="B37">
        <v>3003</v>
      </c>
      <c r="C37" s="106" t="s">
        <v>828</v>
      </c>
      <c r="D37" s="106" t="s">
        <v>4839</v>
      </c>
      <c r="E37">
        <v>1315</v>
      </c>
      <c r="F37">
        <v>1329</v>
      </c>
      <c r="G37">
        <v>600</v>
      </c>
      <c r="H37" s="106" t="s">
        <v>4818</v>
      </c>
      <c r="I37">
        <v>7729</v>
      </c>
      <c r="J37" s="106" t="s">
        <v>822</v>
      </c>
      <c r="K37" s="106" t="s">
        <v>4824</v>
      </c>
      <c r="L37">
        <v>4155</v>
      </c>
      <c r="M37">
        <v>4205</v>
      </c>
      <c r="N37">
        <v>200</v>
      </c>
      <c r="O37" s="106" t="s">
        <v>4815</v>
      </c>
      <c r="P37">
        <v>0.93675446500929205</v>
      </c>
      <c r="Q37">
        <v>0.91445780734703797</v>
      </c>
      <c r="R37">
        <v>2.01784098270501E-2</v>
      </c>
      <c r="S37" s="15">
        <v>0.17243072390026701</v>
      </c>
      <c r="T37">
        <v>-0.474630395956194</v>
      </c>
      <c r="U37">
        <v>0.474630395956194</v>
      </c>
      <c r="V37">
        <v>0.13566647125717499</v>
      </c>
      <c r="W37">
        <v>-2.0699999999999998</v>
      </c>
      <c r="X37">
        <v>5.18</v>
      </c>
      <c r="Y37">
        <v>176286</v>
      </c>
      <c r="Z37">
        <v>13560</v>
      </c>
      <c r="AA37">
        <v>0.67</v>
      </c>
      <c r="AB37">
        <v>13</v>
      </c>
      <c r="AC37">
        <v>6</v>
      </c>
      <c r="AD37">
        <v>7</v>
      </c>
      <c r="AE37">
        <v>46.15</v>
      </c>
      <c r="AF37">
        <v>10</v>
      </c>
      <c r="AG37">
        <v>6</v>
      </c>
      <c r="AH37">
        <v>4</v>
      </c>
      <c r="AI37">
        <v>3</v>
      </c>
    </row>
    <row r="38" spans="1:35" x14ac:dyDescent="0.2">
      <c r="A38" s="102">
        <v>65</v>
      </c>
      <c r="B38">
        <v>8572</v>
      </c>
      <c r="C38" s="106" t="s">
        <v>4779</v>
      </c>
      <c r="D38" s="106" t="s">
        <v>4821</v>
      </c>
      <c r="E38">
        <v>514</v>
      </c>
      <c r="F38">
        <v>521</v>
      </c>
      <c r="G38">
        <v>2000</v>
      </c>
      <c r="H38" s="106" t="s">
        <v>4815</v>
      </c>
      <c r="I38">
        <v>8804</v>
      </c>
      <c r="J38" s="106" t="s">
        <v>1323</v>
      </c>
      <c r="K38" s="106" t="s">
        <v>4839</v>
      </c>
      <c r="L38">
        <v>1746</v>
      </c>
      <c r="M38">
        <v>1749</v>
      </c>
      <c r="N38">
        <v>600</v>
      </c>
      <c r="O38" s="106" t="s">
        <v>4818</v>
      </c>
      <c r="P38">
        <v>0.90564477901371898</v>
      </c>
      <c r="Q38">
        <v>0.92958498021325597</v>
      </c>
      <c r="R38">
        <v>0.19692142775166499</v>
      </c>
      <c r="S38" s="15">
        <v>1.8807867918303502E-2</v>
      </c>
      <c r="T38">
        <v>1.76016269749053</v>
      </c>
      <c r="U38">
        <v>1.76016269749053</v>
      </c>
      <c r="V38">
        <v>1.1424505330741599</v>
      </c>
      <c r="W38">
        <v>4.18</v>
      </c>
      <c r="X38">
        <v>0.71</v>
      </c>
      <c r="Y38">
        <v>156856</v>
      </c>
      <c r="Z38">
        <v>8714</v>
      </c>
      <c r="AA38">
        <v>0.45</v>
      </c>
      <c r="AB38">
        <v>18</v>
      </c>
      <c r="AC38">
        <v>11</v>
      </c>
      <c r="AD38">
        <v>7</v>
      </c>
      <c r="AE38">
        <v>61.11</v>
      </c>
      <c r="AF38">
        <v>12</v>
      </c>
      <c r="AG38">
        <v>7</v>
      </c>
      <c r="AH38">
        <v>5</v>
      </c>
      <c r="AI38">
        <v>6</v>
      </c>
    </row>
    <row r="39" spans="1:35" x14ac:dyDescent="0.2">
      <c r="A39" s="102">
        <v>29</v>
      </c>
      <c r="B39">
        <v>1802</v>
      </c>
      <c r="C39" s="106" t="s">
        <v>4843</v>
      </c>
      <c r="D39" s="106" t="s">
        <v>4825</v>
      </c>
      <c r="E39">
        <v>1242</v>
      </c>
      <c r="F39">
        <v>1246</v>
      </c>
      <c r="G39">
        <v>700</v>
      </c>
      <c r="H39" s="106" t="s">
        <v>4818</v>
      </c>
      <c r="I39">
        <v>5393</v>
      </c>
      <c r="J39" s="106" t="s">
        <v>248</v>
      </c>
      <c r="K39" s="106" t="s">
        <v>4814</v>
      </c>
      <c r="L39">
        <v>2809</v>
      </c>
      <c r="M39">
        <v>2838</v>
      </c>
      <c r="N39">
        <v>300</v>
      </c>
      <c r="O39" s="106" t="s">
        <v>4815</v>
      </c>
      <c r="P39">
        <v>0.91129490528497503</v>
      </c>
      <c r="Q39">
        <v>0.94754928272274497</v>
      </c>
      <c r="R39">
        <v>8.4582153508639707E-2</v>
      </c>
      <c r="S39" s="15">
        <v>2.4943375599593E-3</v>
      </c>
      <c r="T39">
        <v>-0.99977636055673602</v>
      </c>
      <c r="U39">
        <v>0.99977636055673602</v>
      </c>
      <c r="V39">
        <v>0.93925698427858895</v>
      </c>
      <c r="W39">
        <v>-8.7899999999999991</v>
      </c>
      <c r="X39">
        <v>2.44</v>
      </c>
      <c r="Y39">
        <v>142565</v>
      </c>
      <c r="Z39">
        <v>7920</v>
      </c>
      <c r="AA39">
        <v>0.36</v>
      </c>
      <c r="AB39">
        <v>18</v>
      </c>
      <c r="AC39">
        <v>11</v>
      </c>
      <c r="AD39">
        <v>7</v>
      </c>
      <c r="AE39">
        <v>61.11</v>
      </c>
      <c r="AF39">
        <v>12</v>
      </c>
      <c r="AG39">
        <v>8</v>
      </c>
      <c r="AH39">
        <v>5</v>
      </c>
      <c r="AI39">
        <v>5</v>
      </c>
    </row>
    <row r="40" spans="1:35" x14ac:dyDescent="0.2">
      <c r="A40" s="102">
        <v>5</v>
      </c>
      <c r="B40">
        <v>6952</v>
      </c>
      <c r="C40" s="106" t="s">
        <v>631</v>
      </c>
      <c r="D40" s="106" t="s">
        <v>4820</v>
      </c>
      <c r="E40">
        <v>2260</v>
      </c>
      <c r="F40">
        <v>2287</v>
      </c>
      <c r="G40">
        <v>400</v>
      </c>
      <c r="H40" s="106" t="s">
        <v>4815</v>
      </c>
      <c r="I40">
        <v>8604</v>
      </c>
      <c r="J40" s="106" t="s">
        <v>632</v>
      </c>
      <c r="K40" s="106" t="s">
        <v>4844</v>
      </c>
      <c r="L40">
        <v>566.70000000000005</v>
      </c>
      <c r="M40">
        <v>576</v>
      </c>
      <c r="N40">
        <v>1600</v>
      </c>
      <c r="O40" s="106" t="s">
        <v>4818</v>
      </c>
      <c r="P40">
        <v>0.95164157077761502</v>
      </c>
      <c r="Q40">
        <v>0.96700065223265597</v>
      </c>
      <c r="R40">
        <v>1.08214918369495E-2</v>
      </c>
      <c r="S40" s="106">
        <v>9.9392665006585806E-2</v>
      </c>
      <c r="T40">
        <v>1.3834081854881899</v>
      </c>
      <c r="U40">
        <v>1.3834081854881899</v>
      </c>
      <c r="V40">
        <v>1.32050081609918</v>
      </c>
      <c r="W40">
        <v>5.93</v>
      </c>
      <c r="X40">
        <v>0.74</v>
      </c>
      <c r="Y40">
        <v>134282</v>
      </c>
      <c r="Z40">
        <v>7899</v>
      </c>
      <c r="AA40">
        <v>0.39</v>
      </c>
      <c r="AB40">
        <v>17</v>
      </c>
      <c r="AC40">
        <v>10</v>
      </c>
      <c r="AD40">
        <v>7</v>
      </c>
      <c r="AE40">
        <v>58.82</v>
      </c>
      <c r="AF40">
        <v>13</v>
      </c>
      <c r="AG40">
        <v>4</v>
      </c>
      <c r="AH40">
        <v>3</v>
      </c>
      <c r="AI40">
        <v>10</v>
      </c>
    </row>
    <row r="41" spans="1:35" x14ac:dyDescent="0.2">
      <c r="A41" s="102">
        <v>2</v>
      </c>
      <c r="B41">
        <v>3110</v>
      </c>
      <c r="C41" s="106" t="s">
        <v>817</v>
      </c>
      <c r="D41" s="106" t="s">
        <v>4814</v>
      </c>
      <c r="E41">
        <v>4975</v>
      </c>
      <c r="F41">
        <v>5020</v>
      </c>
      <c r="G41">
        <v>200</v>
      </c>
      <c r="H41" s="106" t="s">
        <v>4815</v>
      </c>
      <c r="I41">
        <v>3635</v>
      </c>
      <c r="J41" s="106" t="s">
        <v>49</v>
      </c>
      <c r="K41" s="106" t="s">
        <v>4817</v>
      </c>
      <c r="L41">
        <v>2929</v>
      </c>
      <c r="M41">
        <v>2952</v>
      </c>
      <c r="N41">
        <v>300</v>
      </c>
      <c r="O41" s="106" t="s">
        <v>4818</v>
      </c>
      <c r="P41">
        <v>0.955326322599926</v>
      </c>
      <c r="Q41">
        <v>0.976774873598655</v>
      </c>
      <c r="R41">
        <v>5.3408216249674199E-2</v>
      </c>
      <c r="S41">
        <v>1.21749789326011E-2</v>
      </c>
      <c r="T41">
        <v>1.55369829409041</v>
      </c>
      <c r="U41">
        <v>1.55369829409041</v>
      </c>
      <c r="V41">
        <v>1.6866108534036199</v>
      </c>
      <c r="W41">
        <v>11.86</v>
      </c>
      <c r="X41">
        <v>11.79</v>
      </c>
      <c r="Y41">
        <v>132043</v>
      </c>
      <c r="Z41">
        <v>6288</v>
      </c>
      <c r="AA41">
        <v>0.27</v>
      </c>
      <c r="AB41">
        <v>21</v>
      </c>
      <c r="AC41">
        <v>10</v>
      </c>
      <c r="AD41">
        <v>11</v>
      </c>
      <c r="AE41">
        <v>47.62</v>
      </c>
      <c r="AF41">
        <v>11</v>
      </c>
      <c r="AG41">
        <v>8</v>
      </c>
      <c r="AH41">
        <v>7</v>
      </c>
      <c r="AI41">
        <v>6</v>
      </c>
    </row>
    <row r="42" spans="1:35" x14ac:dyDescent="0.2">
      <c r="A42" s="102">
        <v>59</v>
      </c>
      <c r="B42">
        <v>6755</v>
      </c>
      <c r="C42" s="106" t="s">
        <v>805</v>
      </c>
      <c r="D42" s="106" t="s">
        <v>4820</v>
      </c>
      <c r="E42">
        <v>2560</v>
      </c>
      <c r="F42">
        <v>2587</v>
      </c>
      <c r="G42">
        <v>400</v>
      </c>
      <c r="H42" s="106" t="s">
        <v>4815</v>
      </c>
      <c r="I42">
        <v>8425</v>
      </c>
      <c r="J42" s="106" t="s">
        <v>4845</v>
      </c>
      <c r="K42" s="106" t="s">
        <v>4821</v>
      </c>
      <c r="L42">
        <v>3415</v>
      </c>
      <c r="M42">
        <v>3430</v>
      </c>
      <c r="N42">
        <v>300</v>
      </c>
      <c r="O42" s="106" t="s">
        <v>4818</v>
      </c>
      <c r="P42">
        <v>0.932635176802458</v>
      </c>
      <c r="Q42">
        <v>0.93103466002605895</v>
      </c>
      <c r="R42">
        <v>2.1152483573207499E-2</v>
      </c>
      <c r="S42" s="15">
        <v>0.11768941222087</v>
      </c>
      <c r="T42">
        <v>1.7243667031637699</v>
      </c>
      <c r="U42">
        <v>1.7243667031637699</v>
      </c>
      <c r="V42">
        <v>1.52878899790551</v>
      </c>
      <c r="W42">
        <v>12.27</v>
      </c>
      <c r="X42">
        <v>0.56000000000000005</v>
      </c>
      <c r="Y42">
        <v>131697</v>
      </c>
      <c r="Z42">
        <v>8231</v>
      </c>
      <c r="AA42">
        <v>0.46</v>
      </c>
      <c r="AB42">
        <v>16</v>
      </c>
      <c r="AC42">
        <v>9</v>
      </c>
      <c r="AD42">
        <v>7</v>
      </c>
      <c r="AE42">
        <v>56.25</v>
      </c>
      <c r="AF42">
        <v>13</v>
      </c>
      <c r="AG42">
        <v>5</v>
      </c>
      <c r="AH42">
        <v>3</v>
      </c>
      <c r="AI42">
        <v>8</v>
      </c>
    </row>
    <row r="43" spans="1:35" x14ac:dyDescent="0.2">
      <c r="A43" s="102">
        <v>30</v>
      </c>
      <c r="B43">
        <v>3116</v>
      </c>
      <c r="C43" s="106" t="s">
        <v>66</v>
      </c>
      <c r="D43" s="106" t="s">
        <v>4835</v>
      </c>
      <c r="E43">
        <v>1730</v>
      </c>
      <c r="F43">
        <v>1726</v>
      </c>
      <c r="G43">
        <v>600</v>
      </c>
      <c r="H43" s="106" t="s">
        <v>4818</v>
      </c>
      <c r="I43">
        <v>5991</v>
      </c>
      <c r="J43" s="106" t="s">
        <v>1624</v>
      </c>
      <c r="K43" s="106" t="s">
        <v>4846</v>
      </c>
      <c r="L43">
        <v>968</v>
      </c>
      <c r="M43">
        <v>977</v>
      </c>
      <c r="N43">
        <v>1100</v>
      </c>
      <c r="O43" s="106" t="s">
        <v>4815</v>
      </c>
      <c r="P43">
        <v>0.93415575591379696</v>
      </c>
      <c r="Q43">
        <v>0.94745284185376399</v>
      </c>
      <c r="R43">
        <v>6.20281505588402E-3</v>
      </c>
      <c r="S43">
        <v>0.124939779601082</v>
      </c>
      <c r="T43">
        <v>-0.32204742927330199</v>
      </c>
      <c r="U43">
        <v>0.32204742927330199</v>
      </c>
      <c r="V43">
        <v>0.35818293424657899</v>
      </c>
      <c r="W43">
        <v>-0.56999999999999995</v>
      </c>
      <c r="X43">
        <v>3.78</v>
      </c>
      <c r="Y43">
        <v>130988</v>
      </c>
      <c r="Z43">
        <v>8187</v>
      </c>
      <c r="AA43">
        <v>0.46</v>
      </c>
      <c r="AB43">
        <v>16</v>
      </c>
      <c r="AC43">
        <v>10</v>
      </c>
      <c r="AD43">
        <v>6</v>
      </c>
      <c r="AE43">
        <v>62.5</v>
      </c>
      <c r="AF43">
        <v>10</v>
      </c>
      <c r="AG43">
        <v>7</v>
      </c>
      <c r="AH43">
        <v>4</v>
      </c>
      <c r="AI43">
        <v>5</v>
      </c>
    </row>
    <row r="44" spans="1:35" x14ac:dyDescent="0.2">
      <c r="A44" s="102">
        <v>68</v>
      </c>
      <c r="B44">
        <v>1820</v>
      </c>
      <c r="C44" s="106" t="s">
        <v>65</v>
      </c>
      <c r="D44" s="106" t="s">
        <v>4825</v>
      </c>
      <c r="E44">
        <v>2501</v>
      </c>
      <c r="F44">
        <v>2517</v>
      </c>
      <c r="G44">
        <v>400</v>
      </c>
      <c r="H44" s="106" t="s">
        <v>4815</v>
      </c>
      <c r="I44">
        <v>5991</v>
      </c>
      <c r="J44" s="106" t="s">
        <v>1624</v>
      </c>
      <c r="K44" s="106" t="s">
        <v>4846</v>
      </c>
      <c r="L44">
        <v>968</v>
      </c>
      <c r="M44">
        <v>977</v>
      </c>
      <c r="N44">
        <v>1000</v>
      </c>
      <c r="O44" s="106" t="s">
        <v>4818</v>
      </c>
      <c r="P44">
        <v>0.93646807441684199</v>
      </c>
      <c r="Q44">
        <v>0.92695820647750704</v>
      </c>
      <c r="R44" s="15">
        <v>1.3147114817885301E-2</v>
      </c>
      <c r="S44" s="15">
        <v>1.01331613558861E-2</v>
      </c>
      <c r="T44">
        <v>2.48918871514319</v>
      </c>
      <c r="U44">
        <v>2.48918871514319</v>
      </c>
      <c r="V44">
        <v>1.84292232243641</v>
      </c>
      <c r="W44">
        <v>3.78</v>
      </c>
      <c r="X44">
        <v>2.96</v>
      </c>
      <c r="Y44">
        <v>113865</v>
      </c>
      <c r="Z44">
        <v>6698</v>
      </c>
      <c r="AA44">
        <v>0.34</v>
      </c>
      <c r="AB44">
        <v>17</v>
      </c>
      <c r="AC44">
        <v>10</v>
      </c>
      <c r="AD44">
        <v>7</v>
      </c>
      <c r="AE44">
        <v>58.82</v>
      </c>
      <c r="AF44">
        <v>12</v>
      </c>
      <c r="AG44">
        <v>6</v>
      </c>
      <c r="AH44">
        <v>3</v>
      </c>
      <c r="AI44">
        <v>8</v>
      </c>
    </row>
    <row r="45" spans="1:35" x14ac:dyDescent="0.2">
      <c r="A45" s="102">
        <v>52</v>
      </c>
      <c r="B45">
        <v>6755</v>
      </c>
      <c r="C45" s="106" t="s">
        <v>805</v>
      </c>
      <c r="D45" s="106" t="s">
        <v>4820</v>
      </c>
      <c r="E45">
        <v>2560</v>
      </c>
      <c r="F45">
        <v>2587</v>
      </c>
      <c r="G45">
        <v>300</v>
      </c>
      <c r="H45" s="106" t="s">
        <v>4815</v>
      </c>
      <c r="I45">
        <v>8036</v>
      </c>
      <c r="J45" s="106" t="s">
        <v>4829</v>
      </c>
      <c r="K45" s="106" t="s">
        <v>4822</v>
      </c>
      <c r="L45">
        <v>7800</v>
      </c>
      <c r="M45">
        <v>7850</v>
      </c>
      <c r="N45">
        <v>100</v>
      </c>
      <c r="O45" s="106" t="s">
        <v>4818</v>
      </c>
      <c r="P45">
        <v>0.97325959785868199</v>
      </c>
      <c r="Q45">
        <v>0.93613641831287098</v>
      </c>
      <c r="R45" s="106">
        <v>3.3374127739078498E-3</v>
      </c>
      <c r="S45" s="15">
        <v>0.164245590318362</v>
      </c>
      <c r="T45">
        <v>1.68011139353504</v>
      </c>
      <c r="U45">
        <v>1.68011139353504</v>
      </c>
      <c r="V45">
        <v>1.4489100818859599</v>
      </c>
      <c r="W45">
        <v>8.85</v>
      </c>
      <c r="X45">
        <v>1.1299999999999999</v>
      </c>
      <c r="Y45">
        <v>108684</v>
      </c>
      <c r="Z45">
        <v>6393</v>
      </c>
      <c r="AA45">
        <v>0.24</v>
      </c>
      <c r="AB45">
        <v>17</v>
      </c>
      <c r="AC45">
        <v>9</v>
      </c>
      <c r="AD45">
        <v>8</v>
      </c>
      <c r="AE45">
        <v>52.94</v>
      </c>
      <c r="AF45">
        <v>10</v>
      </c>
      <c r="AG45">
        <v>7</v>
      </c>
      <c r="AH45">
        <v>4</v>
      </c>
      <c r="AI45">
        <v>6</v>
      </c>
    </row>
    <row r="46" spans="1:35" x14ac:dyDescent="0.2">
      <c r="A46" s="102">
        <v>104</v>
      </c>
      <c r="B46">
        <v>7701</v>
      </c>
      <c r="C46" s="106" t="s">
        <v>1197</v>
      </c>
      <c r="D46" s="106" t="s">
        <v>4824</v>
      </c>
      <c r="E46">
        <v>3270</v>
      </c>
      <c r="F46">
        <v>3255</v>
      </c>
      <c r="G46">
        <v>200</v>
      </c>
      <c r="H46" s="106" t="s">
        <v>4818</v>
      </c>
      <c r="I46">
        <v>7951</v>
      </c>
      <c r="J46" s="106" t="s">
        <v>1214</v>
      </c>
      <c r="K46" s="106" t="s">
        <v>4847</v>
      </c>
      <c r="L46">
        <v>6100</v>
      </c>
      <c r="M46">
        <v>6130</v>
      </c>
      <c r="N46">
        <v>100</v>
      </c>
      <c r="O46" s="106" t="s">
        <v>4815</v>
      </c>
      <c r="P46">
        <v>0.90695792680670895</v>
      </c>
      <c r="Q46">
        <v>0.90698572986189696</v>
      </c>
      <c r="R46">
        <v>0.327738215105292</v>
      </c>
      <c r="S46" s="15">
        <v>2.4820356013423001E-2</v>
      </c>
      <c r="T46">
        <v>-1.31797079573667</v>
      </c>
      <c r="U46">
        <v>1.31797079573667</v>
      </c>
      <c r="V46">
        <v>1.14985575354387</v>
      </c>
      <c r="W46">
        <v>-3.47</v>
      </c>
      <c r="X46">
        <v>6.2</v>
      </c>
      <c r="Y46">
        <v>103608</v>
      </c>
      <c r="Z46">
        <v>10361</v>
      </c>
      <c r="AA46">
        <v>0.6</v>
      </c>
      <c r="AB46">
        <v>10</v>
      </c>
      <c r="AC46">
        <v>7</v>
      </c>
      <c r="AD46">
        <v>3</v>
      </c>
      <c r="AE46">
        <v>70</v>
      </c>
      <c r="AF46">
        <v>12</v>
      </c>
      <c r="AG46">
        <v>5</v>
      </c>
      <c r="AH46">
        <v>3</v>
      </c>
      <c r="AI46">
        <v>2</v>
      </c>
    </row>
    <row r="47" spans="1:35" x14ac:dyDescent="0.2">
      <c r="A47" s="102">
        <v>45</v>
      </c>
      <c r="B47">
        <v>6755</v>
      </c>
      <c r="C47" s="106" t="s">
        <v>805</v>
      </c>
      <c r="D47" s="106" t="s">
        <v>4820</v>
      </c>
      <c r="E47">
        <v>2560</v>
      </c>
      <c r="F47">
        <v>2587</v>
      </c>
      <c r="G47">
        <v>300</v>
      </c>
      <c r="H47" s="106" t="s">
        <v>4815</v>
      </c>
      <c r="I47">
        <v>6758</v>
      </c>
      <c r="J47" s="106" t="s">
        <v>4834</v>
      </c>
      <c r="K47" s="106" t="s">
        <v>4820</v>
      </c>
      <c r="L47">
        <v>7910</v>
      </c>
      <c r="M47">
        <v>7959</v>
      </c>
      <c r="N47">
        <v>100</v>
      </c>
      <c r="O47" s="106" t="s">
        <v>4818</v>
      </c>
      <c r="P47">
        <v>0.96608411754796897</v>
      </c>
      <c r="Q47">
        <v>0.93939865220044605</v>
      </c>
      <c r="R47" s="15">
        <v>6.0002881795179201E-2</v>
      </c>
      <c r="S47" s="15">
        <v>5.4090630220010899E-2</v>
      </c>
      <c r="T47">
        <v>1.0737682181454999</v>
      </c>
      <c r="U47">
        <v>1.0737682181454999</v>
      </c>
      <c r="V47">
        <v>0.85720694312422396</v>
      </c>
      <c r="W47">
        <v>5.78</v>
      </c>
      <c r="X47">
        <v>2.4900000000000002</v>
      </c>
      <c r="Y47">
        <v>101802</v>
      </c>
      <c r="Z47">
        <v>5988</v>
      </c>
      <c r="AA47">
        <v>0.33</v>
      </c>
      <c r="AB47">
        <v>17</v>
      </c>
      <c r="AC47">
        <v>10</v>
      </c>
      <c r="AD47">
        <v>7</v>
      </c>
      <c r="AE47">
        <v>58.82</v>
      </c>
      <c r="AF47">
        <v>10</v>
      </c>
      <c r="AG47">
        <v>8</v>
      </c>
      <c r="AH47">
        <v>5</v>
      </c>
      <c r="AI47">
        <v>4</v>
      </c>
    </row>
    <row r="48" spans="1:35" x14ac:dyDescent="0.2">
      <c r="A48" s="102">
        <v>85</v>
      </c>
      <c r="B48">
        <v>7729</v>
      </c>
      <c r="C48" s="106" t="s">
        <v>822</v>
      </c>
      <c r="D48" s="106" t="s">
        <v>4824</v>
      </c>
      <c r="E48">
        <v>4155</v>
      </c>
      <c r="F48">
        <v>4205</v>
      </c>
      <c r="G48">
        <v>200</v>
      </c>
      <c r="H48" s="106" t="s">
        <v>4815</v>
      </c>
      <c r="I48">
        <v>8425</v>
      </c>
      <c r="J48" s="106" t="s">
        <v>4845</v>
      </c>
      <c r="K48" s="106" t="s">
        <v>4821</v>
      </c>
      <c r="L48">
        <v>3415</v>
      </c>
      <c r="M48">
        <v>3430</v>
      </c>
      <c r="N48">
        <v>200</v>
      </c>
      <c r="O48" s="106" t="s">
        <v>4818</v>
      </c>
      <c r="P48">
        <v>0.901549325330814</v>
      </c>
      <c r="Q48">
        <v>0.91653838064691195</v>
      </c>
      <c r="R48">
        <v>6.5875462628337794E-2</v>
      </c>
      <c r="S48" s="15">
        <v>0.109198977696991</v>
      </c>
      <c r="T48">
        <v>0.69051710884942497</v>
      </c>
      <c r="U48">
        <v>0.69051710884942497</v>
      </c>
      <c r="V48">
        <v>0.29289544465712802</v>
      </c>
      <c r="W48">
        <v>3.36</v>
      </c>
      <c r="X48">
        <v>18.43</v>
      </c>
      <c r="Y48">
        <v>100667</v>
      </c>
      <c r="Z48">
        <v>10067</v>
      </c>
      <c r="AA48">
        <v>0.37</v>
      </c>
      <c r="AB48">
        <v>10</v>
      </c>
      <c r="AC48">
        <v>4</v>
      </c>
      <c r="AD48">
        <v>6</v>
      </c>
      <c r="AE48">
        <v>40</v>
      </c>
      <c r="AF48">
        <v>10</v>
      </c>
      <c r="AG48">
        <v>4</v>
      </c>
      <c r="AH48">
        <v>3</v>
      </c>
      <c r="AI48">
        <v>3</v>
      </c>
    </row>
    <row r="49" spans="1:35" x14ac:dyDescent="0.2">
      <c r="A49" s="102">
        <v>23</v>
      </c>
      <c r="B49">
        <v>4217</v>
      </c>
      <c r="C49" s="106" t="s">
        <v>1688</v>
      </c>
      <c r="D49" s="106" t="s">
        <v>4848</v>
      </c>
      <c r="E49">
        <v>4590</v>
      </c>
      <c r="F49">
        <v>4590</v>
      </c>
      <c r="G49">
        <v>200</v>
      </c>
      <c r="H49" s="106" t="s">
        <v>4818</v>
      </c>
      <c r="I49">
        <v>9468</v>
      </c>
      <c r="J49" s="106" t="s">
        <v>4816</v>
      </c>
      <c r="K49" s="106" t="s">
        <v>4817</v>
      </c>
      <c r="L49">
        <v>2015</v>
      </c>
      <c r="M49">
        <v>2055</v>
      </c>
      <c r="N49">
        <v>400</v>
      </c>
      <c r="O49" s="106" t="s">
        <v>4815</v>
      </c>
      <c r="P49">
        <v>0.94139609222631404</v>
      </c>
      <c r="Q49">
        <v>0.95115544455909096</v>
      </c>
      <c r="R49">
        <v>0.106886003899714</v>
      </c>
      <c r="S49" s="15">
        <v>0.19907550484098499</v>
      </c>
      <c r="T49">
        <v>-0.23497109631041899</v>
      </c>
      <c r="U49">
        <v>0.23497109631041899</v>
      </c>
      <c r="V49">
        <v>0.278782767932094</v>
      </c>
      <c r="W49">
        <v>-1.01</v>
      </c>
      <c r="X49">
        <v>10.46</v>
      </c>
      <c r="Y49">
        <v>94679</v>
      </c>
      <c r="Z49">
        <v>4304</v>
      </c>
      <c r="AA49">
        <v>0.24</v>
      </c>
      <c r="AB49">
        <v>22</v>
      </c>
      <c r="AC49">
        <v>11</v>
      </c>
      <c r="AD49">
        <v>11</v>
      </c>
      <c r="AE49">
        <v>50</v>
      </c>
      <c r="AF49">
        <v>11</v>
      </c>
      <c r="AG49">
        <v>11</v>
      </c>
      <c r="AH49">
        <v>5</v>
      </c>
      <c r="AI49">
        <v>6</v>
      </c>
    </row>
    <row r="50" spans="1:35" x14ac:dyDescent="0.2">
      <c r="A50" s="102">
        <v>20</v>
      </c>
      <c r="B50">
        <v>3635</v>
      </c>
      <c r="C50" s="106" t="s">
        <v>49</v>
      </c>
      <c r="D50" s="106" t="s">
        <v>4817</v>
      </c>
      <c r="E50">
        <v>2929</v>
      </c>
      <c r="F50">
        <v>2952</v>
      </c>
      <c r="G50">
        <v>300</v>
      </c>
      <c r="H50" s="106" t="s">
        <v>4815</v>
      </c>
      <c r="I50">
        <v>8425</v>
      </c>
      <c r="J50" s="106" t="s">
        <v>4845</v>
      </c>
      <c r="K50" s="106" t="s">
        <v>4821</v>
      </c>
      <c r="L50">
        <v>3415</v>
      </c>
      <c r="M50">
        <v>3430</v>
      </c>
      <c r="N50">
        <v>300</v>
      </c>
      <c r="O50" s="106" t="s">
        <v>4818</v>
      </c>
      <c r="P50">
        <v>0.92102540046614201</v>
      </c>
      <c r="Q50">
        <v>0.95280605279155794</v>
      </c>
      <c r="R50">
        <v>3.6664023102032399E-3</v>
      </c>
      <c r="S50">
        <v>0.17918418356853699</v>
      </c>
      <c r="T50">
        <v>2.1446043154804202</v>
      </c>
      <c r="U50">
        <v>2.1446043154804202</v>
      </c>
      <c r="V50">
        <v>1.9047075510515601</v>
      </c>
      <c r="W50">
        <v>5.87</v>
      </c>
      <c r="X50">
        <v>13.94</v>
      </c>
      <c r="Y50">
        <v>93505</v>
      </c>
      <c r="Z50">
        <v>4921</v>
      </c>
      <c r="AA50">
        <v>0.19</v>
      </c>
      <c r="AB50">
        <v>19</v>
      </c>
      <c r="AC50">
        <v>10</v>
      </c>
      <c r="AD50">
        <v>9</v>
      </c>
      <c r="AE50">
        <v>52.63</v>
      </c>
      <c r="AF50">
        <v>11</v>
      </c>
      <c r="AG50">
        <v>8</v>
      </c>
      <c r="AH50">
        <v>4</v>
      </c>
      <c r="AI50">
        <v>7</v>
      </c>
    </row>
    <row r="51" spans="1:35" x14ac:dyDescent="0.2">
      <c r="A51" s="102">
        <v>22</v>
      </c>
      <c r="B51">
        <v>8604</v>
      </c>
      <c r="C51" s="106" t="s">
        <v>632</v>
      </c>
      <c r="D51" s="106" t="s">
        <v>4844</v>
      </c>
      <c r="E51">
        <v>566.70000000000005</v>
      </c>
      <c r="F51">
        <v>576</v>
      </c>
      <c r="G51">
        <v>1400</v>
      </c>
      <c r="H51" s="106" t="s">
        <v>4815</v>
      </c>
      <c r="I51">
        <v>9989</v>
      </c>
      <c r="J51" s="106" t="s">
        <v>829</v>
      </c>
      <c r="K51" s="106" t="s">
        <v>4849</v>
      </c>
      <c r="L51">
        <v>3930</v>
      </c>
      <c r="M51">
        <v>3965</v>
      </c>
      <c r="N51">
        <v>200</v>
      </c>
      <c r="O51" s="106" t="s">
        <v>4818</v>
      </c>
      <c r="P51">
        <v>0.90823940428121497</v>
      </c>
      <c r="Q51">
        <v>0.95122656589468402</v>
      </c>
      <c r="R51">
        <v>4.9574219347431302E-2</v>
      </c>
      <c r="S51" s="15">
        <v>5.6372405530975998E-3</v>
      </c>
      <c r="T51">
        <v>1.7133336852675201</v>
      </c>
      <c r="U51">
        <v>1.7133336852675201</v>
      </c>
      <c r="V51">
        <v>1.1237371003629799</v>
      </c>
      <c r="W51">
        <v>3.36</v>
      </c>
      <c r="X51">
        <v>1.69</v>
      </c>
      <c r="Y51">
        <v>77595</v>
      </c>
      <c r="Z51">
        <v>5542</v>
      </c>
      <c r="AA51">
        <v>0.28000000000000003</v>
      </c>
      <c r="AB51">
        <v>14</v>
      </c>
      <c r="AC51">
        <v>7</v>
      </c>
      <c r="AD51">
        <v>7</v>
      </c>
      <c r="AE51">
        <v>50</v>
      </c>
      <c r="AF51">
        <v>13</v>
      </c>
      <c r="AG51">
        <v>5</v>
      </c>
      <c r="AH51">
        <v>4</v>
      </c>
      <c r="AI51">
        <v>5</v>
      </c>
    </row>
    <row r="52" spans="1:35" x14ac:dyDescent="0.2">
      <c r="A52" s="102">
        <v>105</v>
      </c>
      <c r="B52">
        <v>3046</v>
      </c>
      <c r="C52" s="106" t="s">
        <v>913</v>
      </c>
      <c r="D52" s="106" t="s">
        <v>4849</v>
      </c>
      <c r="E52">
        <v>7780</v>
      </c>
      <c r="F52">
        <v>7980</v>
      </c>
      <c r="G52">
        <v>100</v>
      </c>
      <c r="H52" s="106" t="s">
        <v>4818</v>
      </c>
      <c r="I52">
        <v>6967</v>
      </c>
      <c r="J52" s="106" t="s">
        <v>1152</v>
      </c>
      <c r="K52" s="106" t="s">
        <v>4820</v>
      </c>
      <c r="L52">
        <v>1351</v>
      </c>
      <c r="M52">
        <v>1377</v>
      </c>
      <c r="N52">
        <v>600</v>
      </c>
      <c r="O52" s="106" t="s">
        <v>4815</v>
      </c>
      <c r="P52">
        <v>0.92641200445669103</v>
      </c>
      <c r="Q52">
        <v>0.90542024076356797</v>
      </c>
      <c r="R52">
        <v>3.06675825855546E-2</v>
      </c>
      <c r="S52" s="15">
        <v>1.9752174300557999E-2</v>
      </c>
      <c r="T52">
        <v>-0.72526149817748398</v>
      </c>
      <c r="U52">
        <v>0.72526149817748398</v>
      </c>
      <c r="V52">
        <v>0.74838617475942504</v>
      </c>
      <c r="W52">
        <v>-4.6399999999999997</v>
      </c>
      <c r="X52">
        <v>3.53</v>
      </c>
      <c r="Y52">
        <v>63258</v>
      </c>
      <c r="Z52">
        <v>3721</v>
      </c>
      <c r="AA52">
        <v>0.45</v>
      </c>
      <c r="AB52">
        <v>17</v>
      </c>
      <c r="AC52">
        <v>10</v>
      </c>
      <c r="AD52">
        <v>7</v>
      </c>
      <c r="AE52">
        <v>58.82</v>
      </c>
      <c r="AF52">
        <v>9</v>
      </c>
      <c r="AG52">
        <v>10</v>
      </c>
      <c r="AH52">
        <v>7</v>
      </c>
      <c r="AI52">
        <v>0</v>
      </c>
    </row>
    <row r="53" spans="1:35" x14ac:dyDescent="0.2">
      <c r="A53" s="102">
        <v>21</v>
      </c>
      <c r="B53">
        <v>1973</v>
      </c>
      <c r="C53" s="106" t="s">
        <v>4823</v>
      </c>
      <c r="D53" s="106" t="s">
        <v>4817</v>
      </c>
      <c r="E53">
        <v>4205</v>
      </c>
      <c r="F53">
        <v>4210</v>
      </c>
      <c r="G53">
        <v>300</v>
      </c>
      <c r="H53" s="106" t="s">
        <v>4815</v>
      </c>
      <c r="I53">
        <v>4519</v>
      </c>
      <c r="J53" s="106" t="s">
        <v>629</v>
      </c>
      <c r="K53" s="106" t="s">
        <v>4842</v>
      </c>
      <c r="L53">
        <v>10715</v>
      </c>
      <c r="M53">
        <v>10625</v>
      </c>
      <c r="N53">
        <v>100</v>
      </c>
      <c r="O53" s="106" t="s">
        <v>4818</v>
      </c>
      <c r="P53">
        <v>0.92078828679007396</v>
      </c>
      <c r="Q53">
        <v>0.95187616999692803</v>
      </c>
      <c r="R53" s="106">
        <v>0.36964429316587699</v>
      </c>
      <c r="S53" s="15">
        <v>4.8515029740331297E-2</v>
      </c>
      <c r="T53">
        <v>2.1117493904428</v>
      </c>
      <c r="U53">
        <v>2.1117493904428</v>
      </c>
      <c r="V53">
        <v>2.1462379116696799</v>
      </c>
      <c r="W53">
        <v>6.79</v>
      </c>
      <c r="X53">
        <v>18.87</v>
      </c>
      <c r="Y53">
        <v>61928</v>
      </c>
      <c r="Z53">
        <v>7741</v>
      </c>
      <c r="AA53">
        <v>0.22</v>
      </c>
      <c r="AB53">
        <v>8</v>
      </c>
      <c r="AC53">
        <v>5</v>
      </c>
      <c r="AD53">
        <v>3</v>
      </c>
      <c r="AE53">
        <v>62.5</v>
      </c>
      <c r="AF53">
        <v>12</v>
      </c>
      <c r="AG53">
        <v>3</v>
      </c>
      <c r="AH53">
        <v>3</v>
      </c>
      <c r="AI53">
        <v>2</v>
      </c>
    </row>
    <row r="54" spans="1:35" x14ac:dyDescent="0.2">
      <c r="A54" s="102">
        <v>48</v>
      </c>
      <c r="B54">
        <v>3938</v>
      </c>
      <c r="C54" s="106" t="s">
        <v>4850</v>
      </c>
      <c r="D54" s="106" t="s">
        <v>4817</v>
      </c>
      <c r="E54">
        <v>5370</v>
      </c>
      <c r="F54">
        <v>5360</v>
      </c>
      <c r="G54">
        <v>200</v>
      </c>
      <c r="H54" s="106" t="s">
        <v>4815</v>
      </c>
      <c r="I54">
        <v>8604</v>
      </c>
      <c r="J54" s="106" t="s">
        <v>632</v>
      </c>
      <c r="K54" s="106" t="s">
        <v>4844</v>
      </c>
      <c r="L54">
        <v>566.70000000000005</v>
      </c>
      <c r="M54">
        <v>576</v>
      </c>
      <c r="N54">
        <v>1900</v>
      </c>
      <c r="O54" s="106" t="s">
        <v>4818</v>
      </c>
      <c r="P54">
        <v>0.92762945188414403</v>
      </c>
      <c r="Q54">
        <v>0.93827278334210396</v>
      </c>
      <c r="R54" s="106">
        <v>7.6835272418704697E-3</v>
      </c>
      <c r="S54" s="15">
        <v>0.13149430201162099</v>
      </c>
      <c r="T54">
        <v>0.59756031917137997</v>
      </c>
      <c r="U54">
        <v>0.59756031917137997</v>
      </c>
      <c r="V54">
        <v>0.84579879554535398</v>
      </c>
      <c r="W54">
        <v>4</v>
      </c>
      <c r="X54">
        <v>2.09</v>
      </c>
      <c r="Y54">
        <v>57193</v>
      </c>
      <c r="Z54">
        <v>2723</v>
      </c>
      <c r="AA54">
        <v>-0.01</v>
      </c>
      <c r="AB54">
        <v>21</v>
      </c>
      <c r="AC54">
        <v>12</v>
      </c>
      <c r="AD54">
        <v>9</v>
      </c>
      <c r="AE54">
        <v>57.14</v>
      </c>
      <c r="AF54">
        <v>10</v>
      </c>
      <c r="AG54">
        <v>10</v>
      </c>
      <c r="AH54">
        <v>8</v>
      </c>
      <c r="AI54">
        <v>3</v>
      </c>
    </row>
    <row r="55" spans="1:35" x14ac:dyDescent="0.2">
      <c r="A55" s="102">
        <v>4</v>
      </c>
      <c r="B55">
        <v>6770</v>
      </c>
      <c r="C55" s="106" t="s">
        <v>25</v>
      </c>
      <c r="D55" s="106" t="s">
        <v>4820</v>
      </c>
      <c r="E55">
        <v>2477</v>
      </c>
      <c r="F55">
        <v>2461</v>
      </c>
      <c r="G55">
        <v>400</v>
      </c>
      <c r="H55" s="106" t="s">
        <v>4818</v>
      </c>
      <c r="I55">
        <v>7282</v>
      </c>
      <c r="J55" s="106" t="s">
        <v>628</v>
      </c>
      <c r="K55" s="106" t="s">
        <v>4835</v>
      </c>
      <c r="L55">
        <v>2678</v>
      </c>
      <c r="M55">
        <v>2732</v>
      </c>
      <c r="N55">
        <v>400</v>
      </c>
      <c r="O55" s="106" t="s">
        <v>4815</v>
      </c>
      <c r="P55">
        <v>0.90195692228340396</v>
      </c>
      <c r="Q55">
        <v>0.96786225541826199</v>
      </c>
      <c r="R55" s="106">
        <v>8.6445767026499795E-2</v>
      </c>
      <c r="S55">
        <v>3.6487422924870802E-4</v>
      </c>
      <c r="T55">
        <v>-1.6032492194147401</v>
      </c>
      <c r="U55">
        <v>1.6032492194147401</v>
      </c>
      <c r="V55">
        <v>0.78893987513977804</v>
      </c>
      <c r="W55">
        <v>-4.2</v>
      </c>
      <c r="X55">
        <v>9.92</v>
      </c>
      <c r="Y55">
        <v>56663</v>
      </c>
      <c r="Z55">
        <v>3778</v>
      </c>
      <c r="AA55">
        <v>0.27</v>
      </c>
      <c r="AB55">
        <v>15</v>
      </c>
      <c r="AC55">
        <v>10</v>
      </c>
      <c r="AD55">
        <v>5</v>
      </c>
      <c r="AE55">
        <v>66.67</v>
      </c>
      <c r="AF55">
        <v>12</v>
      </c>
      <c r="AG55">
        <v>6</v>
      </c>
      <c r="AH55">
        <v>4</v>
      </c>
      <c r="AI55">
        <v>5</v>
      </c>
    </row>
    <row r="56" spans="1:35" x14ac:dyDescent="0.2">
      <c r="A56" s="102">
        <v>31</v>
      </c>
      <c r="B56">
        <v>9433</v>
      </c>
      <c r="C56" s="106" t="s">
        <v>825</v>
      </c>
      <c r="D56" s="106" t="s">
        <v>4817</v>
      </c>
      <c r="E56">
        <v>3284</v>
      </c>
      <c r="F56">
        <v>3281</v>
      </c>
      <c r="G56">
        <v>300</v>
      </c>
      <c r="H56" s="106" t="s">
        <v>4815</v>
      </c>
      <c r="I56">
        <v>9437</v>
      </c>
      <c r="J56" s="106" t="s">
        <v>682</v>
      </c>
      <c r="K56" s="106" t="s">
        <v>4817</v>
      </c>
      <c r="L56">
        <v>3101</v>
      </c>
      <c r="M56">
        <v>3110</v>
      </c>
      <c r="N56">
        <v>300</v>
      </c>
      <c r="O56" s="106" t="s">
        <v>4818</v>
      </c>
      <c r="P56">
        <v>0.92087226942240596</v>
      </c>
      <c r="Q56">
        <v>0.94732529103165397</v>
      </c>
      <c r="R56" s="15">
        <v>2.9257472882065001E-3</v>
      </c>
      <c r="S56">
        <v>0.210345125304361</v>
      </c>
      <c r="T56">
        <v>0.14954228186386501</v>
      </c>
      <c r="U56">
        <v>0.14954228186386501</v>
      </c>
      <c r="V56">
        <v>0.33543208161518501</v>
      </c>
      <c r="W56">
        <v>0.23</v>
      </c>
      <c r="X56">
        <v>5.21</v>
      </c>
      <c r="Y56">
        <v>55049</v>
      </c>
      <c r="Z56">
        <v>3238</v>
      </c>
      <c r="AA56">
        <v>0.19</v>
      </c>
      <c r="AB56">
        <v>17</v>
      </c>
      <c r="AC56">
        <v>9</v>
      </c>
      <c r="AD56">
        <v>8</v>
      </c>
      <c r="AE56">
        <v>52.94</v>
      </c>
      <c r="AF56">
        <v>17</v>
      </c>
      <c r="AG56">
        <v>0</v>
      </c>
      <c r="AH56">
        <v>0</v>
      </c>
      <c r="AI56">
        <v>17</v>
      </c>
    </row>
    <row r="57" spans="1:35" x14ac:dyDescent="0.2">
      <c r="A57" s="102">
        <v>94</v>
      </c>
      <c r="B57">
        <v>6770</v>
      </c>
      <c r="C57" s="106" t="s">
        <v>25</v>
      </c>
      <c r="D57" s="106" t="s">
        <v>4820</v>
      </c>
      <c r="E57">
        <v>2477</v>
      </c>
      <c r="F57">
        <v>2461</v>
      </c>
      <c r="G57">
        <v>400</v>
      </c>
      <c r="H57" s="106" t="s">
        <v>4818</v>
      </c>
      <c r="I57">
        <v>8002</v>
      </c>
      <c r="J57" s="106" t="s">
        <v>30</v>
      </c>
      <c r="K57" s="106" t="s">
        <v>4822</v>
      </c>
      <c r="L57">
        <v>825.6</v>
      </c>
      <c r="M57">
        <v>824.9</v>
      </c>
      <c r="N57">
        <v>1200</v>
      </c>
      <c r="O57" s="106" t="s">
        <v>4815</v>
      </c>
      <c r="P57">
        <v>0.92202710658927101</v>
      </c>
      <c r="Q57">
        <v>0.91197208169038202</v>
      </c>
      <c r="R57">
        <v>3.48519823264748E-3</v>
      </c>
      <c r="S57" s="15">
        <v>9.2876469428320202E-2</v>
      </c>
      <c r="T57">
        <v>-0.276165985704173</v>
      </c>
      <c r="U57">
        <v>0.276165985704173</v>
      </c>
      <c r="V57">
        <v>0.118424561336312</v>
      </c>
      <c r="W57">
        <v>-0.88</v>
      </c>
      <c r="X57">
        <v>0.56000000000000005</v>
      </c>
      <c r="Y57">
        <v>45377</v>
      </c>
      <c r="Z57">
        <v>2669</v>
      </c>
      <c r="AA57">
        <v>0.22</v>
      </c>
      <c r="AB57">
        <v>17</v>
      </c>
      <c r="AC57">
        <v>11</v>
      </c>
      <c r="AD57">
        <v>6</v>
      </c>
      <c r="AE57">
        <v>64.709999999999994</v>
      </c>
      <c r="AF57">
        <v>14</v>
      </c>
      <c r="AG57">
        <v>5</v>
      </c>
      <c r="AH57">
        <v>3</v>
      </c>
      <c r="AI57">
        <v>9</v>
      </c>
    </row>
    <row r="58" spans="1:35" x14ac:dyDescent="0.2">
      <c r="A58" s="102">
        <v>96</v>
      </c>
      <c r="B58">
        <v>3003</v>
      </c>
      <c r="C58" s="106" t="s">
        <v>828</v>
      </c>
      <c r="D58" s="106" t="s">
        <v>4839</v>
      </c>
      <c r="E58">
        <v>1315</v>
      </c>
      <c r="F58">
        <v>1329</v>
      </c>
      <c r="G58">
        <v>800</v>
      </c>
      <c r="H58" s="106" t="s">
        <v>4818</v>
      </c>
      <c r="I58">
        <v>8572</v>
      </c>
      <c r="J58" s="106" t="s">
        <v>4779</v>
      </c>
      <c r="K58" s="106" t="s">
        <v>4821</v>
      </c>
      <c r="L58">
        <v>514</v>
      </c>
      <c r="M58">
        <v>521</v>
      </c>
      <c r="N58">
        <v>2000</v>
      </c>
      <c r="O58" s="106" t="s">
        <v>4815</v>
      </c>
      <c r="P58">
        <v>0.92600919000997495</v>
      </c>
      <c r="Q58">
        <v>0.91155195691235202</v>
      </c>
      <c r="R58">
        <v>0.212040905624374</v>
      </c>
      <c r="S58" s="15">
        <v>0.19463450394690601</v>
      </c>
      <c r="T58">
        <v>-1.78836367014729</v>
      </c>
      <c r="U58">
        <v>1.78836367014729</v>
      </c>
      <c r="V58">
        <v>1.27392452332595</v>
      </c>
      <c r="W58">
        <v>-4.49</v>
      </c>
      <c r="X58">
        <v>1.99</v>
      </c>
      <c r="Y58">
        <v>45013</v>
      </c>
      <c r="Z58">
        <v>2501</v>
      </c>
      <c r="AA58">
        <v>0.16</v>
      </c>
      <c r="AB58">
        <v>18</v>
      </c>
      <c r="AC58">
        <v>9</v>
      </c>
      <c r="AD58">
        <v>9</v>
      </c>
      <c r="AE58">
        <v>50</v>
      </c>
      <c r="AF58">
        <v>14</v>
      </c>
      <c r="AG58">
        <v>6</v>
      </c>
      <c r="AH58">
        <v>5</v>
      </c>
      <c r="AI58">
        <v>7</v>
      </c>
    </row>
    <row r="59" spans="1:35" x14ac:dyDescent="0.2">
      <c r="A59" s="102">
        <v>7</v>
      </c>
      <c r="B59">
        <v>2413</v>
      </c>
      <c r="C59" s="106" t="s">
        <v>4837</v>
      </c>
      <c r="D59" s="106" t="s">
        <v>4830</v>
      </c>
      <c r="E59">
        <v>3190</v>
      </c>
      <c r="F59">
        <v>3260</v>
      </c>
      <c r="G59">
        <v>300</v>
      </c>
      <c r="H59" s="106" t="s">
        <v>4818</v>
      </c>
      <c r="I59">
        <v>3635</v>
      </c>
      <c r="J59" s="106" t="s">
        <v>49</v>
      </c>
      <c r="K59" s="106" t="s">
        <v>4817</v>
      </c>
      <c r="L59">
        <v>2929</v>
      </c>
      <c r="M59">
        <v>2952</v>
      </c>
      <c r="N59">
        <v>300</v>
      </c>
      <c r="O59" s="106" t="s">
        <v>4815</v>
      </c>
      <c r="P59">
        <v>0.93004480465683903</v>
      </c>
      <c r="Q59">
        <v>0.96385279642738897</v>
      </c>
      <c r="R59">
        <v>0.13014102238181199</v>
      </c>
      <c r="S59" s="15">
        <v>3.6792628066371402E-2</v>
      </c>
      <c r="T59">
        <v>-0.539774326595166</v>
      </c>
      <c r="U59">
        <v>0.539774326595166</v>
      </c>
      <c r="V59">
        <v>0.64728674219364002</v>
      </c>
      <c r="W59">
        <v>-1.86</v>
      </c>
      <c r="X59">
        <v>9.4499999999999993</v>
      </c>
      <c r="Y59">
        <v>43348</v>
      </c>
      <c r="Z59">
        <v>2709</v>
      </c>
      <c r="AA59">
        <v>0.02</v>
      </c>
      <c r="AB59">
        <v>16</v>
      </c>
      <c r="AC59">
        <v>7</v>
      </c>
      <c r="AD59">
        <v>9</v>
      </c>
      <c r="AE59">
        <v>43.75</v>
      </c>
      <c r="AF59">
        <v>11</v>
      </c>
      <c r="AG59">
        <v>6</v>
      </c>
      <c r="AH59">
        <v>6</v>
      </c>
      <c r="AI59">
        <v>4</v>
      </c>
    </row>
    <row r="60" spans="1:35" x14ac:dyDescent="0.2">
      <c r="A60" s="102">
        <v>67</v>
      </c>
      <c r="B60">
        <v>5991</v>
      </c>
      <c r="C60" s="106" t="s">
        <v>1624</v>
      </c>
      <c r="D60" s="106" t="s">
        <v>4846</v>
      </c>
      <c r="E60">
        <v>968</v>
      </c>
      <c r="F60">
        <v>977</v>
      </c>
      <c r="G60">
        <v>1100</v>
      </c>
      <c r="H60" s="106" t="s">
        <v>4818</v>
      </c>
      <c r="I60">
        <v>8002</v>
      </c>
      <c r="J60" s="106" t="s">
        <v>30</v>
      </c>
      <c r="K60" s="106" t="s">
        <v>4822</v>
      </c>
      <c r="L60">
        <v>825.6</v>
      </c>
      <c r="M60">
        <v>824.9</v>
      </c>
      <c r="N60">
        <v>1300</v>
      </c>
      <c r="O60" s="106" t="s">
        <v>4815</v>
      </c>
      <c r="P60">
        <v>0.92771103412426503</v>
      </c>
      <c r="Q60">
        <v>0.92742894016699795</v>
      </c>
      <c r="R60" s="15">
        <v>5.1466161640288999E-2</v>
      </c>
      <c r="S60" s="15">
        <v>3.3679000381680702E-2</v>
      </c>
      <c r="T60">
        <v>-0.32283089857354702</v>
      </c>
      <c r="U60">
        <v>0.32283089857354702</v>
      </c>
      <c r="V60">
        <v>0.20490191430742399</v>
      </c>
      <c r="W60">
        <v>-0.86</v>
      </c>
      <c r="X60">
        <v>0.22</v>
      </c>
      <c r="Y60">
        <v>31391</v>
      </c>
      <c r="Z60">
        <v>1744</v>
      </c>
      <c r="AA60">
        <v>0.11</v>
      </c>
      <c r="AB60">
        <v>18</v>
      </c>
      <c r="AC60">
        <v>9</v>
      </c>
      <c r="AD60">
        <v>9</v>
      </c>
      <c r="AE60">
        <v>50</v>
      </c>
      <c r="AF60">
        <v>15</v>
      </c>
      <c r="AG60">
        <v>5</v>
      </c>
      <c r="AH60">
        <v>3</v>
      </c>
      <c r="AI60">
        <v>10</v>
      </c>
    </row>
    <row r="61" spans="1:35" x14ac:dyDescent="0.2">
      <c r="A61" s="102">
        <v>32</v>
      </c>
      <c r="B61">
        <v>1973</v>
      </c>
      <c r="C61" s="106" t="s">
        <v>4823</v>
      </c>
      <c r="D61" s="106" t="s">
        <v>4817</v>
      </c>
      <c r="E61">
        <v>4205</v>
      </c>
      <c r="F61">
        <v>4210</v>
      </c>
      <c r="G61">
        <v>200</v>
      </c>
      <c r="H61" s="106" t="s">
        <v>4815</v>
      </c>
      <c r="I61">
        <v>6951</v>
      </c>
      <c r="J61" s="106" t="s">
        <v>239</v>
      </c>
      <c r="K61" s="106" t="s">
        <v>4820</v>
      </c>
      <c r="L61">
        <v>3530</v>
      </c>
      <c r="M61">
        <v>3620</v>
      </c>
      <c r="N61">
        <v>200</v>
      </c>
      <c r="O61" s="106" t="s">
        <v>4818</v>
      </c>
      <c r="P61">
        <v>0.93008473915748502</v>
      </c>
      <c r="Q61">
        <v>0.94645922501379198</v>
      </c>
      <c r="R61">
        <v>1.6066840431378598E-2</v>
      </c>
      <c r="S61" s="15">
        <v>0.32585775209098999</v>
      </c>
      <c r="T61">
        <v>0.49427200043966502</v>
      </c>
      <c r="U61">
        <v>0.49427200043966502</v>
      </c>
      <c r="V61">
        <v>1.04088107700312</v>
      </c>
      <c r="W61">
        <v>1.66</v>
      </c>
      <c r="X61">
        <v>14.01</v>
      </c>
      <c r="Y61">
        <v>26507</v>
      </c>
      <c r="Z61">
        <v>1559</v>
      </c>
      <c r="AA61">
        <v>0.09</v>
      </c>
      <c r="AB61">
        <v>17</v>
      </c>
      <c r="AC61">
        <v>9</v>
      </c>
      <c r="AD61">
        <v>8</v>
      </c>
      <c r="AE61">
        <v>52.94</v>
      </c>
      <c r="AF61">
        <v>10</v>
      </c>
      <c r="AG61">
        <v>7</v>
      </c>
      <c r="AH61">
        <v>7</v>
      </c>
      <c r="AI61">
        <v>3</v>
      </c>
    </row>
    <row r="62" spans="1:35" x14ac:dyDescent="0.2">
      <c r="A62" s="102">
        <v>16</v>
      </c>
      <c r="B62">
        <v>4519</v>
      </c>
      <c r="C62" s="106" t="s">
        <v>629</v>
      </c>
      <c r="D62" s="106" t="s">
        <v>4842</v>
      </c>
      <c r="E62">
        <v>10715</v>
      </c>
      <c r="F62">
        <v>10625</v>
      </c>
      <c r="G62">
        <v>100</v>
      </c>
      <c r="H62" s="106" t="s">
        <v>4815</v>
      </c>
      <c r="I62">
        <v>8425</v>
      </c>
      <c r="J62" s="106" t="s">
        <v>4845</v>
      </c>
      <c r="K62" s="106" t="s">
        <v>4821</v>
      </c>
      <c r="L62">
        <v>3415</v>
      </c>
      <c r="M62">
        <v>3430</v>
      </c>
      <c r="N62">
        <v>300</v>
      </c>
      <c r="O62" s="106" t="s">
        <v>4818</v>
      </c>
      <c r="P62">
        <v>0.91735678596917902</v>
      </c>
      <c r="Q62">
        <v>0.954476626818619</v>
      </c>
      <c r="R62" s="15">
        <v>8.8212065260676806E-2</v>
      </c>
      <c r="S62">
        <v>1.4924042601801199E-2</v>
      </c>
      <c r="T62">
        <v>1.7839461338562901</v>
      </c>
      <c r="U62">
        <v>1.7839461338562901</v>
      </c>
      <c r="V62">
        <v>1.7372038553276301</v>
      </c>
      <c r="W62">
        <v>5.63</v>
      </c>
      <c r="X62">
        <v>3.15</v>
      </c>
      <c r="Y62">
        <v>25042</v>
      </c>
      <c r="Z62">
        <v>1926</v>
      </c>
      <c r="AA62">
        <v>0.5</v>
      </c>
      <c r="AB62">
        <v>13</v>
      </c>
      <c r="AC62">
        <v>8</v>
      </c>
      <c r="AD62">
        <v>5</v>
      </c>
      <c r="AE62">
        <v>61.54</v>
      </c>
      <c r="AF62">
        <v>14</v>
      </c>
      <c r="AG62">
        <v>6</v>
      </c>
      <c r="AH62">
        <v>3</v>
      </c>
      <c r="AI62">
        <v>4</v>
      </c>
    </row>
    <row r="63" spans="1:35" x14ac:dyDescent="0.2">
      <c r="A63" s="102">
        <v>58</v>
      </c>
      <c r="B63">
        <v>3291</v>
      </c>
      <c r="C63" s="106" t="s">
        <v>62</v>
      </c>
      <c r="D63" s="106" t="s">
        <v>4839</v>
      </c>
      <c r="E63">
        <v>1951</v>
      </c>
      <c r="F63">
        <v>1960</v>
      </c>
      <c r="G63">
        <v>500</v>
      </c>
      <c r="H63" s="106" t="s">
        <v>4818</v>
      </c>
      <c r="I63">
        <v>8601</v>
      </c>
      <c r="J63" s="106" t="s">
        <v>26</v>
      </c>
      <c r="K63" s="106" t="s">
        <v>4844</v>
      </c>
      <c r="L63">
        <v>567.70000000000005</v>
      </c>
      <c r="M63">
        <v>573.4</v>
      </c>
      <c r="N63">
        <v>1700</v>
      </c>
      <c r="O63" s="106" t="s">
        <v>4815</v>
      </c>
      <c r="P63">
        <v>0.90393206591311703</v>
      </c>
      <c r="Q63">
        <v>0.93313658857365001</v>
      </c>
      <c r="R63" s="15">
        <v>0.38660637719453</v>
      </c>
      <c r="S63">
        <v>0.16474426637986</v>
      </c>
      <c r="T63">
        <v>-1.48926140718789</v>
      </c>
      <c r="U63">
        <v>1.48926140718789</v>
      </c>
      <c r="V63">
        <v>1.7518864363745801</v>
      </c>
      <c r="W63">
        <v>-3.12</v>
      </c>
      <c r="X63">
        <v>0.53</v>
      </c>
      <c r="Y63">
        <v>20146</v>
      </c>
      <c r="Z63">
        <v>1119</v>
      </c>
      <c r="AA63">
        <v>7.0000000000000007E-2</v>
      </c>
      <c r="AB63">
        <v>18</v>
      </c>
      <c r="AC63">
        <v>11</v>
      </c>
      <c r="AD63">
        <v>7</v>
      </c>
      <c r="AE63">
        <v>61.11</v>
      </c>
      <c r="AF63">
        <v>16</v>
      </c>
      <c r="AG63">
        <v>3</v>
      </c>
      <c r="AH63">
        <v>1</v>
      </c>
      <c r="AI63">
        <v>14</v>
      </c>
    </row>
    <row r="64" spans="1:35" x14ac:dyDescent="0.2">
      <c r="A64" s="102">
        <v>38</v>
      </c>
      <c r="B64">
        <v>2379</v>
      </c>
      <c r="C64" s="106" t="s">
        <v>681</v>
      </c>
      <c r="D64" s="106" t="s">
        <v>4830</v>
      </c>
      <c r="E64">
        <v>3430</v>
      </c>
      <c r="F64">
        <v>3455</v>
      </c>
      <c r="G64">
        <v>300</v>
      </c>
      <c r="H64" s="106" t="s">
        <v>4818</v>
      </c>
      <c r="I64">
        <v>3110</v>
      </c>
      <c r="J64" s="106" t="s">
        <v>817</v>
      </c>
      <c r="K64" s="106" t="s">
        <v>4814</v>
      </c>
      <c r="L64">
        <v>4975</v>
      </c>
      <c r="M64">
        <v>5020</v>
      </c>
      <c r="N64">
        <v>200</v>
      </c>
      <c r="O64" s="106" t="s">
        <v>4815</v>
      </c>
      <c r="P64">
        <v>0.91385192301052898</v>
      </c>
      <c r="Q64">
        <v>0.94516732535797798</v>
      </c>
      <c r="R64" s="15">
        <v>4.9898042618108797E-2</v>
      </c>
      <c r="S64" s="106">
        <v>0.31808498235531102</v>
      </c>
      <c r="T64">
        <v>-1.3789706709521701</v>
      </c>
      <c r="U64">
        <v>1.3789706709521701</v>
      </c>
      <c r="V64">
        <v>1.40186738858301</v>
      </c>
      <c r="W64">
        <v>-14.78</v>
      </c>
      <c r="X64">
        <v>3.24</v>
      </c>
      <c r="Y64">
        <v>13580</v>
      </c>
      <c r="Z64">
        <v>679</v>
      </c>
      <c r="AA64">
        <v>0.11</v>
      </c>
      <c r="AB64">
        <v>20</v>
      </c>
      <c r="AC64">
        <v>11</v>
      </c>
      <c r="AD64">
        <v>9</v>
      </c>
      <c r="AE64">
        <v>55</v>
      </c>
      <c r="AF64">
        <v>11</v>
      </c>
      <c r="AG64">
        <v>7</v>
      </c>
      <c r="AH64">
        <v>7</v>
      </c>
      <c r="AI64">
        <v>6</v>
      </c>
    </row>
    <row r="65" spans="1:35" x14ac:dyDescent="0.2">
      <c r="A65" s="102">
        <v>92</v>
      </c>
      <c r="B65">
        <v>3003</v>
      </c>
      <c r="C65" s="106" t="s">
        <v>828</v>
      </c>
      <c r="D65" s="106" t="s">
        <v>4839</v>
      </c>
      <c r="E65">
        <v>1315</v>
      </c>
      <c r="F65">
        <v>1329</v>
      </c>
      <c r="G65">
        <v>800</v>
      </c>
      <c r="H65" s="106" t="s">
        <v>4815</v>
      </c>
      <c r="I65">
        <v>8425</v>
      </c>
      <c r="J65" s="106" t="s">
        <v>4845</v>
      </c>
      <c r="K65" s="106" t="s">
        <v>4821</v>
      </c>
      <c r="L65">
        <v>3415</v>
      </c>
      <c r="M65">
        <v>3430</v>
      </c>
      <c r="N65">
        <v>300</v>
      </c>
      <c r="O65" s="106" t="s">
        <v>4818</v>
      </c>
      <c r="P65">
        <v>0.95102793692812104</v>
      </c>
      <c r="Q65">
        <v>0.91265121280948802</v>
      </c>
      <c r="R65">
        <v>1.7249344920343801E-2</v>
      </c>
      <c r="S65">
        <v>0.329929810329327</v>
      </c>
      <c r="T65">
        <v>0.86001537031554698</v>
      </c>
      <c r="U65">
        <v>0.86001537031554698</v>
      </c>
      <c r="V65">
        <v>0.60035661795990702</v>
      </c>
      <c r="W65">
        <v>1.55</v>
      </c>
      <c r="X65">
        <v>3.32</v>
      </c>
      <c r="Y65">
        <v>11593</v>
      </c>
      <c r="Z65">
        <v>773</v>
      </c>
      <c r="AA65">
        <v>0.06</v>
      </c>
      <c r="AB65">
        <v>15</v>
      </c>
      <c r="AC65">
        <v>9</v>
      </c>
      <c r="AD65">
        <v>6</v>
      </c>
      <c r="AE65">
        <v>60</v>
      </c>
      <c r="AF65">
        <v>13</v>
      </c>
      <c r="AG65">
        <v>4</v>
      </c>
      <c r="AH65">
        <v>3</v>
      </c>
      <c r="AI65">
        <v>8</v>
      </c>
    </row>
    <row r="66" spans="1:35" x14ac:dyDescent="0.2">
      <c r="A66" s="102">
        <v>13</v>
      </c>
      <c r="B66">
        <v>2413</v>
      </c>
      <c r="C66" s="106" t="s">
        <v>4837</v>
      </c>
      <c r="D66" s="106" t="s">
        <v>4830</v>
      </c>
      <c r="E66">
        <v>3190</v>
      </c>
      <c r="F66">
        <v>3260</v>
      </c>
      <c r="G66">
        <v>200</v>
      </c>
      <c r="H66" s="106" t="s">
        <v>4815</v>
      </c>
      <c r="I66">
        <v>8036</v>
      </c>
      <c r="J66" s="106" t="s">
        <v>4829</v>
      </c>
      <c r="K66" s="106" t="s">
        <v>4822</v>
      </c>
      <c r="L66">
        <v>7800</v>
      </c>
      <c r="M66">
        <v>7850</v>
      </c>
      <c r="N66">
        <v>100</v>
      </c>
      <c r="O66" s="106" t="s">
        <v>4818</v>
      </c>
      <c r="P66">
        <v>0.93058374540338895</v>
      </c>
      <c r="Q66">
        <v>0.95606124371698598</v>
      </c>
      <c r="R66">
        <v>0.14885396437939999</v>
      </c>
      <c r="S66">
        <v>6.20031039470849E-2</v>
      </c>
      <c r="T66">
        <v>8.5882512065054595E-2</v>
      </c>
      <c r="U66">
        <v>8.5882512065054595E-2</v>
      </c>
      <c r="V66">
        <v>0.23703491651296901</v>
      </c>
      <c r="W66">
        <v>0.27</v>
      </c>
      <c r="X66">
        <v>16.940000000000001</v>
      </c>
      <c r="Y66">
        <v>8756</v>
      </c>
      <c r="Z66">
        <v>625</v>
      </c>
      <c r="AA66">
        <v>0.02</v>
      </c>
      <c r="AB66">
        <v>14</v>
      </c>
      <c r="AC66">
        <v>6</v>
      </c>
      <c r="AD66">
        <v>8</v>
      </c>
      <c r="AE66">
        <v>42.86</v>
      </c>
      <c r="AF66">
        <v>11</v>
      </c>
      <c r="AG66">
        <v>4</v>
      </c>
      <c r="AH66">
        <v>6</v>
      </c>
      <c r="AI66">
        <v>4</v>
      </c>
    </row>
    <row r="67" spans="1:35" x14ac:dyDescent="0.2">
      <c r="A67" s="102">
        <v>69</v>
      </c>
      <c r="B67">
        <v>5802</v>
      </c>
      <c r="C67" s="106" t="s">
        <v>4832</v>
      </c>
      <c r="D67" s="106" t="s">
        <v>4833</v>
      </c>
      <c r="E67">
        <v>1597</v>
      </c>
      <c r="F67">
        <v>1612.5</v>
      </c>
      <c r="G67">
        <v>600</v>
      </c>
      <c r="H67" s="106" t="s">
        <v>4815</v>
      </c>
      <c r="I67">
        <v>6770</v>
      </c>
      <c r="J67" s="106" t="s">
        <v>25</v>
      </c>
      <c r="K67" s="106" t="s">
        <v>4820</v>
      </c>
      <c r="L67">
        <v>2477</v>
      </c>
      <c r="M67">
        <v>2461</v>
      </c>
      <c r="N67">
        <v>400</v>
      </c>
      <c r="O67" s="106" t="s">
        <v>4818</v>
      </c>
      <c r="P67">
        <v>0.90079888542294195</v>
      </c>
      <c r="Q67">
        <v>0.92652302901011696</v>
      </c>
      <c r="R67" s="15">
        <v>2.7166116958084598E-2</v>
      </c>
      <c r="S67">
        <v>0.208680871862366</v>
      </c>
      <c r="T67">
        <v>5.0898483476586997E-3</v>
      </c>
      <c r="U67">
        <v>5.0898483476586997E-3</v>
      </c>
      <c r="V67">
        <v>0.93697745451509895</v>
      </c>
      <c r="W67">
        <v>0.01</v>
      </c>
      <c r="X67">
        <v>1.72</v>
      </c>
      <c r="Y67">
        <v>2858</v>
      </c>
      <c r="Z67">
        <v>179</v>
      </c>
      <c r="AA67">
        <v>0.09</v>
      </c>
      <c r="AB67">
        <v>16</v>
      </c>
      <c r="AC67">
        <v>7</v>
      </c>
      <c r="AD67">
        <v>9</v>
      </c>
      <c r="AE67">
        <v>43.75</v>
      </c>
      <c r="AF67">
        <v>14</v>
      </c>
      <c r="AG67">
        <v>5</v>
      </c>
      <c r="AH67">
        <v>4</v>
      </c>
      <c r="AI67">
        <v>7</v>
      </c>
    </row>
    <row r="68" spans="1:35" x14ac:dyDescent="0.2">
      <c r="A68" s="102">
        <v>86</v>
      </c>
      <c r="B68">
        <v>6758</v>
      </c>
      <c r="C68" s="106" t="s">
        <v>4834</v>
      </c>
      <c r="D68" s="106" t="s">
        <v>4820</v>
      </c>
      <c r="E68">
        <v>7910</v>
      </c>
      <c r="F68">
        <v>7959</v>
      </c>
      <c r="G68">
        <v>100</v>
      </c>
      <c r="H68" s="106" t="s">
        <v>4818</v>
      </c>
      <c r="I68">
        <v>9468</v>
      </c>
      <c r="J68" s="106" t="s">
        <v>4816</v>
      </c>
      <c r="K68" s="106" t="s">
        <v>4817</v>
      </c>
      <c r="L68">
        <v>2015</v>
      </c>
      <c r="M68">
        <v>2055</v>
      </c>
      <c r="N68">
        <v>400</v>
      </c>
      <c r="O68" s="106" t="s">
        <v>4815</v>
      </c>
      <c r="P68">
        <v>0.91834896131704902</v>
      </c>
      <c r="Q68">
        <v>0.91580550420708895</v>
      </c>
      <c r="R68">
        <v>0.33437681067365899</v>
      </c>
      <c r="S68">
        <v>5.6854289962878599E-2</v>
      </c>
      <c r="T68">
        <v>-0.59582650510223401</v>
      </c>
      <c r="U68">
        <v>0.59582650510223401</v>
      </c>
      <c r="V68">
        <v>0.30010471288475798</v>
      </c>
      <c r="W68">
        <v>-3.93</v>
      </c>
      <c r="X68">
        <v>3.28</v>
      </c>
      <c r="Y68">
        <v>-2605</v>
      </c>
      <c r="Z68">
        <v>-124</v>
      </c>
      <c r="AA68">
        <v>0.03</v>
      </c>
      <c r="AB68">
        <v>21</v>
      </c>
      <c r="AC68">
        <v>9</v>
      </c>
      <c r="AD68">
        <v>12</v>
      </c>
      <c r="AE68">
        <v>42.86</v>
      </c>
      <c r="AF68">
        <v>10</v>
      </c>
      <c r="AG68">
        <v>8</v>
      </c>
      <c r="AH68">
        <v>6</v>
      </c>
      <c r="AI68">
        <v>7</v>
      </c>
    </row>
    <row r="69" spans="1:35" x14ac:dyDescent="0.2">
      <c r="A69" s="102">
        <v>24</v>
      </c>
      <c r="B69">
        <v>5802</v>
      </c>
      <c r="C69" s="106" t="s">
        <v>4832</v>
      </c>
      <c r="D69" s="106" t="s">
        <v>4833</v>
      </c>
      <c r="E69">
        <v>1597</v>
      </c>
      <c r="F69">
        <v>1612.5</v>
      </c>
      <c r="G69">
        <v>600</v>
      </c>
      <c r="H69" s="106" t="s">
        <v>4818</v>
      </c>
      <c r="I69">
        <v>8002</v>
      </c>
      <c r="J69" s="106" t="s">
        <v>30</v>
      </c>
      <c r="K69" s="106" t="s">
        <v>4822</v>
      </c>
      <c r="L69">
        <v>825.6</v>
      </c>
      <c r="M69">
        <v>824.9</v>
      </c>
      <c r="N69">
        <v>1200</v>
      </c>
      <c r="O69" s="106" t="s">
        <v>4815</v>
      </c>
      <c r="P69">
        <v>0.90205532129119403</v>
      </c>
      <c r="Q69">
        <v>0.94989867769793401</v>
      </c>
      <c r="R69" s="106">
        <v>0.32506977916952601</v>
      </c>
      <c r="S69" s="106">
        <v>4.3537981839974399E-2</v>
      </c>
      <c r="T69">
        <v>-0.34441820766972298</v>
      </c>
      <c r="U69">
        <v>0.34441820766972298</v>
      </c>
      <c r="V69">
        <v>0.65482774519159104</v>
      </c>
      <c r="W69">
        <v>-0.83</v>
      </c>
      <c r="X69">
        <v>2.31</v>
      </c>
      <c r="Y69">
        <v>-14976</v>
      </c>
      <c r="Z69">
        <v>-881</v>
      </c>
      <c r="AA69">
        <v>-0.04</v>
      </c>
      <c r="AB69">
        <v>17</v>
      </c>
      <c r="AC69">
        <v>8</v>
      </c>
      <c r="AD69">
        <v>9</v>
      </c>
      <c r="AE69">
        <v>47.06</v>
      </c>
      <c r="AF69">
        <v>15</v>
      </c>
      <c r="AG69">
        <v>4</v>
      </c>
      <c r="AH69">
        <v>2</v>
      </c>
      <c r="AI69">
        <v>11</v>
      </c>
    </row>
    <row r="70" spans="1:35" x14ac:dyDescent="0.2">
      <c r="A70" s="102">
        <v>97</v>
      </c>
      <c r="B70">
        <v>4217</v>
      </c>
      <c r="C70" s="106" t="s">
        <v>1688</v>
      </c>
      <c r="D70" s="106" t="s">
        <v>4848</v>
      </c>
      <c r="E70">
        <v>4590</v>
      </c>
      <c r="F70">
        <v>4590</v>
      </c>
      <c r="G70">
        <v>200</v>
      </c>
      <c r="H70" s="106" t="s">
        <v>4815</v>
      </c>
      <c r="I70">
        <v>6501</v>
      </c>
      <c r="J70" s="106" t="s">
        <v>4345</v>
      </c>
      <c r="K70" s="106" t="s">
        <v>4820</v>
      </c>
      <c r="L70">
        <v>4542</v>
      </c>
      <c r="M70">
        <v>4535</v>
      </c>
      <c r="N70">
        <v>200</v>
      </c>
      <c r="O70" s="106" t="s">
        <v>4818</v>
      </c>
      <c r="P70">
        <v>0.91042895292326198</v>
      </c>
      <c r="Q70">
        <v>0.91077374519290999</v>
      </c>
      <c r="R70" s="106">
        <v>0.100440059916535</v>
      </c>
      <c r="S70" s="15">
        <v>0.13447288300003399</v>
      </c>
      <c r="T70">
        <v>1.4886451459439101</v>
      </c>
      <c r="U70">
        <v>1.4886451459439101</v>
      </c>
      <c r="V70">
        <v>1.34891979026868</v>
      </c>
      <c r="W70">
        <v>9.98</v>
      </c>
      <c r="X70">
        <v>1.2</v>
      </c>
      <c r="Y70">
        <v>-25799</v>
      </c>
      <c r="Z70">
        <v>-1612</v>
      </c>
      <c r="AA70">
        <v>-0.11</v>
      </c>
      <c r="AB70">
        <v>16</v>
      </c>
      <c r="AC70">
        <v>10</v>
      </c>
      <c r="AD70">
        <v>6</v>
      </c>
      <c r="AE70">
        <v>62.5</v>
      </c>
      <c r="AF70">
        <v>13</v>
      </c>
      <c r="AG70">
        <v>5</v>
      </c>
      <c r="AH70">
        <v>2</v>
      </c>
      <c r="AI70">
        <v>9</v>
      </c>
    </row>
    <row r="71" spans="1:35" x14ac:dyDescent="0.2">
      <c r="A71" s="102">
        <v>60</v>
      </c>
      <c r="B71">
        <v>6028</v>
      </c>
      <c r="C71" s="106" t="s">
        <v>831</v>
      </c>
      <c r="D71" s="106" t="s">
        <v>4830</v>
      </c>
      <c r="E71">
        <v>7550</v>
      </c>
      <c r="F71">
        <v>7770</v>
      </c>
      <c r="G71">
        <v>100</v>
      </c>
      <c r="H71" s="106" t="s">
        <v>4818</v>
      </c>
      <c r="I71">
        <v>6588</v>
      </c>
      <c r="J71" s="106" t="s">
        <v>630</v>
      </c>
      <c r="K71" s="106" t="s">
        <v>4820</v>
      </c>
      <c r="L71">
        <v>4575</v>
      </c>
      <c r="M71">
        <v>4525</v>
      </c>
      <c r="N71">
        <v>200</v>
      </c>
      <c r="O71" s="106" t="s">
        <v>4815</v>
      </c>
      <c r="P71">
        <v>0.93880552802615702</v>
      </c>
      <c r="Q71">
        <v>0.93071803777384698</v>
      </c>
      <c r="R71">
        <v>6.7358987686832296E-3</v>
      </c>
      <c r="S71" s="15">
        <v>2.0265886669410999E-2</v>
      </c>
      <c r="T71">
        <v>-5.3233603569804201E-2</v>
      </c>
      <c r="U71">
        <v>5.3233603569804201E-2</v>
      </c>
      <c r="V71">
        <v>0.541257240186517</v>
      </c>
      <c r="W71">
        <v>-0.28000000000000003</v>
      </c>
      <c r="X71">
        <v>16.47</v>
      </c>
      <c r="Y71">
        <v>-35354</v>
      </c>
      <c r="Z71">
        <v>-2720</v>
      </c>
      <c r="AA71">
        <v>-0.43</v>
      </c>
      <c r="AB71">
        <v>13</v>
      </c>
      <c r="AC71">
        <v>5</v>
      </c>
      <c r="AD71">
        <v>8</v>
      </c>
      <c r="AE71">
        <v>38.46</v>
      </c>
      <c r="AF71">
        <v>10</v>
      </c>
      <c r="AG71">
        <v>5</v>
      </c>
      <c r="AH71">
        <v>6</v>
      </c>
      <c r="AI71">
        <v>2</v>
      </c>
    </row>
    <row r="72" spans="1:35" x14ac:dyDescent="0.2">
      <c r="A72" s="102">
        <v>42</v>
      </c>
      <c r="B72">
        <v>3038</v>
      </c>
      <c r="C72" s="106" t="s">
        <v>1625</v>
      </c>
      <c r="D72" s="106" t="s">
        <v>4822</v>
      </c>
      <c r="E72">
        <v>4270</v>
      </c>
      <c r="F72">
        <v>4420</v>
      </c>
      <c r="G72">
        <v>200</v>
      </c>
      <c r="H72" s="106" t="s">
        <v>4815</v>
      </c>
      <c r="I72">
        <v>6951</v>
      </c>
      <c r="J72" s="106" t="s">
        <v>239</v>
      </c>
      <c r="K72" s="106" t="s">
        <v>4820</v>
      </c>
      <c r="L72">
        <v>3530</v>
      </c>
      <c r="M72">
        <v>3620</v>
      </c>
      <c r="N72">
        <v>200</v>
      </c>
      <c r="O72" s="106" t="s">
        <v>4818</v>
      </c>
      <c r="P72">
        <v>0.92498290846867004</v>
      </c>
      <c r="Q72">
        <v>0.94303388022007995</v>
      </c>
      <c r="R72">
        <v>2.3804309952691598E-2</v>
      </c>
      <c r="S72" s="15">
        <v>4.9694863129429202E-2</v>
      </c>
      <c r="T72">
        <v>2.0260229947227399</v>
      </c>
      <c r="U72">
        <v>2.0260229947227399</v>
      </c>
      <c r="V72">
        <v>1.79282898202392</v>
      </c>
      <c r="W72">
        <v>9.23</v>
      </c>
      <c r="X72">
        <v>18.100000000000001</v>
      </c>
      <c r="Y72">
        <v>-36263</v>
      </c>
      <c r="Z72">
        <v>-1511</v>
      </c>
      <c r="AA72">
        <v>-0.08</v>
      </c>
      <c r="AB72">
        <v>24</v>
      </c>
      <c r="AC72">
        <v>11</v>
      </c>
      <c r="AD72">
        <v>13</v>
      </c>
      <c r="AE72">
        <v>45.83</v>
      </c>
      <c r="AF72">
        <v>8</v>
      </c>
      <c r="AG72">
        <v>11</v>
      </c>
      <c r="AH72">
        <v>11</v>
      </c>
      <c r="AI72">
        <v>2</v>
      </c>
    </row>
    <row r="73" spans="1:35" x14ac:dyDescent="0.2">
      <c r="A73" s="102">
        <v>55</v>
      </c>
      <c r="B73">
        <v>6951</v>
      </c>
      <c r="C73" s="106" t="s">
        <v>239</v>
      </c>
      <c r="D73" s="106" t="s">
        <v>4820</v>
      </c>
      <c r="E73">
        <v>3530</v>
      </c>
      <c r="F73">
        <v>3620</v>
      </c>
      <c r="G73">
        <v>300</v>
      </c>
      <c r="H73" s="106" t="s">
        <v>4818</v>
      </c>
      <c r="I73">
        <v>6967</v>
      </c>
      <c r="J73" s="106" t="s">
        <v>1152</v>
      </c>
      <c r="K73" s="106" t="s">
        <v>4820</v>
      </c>
      <c r="L73">
        <v>1351</v>
      </c>
      <c r="M73">
        <v>1377</v>
      </c>
      <c r="N73">
        <v>800</v>
      </c>
      <c r="O73" s="106" t="s">
        <v>4815</v>
      </c>
      <c r="P73">
        <v>0.93760691789228201</v>
      </c>
      <c r="Q73">
        <v>0.93542743526704297</v>
      </c>
      <c r="R73" s="15">
        <v>7.6386045538110901E-4</v>
      </c>
      <c r="S73">
        <v>0.234141136523599</v>
      </c>
      <c r="T73">
        <v>-0.41524052533637601</v>
      </c>
      <c r="U73">
        <v>0.41524052533637601</v>
      </c>
      <c r="V73">
        <v>0.500989098287005</v>
      </c>
      <c r="W73">
        <v>-1.62</v>
      </c>
      <c r="X73">
        <v>1.44</v>
      </c>
      <c r="Y73">
        <v>-39899</v>
      </c>
      <c r="Z73">
        <v>-2100</v>
      </c>
      <c r="AA73">
        <v>-0.12</v>
      </c>
      <c r="AB73">
        <v>19</v>
      </c>
      <c r="AC73">
        <v>10</v>
      </c>
      <c r="AD73">
        <v>9</v>
      </c>
      <c r="AE73">
        <v>52.63</v>
      </c>
      <c r="AF73">
        <v>10</v>
      </c>
      <c r="AG73">
        <v>9</v>
      </c>
      <c r="AH73">
        <v>8</v>
      </c>
      <c r="AI73">
        <v>2</v>
      </c>
    </row>
    <row r="74" spans="1:35" x14ac:dyDescent="0.2">
      <c r="A74" s="102">
        <v>82</v>
      </c>
      <c r="B74">
        <v>2492</v>
      </c>
      <c r="C74" s="106" t="s">
        <v>886</v>
      </c>
      <c r="D74" s="106" t="s">
        <v>4830</v>
      </c>
      <c r="E74">
        <v>960</v>
      </c>
      <c r="F74">
        <v>976</v>
      </c>
      <c r="G74">
        <v>600</v>
      </c>
      <c r="H74" s="106" t="s">
        <v>4818</v>
      </c>
      <c r="I74">
        <v>9719</v>
      </c>
      <c r="J74" s="106" t="s">
        <v>1594</v>
      </c>
      <c r="K74" s="106" t="s">
        <v>4817</v>
      </c>
      <c r="L74">
        <v>6030</v>
      </c>
      <c r="M74">
        <v>6070</v>
      </c>
      <c r="N74">
        <v>100</v>
      </c>
      <c r="O74" s="106" t="s">
        <v>4815</v>
      </c>
      <c r="P74">
        <v>0.903203323320933</v>
      </c>
      <c r="Q74">
        <v>0.91759796260165105</v>
      </c>
      <c r="R74" s="15">
        <v>0.23231152876747799</v>
      </c>
      <c r="S74" s="15">
        <v>3.8573866548979298E-2</v>
      </c>
      <c r="T74">
        <v>-0.42390620269067403</v>
      </c>
      <c r="U74">
        <v>0.42390620269067403</v>
      </c>
      <c r="V74">
        <v>9.4138138547401801E-2</v>
      </c>
      <c r="W74">
        <v>-2.09</v>
      </c>
      <c r="X74">
        <v>3.53</v>
      </c>
      <c r="Y74">
        <v>-70444</v>
      </c>
      <c r="Z74">
        <v>-2818</v>
      </c>
      <c r="AA74">
        <v>-0.16</v>
      </c>
      <c r="AB74">
        <v>25</v>
      </c>
      <c r="AC74">
        <v>11</v>
      </c>
      <c r="AD74">
        <v>14</v>
      </c>
      <c r="AE74">
        <v>44</v>
      </c>
      <c r="AF74">
        <v>9</v>
      </c>
      <c r="AG74">
        <v>9</v>
      </c>
      <c r="AH74">
        <v>13</v>
      </c>
      <c r="AI74">
        <v>3</v>
      </c>
    </row>
    <row r="75" spans="1:35" x14ac:dyDescent="0.2">
      <c r="A75" s="102">
        <v>37</v>
      </c>
      <c r="B75">
        <v>8601</v>
      </c>
      <c r="C75" s="106" t="s">
        <v>26</v>
      </c>
      <c r="D75" s="106" t="s">
        <v>4844</v>
      </c>
      <c r="E75">
        <v>567.70000000000005</v>
      </c>
      <c r="F75">
        <v>573.4</v>
      </c>
      <c r="G75">
        <v>1700</v>
      </c>
      <c r="H75" s="106" t="s">
        <v>4815</v>
      </c>
      <c r="I75">
        <v>8697</v>
      </c>
      <c r="J75" s="106" t="s">
        <v>1315</v>
      </c>
      <c r="K75" s="106" t="s">
        <v>4821</v>
      </c>
      <c r="L75">
        <v>1990</v>
      </c>
      <c r="M75">
        <v>2001</v>
      </c>
      <c r="N75">
        <v>500</v>
      </c>
      <c r="O75" s="106" t="s">
        <v>4818</v>
      </c>
      <c r="P75">
        <v>0.91359605501032104</v>
      </c>
      <c r="Q75">
        <v>0.94522773926058101</v>
      </c>
      <c r="R75">
        <v>0.14417535861266401</v>
      </c>
      <c r="S75" s="106">
        <v>1.08635881239753E-4</v>
      </c>
      <c r="T75">
        <v>0.55026165100911795</v>
      </c>
      <c r="U75">
        <v>0.55026165100911795</v>
      </c>
      <c r="V75">
        <v>0.97975331256329601</v>
      </c>
      <c r="W75">
        <v>1.02</v>
      </c>
      <c r="X75">
        <v>2.57</v>
      </c>
      <c r="Y75">
        <v>-72553</v>
      </c>
      <c r="Z75">
        <v>-3819</v>
      </c>
      <c r="AA75">
        <v>-0.18</v>
      </c>
      <c r="AB75">
        <v>19</v>
      </c>
      <c r="AC75">
        <v>10</v>
      </c>
      <c r="AD75">
        <v>9</v>
      </c>
      <c r="AE75">
        <v>52.63</v>
      </c>
      <c r="AF75">
        <v>13</v>
      </c>
      <c r="AG75">
        <v>4</v>
      </c>
      <c r="AH75">
        <v>6</v>
      </c>
      <c r="AI75">
        <v>9</v>
      </c>
    </row>
    <row r="76" spans="1:35" x14ac:dyDescent="0.2">
      <c r="A76" s="102">
        <v>102</v>
      </c>
      <c r="B76">
        <v>1820</v>
      </c>
      <c r="C76" s="106" t="s">
        <v>65</v>
      </c>
      <c r="D76" s="106" t="s">
        <v>4825</v>
      </c>
      <c r="E76">
        <v>2501</v>
      </c>
      <c r="F76">
        <v>2517</v>
      </c>
      <c r="G76">
        <v>400</v>
      </c>
      <c r="H76" s="106" t="s">
        <v>4815</v>
      </c>
      <c r="I76">
        <v>8002</v>
      </c>
      <c r="J76" s="106" t="s">
        <v>30</v>
      </c>
      <c r="K76" s="106" t="s">
        <v>4822</v>
      </c>
      <c r="L76">
        <v>825.6</v>
      </c>
      <c r="M76">
        <v>824.9</v>
      </c>
      <c r="N76">
        <v>1200</v>
      </c>
      <c r="O76" s="106" t="s">
        <v>4818</v>
      </c>
      <c r="P76">
        <v>0.94616022211546802</v>
      </c>
      <c r="Q76">
        <v>0.90833375433307595</v>
      </c>
      <c r="R76">
        <v>6.03578575053473E-3</v>
      </c>
      <c r="S76">
        <v>0.14271744019426799</v>
      </c>
      <c r="T76">
        <v>1.13139152640505</v>
      </c>
      <c r="U76">
        <v>1.13139152640505</v>
      </c>
      <c r="V76">
        <v>0.82291261543838101</v>
      </c>
      <c r="W76">
        <v>2.97</v>
      </c>
      <c r="X76">
        <v>1.68</v>
      </c>
      <c r="Y76">
        <v>-84323</v>
      </c>
      <c r="Z76">
        <v>-4438</v>
      </c>
      <c r="AA76">
        <v>-0.23</v>
      </c>
      <c r="AB76">
        <v>19</v>
      </c>
      <c r="AC76">
        <v>10</v>
      </c>
      <c r="AD76">
        <v>9</v>
      </c>
      <c r="AE76">
        <v>52.63</v>
      </c>
      <c r="AF76">
        <v>15</v>
      </c>
      <c r="AG76">
        <v>2</v>
      </c>
      <c r="AH76">
        <v>2</v>
      </c>
      <c r="AI76">
        <v>15</v>
      </c>
    </row>
    <row r="77" spans="1:35" x14ac:dyDescent="0.2">
      <c r="A77" s="102">
        <v>70</v>
      </c>
      <c r="B77">
        <v>5333</v>
      </c>
      <c r="C77" s="106" t="s">
        <v>249</v>
      </c>
      <c r="D77" s="106" t="s">
        <v>4814</v>
      </c>
      <c r="E77">
        <v>1943</v>
      </c>
      <c r="F77">
        <v>1959</v>
      </c>
      <c r="G77">
        <v>500</v>
      </c>
      <c r="H77" s="106" t="s">
        <v>4815</v>
      </c>
      <c r="I77">
        <v>8020</v>
      </c>
      <c r="J77" s="106" t="s">
        <v>1619</v>
      </c>
      <c r="K77" s="106" t="s">
        <v>4822</v>
      </c>
      <c r="L77">
        <v>1470</v>
      </c>
      <c r="M77">
        <v>1477</v>
      </c>
      <c r="N77">
        <v>700</v>
      </c>
      <c r="O77" s="106" t="s">
        <v>4818</v>
      </c>
      <c r="P77">
        <v>0.921226091889504</v>
      </c>
      <c r="Q77">
        <v>0.92545463475540901</v>
      </c>
      <c r="R77">
        <v>0.37963031428128202</v>
      </c>
      <c r="S77" s="15">
        <v>9.13226836925299E-3</v>
      </c>
      <c r="T77">
        <v>1.21918076839578</v>
      </c>
      <c r="U77">
        <v>1.21918076839578</v>
      </c>
      <c r="V77">
        <v>1.1725540028822901</v>
      </c>
      <c r="W77">
        <v>2.84</v>
      </c>
      <c r="X77">
        <v>5.55</v>
      </c>
      <c r="Y77">
        <v>-85842</v>
      </c>
      <c r="Z77">
        <v>-5723</v>
      </c>
      <c r="AA77">
        <v>-0.28999999999999998</v>
      </c>
      <c r="AB77">
        <v>15</v>
      </c>
      <c r="AC77">
        <v>8</v>
      </c>
      <c r="AD77">
        <v>7</v>
      </c>
      <c r="AE77">
        <v>53.33</v>
      </c>
      <c r="AF77">
        <v>12</v>
      </c>
      <c r="AG77">
        <v>3</v>
      </c>
      <c r="AH77">
        <v>5</v>
      </c>
      <c r="AI77">
        <v>7</v>
      </c>
    </row>
    <row r="78" spans="1:35" x14ac:dyDescent="0.2">
      <c r="A78" s="102">
        <v>83</v>
      </c>
      <c r="B78">
        <v>3635</v>
      </c>
      <c r="C78" s="106" t="s">
        <v>49</v>
      </c>
      <c r="D78" s="106" t="s">
        <v>4817</v>
      </c>
      <c r="E78">
        <v>2929</v>
      </c>
      <c r="F78">
        <v>2952</v>
      </c>
      <c r="G78">
        <v>300</v>
      </c>
      <c r="H78" s="106" t="s">
        <v>4818</v>
      </c>
      <c r="I78">
        <v>6967</v>
      </c>
      <c r="J78" s="106" t="s">
        <v>1152</v>
      </c>
      <c r="K78" s="106" t="s">
        <v>4820</v>
      </c>
      <c r="L78">
        <v>1351</v>
      </c>
      <c r="M78">
        <v>1377</v>
      </c>
      <c r="N78">
        <v>600</v>
      </c>
      <c r="O78" s="106" t="s">
        <v>4815</v>
      </c>
      <c r="P78">
        <v>0.93237159354565202</v>
      </c>
      <c r="Q78">
        <v>0.91755210564133804</v>
      </c>
      <c r="R78">
        <v>2.31072236490713E-2</v>
      </c>
      <c r="S78" s="15">
        <v>0.30018305154415897</v>
      </c>
      <c r="T78">
        <v>-1.31499687080162</v>
      </c>
      <c r="U78">
        <v>1.31499687080162</v>
      </c>
      <c r="V78">
        <v>1.1347401679009299</v>
      </c>
      <c r="W78">
        <v>-7.02</v>
      </c>
      <c r="X78">
        <v>6.71</v>
      </c>
      <c r="Y78">
        <v>-88828</v>
      </c>
      <c r="Z78">
        <v>-5225</v>
      </c>
      <c r="AA78">
        <v>-0.32</v>
      </c>
      <c r="AB78">
        <v>17</v>
      </c>
      <c r="AC78">
        <v>9</v>
      </c>
      <c r="AD78">
        <v>8</v>
      </c>
      <c r="AE78">
        <v>52.94</v>
      </c>
      <c r="AF78">
        <v>13</v>
      </c>
      <c r="AG78">
        <v>4</v>
      </c>
      <c r="AH78">
        <v>5</v>
      </c>
      <c r="AI78">
        <v>8</v>
      </c>
    </row>
    <row r="79" spans="1:35" x14ac:dyDescent="0.2">
      <c r="A79" s="102">
        <v>72</v>
      </c>
      <c r="B79">
        <v>5393</v>
      </c>
      <c r="C79" s="106" t="s">
        <v>248</v>
      </c>
      <c r="D79" s="106" t="s">
        <v>4814</v>
      </c>
      <c r="E79">
        <v>2809</v>
      </c>
      <c r="F79">
        <v>2838</v>
      </c>
      <c r="G79">
        <v>300</v>
      </c>
      <c r="H79" s="106" t="s">
        <v>4815</v>
      </c>
      <c r="I79">
        <v>8020</v>
      </c>
      <c r="J79" s="106" t="s">
        <v>1619</v>
      </c>
      <c r="K79" s="106" t="s">
        <v>4822</v>
      </c>
      <c r="L79">
        <v>1470</v>
      </c>
      <c r="M79">
        <v>1477</v>
      </c>
      <c r="N79">
        <v>600</v>
      </c>
      <c r="O79" s="106" t="s">
        <v>4818</v>
      </c>
      <c r="P79">
        <v>0.90892894700001203</v>
      </c>
      <c r="Q79">
        <v>0.92317439711150595</v>
      </c>
      <c r="R79" s="106">
        <v>0.211352928832542</v>
      </c>
      <c r="S79">
        <v>0.140272912223458</v>
      </c>
      <c r="T79">
        <v>1.27458483098146</v>
      </c>
      <c r="U79">
        <v>1.27458483098146</v>
      </c>
      <c r="V79">
        <v>1.1338660032310299</v>
      </c>
      <c r="W79">
        <v>7.66</v>
      </c>
      <c r="X79">
        <v>4.09</v>
      </c>
      <c r="Y79">
        <v>-90611</v>
      </c>
      <c r="Z79">
        <v>-5034</v>
      </c>
      <c r="AA79">
        <v>-0.18</v>
      </c>
      <c r="AB79">
        <v>18</v>
      </c>
      <c r="AC79">
        <v>7</v>
      </c>
      <c r="AD79">
        <v>11</v>
      </c>
      <c r="AE79">
        <v>38.89</v>
      </c>
      <c r="AF79">
        <v>14</v>
      </c>
      <c r="AG79">
        <v>4</v>
      </c>
      <c r="AH79">
        <v>5</v>
      </c>
      <c r="AI79">
        <v>9</v>
      </c>
    </row>
    <row r="80" spans="1:35" x14ac:dyDescent="0.2">
      <c r="A80" s="102">
        <v>98</v>
      </c>
      <c r="B80">
        <v>4819</v>
      </c>
      <c r="C80" s="106" t="s">
        <v>4836</v>
      </c>
      <c r="D80" s="106" t="s">
        <v>4817</v>
      </c>
      <c r="E80">
        <v>4275</v>
      </c>
      <c r="F80">
        <v>4405</v>
      </c>
      <c r="G80">
        <v>200</v>
      </c>
      <c r="H80" s="106" t="s">
        <v>4818</v>
      </c>
      <c r="I80">
        <v>9468</v>
      </c>
      <c r="J80" s="106" t="s">
        <v>4816</v>
      </c>
      <c r="K80" s="106" t="s">
        <v>4817</v>
      </c>
      <c r="L80">
        <v>2015</v>
      </c>
      <c r="M80">
        <v>2055</v>
      </c>
      <c r="N80">
        <v>400</v>
      </c>
      <c r="O80" s="106" t="s">
        <v>4815</v>
      </c>
      <c r="P80">
        <v>0.96431491775506395</v>
      </c>
      <c r="Q80">
        <v>0.90994637468855</v>
      </c>
      <c r="R80">
        <v>5.9054087115739902E-2</v>
      </c>
      <c r="S80" s="15">
        <v>3.6925964846608303E-2</v>
      </c>
      <c r="T80">
        <v>-1.5568909476446799</v>
      </c>
      <c r="U80">
        <v>1.5568909476446799</v>
      </c>
      <c r="V80">
        <v>1.61664917198921</v>
      </c>
      <c r="W80">
        <v>-6.86</v>
      </c>
      <c r="X80">
        <v>6.7</v>
      </c>
      <c r="Y80">
        <v>-92717</v>
      </c>
      <c r="Z80">
        <v>-3709</v>
      </c>
      <c r="AA80">
        <v>-0.23</v>
      </c>
      <c r="AB80">
        <v>25</v>
      </c>
      <c r="AC80">
        <v>11</v>
      </c>
      <c r="AD80">
        <v>14</v>
      </c>
      <c r="AE80">
        <v>44</v>
      </c>
      <c r="AF80">
        <v>7</v>
      </c>
      <c r="AG80">
        <v>11</v>
      </c>
      <c r="AH80">
        <v>13</v>
      </c>
      <c r="AI80">
        <v>1</v>
      </c>
    </row>
    <row r="81" spans="1:35" x14ac:dyDescent="0.2">
      <c r="A81" s="102">
        <v>103</v>
      </c>
      <c r="B81">
        <v>2371</v>
      </c>
      <c r="C81" s="106" t="s">
        <v>879</v>
      </c>
      <c r="D81" s="106" t="s">
        <v>4830</v>
      </c>
      <c r="E81">
        <v>2945</v>
      </c>
      <c r="F81">
        <v>2961</v>
      </c>
      <c r="G81">
        <v>300</v>
      </c>
      <c r="H81" s="106" t="s">
        <v>4818</v>
      </c>
      <c r="I81">
        <v>3110</v>
      </c>
      <c r="J81" s="106" t="s">
        <v>817</v>
      </c>
      <c r="K81" s="106" t="s">
        <v>4814</v>
      </c>
      <c r="L81">
        <v>4975</v>
      </c>
      <c r="M81">
        <v>5020</v>
      </c>
      <c r="N81">
        <v>200</v>
      </c>
      <c r="O81" s="106" t="s">
        <v>4815</v>
      </c>
      <c r="P81">
        <v>0.94114250609873495</v>
      </c>
      <c r="Q81">
        <v>0.90779927193087095</v>
      </c>
      <c r="R81" s="15">
        <v>9.5750317132277402E-3</v>
      </c>
      <c r="S81" s="15">
        <v>0.25906476517101001</v>
      </c>
      <c r="T81">
        <v>-1.35657970261378</v>
      </c>
      <c r="U81">
        <v>1.35657970261378</v>
      </c>
      <c r="V81">
        <v>1.49997270241029</v>
      </c>
      <c r="W81">
        <v>-16.48</v>
      </c>
      <c r="X81">
        <v>11.52</v>
      </c>
      <c r="Y81">
        <v>-111195</v>
      </c>
      <c r="Z81">
        <v>-4448</v>
      </c>
      <c r="AA81">
        <v>-0.21</v>
      </c>
      <c r="AB81">
        <v>25</v>
      </c>
      <c r="AC81">
        <v>11</v>
      </c>
      <c r="AD81">
        <v>14</v>
      </c>
      <c r="AE81">
        <v>44</v>
      </c>
      <c r="AF81">
        <v>9</v>
      </c>
      <c r="AG81">
        <v>11</v>
      </c>
      <c r="AH81">
        <v>10</v>
      </c>
      <c r="AI81">
        <v>4</v>
      </c>
    </row>
    <row r="82" spans="1:35" x14ac:dyDescent="0.2">
      <c r="A82" s="102">
        <v>33</v>
      </c>
      <c r="B82">
        <v>4508</v>
      </c>
      <c r="C82" s="106" t="s">
        <v>231</v>
      </c>
      <c r="D82" s="106" t="s">
        <v>4842</v>
      </c>
      <c r="E82">
        <v>2002</v>
      </c>
      <c r="F82">
        <v>2004</v>
      </c>
      <c r="G82">
        <v>500</v>
      </c>
      <c r="H82" s="106" t="s">
        <v>4815</v>
      </c>
      <c r="I82">
        <v>4528</v>
      </c>
      <c r="J82" s="106" t="s">
        <v>999</v>
      </c>
      <c r="K82" s="106" t="s">
        <v>4842</v>
      </c>
      <c r="L82">
        <v>2601.5</v>
      </c>
      <c r="M82">
        <v>2621.5</v>
      </c>
      <c r="N82">
        <v>400</v>
      </c>
      <c r="O82" s="106" t="s">
        <v>4818</v>
      </c>
      <c r="P82">
        <v>0.91852462545368097</v>
      </c>
      <c r="Q82">
        <v>0.94614783610077002</v>
      </c>
      <c r="R82">
        <v>0.262975210205105</v>
      </c>
      <c r="S82" s="15">
        <v>4.2905275874934097E-2</v>
      </c>
      <c r="T82" s="15">
        <v>0.43978465649466097</v>
      </c>
      <c r="U82" s="15">
        <v>0.43978465649466097</v>
      </c>
      <c r="V82">
        <v>0.51533674821895603</v>
      </c>
      <c r="W82">
        <v>5.26</v>
      </c>
      <c r="X82">
        <v>4.4400000000000004</v>
      </c>
      <c r="Y82">
        <v>-119955</v>
      </c>
      <c r="Z82">
        <v>-5998</v>
      </c>
      <c r="AA82">
        <v>-0.28999999999999998</v>
      </c>
      <c r="AB82">
        <v>20</v>
      </c>
      <c r="AC82">
        <v>9</v>
      </c>
      <c r="AD82">
        <v>11</v>
      </c>
      <c r="AE82">
        <v>45</v>
      </c>
      <c r="AF82">
        <v>15</v>
      </c>
      <c r="AG82">
        <v>3</v>
      </c>
      <c r="AH82">
        <v>3</v>
      </c>
      <c r="AI82">
        <v>14</v>
      </c>
    </row>
    <row r="83" spans="1:35" x14ac:dyDescent="0.2">
      <c r="A83" s="102">
        <v>101</v>
      </c>
      <c r="B83">
        <v>3938</v>
      </c>
      <c r="C83" s="106" t="s">
        <v>4850</v>
      </c>
      <c r="D83" s="106" t="s">
        <v>4817</v>
      </c>
      <c r="E83">
        <v>5370</v>
      </c>
      <c r="F83">
        <v>5360</v>
      </c>
      <c r="G83">
        <v>200</v>
      </c>
      <c r="H83" s="106" t="s">
        <v>4815</v>
      </c>
      <c r="I83">
        <v>8253</v>
      </c>
      <c r="J83" s="106" t="s">
        <v>804</v>
      </c>
      <c r="K83" s="106" t="s">
        <v>4821</v>
      </c>
      <c r="L83">
        <v>1878</v>
      </c>
      <c r="M83">
        <v>1905</v>
      </c>
      <c r="N83">
        <v>600</v>
      </c>
      <c r="O83" s="106" t="s">
        <v>4818</v>
      </c>
      <c r="P83">
        <v>0.96231334180642003</v>
      </c>
      <c r="Q83">
        <v>0.90839785448363497</v>
      </c>
      <c r="R83" s="15">
        <v>6.4633078342097704E-5</v>
      </c>
      <c r="S83">
        <v>0.23612030809778001</v>
      </c>
      <c r="T83">
        <v>0.53320483304595501</v>
      </c>
      <c r="U83">
        <v>0.53320483304595501</v>
      </c>
      <c r="V83">
        <v>0.66233382740400004</v>
      </c>
      <c r="W83">
        <v>2.31</v>
      </c>
      <c r="X83">
        <v>6.62</v>
      </c>
      <c r="Y83">
        <v>-125095</v>
      </c>
      <c r="Z83">
        <v>-8935</v>
      </c>
      <c r="AA83">
        <v>-0.43</v>
      </c>
      <c r="AB83">
        <v>14</v>
      </c>
      <c r="AC83">
        <v>6</v>
      </c>
      <c r="AD83">
        <v>8</v>
      </c>
      <c r="AE83">
        <v>42.86</v>
      </c>
      <c r="AF83">
        <v>12</v>
      </c>
      <c r="AG83">
        <v>5</v>
      </c>
      <c r="AH83">
        <v>7</v>
      </c>
      <c r="AI83">
        <v>2</v>
      </c>
    </row>
    <row r="84" spans="1:35" x14ac:dyDescent="0.2">
      <c r="A84" s="102">
        <v>54</v>
      </c>
      <c r="B84">
        <v>5393</v>
      </c>
      <c r="C84" s="106" t="s">
        <v>248</v>
      </c>
      <c r="D84" s="106" t="s">
        <v>4814</v>
      </c>
      <c r="E84">
        <v>2809</v>
      </c>
      <c r="F84">
        <v>2838</v>
      </c>
      <c r="G84">
        <v>400</v>
      </c>
      <c r="H84" s="106" t="s">
        <v>4815</v>
      </c>
      <c r="I84">
        <v>9810</v>
      </c>
      <c r="J84" s="106" t="s">
        <v>4778</v>
      </c>
      <c r="K84" s="106" t="s">
        <v>4822</v>
      </c>
      <c r="L84">
        <v>5160</v>
      </c>
      <c r="M84">
        <v>5170</v>
      </c>
      <c r="N84">
        <v>200</v>
      </c>
      <c r="O84" s="106" t="s">
        <v>4818</v>
      </c>
      <c r="P84">
        <v>0.93498065683905995</v>
      </c>
      <c r="Q84">
        <v>0.93559466623168297</v>
      </c>
      <c r="R84">
        <v>7.53776119005347E-2</v>
      </c>
      <c r="S84" s="106">
        <v>0.30421710026865501</v>
      </c>
      <c r="T84">
        <v>1.4568368766006401</v>
      </c>
      <c r="U84">
        <v>1.4568368766006401</v>
      </c>
      <c r="V84">
        <v>1.3371671433193</v>
      </c>
      <c r="W84">
        <v>8.3800000000000008</v>
      </c>
      <c r="X84">
        <v>9.7899999999999991</v>
      </c>
      <c r="Y84">
        <v>-130551</v>
      </c>
      <c r="Z84">
        <v>-6871</v>
      </c>
      <c r="AA84">
        <v>-0.44</v>
      </c>
      <c r="AB84">
        <v>19</v>
      </c>
      <c r="AC84">
        <v>7</v>
      </c>
      <c r="AD84">
        <v>12</v>
      </c>
      <c r="AE84">
        <v>36.840000000000003</v>
      </c>
      <c r="AF84">
        <v>10</v>
      </c>
      <c r="AG84">
        <v>6</v>
      </c>
      <c r="AH84">
        <v>7</v>
      </c>
      <c r="AI84">
        <v>6</v>
      </c>
    </row>
    <row r="85" spans="1:35" x14ac:dyDescent="0.2">
      <c r="A85" s="102">
        <v>14</v>
      </c>
      <c r="B85">
        <v>4217</v>
      </c>
      <c r="C85" s="106" t="s">
        <v>1688</v>
      </c>
      <c r="D85" s="106" t="s">
        <v>4848</v>
      </c>
      <c r="E85">
        <v>4590</v>
      </c>
      <c r="F85">
        <v>4590</v>
      </c>
      <c r="G85">
        <v>200</v>
      </c>
      <c r="H85" s="106" t="s">
        <v>4815</v>
      </c>
      <c r="I85">
        <v>8036</v>
      </c>
      <c r="J85" s="106" t="s">
        <v>4829</v>
      </c>
      <c r="K85" s="106" t="s">
        <v>4822</v>
      </c>
      <c r="L85">
        <v>7800</v>
      </c>
      <c r="M85">
        <v>7850</v>
      </c>
      <c r="N85">
        <v>100</v>
      </c>
      <c r="O85" s="106" t="s">
        <v>4818</v>
      </c>
      <c r="P85">
        <v>0.96552461896264496</v>
      </c>
      <c r="Q85">
        <v>0.95481400508196501</v>
      </c>
      <c r="R85">
        <v>0.206531969544099</v>
      </c>
      <c r="S85" s="15">
        <v>0.28593789201387199</v>
      </c>
      <c r="T85">
        <v>1.16286273991994</v>
      </c>
      <c r="U85">
        <v>1.16286273991994</v>
      </c>
      <c r="V85">
        <v>1.18048417689454</v>
      </c>
      <c r="W85">
        <v>5.74</v>
      </c>
      <c r="X85">
        <v>16.940000000000001</v>
      </c>
      <c r="Y85">
        <v>-132103</v>
      </c>
      <c r="Z85">
        <v>-10162</v>
      </c>
      <c r="AA85">
        <v>-0.32</v>
      </c>
      <c r="AB85">
        <v>13</v>
      </c>
      <c r="AC85">
        <v>4</v>
      </c>
      <c r="AD85">
        <v>9</v>
      </c>
      <c r="AE85">
        <v>30.77</v>
      </c>
      <c r="AF85">
        <v>14</v>
      </c>
      <c r="AG85">
        <v>2</v>
      </c>
      <c r="AH85">
        <v>6</v>
      </c>
      <c r="AI85">
        <v>5</v>
      </c>
    </row>
    <row r="86" spans="1:35" x14ac:dyDescent="0.2">
      <c r="A86" s="102">
        <v>10</v>
      </c>
      <c r="B86">
        <v>3110</v>
      </c>
      <c r="C86" s="106" t="s">
        <v>817</v>
      </c>
      <c r="D86" s="106" t="s">
        <v>4814</v>
      </c>
      <c r="E86">
        <v>4975</v>
      </c>
      <c r="F86">
        <v>5020</v>
      </c>
      <c r="G86">
        <v>200</v>
      </c>
      <c r="H86" s="106" t="s">
        <v>4815</v>
      </c>
      <c r="I86">
        <v>6758</v>
      </c>
      <c r="J86" s="106" t="s">
        <v>4834</v>
      </c>
      <c r="K86" s="106" t="s">
        <v>4820</v>
      </c>
      <c r="L86">
        <v>7910</v>
      </c>
      <c r="M86">
        <v>7959</v>
      </c>
      <c r="N86">
        <v>100</v>
      </c>
      <c r="O86" s="106" t="s">
        <v>4818</v>
      </c>
      <c r="P86">
        <v>0.96306352977031395</v>
      </c>
      <c r="Q86">
        <v>0.95901163782620502</v>
      </c>
      <c r="R86">
        <v>9.2781953448002094E-2</v>
      </c>
      <c r="S86" s="15">
        <v>2.8037676101085401E-2</v>
      </c>
      <c r="T86">
        <v>1.4687061668069401</v>
      </c>
      <c r="U86">
        <v>1.4687061668069401</v>
      </c>
      <c r="V86">
        <v>1.54027388080315</v>
      </c>
      <c r="W86">
        <v>10.82</v>
      </c>
      <c r="X86">
        <v>26.15</v>
      </c>
      <c r="Y86">
        <v>-136864</v>
      </c>
      <c r="Z86">
        <v>-11405</v>
      </c>
      <c r="AA86">
        <v>-0.76</v>
      </c>
      <c r="AB86">
        <v>12</v>
      </c>
      <c r="AC86">
        <v>4</v>
      </c>
      <c r="AD86">
        <v>8</v>
      </c>
      <c r="AE86">
        <v>33.33</v>
      </c>
      <c r="AF86">
        <v>14</v>
      </c>
      <c r="AG86">
        <v>2</v>
      </c>
      <c r="AH86">
        <v>4</v>
      </c>
      <c r="AI86">
        <v>6</v>
      </c>
    </row>
    <row r="87" spans="1:35" x14ac:dyDescent="0.2">
      <c r="A87" s="102">
        <v>18</v>
      </c>
      <c r="B87">
        <v>2413</v>
      </c>
      <c r="C87" s="106" t="s">
        <v>4837</v>
      </c>
      <c r="D87" s="106" t="s">
        <v>4830</v>
      </c>
      <c r="E87">
        <v>3190</v>
      </c>
      <c r="F87">
        <v>3260</v>
      </c>
      <c r="G87">
        <v>300</v>
      </c>
      <c r="H87" s="106" t="s">
        <v>4818</v>
      </c>
      <c r="I87">
        <v>4217</v>
      </c>
      <c r="J87" s="106" t="s">
        <v>1688</v>
      </c>
      <c r="K87" s="106" t="s">
        <v>4848</v>
      </c>
      <c r="L87">
        <v>4590</v>
      </c>
      <c r="M87">
        <v>4590</v>
      </c>
      <c r="N87">
        <v>200</v>
      </c>
      <c r="O87" s="106" t="s">
        <v>4815</v>
      </c>
      <c r="P87">
        <v>0.90355817703476604</v>
      </c>
      <c r="Q87">
        <v>0.95320717785420495</v>
      </c>
      <c r="R87">
        <v>0.27378304324714497</v>
      </c>
      <c r="S87">
        <v>6.0786665766325999E-2</v>
      </c>
      <c r="T87">
        <v>-1.07146238502588</v>
      </c>
      <c r="U87">
        <v>1.07146238502588</v>
      </c>
      <c r="V87">
        <v>1.2609416806468901</v>
      </c>
      <c r="W87">
        <v>-6.04</v>
      </c>
      <c r="X87">
        <v>6.54</v>
      </c>
      <c r="Y87">
        <v>-137047</v>
      </c>
      <c r="Z87">
        <v>-5959</v>
      </c>
      <c r="AA87">
        <v>-0.28000000000000003</v>
      </c>
      <c r="AB87">
        <v>23</v>
      </c>
      <c r="AC87">
        <v>9</v>
      </c>
      <c r="AD87">
        <v>14</v>
      </c>
      <c r="AE87">
        <v>39.130000000000003</v>
      </c>
      <c r="AF87">
        <v>10</v>
      </c>
      <c r="AG87">
        <v>9</v>
      </c>
      <c r="AH87">
        <v>11</v>
      </c>
      <c r="AI87">
        <v>3</v>
      </c>
    </row>
    <row r="88" spans="1:35" x14ac:dyDescent="0.2">
      <c r="A88" s="102">
        <v>88</v>
      </c>
      <c r="B88">
        <v>3938</v>
      </c>
      <c r="C88" s="106" t="s">
        <v>4850</v>
      </c>
      <c r="D88" s="106" t="s">
        <v>4817</v>
      </c>
      <c r="E88">
        <v>5370</v>
      </c>
      <c r="F88">
        <v>5360</v>
      </c>
      <c r="G88">
        <v>200</v>
      </c>
      <c r="H88" s="106" t="s">
        <v>4815</v>
      </c>
      <c r="I88">
        <v>9989</v>
      </c>
      <c r="J88" s="106" t="s">
        <v>829</v>
      </c>
      <c r="K88" s="106" t="s">
        <v>4849</v>
      </c>
      <c r="L88">
        <v>3930</v>
      </c>
      <c r="M88">
        <v>3965</v>
      </c>
      <c r="N88">
        <v>300</v>
      </c>
      <c r="O88" s="106" t="s">
        <v>4818</v>
      </c>
      <c r="P88">
        <v>0.91181791649647903</v>
      </c>
      <c r="Q88">
        <v>0.91554635531609796</v>
      </c>
      <c r="R88">
        <v>3.5094631457315902E-2</v>
      </c>
      <c r="S88" s="106">
        <v>3.5620956364130797E-2</v>
      </c>
      <c r="T88">
        <v>0.99243380679057602</v>
      </c>
      <c r="U88">
        <v>0.99243380679057602</v>
      </c>
      <c r="V88">
        <v>1.0624749868521499</v>
      </c>
      <c r="W88">
        <v>7.19</v>
      </c>
      <c r="X88">
        <v>10.96</v>
      </c>
      <c r="Y88">
        <v>-145387</v>
      </c>
      <c r="Z88">
        <v>-13217</v>
      </c>
      <c r="AA88">
        <v>-0.83</v>
      </c>
      <c r="AB88">
        <v>11</v>
      </c>
      <c r="AC88">
        <v>5</v>
      </c>
      <c r="AD88">
        <v>6</v>
      </c>
      <c r="AE88">
        <v>45.45</v>
      </c>
      <c r="AF88">
        <v>11</v>
      </c>
      <c r="AG88">
        <v>2</v>
      </c>
      <c r="AH88">
        <v>6</v>
      </c>
      <c r="AI88">
        <v>3</v>
      </c>
    </row>
    <row r="89" spans="1:35" x14ac:dyDescent="0.2">
      <c r="A89" s="102">
        <v>51</v>
      </c>
      <c r="B89">
        <v>8253</v>
      </c>
      <c r="C89" s="106" t="s">
        <v>804</v>
      </c>
      <c r="D89" s="106" t="s">
        <v>4821</v>
      </c>
      <c r="E89">
        <v>1878</v>
      </c>
      <c r="F89">
        <v>1905</v>
      </c>
      <c r="G89">
        <v>500</v>
      </c>
      <c r="H89" s="106" t="s">
        <v>4815</v>
      </c>
      <c r="I89">
        <v>9810</v>
      </c>
      <c r="J89" s="106" t="s">
        <v>4778</v>
      </c>
      <c r="K89" s="106" t="s">
        <v>4822</v>
      </c>
      <c r="L89">
        <v>5160</v>
      </c>
      <c r="M89">
        <v>5170</v>
      </c>
      <c r="N89">
        <v>200</v>
      </c>
      <c r="O89" s="106" t="s">
        <v>4818</v>
      </c>
      <c r="P89">
        <v>0.94361530394020698</v>
      </c>
      <c r="Q89">
        <v>0.936270538310222</v>
      </c>
      <c r="R89" s="15">
        <v>7.1580403387594402E-2</v>
      </c>
      <c r="S89">
        <v>6.84215015091061E-2</v>
      </c>
      <c r="T89">
        <v>1.3126945945808</v>
      </c>
      <c r="U89">
        <v>1.3126945945808</v>
      </c>
      <c r="V89">
        <v>1.26000091326789</v>
      </c>
      <c r="W89">
        <v>4.2</v>
      </c>
      <c r="X89">
        <v>7.88</v>
      </c>
      <c r="Y89">
        <v>-147432</v>
      </c>
      <c r="Z89">
        <v>-9214</v>
      </c>
      <c r="AA89">
        <v>-0.52</v>
      </c>
      <c r="AB89">
        <v>16</v>
      </c>
      <c r="AC89">
        <v>6</v>
      </c>
      <c r="AD89">
        <v>10</v>
      </c>
      <c r="AE89">
        <v>37.5</v>
      </c>
      <c r="AF89">
        <v>13</v>
      </c>
      <c r="AG89">
        <v>4</v>
      </c>
      <c r="AH89">
        <v>6</v>
      </c>
      <c r="AI89">
        <v>6</v>
      </c>
    </row>
    <row r="90" spans="1:35" x14ac:dyDescent="0.2">
      <c r="A90" s="102">
        <v>17</v>
      </c>
      <c r="B90">
        <v>2413</v>
      </c>
      <c r="C90" s="106" t="s">
        <v>4837</v>
      </c>
      <c r="D90" s="106" t="s">
        <v>4830</v>
      </c>
      <c r="E90">
        <v>3190</v>
      </c>
      <c r="F90">
        <v>3260</v>
      </c>
      <c r="G90">
        <v>200</v>
      </c>
      <c r="H90" s="106" t="s">
        <v>4818</v>
      </c>
      <c r="I90">
        <v>6920</v>
      </c>
      <c r="J90" s="106" t="s">
        <v>4819</v>
      </c>
      <c r="K90" s="106" t="s">
        <v>4820</v>
      </c>
      <c r="L90">
        <v>5800</v>
      </c>
      <c r="M90">
        <v>6000</v>
      </c>
      <c r="N90">
        <v>100</v>
      </c>
      <c r="O90" s="106" t="s">
        <v>4815</v>
      </c>
      <c r="P90">
        <v>0.94696678478456198</v>
      </c>
      <c r="Q90">
        <v>0.95325912329594797</v>
      </c>
      <c r="R90">
        <v>1.14812618448889E-2</v>
      </c>
      <c r="S90" s="15">
        <v>9.9048511221908095E-2</v>
      </c>
      <c r="T90">
        <v>-1.98597592052946</v>
      </c>
      <c r="U90">
        <v>1.98597592052946</v>
      </c>
      <c r="V90">
        <v>1.89997319895881</v>
      </c>
      <c r="W90">
        <v>-19.079999999999998</v>
      </c>
      <c r="X90">
        <v>8.67</v>
      </c>
      <c r="Y90">
        <v>-151048</v>
      </c>
      <c r="Z90">
        <v>-9440</v>
      </c>
      <c r="AA90">
        <v>-0.39</v>
      </c>
      <c r="AB90">
        <v>16</v>
      </c>
      <c r="AC90">
        <v>9</v>
      </c>
      <c r="AD90">
        <v>7</v>
      </c>
      <c r="AE90">
        <v>56.25</v>
      </c>
      <c r="AF90">
        <v>9</v>
      </c>
      <c r="AG90">
        <v>8</v>
      </c>
      <c r="AH90">
        <v>6</v>
      </c>
      <c r="AI90">
        <v>2</v>
      </c>
    </row>
    <row r="91" spans="1:35" x14ac:dyDescent="0.2">
      <c r="A91" s="102">
        <v>63</v>
      </c>
      <c r="B91">
        <v>2413</v>
      </c>
      <c r="C91" s="106" t="s">
        <v>4837</v>
      </c>
      <c r="D91" s="106" t="s">
        <v>4830</v>
      </c>
      <c r="E91">
        <v>3190</v>
      </c>
      <c r="F91">
        <v>3260</v>
      </c>
      <c r="G91">
        <v>300</v>
      </c>
      <c r="H91" s="106" t="s">
        <v>4818</v>
      </c>
      <c r="I91">
        <v>6755</v>
      </c>
      <c r="J91" s="106" t="s">
        <v>805</v>
      </c>
      <c r="K91" s="106" t="s">
        <v>4820</v>
      </c>
      <c r="L91">
        <v>2560</v>
      </c>
      <c r="M91">
        <v>2587</v>
      </c>
      <c r="N91">
        <v>400</v>
      </c>
      <c r="O91" s="106" t="s">
        <v>4815</v>
      </c>
      <c r="P91">
        <v>0.92814829810200605</v>
      </c>
      <c r="Q91">
        <v>0.93033613181727304</v>
      </c>
      <c r="R91" s="15">
        <v>0.28875549290893598</v>
      </c>
      <c r="S91" s="15">
        <v>0.36393742647481903</v>
      </c>
      <c r="T91">
        <v>-1.61821451282647</v>
      </c>
      <c r="U91">
        <v>1.61821451282647</v>
      </c>
      <c r="V91">
        <v>1.5945406119944701</v>
      </c>
      <c r="W91">
        <v>-9.6999999999999993</v>
      </c>
      <c r="X91">
        <v>5.81</v>
      </c>
      <c r="Y91">
        <v>-153177</v>
      </c>
      <c r="Z91">
        <v>-8062</v>
      </c>
      <c r="AA91">
        <v>-0.4</v>
      </c>
      <c r="AB91">
        <v>19</v>
      </c>
      <c r="AC91">
        <v>9</v>
      </c>
      <c r="AD91">
        <v>10</v>
      </c>
      <c r="AE91">
        <v>47.37</v>
      </c>
      <c r="AF91">
        <v>11</v>
      </c>
      <c r="AG91">
        <v>6</v>
      </c>
      <c r="AH91">
        <v>6</v>
      </c>
      <c r="AI91">
        <v>7</v>
      </c>
    </row>
    <row r="92" spans="1:35" x14ac:dyDescent="0.2">
      <c r="A92" s="102">
        <v>110</v>
      </c>
      <c r="B92">
        <v>1803</v>
      </c>
      <c r="C92" s="106" t="s">
        <v>4826</v>
      </c>
      <c r="D92" s="106" t="s">
        <v>4825</v>
      </c>
      <c r="E92">
        <v>1145</v>
      </c>
      <c r="F92">
        <v>1157</v>
      </c>
      <c r="G92">
        <v>700</v>
      </c>
      <c r="H92" s="106" t="s">
        <v>4818</v>
      </c>
      <c r="I92">
        <v>5393</v>
      </c>
      <c r="J92" s="106" t="s">
        <v>248</v>
      </c>
      <c r="K92" s="106" t="s">
        <v>4814</v>
      </c>
      <c r="L92">
        <v>2809</v>
      </c>
      <c r="M92">
        <v>2838</v>
      </c>
      <c r="N92">
        <v>300</v>
      </c>
      <c r="O92" s="106" t="s">
        <v>4815</v>
      </c>
      <c r="P92">
        <v>0.92024245151225204</v>
      </c>
      <c r="Q92">
        <v>0.90384043236245404</v>
      </c>
      <c r="R92" s="15">
        <v>8.6340399462172701E-2</v>
      </c>
      <c r="S92">
        <v>6.8681333000364303E-2</v>
      </c>
      <c r="T92">
        <v>-0.72862671319462302</v>
      </c>
      <c r="U92">
        <v>0.72862671319462302</v>
      </c>
      <c r="V92">
        <v>0.75123897774877302</v>
      </c>
      <c r="W92">
        <v>-7.09</v>
      </c>
      <c r="X92">
        <v>4.87</v>
      </c>
      <c r="Y92">
        <v>-153495</v>
      </c>
      <c r="Z92">
        <v>-7675</v>
      </c>
      <c r="AA92">
        <v>-0.38</v>
      </c>
      <c r="AB92">
        <v>20</v>
      </c>
      <c r="AC92">
        <v>7</v>
      </c>
      <c r="AD92">
        <v>13</v>
      </c>
      <c r="AE92">
        <v>35</v>
      </c>
      <c r="AF92">
        <v>12</v>
      </c>
      <c r="AG92">
        <v>5</v>
      </c>
      <c r="AH92">
        <v>6</v>
      </c>
      <c r="AI92">
        <v>9</v>
      </c>
    </row>
    <row r="93" spans="1:35" x14ac:dyDescent="0.2">
      <c r="A93" s="102">
        <v>107</v>
      </c>
      <c r="B93">
        <v>1803</v>
      </c>
      <c r="C93" s="106" t="s">
        <v>4826</v>
      </c>
      <c r="D93" s="106" t="s">
        <v>4825</v>
      </c>
      <c r="E93">
        <v>1145</v>
      </c>
      <c r="F93">
        <v>1157</v>
      </c>
      <c r="G93">
        <v>800</v>
      </c>
      <c r="H93" s="106" t="s">
        <v>4818</v>
      </c>
      <c r="I93">
        <v>8253</v>
      </c>
      <c r="J93" s="106" t="s">
        <v>804</v>
      </c>
      <c r="K93" s="106" t="s">
        <v>4821</v>
      </c>
      <c r="L93">
        <v>1878</v>
      </c>
      <c r="M93">
        <v>1905</v>
      </c>
      <c r="N93">
        <v>500</v>
      </c>
      <c r="O93" s="106" t="s">
        <v>4815</v>
      </c>
      <c r="P93">
        <v>0.90137627573321599</v>
      </c>
      <c r="Q93">
        <v>0.90497884139095497</v>
      </c>
      <c r="R93" s="106">
        <v>0.14939620745555701</v>
      </c>
      <c r="S93">
        <v>7.8630737127265801E-2</v>
      </c>
      <c r="T93">
        <v>-0.35245708757147598</v>
      </c>
      <c r="U93">
        <v>0.35245708757147598</v>
      </c>
      <c r="V93">
        <v>0.49384364304318301</v>
      </c>
      <c r="W93">
        <v>-2.0099999999999998</v>
      </c>
      <c r="X93">
        <v>2.82</v>
      </c>
      <c r="Y93">
        <v>-164532</v>
      </c>
      <c r="Z93">
        <v>-8660</v>
      </c>
      <c r="AA93">
        <v>-0.38</v>
      </c>
      <c r="AB93">
        <v>19</v>
      </c>
      <c r="AC93">
        <v>9</v>
      </c>
      <c r="AD93">
        <v>10</v>
      </c>
      <c r="AE93">
        <v>47.37</v>
      </c>
      <c r="AF93">
        <v>10</v>
      </c>
      <c r="AG93">
        <v>7</v>
      </c>
      <c r="AH93">
        <v>7</v>
      </c>
      <c r="AI93">
        <v>5</v>
      </c>
    </row>
    <row r="94" spans="1:35" x14ac:dyDescent="0.2">
      <c r="A94" s="102">
        <v>44</v>
      </c>
      <c r="B94">
        <v>3110</v>
      </c>
      <c r="C94" s="106" t="s">
        <v>817</v>
      </c>
      <c r="D94" s="106" t="s">
        <v>4814</v>
      </c>
      <c r="E94">
        <v>4975</v>
      </c>
      <c r="F94">
        <v>5020</v>
      </c>
      <c r="G94">
        <v>200</v>
      </c>
      <c r="H94" s="106" t="s">
        <v>4815</v>
      </c>
      <c r="I94">
        <v>4519</v>
      </c>
      <c r="J94" s="106" t="s">
        <v>629</v>
      </c>
      <c r="K94" s="106" t="s">
        <v>4842</v>
      </c>
      <c r="L94">
        <v>10715</v>
      </c>
      <c r="M94">
        <v>10625</v>
      </c>
      <c r="N94">
        <v>100</v>
      </c>
      <c r="O94" s="106" t="s">
        <v>4818</v>
      </c>
      <c r="P94">
        <v>0.95722216456491105</v>
      </c>
      <c r="Q94">
        <v>0.94186871160920005</v>
      </c>
      <c r="R94" s="15">
        <v>0.28655146325998998</v>
      </c>
      <c r="S94" s="15">
        <v>0.12142724898338</v>
      </c>
      <c r="T94">
        <v>1.6210405396084999</v>
      </c>
      <c r="U94">
        <v>1.6210405396084999</v>
      </c>
      <c r="V94">
        <v>1.6833643220396299</v>
      </c>
      <c r="W94">
        <v>12.09</v>
      </c>
      <c r="X94">
        <v>5.51</v>
      </c>
      <c r="Y94">
        <v>-166398</v>
      </c>
      <c r="Z94">
        <v>-11886</v>
      </c>
      <c r="AA94">
        <v>-0.42</v>
      </c>
      <c r="AB94">
        <v>14</v>
      </c>
      <c r="AC94">
        <v>7</v>
      </c>
      <c r="AD94">
        <v>7</v>
      </c>
      <c r="AE94">
        <v>50</v>
      </c>
      <c r="AF94">
        <v>13</v>
      </c>
      <c r="AG94">
        <v>4</v>
      </c>
      <c r="AH94">
        <v>6</v>
      </c>
      <c r="AI94">
        <v>4</v>
      </c>
    </row>
    <row r="95" spans="1:35" x14ac:dyDescent="0.2">
      <c r="A95" s="102">
        <v>49</v>
      </c>
      <c r="B95">
        <v>6952</v>
      </c>
      <c r="C95" s="106" t="s">
        <v>631</v>
      </c>
      <c r="D95" s="106" t="s">
        <v>4820</v>
      </c>
      <c r="E95">
        <v>2260</v>
      </c>
      <c r="F95">
        <v>2287</v>
      </c>
      <c r="G95">
        <v>300</v>
      </c>
      <c r="H95" s="106" t="s">
        <v>4815</v>
      </c>
      <c r="I95">
        <v>9989</v>
      </c>
      <c r="J95" s="106" t="s">
        <v>829</v>
      </c>
      <c r="K95" s="106" t="s">
        <v>4849</v>
      </c>
      <c r="L95">
        <v>3930</v>
      </c>
      <c r="M95">
        <v>3965</v>
      </c>
      <c r="N95">
        <v>200</v>
      </c>
      <c r="O95" s="106" t="s">
        <v>4818</v>
      </c>
      <c r="P95">
        <v>0.93392082515507802</v>
      </c>
      <c r="Q95">
        <v>0.93800692771203298</v>
      </c>
      <c r="R95">
        <v>0.14060254541124101</v>
      </c>
      <c r="S95" s="15">
        <v>0.109263210544556</v>
      </c>
      <c r="T95">
        <v>1.8154935601706499</v>
      </c>
      <c r="U95">
        <v>1.8154935601706499</v>
      </c>
      <c r="V95">
        <v>1.53962173100555</v>
      </c>
      <c r="W95">
        <v>9.07</v>
      </c>
      <c r="X95">
        <v>13.48</v>
      </c>
      <c r="Y95">
        <v>-166434</v>
      </c>
      <c r="Z95">
        <v>-10402</v>
      </c>
      <c r="AA95">
        <v>-0.5</v>
      </c>
      <c r="AB95">
        <v>16</v>
      </c>
      <c r="AC95">
        <v>6</v>
      </c>
      <c r="AD95">
        <v>10</v>
      </c>
      <c r="AE95">
        <v>37.5</v>
      </c>
      <c r="AF95">
        <v>12</v>
      </c>
      <c r="AG95">
        <v>5</v>
      </c>
      <c r="AH95">
        <v>6</v>
      </c>
      <c r="AI95">
        <v>5</v>
      </c>
    </row>
    <row r="96" spans="1:35" x14ac:dyDescent="0.2">
      <c r="A96" s="102">
        <v>27</v>
      </c>
      <c r="B96">
        <v>2413</v>
      </c>
      <c r="C96" s="106" t="s">
        <v>4837</v>
      </c>
      <c r="D96" s="106" t="s">
        <v>4830</v>
      </c>
      <c r="E96">
        <v>3190</v>
      </c>
      <c r="F96">
        <v>3260</v>
      </c>
      <c r="G96">
        <v>200</v>
      </c>
      <c r="H96" s="106" t="s">
        <v>4818</v>
      </c>
      <c r="I96">
        <v>6758</v>
      </c>
      <c r="J96" s="106" t="s">
        <v>4834</v>
      </c>
      <c r="K96" s="106" t="s">
        <v>4820</v>
      </c>
      <c r="L96">
        <v>7910</v>
      </c>
      <c r="M96">
        <v>7959</v>
      </c>
      <c r="N96">
        <v>100</v>
      </c>
      <c r="O96" s="106" t="s">
        <v>4815</v>
      </c>
      <c r="P96">
        <v>0.921214254620635</v>
      </c>
      <c r="Q96">
        <v>0.947993648792118</v>
      </c>
      <c r="R96">
        <v>0.208710272809047</v>
      </c>
      <c r="S96" s="15">
        <v>0.101989564433197</v>
      </c>
      <c r="T96">
        <v>-0.93857329950879698</v>
      </c>
      <c r="U96">
        <v>0.93857329950879698</v>
      </c>
      <c r="V96">
        <v>1.1524488048177499</v>
      </c>
      <c r="W96">
        <v>-3.09</v>
      </c>
      <c r="X96">
        <v>18.079999999999998</v>
      </c>
      <c r="Y96">
        <v>-173811</v>
      </c>
      <c r="Z96">
        <v>-11587</v>
      </c>
      <c r="AA96">
        <v>-0.66</v>
      </c>
      <c r="AB96">
        <v>15</v>
      </c>
      <c r="AC96">
        <v>6</v>
      </c>
      <c r="AD96">
        <v>9</v>
      </c>
      <c r="AE96">
        <v>40</v>
      </c>
      <c r="AF96">
        <v>11</v>
      </c>
      <c r="AG96">
        <v>5</v>
      </c>
      <c r="AH96">
        <v>7</v>
      </c>
      <c r="AI96">
        <v>3</v>
      </c>
    </row>
    <row r="97" spans="1:35" x14ac:dyDescent="0.2">
      <c r="A97" s="102">
        <v>73</v>
      </c>
      <c r="B97">
        <v>4686</v>
      </c>
      <c r="C97" s="106" t="s">
        <v>4838</v>
      </c>
      <c r="D97" s="106" t="s">
        <v>4817</v>
      </c>
      <c r="E97">
        <v>6310</v>
      </c>
      <c r="F97">
        <v>6300</v>
      </c>
      <c r="G97">
        <v>100</v>
      </c>
      <c r="H97" s="106" t="s">
        <v>4815</v>
      </c>
      <c r="I97">
        <v>6098</v>
      </c>
      <c r="J97" s="106" t="s">
        <v>251</v>
      </c>
      <c r="K97" s="106" t="s">
        <v>4830</v>
      </c>
      <c r="L97">
        <v>4225</v>
      </c>
      <c r="M97">
        <v>4353</v>
      </c>
      <c r="N97">
        <v>100</v>
      </c>
      <c r="O97" s="106" t="s">
        <v>4818</v>
      </c>
      <c r="P97">
        <v>0.93843904381403898</v>
      </c>
      <c r="Q97">
        <v>0.92281653570628996</v>
      </c>
      <c r="R97">
        <v>5.3627066700336602E-2</v>
      </c>
      <c r="S97" s="15">
        <v>0.141488408538994</v>
      </c>
      <c r="T97">
        <v>0.52565708420387403</v>
      </c>
      <c r="U97">
        <v>0.52565708420387403</v>
      </c>
      <c r="V97">
        <v>1.08600778840213</v>
      </c>
      <c r="W97">
        <v>4.29</v>
      </c>
      <c r="X97">
        <v>30.9</v>
      </c>
      <c r="Y97">
        <v>-174435</v>
      </c>
      <c r="Z97">
        <v>-10261</v>
      </c>
      <c r="AA97">
        <v>-0.56000000000000005</v>
      </c>
      <c r="AB97">
        <v>17</v>
      </c>
      <c r="AC97">
        <v>6</v>
      </c>
      <c r="AD97">
        <v>11</v>
      </c>
      <c r="AE97">
        <v>35.29</v>
      </c>
      <c r="AF97">
        <v>11</v>
      </c>
      <c r="AG97">
        <v>6</v>
      </c>
      <c r="AH97">
        <v>8</v>
      </c>
      <c r="AI97">
        <v>3</v>
      </c>
    </row>
    <row r="98" spans="1:35" x14ac:dyDescent="0.2">
      <c r="A98" s="102">
        <v>53</v>
      </c>
      <c r="B98">
        <v>3110</v>
      </c>
      <c r="C98" s="106" t="s">
        <v>817</v>
      </c>
      <c r="D98" s="106" t="s">
        <v>4814</v>
      </c>
      <c r="E98">
        <v>4975</v>
      </c>
      <c r="F98">
        <v>5020</v>
      </c>
      <c r="G98">
        <v>200</v>
      </c>
      <c r="H98" s="106" t="s">
        <v>4815</v>
      </c>
      <c r="I98">
        <v>8425</v>
      </c>
      <c r="J98" s="106" t="s">
        <v>4845</v>
      </c>
      <c r="K98" s="106" t="s">
        <v>4821</v>
      </c>
      <c r="L98">
        <v>3415</v>
      </c>
      <c r="M98">
        <v>3430</v>
      </c>
      <c r="N98">
        <v>300</v>
      </c>
      <c r="O98" s="106" t="s">
        <v>4818</v>
      </c>
      <c r="P98">
        <v>0.90733068439839204</v>
      </c>
      <c r="Q98">
        <v>0.93586500378431903</v>
      </c>
      <c r="R98" s="15">
        <v>0.12613890028104199</v>
      </c>
      <c r="S98">
        <v>8.0831327680027307E-2</v>
      </c>
      <c r="T98">
        <v>1.8758759237076601</v>
      </c>
      <c r="U98">
        <v>1.8758759237076601</v>
      </c>
      <c r="V98">
        <v>1.91714712028268</v>
      </c>
      <c r="W98">
        <v>16.899999999999999</v>
      </c>
      <c r="X98">
        <v>2.4900000000000002</v>
      </c>
      <c r="Y98">
        <v>-176379</v>
      </c>
      <c r="Z98">
        <v>-10375</v>
      </c>
      <c r="AA98">
        <v>-0.47</v>
      </c>
      <c r="AB98">
        <v>17</v>
      </c>
      <c r="AC98">
        <v>8</v>
      </c>
      <c r="AD98">
        <v>9</v>
      </c>
      <c r="AE98">
        <v>47.06</v>
      </c>
      <c r="AF98">
        <v>11</v>
      </c>
      <c r="AG98">
        <v>7</v>
      </c>
      <c r="AH98">
        <v>7</v>
      </c>
      <c r="AI98">
        <v>3</v>
      </c>
    </row>
    <row r="99" spans="1:35" x14ac:dyDescent="0.2">
      <c r="A99" s="102">
        <v>12</v>
      </c>
      <c r="B99">
        <v>4519</v>
      </c>
      <c r="C99" s="106" t="s">
        <v>629</v>
      </c>
      <c r="D99" s="106" t="s">
        <v>4842</v>
      </c>
      <c r="E99">
        <v>10715</v>
      </c>
      <c r="F99">
        <v>10625</v>
      </c>
      <c r="G99">
        <v>100</v>
      </c>
      <c r="H99" s="106" t="s">
        <v>4818</v>
      </c>
      <c r="I99">
        <v>6920</v>
      </c>
      <c r="J99" s="106" t="s">
        <v>4819</v>
      </c>
      <c r="K99" s="106" t="s">
        <v>4820</v>
      </c>
      <c r="L99">
        <v>5800</v>
      </c>
      <c r="M99">
        <v>6000</v>
      </c>
      <c r="N99">
        <v>200</v>
      </c>
      <c r="O99" s="106" t="s">
        <v>4815</v>
      </c>
      <c r="P99">
        <v>0.94520307475559195</v>
      </c>
      <c r="Q99">
        <v>0.95685875124419295</v>
      </c>
      <c r="R99">
        <v>5.67145120756401E-2</v>
      </c>
      <c r="S99" s="15">
        <v>9.8015511289072599E-2</v>
      </c>
      <c r="T99">
        <v>-1.65387519852776</v>
      </c>
      <c r="U99">
        <v>1.65387519852776</v>
      </c>
      <c r="V99">
        <v>1.4492095920934001</v>
      </c>
      <c r="W99">
        <v>-17.36</v>
      </c>
      <c r="X99">
        <v>12.94</v>
      </c>
      <c r="Y99">
        <v>-177487</v>
      </c>
      <c r="Z99">
        <v>-9341</v>
      </c>
      <c r="AA99">
        <v>-0.78</v>
      </c>
      <c r="AB99">
        <v>19</v>
      </c>
      <c r="AC99">
        <v>9</v>
      </c>
      <c r="AD99">
        <v>10</v>
      </c>
      <c r="AE99">
        <v>47.37</v>
      </c>
      <c r="AF99">
        <v>9</v>
      </c>
      <c r="AG99">
        <v>9</v>
      </c>
      <c r="AH99">
        <v>9</v>
      </c>
      <c r="AI99">
        <v>1</v>
      </c>
    </row>
    <row r="100" spans="1:35" x14ac:dyDescent="0.2">
      <c r="A100" s="102">
        <v>36</v>
      </c>
      <c r="B100">
        <v>3938</v>
      </c>
      <c r="C100" s="106" t="s">
        <v>4850</v>
      </c>
      <c r="D100" s="106" t="s">
        <v>4817</v>
      </c>
      <c r="E100">
        <v>5370</v>
      </c>
      <c r="F100">
        <v>5360</v>
      </c>
      <c r="G100">
        <v>200</v>
      </c>
      <c r="H100" s="106" t="s">
        <v>4818</v>
      </c>
      <c r="I100">
        <v>6952</v>
      </c>
      <c r="J100" s="106" t="s">
        <v>631</v>
      </c>
      <c r="K100" s="106" t="s">
        <v>4820</v>
      </c>
      <c r="L100">
        <v>2260</v>
      </c>
      <c r="M100">
        <v>2287</v>
      </c>
      <c r="N100">
        <v>500</v>
      </c>
      <c r="O100" s="106" t="s">
        <v>4815</v>
      </c>
      <c r="P100">
        <v>0.93059114417741795</v>
      </c>
      <c r="Q100">
        <v>0.94541326175643403</v>
      </c>
      <c r="R100">
        <v>3.3757647787230803E-2</v>
      </c>
      <c r="S100">
        <v>0.240916458117477</v>
      </c>
      <c r="T100">
        <v>-0.47518584741943698</v>
      </c>
      <c r="U100">
        <v>0.47518584741943698</v>
      </c>
      <c r="V100">
        <v>6.2610244808887603E-4</v>
      </c>
      <c r="W100">
        <v>-1.99</v>
      </c>
      <c r="X100">
        <v>6.67</v>
      </c>
      <c r="Y100">
        <v>-196304</v>
      </c>
      <c r="Z100">
        <v>-10332</v>
      </c>
      <c r="AA100">
        <v>-0.56000000000000005</v>
      </c>
      <c r="AB100">
        <v>19</v>
      </c>
      <c r="AC100">
        <v>10</v>
      </c>
      <c r="AD100">
        <v>9</v>
      </c>
      <c r="AE100">
        <v>52.63</v>
      </c>
      <c r="AF100">
        <v>12</v>
      </c>
      <c r="AG100">
        <v>4</v>
      </c>
      <c r="AH100">
        <v>6</v>
      </c>
      <c r="AI100">
        <v>9</v>
      </c>
    </row>
    <row r="101" spans="1:35" x14ac:dyDescent="0.2">
      <c r="A101" s="102">
        <v>76</v>
      </c>
      <c r="B101">
        <v>1803</v>
      </c>
      <c r="C101" s="106" t="s">
        <v>4826</v>
      </c>
      <c r="D101" s="106" t="s">
        <v>4825</v>
      </c>
      <c r="E101">
        <v>1145</v>
      </c>
      <c r="F101">
        <v>1157</v>
      </c>
      <c r="G101">
        <v>800</v>
      </c>
      <c r="H101" s="106" t="s">
        <v>4818</v>
      </c>
      <c r="I101">
        <v>6952</v>
      </c>
      <c r="J101" s="106" t="s">
        <v>631</v>
      </c>
      <c r="K101" s="106" t="s">
        <v>4820</v>
      </c>
      <c r="L101">
        <v>2260</v>
      </c>
      <c r="M101">
        <v>2287</v>
      </c>
      <c r="N101">
        <v>400</v>
      </c>
      <c r="O101" s="106" t="s">
        <v>4815</v>
      </c>
      <c r="P101">
        <v>0.916086161981297</v>
      </c>
      <c r="Q101">
        <v>0.91892991005227798</v>
      </c>
      <c r="R101">
        <v>1.9888737698218799E-2</v>
      </c>
      <c r="S101">
        <v>0.13349446268798501</v>
      </c>
      <c r="T101">
        <v>-0.96256105209528298</v>
      </c>
      <c r="U101">
        <v>0.96256105209528298</v>
      </c>
      <c r="V101">
        <v>0.88788114164251097</v>
      </c>
      <c r="W101">
        <v>-6.57</v>
      </c>
      <c r="X101">
        <v>1.18</v>
      </c>
      <c r="Y101">
        <v>-209395</v>
      </c>
      <c r="Z101">
        <v>-8725</v>
      </c>
      <c r="AA101">
        <v>-0.43</v>
      </c>
      <c r="AB101">
        <v>24</v>
      </c>
      <c r="AC101">
        <v>11</v>
      </c>
      <c r="AD101">
        <v>13</v>
      </c>
      <c r="AE101">
        <v>45.83</v>
      </c>
      <c r="AF101">
        <v>14</v>
      </c>
      <c r="AG101">
        <v>5</v>
      </c>
      <c r="AH101">
        <v>6</v>
      </c>
      <c r="AI101">
        <v>13</v>
      </c>
    </row>
    <row r="102" spans="1:35" x14ac:dyDescent="0.2">
      <c r="A102" s="102">
        <v>74</v>
      </c>
      <c r="B102">
        <v>6758</v>
      </c>
      <c r="C102" s="106" t="s">
        <v>4834</v>
      </c>
      <c r="D102" s="106" t="s">
        <v>4820</v>
      </c>
      <c r="E102">
        <v>7910</v>
      </c>
      <c r="F102">
        <v>7959</v>
      </c>
      <c r="G102">
        <v>100</v>
      </c>
      <c r="H102" s="106" t="s">
        <v>4818</v>
      </c>
      <c r="I102">
        <v>6920</v>
      </c>
      <c r="J102" s="106" t="s">
        <v>4819</v>
      </c>
      <c r="K102" s="106" t="s">
        <v>4820</v>
      </c>
      <c r="L102">
        <v>5800</v>
      </c>
      <c r="M102">
        <v>6000</v>
      </c>
      <c r="N102">
        <v>100</v>
      </c>
      <c r="O102" s="106" t="s">
        <v>4815</v>
      </c>
      <c r="P102">
        <v>0.95242672388443295</v>
      </c>
      <c r="Q102">
        <v>0.92177018431992896</v>
      </c>
      <c r="R102">
        <v>4.0492263084352401E-2</v>
      </c>
      <c r="S102" s="15">
        <v>0.17894470174237601</v>
      </c>
      <c r="T102">
        <v>-1.4918908386054599</v>
      </c>
      <c r="U102">
        <v>1.4918908386054599</v>
      </c>
      <c r="V102">
        <v>1.2877343386950499</v>
      </c>
      <c r="W102">
        <v>-15.67</v>
      </c>
      <c r="X102">
        <v>24.61</v>
      </c>
      <c r="Y102">
        <v>-218613</v>
      </c>
      <c r="Z102">
        <v>-11506</v>
      </c>
      <c r="AA102">
        <v>-0.4</v>
      </c>
      <c r="AB102">
        <v>19</v>
      </c>
      <c r="AC102">
        <v>10</v>
      </c>
      <c r="AD102">
        <v>9</v>
      </c>
      <c r="AE102">
        <v>52.63</v>
      </c>
      <c r="AF102">
        <v>7</v>
      </c>
      <c r="AG102">
        <v>9</v>
      </c>
      <c r="AH102">
        <v>9</v>
      </c>
      <c r="AI102">
        <v>1</v>
      </c>
    </row>
    <row r="103" spans="1:35" x14ac:dyDescent="0.2">
      <c r="A103" s="102">
        <v>100</v>
      </c>
      <c r="B103">
        <v>4062</v>
      </c>
      <c r="C103" s="106" t="s">
        <v>242</v>
      </c>
      <c r="D103" s="106" t="s">
        <v>4820</v>
      </c>
      <c r="E103">
        <v>2675</v>
      </c>
      <c r="F103">
        <v>2720</v>
      </c>
      <c r="G103">
        <v>400</v>
      </c>
      <c r="H103" s="106" t="s">
        <v>4818</v>
      </c>
      <c r="I103">
        <v>4519</v>
      </c>
      <c r="J103" s="106" t="s">
        <v>629</v>
      </c>
      <c r="K103" s="106" t="s">
        <v>4842</v>
      </c>
      <c r="L103">
        <v>10715</v>
      </c>
      <c r="M103">
        <v>10625</v>
      </c>
      <c r="N103">
        <v>100</v>
      </c>
      <c r="O103" s="106" t="s">
        <v>4815</v>
      </c>
      <c r="P103">
        <v>0.91760162370587295</v>
      </c>
      <c r="Q103">
        <v>0.90860926375582496</v>
      </c>
      <c r="R103" s="15">
        <v>1.08885307817977E-5</v>
      </c>
      <c r="S103" s="106">
        <v>0.23189050738217701</v>
      </c>
      <c r="T103">
        <v>-1.30015787963384</v>
      </c>
      <c r="U103">
        <v>1.30015787963384</v>
      </c>
      <c r="V103">
        <v>1.8234420152486801</v>
      </c>
      <c r="W103">
        <v>-4.37</v>
      </c>
      <c r="X103">
        <v>2.4</v>
      </c>
      <c r="Y103">
        <v>-223211</v>
      </c>
      <c r="Z103">
        <v>-15944</v>
      </c>
      <c r="AA103">
        <v>-1.2</v>
      </c>
      <c r="AB103">
        <v>14</v>
      </c>
      <c r="AC103">
        <v>4</v>
      </c>
      <c r="AD103">
        <v>10</v>
      </c>
      <c r="AE103">
        <v>28.57</v>
      </c>
      <c r="AF103">
        <v>10</v>
      </c>
      <c r="AG103">
        <v>4</v>
      </c>
      <c r="AH103">
        <v>7</v>
      </c>
      <c r="AI103">
        <v>3</v>
      </c>
    </row>
    <row r="104" spans="1:35" x14ac:dyDescent="0.2">
      <c r="A104" s="102">
        <v>106</v>
      </c>
      <c r="B104">
        <v>2531</v>
      </c>
      <c r="C104" s="106" t="s">
        <v>4851</v>
      </c>
      <c r="D104" s="106" t="s">
        <v>4852</v>
      </c>
      <c r="E104">
        <v>988</v>
      </c>
      <c r="F104">
        <v>1000</v>
      </c>
      <c r="G104">
        <v>900</v>
      </c>
      <c r="H104" s="106" t="s">
        <v>4815</v>
      </c>
      <c r="I104">
        <v>2607</v>
      </c>
      <c r="J104" s="106" t="s">
        <v>4853</v>
      </c>
      <c r="K104" s="106" t="s">
        <v>4852</v>
      </c>
      <c r="L104">
        <v>2944</v>
      </c>
      <c r="M104">
        <v>2950</v>
      </c>
      <c r="N104">
        <v>300</v>
      </c>
      <c r="O104" s="106" t="s">
        <v>4818</v>
      </c>
      <c r="P104">
        <v>0.91683368585476699</v>
      </c>
      <c r="Q104">
        <v>0.90507115472976096</v>
      </c>
      <c r="R104" s="15">
        <v>1.42644989880458E-6</v>
      </c>
      <c r="S104" s="15">
        <v>0.25921082042685101</v>
      </c>
      <c r="T104">
        <v>0.140834042216296</v>
      </c>
      <c r="U104">
        <v>0.140834042216296</v>
      </c>
      <c r="V104">
        <v>0.47317654208751703</v>
      </c>
      <c r="W104">
        <v>0.22</v>
      </c>
      <c r="X104">
        <v>1.69</v>
      </c>
      <c r="Y104">
        <v>-272807</v>
      </c>
      <c r="Z104">
        <v>-15156</v>
      </c>
      <c r="AA104">
        <v>-0.77</v>
      </c>
      <c r="AB104">
        <v>18</v>
      </c>
      <c r="AC104">
        <v>8</v>
      </c>
      <c r="AD104">
        <v>10</v>
      </c>
      <c r="AE104">
        <v>44.44</v>
      </c>
      <c r="AF104">
        <v>11</v>
      </c>
      <c r="AG104">
        <v>6</v>
      </c>
      <c r="AH104">
        <v>8</v>
      </c>
      <c r="AI104">
        <v>4</v>
      </c>
    </row>
    <row r="105" spans="1:35" x14ac:dyDescent="0.2">
      <c r="A105" s="102">
        <v>0</v>
      </c>
      <c r="B105">
        <v>3110</v>
      </c>
      <c r="C105" s="106" t="s">
        <v>817</v>
      </c>
      <c r="D105" s="106" t="s">
        <v>4814</v>
      </c>
      <c r="E105">
        <v>4975</v>
      </c>
      <c r="F105">
        <v>5020</v>
      </c>
      <c r="G105">
        <v>100</v>
      </c>
      <c r="H105" s="106" t="s">
        <v>4818</v>
      </c>
      <c r="I105">
        <v>6920</v>
      </c>
      <c r="J105" s="106" t="s">
        <v>4819</v>
      </c>
      <c r="K105" s="106" t="s">
        <v>4820</v>
      </c>
      <c r="L105">
        <v>5800</v>
      </c>
      <c r="M105">
        <v>6000</v>
      </c>
      <c r="N105">
        <v>100</v>
      </c>
      <c r="O105" s="106" t="s">
        <v>4815</v>
      </c>
      <c r="P105">
        <v>0.962100609098543</v>
      </c>
      <c r="Q105">
        <v>0.98339060883862695</v>
      </c>
      <c r="R105" s="106">
        <v>2.82697386301611E-2</v>
      </c>
      <c r="S105" s="106">
        <v>1.9938234829575199E-2</v>
      </c>
      <c r="T105">
        <v>-0.48511609833775099</v>
      </c>
      <c r="U105">
        <v>0.48511609833775099</v>
      </c>
      <c r="V105">
        <v>3.0579737400810901E-2</v>
      </c>
      <c r="W105">
        <v>-2.5099999999999998</v>
      </c>
      <c r="X105">
        <v>16.329999999999998</v>
      </c>
      <c r="Y105">
        <v>-317403</v>
      </c>
      <c r="Z105">
        <v>-21160</v>
      </c>
      <c r="AA105">
        <v>-1.07</v>
      </c>
      <c r="AB105">
        <v>15</v>
      </c>
      <c r="AC105">
        <v>7</v>
      </c>
      <c r="AD105">
        <v>8</v>
      </c>
      <c r="AE105">
        <v>46.67</v>
      </c>
      <c r="AF105">
        <v>9</v>
      </c>
      <c r="AG105">
        <v>6</v>
      </c>
      <c r="AH105">
        <v>8</v>
      </c>
      <c r="AI105">
        <v>1</v>
      </c>
    </row>
    <row r="106" spans="1:35" x14ac:dyDescent="0.2">
      <c r="A106" s="102">
        <v>40</v>
      </c>
      <c r="B106">
        <v>3110</v>
      </c>
      <c r="C106" s="106" t="s">
        <v>817</v>
      </c>
      <c r="D106" s="106" t="s">
        <v>4814</v>
      </c>
      <c r="E106">
        <v>4975</v>
      </c>
      <c r="F106">
        <v>5020</v>
      </c>
      <c r="G106">
        <v>200</v>
      </c>
      <c r="H106" s="106" t="s">
        <v>4815</v>
      </c>
      <c r="I106">
        <v>6951</v>
      </c>
      <c r="J106" s="106" t="s">
        <v>239</v>
      </c>
      <c r="K106" s="106" t="s">
        <v>4820</v>
      </c>
      <c r="L106">
        <v>3530</v>
      </c>
      <c r="M106">
        <v>3620</v>
      </c>
      <c r="N106">
        <v>300</v>
      </c>
      <c r="O106" s="106" t="s">
        <v>4818</v>
      </c>
      <c r="P106">
        <v>0.92413364386304098</v>
      </c>
      <c r="Q106">
        <v>0.94426122255093803</v>
      </c>
      <c r="R106">
        <v>0.26084707781809402</v>
      </c>
      <c r="S106" s="15">
        <v>0.36008541617919898</v>
      </c>
      <c r="T106">
        <v>0.94547944609911805</v>
      </c>
      <c r="U106">
        <v>0.94547944609911805</v>
      </c>
      <c r="V106">
        <v>1.2388805259298901</v>
      </c>
      <c r="W106">
        <v>7.25</v>
      </c>
      <c r="X106">
        <v>8.17</v>
      </c>
      <c r="Y106">
        <v>-319334</v>
      </c>
      <c r="Z106">
        <v>-17741</v>
      </c>
      <c r="AA106">
        <v>-0.86</v>
      </c>
      <c r="AB106">
        <v>18</v>
      </c>
      <c r="AC106">
        <v>9</v>
      </c>
      <c r="AD106">
        <v>9</v>
      </c>
      <c r="AE106">
        <v>50</v>
      </c>
      <c r="AF106">
        <v>9</v>
      </c>
      <c r="AG106">
        <v>8</v>
      </c>
      <c r="AH106">
        <v>8</v>
      </c>
      <c r="AI106">
        <v>2</v>
      </c>
    </row>
    <row r="107" spans="1:35" x14ac:dyDescent="0.2">
      <c r="A107" s="102">
        <v>26</v>
      </c>
      <c r="B107">
        <v>6755</v>
      </c>
      <c r="C107" s="106" t="s">
        <v>805</v>
      </c>
      <c r="D107" s="106" t="s">
        <v>4820</v>
      </c>
      <c r="E107">
        <v>2560</v>
      </c>
      <c r="F107">
        <v>2587</v>
      </c>
      <c r="G107">
        <v>200</v>
      </c>
      <c r="H107" s="106" t="s">
        <v>4818</v>
      </c>
      <c r="I107">
        <v>6920</v>
      </c>
      <c r="J107" s="106" t="s">
        <v>4819</v>
      </c>
      <c r="K107" s="106" t="s">
        <v>4820</v>
      </c>
      <c r="L107">
        <v>5800</v>
      </c>
      <c r="M107">
        <v>6000</v>
      </c>
      <c r="N107">
        <v>100</v>
      </c>
      <c r="O107" s="106" t="s">
        <v>4815</v>
      </c>
      <c r="P107">
        <v>0.94974459924051602</v>
      </c>
      <c r="Q107">
        <v>0.94852993848158396</v>
      </c>
      <c r="R107" s="15">
        <v>0.196542831355389</v>
      </c>
      <c r="S107" s="106">
        <v>0.15345220659633099</v>
      </c>
      <c r="T107">
        <v>-1.50439940649685</v>
      </c>
      <c r="U107">
        <v>1.50439940649685</v>
      </c>
      <c r="V107">
        <v>1.3421206568383</v>
      </c>
      <c r="W107">
        <v>-8.51</v>
      </c>
      <c r="X107">
        <v>13.77</v>
      </c>
      <c r="Y107">
        <v>-325500</v>
      </c>
      <c r="Z107">
        <v>-18083</v>
      </c>
      <c r="AA107">
        <v>-0.91</v>
      </c>
      <c r="AB107">
        <v>18</v>
      </c>
      <c r="AC107">
        <v>10</v>
      </c>
      <c r="AD107">
        <v>8</v>
      </c>
      <c r="AE107">
        <v>55.56</v>
      </c>
      <c r="AF107">
        <v>8</v>
      </c>
      <c r="AG107">
        <v>8</v>
      </c>
      <c r="AH107">
        <v>8</v>
      </c>
      <c r="AI107">
        <v>2</v>
      </c>
    </row>
    <row r="108" spans="1:35" x14ac:dyDescent="0.2">
      <c r="A108" s="102">
        <v>66</v>
      </c>
      <c r="B108">
        <v>4519</v>
      </c>
      <c r="C108" s="106" t="s">
        <v>629</v>
      </c>
      <c r="D108" s="106" t="s">
        <v>4842</v>
      </c>
      <c r="E108">
        <v>10715</v>
      </c>
      <c r="F108">
        <v>10625</v>
      </c>
      <c r="G108">
        <v>100</v>
      </c>
      <c r="H108" s="106" t="s">
        <v>4818</v>
      </c>
      <c r="I108">
        <v>4686</v>
      </c>
      <c r="J108" s="106" t="s">
        <v>4838</v>
      </c>
      <c r="K108" s="106" t="s">
        <v>4817</v>
      </c>
      <c r="L108">
        <v>6310</v>
      </c>
      <c r="M108">
        <v>6300</v>
      </c>
      <c r="N108">
        <v>200</v>
      </c>
      <c r="O108" s="106" t="s">
        <v>4815</v>
      </c>
      <c r="P108">
        <v>0.90140718016514998</v>
      </c>
      <c r="Q108">
        <v>0.92932267650031297</v>
      </c>
      <c r="R108" s="15">
        <v>0.23969600432188701</v>
      </c>
      <c r="S108" s="106">
        <v>0.26460880425910599</v>
      </c>
      <c r="T108">
        <v>-0.57770830249680105</v>
      </c>
      <c r="U108">
        <v>0.57770830249680105</v>
      </c>
      <c r="V108">
        <v>0.65268503710099901</v>
      </c>
      <c r="W108">
        <v>-5.37</v>
      </c>
      <c r="X108">
        <v>18.59</v>
      </c>
      <c r="Y108">
        <v>-331337</v>
      </c>
      <c r="Z108">
        <v>-25487</v>
      </c>
      <c r="AA108">
        <v>-1.57</v>
      </c>
      <c r="AB108">
        <v>13</v>
      </c>
      <c r="AC108">
        <v>3</v>
      </c>
      <c r="AD108">
        <v>10</v>
      </c>
      <c r="AE108">
        <v>23.08</v>
      </c>
      <c r="AF108">
        <v>10</v>
      </c>
      <c r="AG108">
        <v>2</v>
      </c>
      <c r="AH108">
        <v>8</v>
      </c>
      <c r="AI108">
        <v>3</v>
      </c>
    </row>
    <row r="109" spans="1:35" x14ac:dyDescent="0.2">
      <c r="A109" s="102">
        <v>64</v>
      </c>
      <c r="B109">
        <v>2413</v>
      </c>
      <c r="C109" s="106" t="s">
        <v>4837</v>
      </c>
      <c r="D109" s="106" t="s">
        <v>4830</v>
      </c>
      <c r="E109">
        <v>3190</v>
      </c>
      <c r="F109">
        <v>3260</v>
      </c>
      <c r="G109">
        <v>300</v>
      </c>
      <c r="H109" s="106" t="s">
        <v>4818</v>
      </c>
      <c r="I109">
        <v>9468</v>
      </c>
      <c r="J109" s="106" t="s">
        <v>4816</v>
      </c>
      <c r="K109" s="106" t="s">
        <v>4817</v>
      </c>
      <c r="L109">
        <v>2015</v>
      </c>
      <c r="M109">
        <v>2055</v>
      </c>
      <c r="N109">
        <v>500</v>
      </c>
      <c r="O109" s="106" t="s">
        <v>4815</v>
      </c>
      <c r="P109">
        <v>0.95683720154752405</v>
      </c>
      <c r="Q109">
        <v>0.92968412731511696</v>
      </c>
      <c r="R109">
        <v>8.1869901808633502E-2</v>
      </c>
      <c r="S109" s="15">
        <v>7.3932958848930794E-2</v>
      </c>
      <c r="T109">
        <v>-1.3717031145185501</v>
      </c>
      <c r="U109">
        <v>1.3717031145185501</v>
      </c>
      <c r="V109">
        <v>1.16026321702339</v>
      </c>
      <c r="W109">
        <v>-6.99</v>
      </c>
      <c r="X109">
        <v>5.0599999999999996</v>
      </c>
      <c r="Y109">
        <v>-383793</v>
      </c>
      <c r="Z109">
        <v>-16687</v>
      </c>
      <c r="AA109">
        <v>-0.81</v>
      </c>
      <c r="AB109">
        <v>23</v>
      </c>
      <c r="AC109">
        <v>6</v>
      </c>
      <c r="AD109">
        <v>17</v>
      </c>
      <c r="AE109">
        <v>26.09</v>
      </c>
      <c r="AF109">
        <v>10</v>
      </c>
      <c r="AG109">
        <v>6</v>
      </c>
      <c r="AH109">
        <v>11</v>
      </c>
      <c r="AI109">
        <v>6</v>
      </c>
    </row>
    <row r="110" spans="1:35" x14ac:dyDescent="0.2">
      <c r="A110" s="102">
        <v>79</v>
      </c>
      <c r="B110">
        <v>6753</v>
      </c>
      <c r="C110" s="106" t="s">
        <v>4854</v>
      </c>
      <c r="D110" s="106" t="s">
        <v>4820</v>
      </c>
      <c r="E110">
        <v>1690</v>
      </c>
      <c r="F110">
        <v>1707</v>
      </c>
      <c r="G110">
        <v>600</v>
      </c>
      <c r="H110" s="106" t="s">
        <v>4815</v>
      </c>
      <c r="I110">
        <v>8031</v>
      </c>
      <c r="J110" s="106" t="s">
        <v>1226</v>
      </c>
      <c r="K110" s="106" t="s">
        <v>4822</v>
      </c>
      <c r="L110">
        <v>1980.5</v>
      </c>
      <c r="M110">
        <v>1987</v>
      </c>
      <c r="N110">
        <v>500</v>
      </c>
      <c r="O110" s="106" t="s">
        <v>4818</v>
      </c>
      <c r="P110">
        <v>0.90468724462901695</v>
      </c>
      <c r="Q110">
        <v>0.91796358645943199</v>
      </c>
      <c r="R110" s="15">
        <v>6.1520539565108001E-2</v>
      </c>
      <c r="S110">
        <v>1.19005162513E-2</v>
      </c>
      <c r="T110">
        <v>0.62494324897895903</v>
      </c>
      <c r="U110">
        <v>0.62494324897895903</v>
      </c>
      <c r="V110">
        <v>0.51240420300035805</v>
      </c>
      <c r="W110">
        <v>5.92</v>
      </c>
      <c r="X110">
        <v>3.09</v>
      </c>
      <c r="Y110">
        <v>-433144</v>
      </c>
      <c r="Z110">
        <v>-19688</v>
      </c>
      <c r="AA110">
        <v>-1.04</v>
      </c>
      <c r="AB110">
        <v>22</v>
      </c>
      <c r="AC110">
        <v>8</v>
      </c>
      <c r="AD110">
        <v>14</v>
      </c>
      <c r="AE110">
        <v>36.36</v>
      </c>
      <c r="AF110">
        <v>11</v>
      </c>
      <c r="AG110">
        <v>5</v>
      </c>
      <c r="AH110">
        <v>10</v>
      </c>
      <c r="AI110">
        <v>7</v>
      </c>
    </row>
    <row r="111" spans="1:35" x14ac:dyDescent="0.2">
      <c r="A111" s="102">
        <v>19</v>
      </c>
      <c r="B111">
        <v>3110</v>
      </c>
      <c r="C111" s="106" t="s">
        <v>817</v>
      </c>
      <c r="D111" s="106" t="s">
        <v>4814</v>
      </c>
      <c r="E111">
        <v>4975</v>
      </c>
      <c r="F111">
        <v>5020</v>
      </c>
      <c r="G111">
        <v>100</v>
      </c>
      <c r="H111" s="106" t="s">
        <v>4815</v>
      </c>
      <c r="I111">
        <v>4686</v>
      </c>
      <c r="J111" s="106" t="s">
        <v>4838</v>
      </c>
      <c r="K111" s="106" t="s">
        <v>4817</v>
      </c>
      <c r="L111">
        <v>6310</v>
      </c>
      <c r="M111">
        <v>6300</v>
      </c>
      <c r="N111">
        <v>100</v>
      </c>
      <c r="O111" s="106" t="s">
        <v>4818</v>
      </c>
      <c r="P111">
        <v>0.924753874467103</v>
      </c>
      <c r="Q111">
        <v>0.95312458289181001</v>
      </c>
      <c r="R111" s="106">
        <v>0.29936035054295301</v>
      </c>
      <c r="S111">
        <v>0.19630366682713299</v>
      </c>
      <c r="T111">
        <v>1.70167507381434</v>
      </c>
      <c r="U111">
        <v>1.70167507381434</v>
      </c>
      <c r="V111">
        <v>1.55993951483847</v>
      </c>
      <c r="W111">
        <v>7.93</v>
      </c>
      <c r="X111">
        <v>20.32</v>
      </c>
      <c r="Y111">
        <v>-438435</v>
      </c>
      <c r="Z111">
        <v>-36536</v>
      </c>
      <c r="AA111">
        <v>-1.87</v>
      </c>
      <c r="AB111">
        <v>12</v>
      </c>
      <c r="AC111">
        <v>3</v>
      </c>
      <c r="AD111">
        <v>9</v>
      </c>
      <c r="AE111">
        <v>25</v>
      </c>
      <c r="AF111">
        <v>9</v>
      </c>
      <c r="AG111">
        <v>1</v>
      </c>
      <c r="AH111">
        <v>8</v>
      </c>
      <c r="AI111">
        <v>3</v>
      </c>
    </row>
    <row r="112" spans="1:35" x14ac:dyDescent="0.2">
      <c r="A112" s="102">
        <v>47</v>
      </c>
      <c r="B112">
        <v>6920</v>
      </c>
      <c r="C112" s="106" t="s">
        <v>4819</v>
      </c>
      <c r="D112" s="106" t="s">
        <v>4820</v>
      </c>
      <c r="E112">
        <v>5800</v>
      </c>
      <c r="F112">
        <v>6000</v>
      </c>
      <c r="G112">
        <v>100</v>
      </c>
      <c r="H112" s="106" t="s">
        <v>4815</v>
      </c>
      <c r="I112">
        <v>8572</v>
      </c>
      <c r="J112" s="106" t="s">
        <v>4779</v>
      </c>
      <c r="K112" s="106" t="s">
        <v>4821</v>
      </c>
      <c r="L112">
        <v>514</v>
      </c>
      <c r="M112">
        <v>521</v>
      </c>
      <c r="N112">
        <v>1200</v>
      </c>
      <c r="O112" s="106" t="s">
        <v>4818</v>
      </c>
      <c r="P112">
        <v>0.95472353595955795</v>
      </c>
      <c r="Q112">
        <v>0.93845142299736495</v>
      </c>
      <c r="R112">
        <v>1.7176505970787199E-2</v>
      </c>
      <c r="S112">
        <v>0.14900822333105099</v>
      </c>
      <c r="T112">
        <v>1.5659219850355099</v>
      </c>
      <c r="U112">
        <v>1.5659219850355099</v>
      </c>
      <c r="V112">
        <v>1.4896923227927099</v>
      </c>
      <c r="W112">
        <v>13.9</v>
      </c>
      <c r="X112">
        <v>4.2</v>
      </c>
      <c r="Y112">
        <v>-608768</v>
      </c>
      <c r="Z112">
        <v>-21742</v>
      </c>
      <c r="AA112">
        <v>-1.07</v>
      </c>
      <c r="AB112">
        <v>28</v>
      </c>
      <c r="AC112">
        <v>12</v>
      </c>
      <c r="AD112">
        <v>16</v>
      </c>
      <c r="AE112">
        <v>42.86</v>
      </c>
      <c r="AF112">
        <v>9</v>
      </c>
      <c r="AG112">
        <v>11</v>
      </c>
      <c r="AH112">
        <v>15</v>
      </c>
      <c r="AI112">
        <v>2</v>
      </c>
    </row>
    <row r="113" spans="3:19" x14ac:dyDescent="0.2">
      <c r="C113" s="106"/>
      <c r="D113" s="106"/>
      <c r="H113" s="106"/>
      <c r="J113" s="106"/>
      <c r="K113" s="106"/>
      <c r="O113" s="106"/>
      <c r="S113" s="15"/>
    </row>
    <row r="114" spans="3:19" x14ac:dyDescent="0.2">
      <c r="C114" s="106"/>
      <c r="D114" s="106"/>
      <c r="H114" s="106"/>
      <c r="J114" s="106"/>
      <c r="K114" s="106"/>
      <c r="O114" s="106"/>
      <c r="S114" s="15"/>
    </row>
    <row r="115" spans="3:19" x14ac:dyDescent="0.2">
      <c r="C115" s="106"/>
      <c r="D115" s="106"/>
      <c r="H115" s="106"/>
      <c r="J115" s="106"/>
      <c r="K115" s="106"/>
      <c r="O115" s="106"/>
    </row>
    <row r="116" spans="3:19" x14ac:dyDescent="0.2">
      <c r="C116" s="106"/>
      <c r="D116" s="106"/>
      <c r="H116" s="106"/>
      <c r="J116" s="106"/>
      <c r="K116" s="106"/>
      <c r="O116" s="106"/>
    </row>
    <row r="117" spans="3:19" x14ac:dyDescent="0.2">
      <c r="C117" s="106"/>
      <c r="D117" s="106"/>
      <c r="H117" s="106"/>
      <c r="J117" s="106"/>
      <c r="K117" s="106"/>
      <c r="O117" s="106"/>
      <c r="R117" s="15"/>
      <c r="S117" s="15"/>
    </row>
    <row r="118" spans="3:19" x14ac:dyDescent="0.2">
      <c r="C118" s="106"/>
      <c r="D118" s="106"/>
      <c r="H118" s="106"/>
      <c r="J118" s="106"/>
      <c r="K118" s="106"/>
      <c r="O118" s="106"/>
    </row>
    <row r="119" spans="3:19" x14ac:dyDescent="0.2">
      <c r="C119" s="106"/>
      <c r="D119" s="106"/>
      <c r="H119" s="106"/>
      <c r="J119" s="106"/>
      <c r="K119" s="106"/>
      <c r="O119" s="106"/>
      <c r="R119" s="15"/>
    </row>
    <row r="120" spans="3:19" x14ac:dyDescent="0.2">
      <c r="C120" s="106"/>
      <c r="D120" s="106"/>
      <c r="H120" s="106"/>
      <c r="J120" s="106"/>
      <c r="K120" s="106"/>
      <c r="O120" s="106"/>
      <c r="R120" s="15"/>
      <c r="S120" s="106"/>
    </row>
    <row r="121" spans="3:19" x14ac:dyDescent="0.2">
      <c r="C121" s="106"/>
      <c r="D121" s="106"/>
      <c r="H121" s="106"/>
      <c r="J121" s="106"/>
      <c r="K121" s="106"/>
      <c r="O121" s="106"/>
      <c r="R121" s="15"/>
      <c r="S121" s="15"/>
    </row>
    <row r="122" spans="3:19" x14ac:dyDescent="0.2">
      <c r="C122" s="106"/>
      <c r="D122" s="106"/>
      <c r="H122" s="106"/>
      <c r="J122" s="106"/>
      <c r="K122" s="106"/>
      <c r="O122" s="106"/>
      <c r="R122" s="106"/>
    </row>
    <row r="123" spans="3:19" x14ac:dyDescent="0.2">
      <c r="C123" s="106"/>
      <c r="D123" s="106"/>
      <c r="H123" s="106"/>
      <c r="J123" s="106"/>
      <c r="K123" s="106"/>
      <c r="O123" s="106"/>
      <c r="R123" s="106"/>
    </row>
    <row r="124" spans="3:19" x14ac:dyDescent="0.2">
      <c r="C124" s="106"/>
      <c r="D124" s="106"/>
      <c r="H124" s="106"/>
      <c r="J124" s="106"/>
      <c r="K124" s="106"/>
      <c r="O124" s="106"/>
      <c r="R124" s="15"/>
    </row>
    <row r="125" spans="3:19" x14ac:dyDescent="0.2">
      <c r="C125" s="106"/>
      <c r="D125" s="106"/>
      <c r="H125" s="106"/>
      <c r="J125" s="106"/>
      <c r="K125" s="106"/>
      <c r="O125" s="106"/>
      <c r="R125" s="15"/>
      <c r="S125" s="15"/>
    </row>
    <row r="126" spans="3:19" x14ac:dyDescent="0.2">
      <c r="C126" s="106"/>
      <c r="D126" s="106"/>
      <c r="H126" s="106"/>
      <c r="J126" s="106"/>
      <c r="K126" s="106"/>
      <c r="O126" s="106"/>
      <c r="S126" s="15"/>
    </row>
    <row r="127" spans="3:19" x14ac:dyDescent="0.2">
      <c r="C127" s="106"/>
      <c r="D127" s="106"/>
      <c r="H127" s="106"/>
      <c r="J127" s="106"/>
      <c r="K127" s="106"/>
      <c r="O127" s="106"/>
      <c r="R127" s="15"/>
      <c r="S127" s="106"/>
    </row>
    <row r="128" spans="3:19" x14ac:dyDescent="0.2">
      <c r="C128" s="106"/>
      <c r="D128" s="106"/>
      <c r="H128" s="106"/>
      <c r="J128" s="106"/>
      <c r="K128" s="106"/>
      <c r="O128" s="106"/>
      <c r="R128" s="15"/>
    </row>
    <row r="129" spans="3:21" x14ac:dyDescent="0.2">
      <c r="C129" s="106"/>
      <c r="D129" s="106"/>
      <c r="H129" s="106"/>
      <c r="J129" s="106"/>
      <c r="K129" s="106"/>
      <c r="O129" s="106"/>
      <c r="S129" s="106"/>
    </row>
    <row r="130" spans="3:21" x14ac:dyDescent="0.2">
      <c r="C130" s="106"/>
      <c r="D130" s="106"/>
      <c r="H130" s="106"/>
      <c r="J130" s="106"/>
      <c r="K130" s="106"/>
      <c r="O130" s="106"/>
      <c r="R130" s="15"/>
    </row>
    <row r="131" spans="3:21" x14ac:dyDescent="0.2">
      <c r="C131" s="106"/>
      <c r="D131" s="106"/>
      <c r="H131" s="106"/>
      <c r="J131" s="106"/>
      <c r="K131" s="106"/>
      <c r="O131" s="106"/>
      <c r="R131" s="15"/>
      <c r="S131" s="106"/>
    </row>
    <row r="132" spans="3:21" x14ac:dyDescent="0.2">
      <c r="C132" s="106"/>
      <c r="D132" s="106"/>
      <c r="H132" s="106"/>
      <c r="J132" s="106"/>
      <c r="K132" s="106"/>
      <c r="O132" s="106"/>
      <c r="R132" s="15"/>
      <c r="S132" s="15"/>
    </row>
    <row r="133" spans="3:21" x14ac:dyDescent="0.2">
      <c r="C133" s="106"/>
      <c r="D133" s="106"/>
      <c r="H133" s="106"/>
      <c r="J133" s="106"/>
      <c r="K133" s="106"/>
      <c r="O133" s="106"/>
      <c r="S133" s="106"/>
    </row>
    <row r="134" spans="3:21" x14ac:dyDescent="0.2">
      <c r="C134" s="106"/>
      <c r="D134" s="106"/>
      <c r="H134" s="106"/>
      <c r="J134" s="106"/>
      <c r="K134" s="106"/>
      <c r="O134" s="106"/>
    </row>
    <row r="135" spans="3:21" x14ac:dyDescent="0.2">
      <c r="C135" s="106"/>
      <c r="D135" s="106"/>
      <c r="H135" s="106"/>
      <c r="J135" s="106"/>
      <c r="K135" s="106"/>
      <c r="O135" s="106"/>
      <c r="R135" s="15"/>
    </row>
    <row r="136" spans="3:21" x14ac:dyDescent="0.2">
      <c r="C136" s="106"/>
      <c r="D136" s="106"/>
      <c r="H136" s="106"/>
      <c r="J136" s="106"/>
      <c r="K136" s="106"/>
      <c r="O136" s="106"/>
      <c r="S136" s="106"/>
      <c r="T136" s="106"/>
      <c r="U136" s="106"/>
    </row>
    <row r="137" spans="3:21" x14ac:dyDescent="0.2">
      <c r="C137" s="106"/>
      <c r="D137" s="106"/>
      <c r="H137" s="106"/>
      <c r="J137" s="106"/>
      <c r="K137" s="106"/>
      <c r="O137" s="106"/>
      <c r="S137" s="106"/>
    </row>
    <row r="138" spans="3:21" x14ac:dyDescent="0.2">
      <c r="C138" s="106"/>
      <c r="D138" s="106"/>
      <c r="H138" s="106"/>
      <c r="J138" s="106"/>
      <c r="K138" s="106"/>
      <c r="O138" s="106"/>
    </row>
    <row r="139" spans="3:21" x14ac:dyDescent="0.2">
      <c r="C139" s="106"/>
      <c r="D139" s="106"/>
      <c r="H139" s="106"/>
      <c r="J139" s="106"/>
      <c r="K139" s="106"/>
      <c r="O139" s="106"/>
      <c r="R139" s="15"/>
      <c r="S139" s="15"/>
    </row>
    <row r="140" spans="3:21" x14ac:dyDescent="0.2">
      <c r="C140" s="106"/>
      <c r="D140" s="106"/>
      <c r="H140" s="106"/>
      <c r="J140" s="106"/>
      <c r="K140" s="106"/>
      <c r="O140" s="106"/>
      <c r="R140" s="15"/>
    </row>
    <row r="141" spans="3:21" x14ac:dyDescent="0.2">
      <c r="C141" s="106"/>
      <c r="D141" s="106"/>
      <c r="H141" s="106"/>
      <c r="J141" s="106"/>
      <c r="K141" s="106"/>
      <c r="O141" s="106"/>
      <c r="R141" s="15"/>
    </row>
    <row r="142" spans="3:21" x14ac:dyDescent="0.2">
      <c r="C142" s="106"/>
      <c r="D142" s="106"/>
      <c r="H142" s="106"/>
      <c r="J142" s="106"/>
      <c r="K142" s="106"/>
      <c r="O142" s="106"/>
      <c r="S142" s="15"/>
    </row>
    <row r="143" spans="3:21" x14ac:dyDescent="0.2">
      <c r="C143" s="106"/>
      <c r="D143" s="106"/>
      <c r="H143" s="106"/>
      <c r="J143" s="106"/>
      <c r="K143" s="106"/>
      <c r="O143" s="106"/>
    </row>
    <row r="144" spans="3:21" x14ac:dyDescent="0.2">
      <c r="C144" s="106"/>
      <c r="D144" s="106"/>
      <c r="H144" s="106"/>
      <c r="J144" s="106"/>
      <c r="K144" s="106"/>
      <c r="O144" s="106"/>
      <c r="R144" s="15"/>
    </row>
    <row r="145" spans="3:19" x14ac:dyDescent="0.2">
      <c r="C145" s="106"/>
      <c r="D145" s="106"/>
      <c r="H145" s="106"/>
      <c r="J145" s="106"/>
      <c r="K145" s="106"/>
      <c r="O145" s="106"/>
      <c r="R145" s="106"/>
    </row>
    <row r="146" spans="3:19" x14ac:dyDescent="0.2">
      <c r="C146" s="106"/>
      <c r="D146" s="106"/>
      <c r="H146" s="106"/>
      <c r="J146" s="106"/>
      <c r="K146" s="106"/>
      <c r="O146" s="106"/>
      <c r="R146" s="15"/>
    </row>
    <row r="147" spans="3:19" x14ac:dyDescent="0.2">
      <c r="C147" s="106"/>
      <c r="D147" s="106"/>
      <c r="H147" s="106"/>
      <c r="J147" s="106"/>
      <c r="K147" s="106"/>
      <c r="O147" s="106"/>
      <c r="S147" s="15"/>
    </row>
    <row r="148" spans="3:19" x14ac:dyDescent="0.2">
      <c r="C148" s="106"/>
      <c r="D148" s="106"/>
      <c r="H148" s="106"/>
      <c r="J148" s="106"/>
      <c r="K148" s="106"/>
      <c r="O148" s="106"/>
      <c r="R148" s="15"/>
      <c r="S148" s="15"/>
    </row>
    <row r="149" spans="3:19" x14ac:dyDescent="0.2">
      <c r="C149" s="106"/>
      <c r="D149" s="106"/>
      <c r="H149" s="106"/>
      <c r="J149" s="106"/>
      <c r="K149" s="106"/>
      <c r="O149" s="106"/>
    </row>
    <row r="150" spans="3:19" x14ac:dyDescent="0.2">
      <c r="C150" s="106"/>
      <c r="D150" s="106"/>
      <c r="H150" s="106"/>
      <c r="J150" s="106"/>
      <c r="K150" s="106"/>
      <c r="O150" s="106"/>
    </row>
    <row r="151" spans="3:19" x14ac:dyDescent="0.2">
      <c r="C151" s="106"/>
      <c r="D151" s="106"/>
      <c r="H151" s="106"/>
      <c r="J151" s="106"/>
      <c r="K151" s="106"/>
      <c r="O151" s="106"/>
      <c r="R151" s="15"/>
    </row>
    <row r="152" spans="3:19" x14ac:dyDescent="0.2">
      <c r="C152" s="106"/>
      <c r="D152" s="106"/>
      <c r="H152" s="106"/>
      <c r="J152" s="106"/>
      <c r="K152" s="106"/>
      <c r="O152" s="106"/>
      <c r="R152" s="15"/>
      <c r="S152" s="15"/>
    </row>
    <row r="153" spans="3:19" x14ac:dyDescent="0.2">
      <c r="C153" s="106"/>
      <c r="D153" s="106"/>
      <c r="H153" s="106"/>
      <c r="J153" s="106"/>
      <c r="K153" s="106"/>
      <c r="O153" s="106"/>
      <c r="R153" s="106"/>
      <c r="S153" s="15"/>
    </row>
    <row r="154" spans="3:19" x14ac:dyDescent="0.2">
      <c r="C154" s="106"/>
      <c r="D154" s="106"/>
      <c r="H154" s="106"/>
      <c r="J154" s="106"/>
      <c r="K154" s="106"/>
      <c r="O154" s="106"/>
      <c r="S154" s="15"/>
    </row>
    <row r="155" spans="3:19" x14ac:dyDescent="0.2">
      <c r="C155" s="106"/>
      <c r="D155" s="106"/>
      <c r="H155" s="106"/>
      <c r="J155" s="106"/>
      <c r="K155" s="106"/>
      <c r="O155" s="106"/>
    </row>
    <row r="156" spans="3:19" x14ac:dyDescent="0.2">
      <c r="C156" s="106"/>
      <c r="D156" s="106"/>
      <c r="H156" s="106"/>
      <c r="J156" s="106"/>
      <c r="K156" s="106"/>
      <c r="O156" s="106"/>
      <c r="S156" s="15"/>
    </row>
    <row r="157" spans="3:19" x14ac:dyDescent="0.2">
      <c r="C157" s="106"/>
      <c r="D157" s="106"/>
      <c r="H157" s="106"/>
      <c r="J157" s="106"/>
      <c r="K157" s="106"/>
      <c r="O157" s="106"/>
      <c r="R157" s="106"/>
    </row>
    <row r="158" spans="3:19" x14ac:dyDescent="0.2">
      <c r="C158" s="106"/>
      <c r="D158" s="106"/>
      <c r="H158" s="106"/>
      <c r="J158" s="106"/>
      <c r="K158" s="106"/>
      <c r="O158" s="106"/>
      <c r="R158" s="15"/>
      <c r="S158" s="15"/>
    </row>
    <row r="159" spans="3:19" x14ac:dyDescent="0.2">
      <c r="C159" s="106"/>
      <c r="D159" s="106"/>
      <c r="H159" s="106"/>
      <c r="J159" s="106"/>
      <c r="K159" s="106"/>
      <c r="O159" s="106"/>
    </row>
    <row r="160" spans="3:19" x14ac:dyDescent="0.2">
      <c r="C160" s="106"/>
      <c r="D160" s="106"/>
      <c r="H160" s="106"/>
      <c r="J160" s="106"/>
      <c r="K160" s="106"/>
      <c r="O160" s="106"/>
      <c r="S160" s="15"/>
    </row>
    <row r="161" spans="3:19" x14ac:dyDescent="0.2">
      <c r="C161" s="106"/>
      <c r="D161" s="106"/>
      <c r="H161" s="106"/>
      <c r="J161" s="106"/>
      <c r="K161" s="106"/>
      <c r="O161" s="106"/>
    </row>
    <row r="162" spans="3:19" x14ac:dyDescent="0.2">
      <c r="C162" s="106"/>
      <c r="D162" s="106"/>
      <c r="H162" s="106"/>
      <c r="J162" s="106"/>
      <c r="K162" s="106"/>
      <c r="O162" s="106"/>
      <c r="R162" s="15"/>
    </row>
    <row r="163" spans="3:19" x14ac:dyDescent="0.2">
      <c r="C163" s="106"/>
      <c r="D163" s="106"/>
      <c r="H163" s="106"/>
      <c r="J163" s="106"/>
      <c r="K163" s="106"/>
      <c r="O163" s="106"/>
      <c r="S163" s="15"/>
    </row>
    <row r="164" spans="3:19" x14ac:dyDescent="0.2">
      <c r="C164" s="106"/>
      <c r="D164" s="106"/>
      <c r="H164" s="106"/>
      <c r="J164" s="106"/>
      <c r="K164" s="106"/>
      <c r="O164" s="106"/>
    </row>
    <row r="165" spans="3:19" x14ac:dyDescent="0.2">
      <c r="C165" s="106"/>
      <c r="D165" s="106"/>
      <c r="H165" s="106"/>
      <c r="J165" s="106"/>
      <c r="K165" s="106"/>
      <c r="O165" s="106"/>
      <c r="R165" s="15"/>
    </row>
    <row r="166" spans="3:19" x14ac:dyDescent="0.2">
      <c r="C166" s="106"/>
      <c r="D166" s="106"/>
      <c r="H166" s="106"/>
      <c r="J166" s="106"/>
      <c r="K166" s="106"/>
      <c r="O166" s="106"/>
      <c r="R166" s="15"/>
    </row>
    <row r="167" spans="3:19" x14ac:dyDescent="0.2">
      <c r="C167" s="106"/>
      <c r="D167" s="106"/>
      <c r="H167" s="106"/>
      <c r="J167" s="106"/>
      <c r="K167" s="106"/>
      <c r="O167" s="106"/>
    </row>
    <row r="168" spans="3:19" x14ac:dyDescent="0.2">
      <c r="C168" s="106"/>
      <c r="D168" s="106"/>
      <c r="H168" s="106"/>
      <c r="J168" s="106"/>
      <c r="K168" s="106"/>
      <c r="O168" s="106"/>
    </row>
    <row r="169" spans="3:19" x14ac:dyDescent="0.2">
      <c r="C169" s="106"/>
      <c r="D169" s="106"/>
      <c r="H169" s="106"/>
      <c r="J169" s="106"/>
      <c r="K169" s="106"/>
      <c r="O169" s="106"/>
      <c r="R169" s="15"/>
    </row>
    <row r="170" spans="3:19" x14ac:dyDescent="0.2">
      <c r="C170" s="106"/>
      <c r="D170" s="106"/>
      <c r="H170" s="106"/>
      <c r="J170" s="106"/>
      <c r="K170" s="106"/>
      <c r="O170" s="106"/>
      <c r="R170" s="15"/>
    </row>
    <row r="171" spans="3:19" x14ac:dyDescent="0.2">
      <c r="C171" s="106"/>
      <c r="D171" s="106"/>
      <c r="H171" s="106"/>
      <c r="J171" s="106"/>
      <c r="K171" s="106"/>
      <c r="O171" s="106"/>
    </row>
    <row r="172" spans="3:19" x14ac:dyDescent="0.2">
      <c r="C172" s="106"/>
      <c r="D172" s="106"/>
      <c r="H172" s="106"/>
      <c r="J172" s="106"/>
      <c r="K172" s="106"/>
      <c r="O172" s="106"/>
    </row>
    <row r="173" spans="3:19" x14ac:dyDescent="0.2">
      <c r="C173" s="106"/>
      <c r="D173" s="106"/>
      <c r="H173" s="106"/>
      <c r="J173" s="106"/>
      <c r="K173" s="106"/>
      <c r="O173" s="106"/>
    </row>
    <row r="174" spans="3:19" x14ac:dyDescent="0.2">
      <c r="C174" s="106"/>
      <c r="D174" s="106"/>
      <c r="H174" s="106"/>
      <c r="J174" s="106"/>
      <c r="K174" s="106"/>
      <c r="O174" s="106"/>
      <c r="S174" s="15"/>
    </row>
    <row r="175" spans="3:19" x14ac:dyDescent="0.2">
      <c r="C175" s="106"/>
      <c r="D175" s="106"/>
      <c r="H175" s="106"/>
      <c r="J175" s="106"/>
      <c r="K175" s="106"/>
      <c r="O175" s="106"/>
      <c r="S175" s="15"/>
    </row>
    <row r="176" spans="3:19" x14ac:dyDescent="0.2">
      <c r="C176" s="106"/>
      <c r="D176" s="106"/>
      <c r="H176" s="106"/>
      <c r="J176" s="106"/>
      <c r="K176" s="106"/>
      <c r="O176" s="106"/>
    </row>
    <row r="177" spans="3:19" x14ac:dyDescent="0.2">
      <c r="C177" s="106"/>
      <c r="D177" s="106"/>
      <c r="H177" s="106"/>
      <c r="J177" s="106"/>
      <c r="K177" s="106"/>
      <c r="O177" s="106"/>
    </row>
    <row r="178" spans="3:19" x14ac:dyDescent="0.2">
      <c r="C178" s="106"/>
      <c r="D178" s="106"/>
      <c r="H178" s="106"/>
      <c r="J178" s="106"/>
      <c r="K178" s="106"/>
      <c r="O178" s="106"/>
    </row>
    <row r="179" spans="3:19" x14ac:dyDescent="0.2">
      <c r="C179" s="106"/>
      <c r="D179" s="106"/>
      <c r="H179" s="106"/>
      <c r="J179" s="106"/>
      <c r="K179" s="106"/>
      <c r="O179" s="106"/>
    </row>
    <row r="180" spans="3:19" x14ac:dyDescent="0.2">
      <c r="C180" s="106"/>
      <c r="D180" s="106"/>
      <c r="H180" s="106"/>
      <c r="J180" s="106"/>
      <c r="K180" s="106"/>
      <c r="O180" s="106"/>
    </row>
    <row r="181" spans="3:19" x14ac:dyDescent="0.2">
      <c r="C181" s="106"/>
      <c r="D181" s="106"/>
      <c r="H181" s="106"/>
      <c r="J181" s="106"/>
      <c r="K181" s="106"/>
      <c r="O181" s="106"/>
      <c r="S181" s="15"/>
    </row>
    <row r="182" spans="3:19" x14ac:dyDescent="0.2">
      <c r="C182" s="106"/>
      <c r="D182" s="106"/>
      <c r="H182" s="106"/>
      <c r="J182" s="106"/>
      <c r="K182" s="106"/>
      <c r="O182" s="106"/>
      <c r="R182" s="15"/>
    </row>
    <row r="183" spans="3:19" x14ac:dyDescent="0.2">
      <c r="C183" s="106"/>
      <c r="D183" s="106"/>
      <c r="H183" s="106"/>
      <c r="J183" s="106"/>
      <c r="K183" s="106"/>
      <c r="O183" s="106"/>
    </row>
    <row r="184" spans="3:19" x14ac:dyDescent="0.2">
      <c r="C184" s="106"/>
      <c r="D184" s="106"/>
      <c r="H184" s="106"/>
      <c r="J184" s="106"/>
      <c r="K184" s="106"/>
      <c r="O184" s="106"/>
      <c r="R184" s="15"/>
    </row>
    <row r="185" spans="3:19" x14ac:dyDescent="0.2">
      <c r="C185" s="106"/>
      <c r="D185" s="106"/>
      <c r="H185" s="106"/>
      <c r="J185" s="106"/>
      <c r="K185" s="106"/>
      <c r="O185" s="106"/>
    </row>
    <row r="186" spans="3:19" x14ac:dyDescent="0.2">
      <c r="C186" s="106"/>
      <c r="D186" s="106"/>
      <c r="H186" s="106"/>
      <c r="J186" s="106"/>
      <c r="K186" s="106"/>
      <c r="O186" s="106"/>
    </row>
    <row r="187" spans="3:19" x14ac:dyDescent="0.2">
      <c r="C187" s="106"/>
      <c r="D187" s="106"/>
      <c r="H187" s="106"/>
      <c r="J187" s="106"/>
      <c r="K187" s="106"/>
      <c r="O187" s="106"/>
    </row>
    <row r="188" spans="3:19" x14ac:dyDescent="0.2">
      <c r="C188" s="106"/>
      <c r="D188" s="106"/>
      <c r="H188" s="106"/>
      <c r="J188" s="106"/>
      <c r="K188" s="106"/>
      <c r="O188" s="106"/>
    </row>
    <row r="189" spans="3:19" x14ac:dyDescent="0.2">
      <c r="C189" s="106"/>
      <c r="D189" s="106"/>
      <c r="H189" s="106"/>
      <c r="J189" s="106"/>
      <c r="K189" s="106"/>
      <c r="O189" s="106"/>
    </row>
    <row r="190" spans="3:19" x14ac:dyDescent="0.2">
      <c r="C190" s="106"/>
      <c r="D190" s="106"/>
      <c r="H190" s="106"/>
      <c r="J190" s="106"/>
      <c r="K190" s="106"/>
      <c r="O190" s="106"/>
      <c r="S190" s="15"/>
    </row>
    <row r="191" spans="3:19" x14ac:dyDescent="0.2">
      <c r="C191" s="106"/>
      <c r="D191" s="106"/>
      <c r="H191" s="106"/>
      <c r="J191" s="106"/>
      <c r="K191" s="106"/>
      <c r="O191" s="106"/>
      <c r="R191" s="15"/>
      <c r="S191" s="15"/>
    </row>
    <row r="192" spans="3:19" x14ac:dyDescent="0.2">
      <c r="C192" s="106"/>
      <c r="D192" s="106"/>
      <c r="H192" s="106"/>
      <c r="J192" s="106"/>
      <c r="K192" s="106"/>
      <c r="O192" s="106"/>
    </row>
    <row r="193" spans="3:19" x14ac:dyDescent="0.2">
      <c r="C193" s="106"/>
      <c r="D193" s="106"/>
      <c r="H193" s="106"/>
      <c r="J193" s="106"/>
      <c r="K193" s="106"/>
      <c r="O193" s="106"/>
    </row>
    <row r="194" spans="3:19" x14ac:dyDescent="0.2">
      <c r="C194" s="106"/>
      <c r="D194" s="106"/>
      <c r="H194" s="106"/>
      <c r="J194" s="106"/>
      <c r="K194" s="106"/>
      <c r="O194" s="106"/>
    </row>
    <row r="195" spans="3:19" x14ac:dyDescent="0.2">
      <c r="C195" s="106"/>
      <c r="D195" s="106"/>
      <c r="H195" s="106"/>
      <c r="J195" s="106"/>
      <c r="K195" s="106"/>
      <c r="O195" s="106"/>
    </row>
    <row r="196" spans="3:19" x14ac:dyDescent="0.2">
      <c r="C196" s="106"/>
      <c r="D196" s="106"/>
      <c r="H196" s="106"/>
      <c r="J196" s="106"/>
      <c r="K196" s="106"/>
      <c r="O196" s="106"/>
    </row>
    <row r="197" spans="3:19" x14ac:dyDescent="0.2">
      <c r="C197" s="106"/>
      <c r="D197" s="106"/>
      <c r="H197" s="106"/>
      <c r="J197" s="106"/>
      <c r="K197" s="106"/>
      <c r="O197" s="106"/>
      <c r="R197" s="15"/>
      <c r="S197" s="15"/>
    </row>
    <row r="198" spans="3:19" x14ac:dyDescent="0.2">
      <c r="C198" s="106"/>
      <c r="D198" s="106"/>
      <c r="H198" s="106"/>
      <c r="J198" s="106"/>
      <c r="K198" s="106"/>
      <c r="O198" s="106"/>
    </row>
    <row r="199" spans="3:19" x14ac:dyDescent="0.2">
      <c r="C199" s="106"/>
      <c r="D199" s="106"/>
      <c r="H199" s="106"/>
      <c r="J199" s="106"/>
      <c r="K199" s="106"/>
      <c r="O199" s="106"/>
    </row>
    <row r="200" spans="3:19" x14ac:dyDescent="0.2">
      <c r="C200" s="106"/>
      <c r="D200" s="106"/>
      <c r="H200" s="106"/>
      <c r="J200" s="106"/>
      <c r="K200" s="106"/>
      <c r="O200" s="106"/>
    </row>
    <row r="201" spans="3:19" x14ac:dyDescent="0.2">
      <c r="C201" s="106"/>
      <c r="D201" s="106"/>
      <c r="H201" s="106"/>
      <c r="J201" s="106"/>
      <c r="K201" s="106"/>
      <c r="O201" s="106"/>
      <c r="R201" s="15"/>
    </row>
    <row r="202" spans="3:19" x14ac:dyDescent="0.2">
      <c r="C202" s="106"/>
      <c r="D202" s="106"/>
      <c r="H202" s="106"/>
      <c r="J202" s="106"/>
      <c r="K202" s="106"/>
      <c r="O202" s="106"/>
    </row>
    <row r="203" spans="3:19" x14ac:dyDescent="0.2">
      <c r="C203" s="106"/>
      <c r="D203" s="106"/>
      <c r="H203" s="106"/>
      <c r="J203" s="106"/>
      <c r="K203" s="106"/>
      <c r="O203" s="106"/>
    </row>
    <row r="204" spans="3:19" x14ac:dyDescent="0.2">
      <c r="C204" s="106"/>
      <c r="D204" s="106"/>
      <c r="H204" s="106"/>
      <c r="J204" s="106"/>
      <c r="K204" s="106"/>
      <c r="O204" s="106"/>
    </row>
    <row r="205" spans="3:19" x14ac:dyDescent="0.2">
      <c r="C205" s="106"/>
      <c r="D205" s="106"/>
      <c r="H205" s="106"/>
      <c r="J205" s="106"/>
      <c r="K205" s="106"/>
      <c r="O205" s="106"/>
      <c r="R205" s="15"/>
    </row>
    <row r="206" spans="3:19" x14ac:dyDescent="0.2">
      <c r="C206" s="106"/>
      <c r="D206" s="106"/>
      <c r="H206" s="106"/>
      <c r="J206" s="106"/>
      <c r="K206" s="106"/>
      <c r="O206" s="106"/>
      <c r="R206" s="15"/>
    </row>
    <row r="207" spans="3:19" x14ac:dyDescent="0.2">
      <c r="C207" s="106"/>
      <c r="D207" s="106"/>
      <c r="H207" s="106"/>
      <c r="J207" s="106"/>
      <c r="K207" s="106"/>
      <c r="O207" s="106"/>
    </row>
    <row r="208" spans="3:19" x14ac:dyDescent="0.2">
      <c r="C208" s="106"/>
      <c r="D208" s="106"/>
      <c r="H208" s="106"/>
      <c r="J208" s="106"/>
      <c r="K208" s="106"/>
      <c r="O208" s="106"/>
    </row>
    <row r="209" spans="3:19" x14ac:dyDescent="0.2">
      <c r="C209" s="106"/>
      <c r="D209" s="106"/>
      <c r="H209" s="106"/>
      <c r="J209" s="106"/>
      <c r="K209" s="106"/>
      <c r="O209" s="106"/>
      <c r="S209" s="15"/>
    </row>
    <row r="210" spans="3:19" x14ac:dyDescent="0.2">
      <c r="C210" s="106"/>
      <c r="D210" s="106"/>
      <c r="H210" s="106"/>
      <c r="J210" s="106"/>
      <c r="K210" s="106"/>
      <c r="O210" s="106"/>
      <c r="S210" s="15"/>
    </row>
    <row r="211" spans="3:19" x14ac:dyDescent="0.2">
      <c r="C211" s="106"/>
      <c r="D211" s="106"/>
      <c r="H211" s="106"/>
      <c r="J211" s="106"/>
      <c r="K211" s="106"/>
      <c r="O211" s="106"/>
    </row>
    <row r="212" spans="3:19" x14ac:dyDescent="0.2">
      <c r="C212" s="106"/>
      <c r="D212" s="106"/>
      <c r="H212" s="106"/>
      <c r="J212" s="106"/>
      <c r="K212" s="106"/>
      <c r="O212" s="106"/>
    </row>
    <row r="213" spans="3:19" x14ac:dyDescent="0.2">
      <c r="C213" s="106"/>
      <c r="D213" s="106"/>
      <c r="H213" s="106"/>
      <c r="J213" s="106"/>
      <c r="K213" s="106"/>
      <c r="O213" s="106"/>
      <c r="S213" s="15"/>
    </row>
    <row r="214" spans="3:19" x14ac:dyDescent="0.2">
      <c r="C214" s="106"/>
      <c r="D214" s="106"/>
      <c r="H214" s="106"/>
      <c r="J214" s="106"/>
      <c r="K214" s="106"/>
      <c r="O214" s="106"/>
    </row>
    <row r="215" spans="3:19" x14ac:dyDescent="0.2">
      <c r="C215" s="106"/>
      <c r="D215" s="106"/>
      <c r="H215" s="106"/>
      <c r="J215" s="106"/>
      <c r="K215" s="106"/>
      <c r="O215" s="106"/>
      <c r="R215" s="15"/>
    </row>
    <row r="216" spans="3:19" x14ac:dyDescent="0.2">
      <c r="C216" s="106"/>
      <c r="D216" s="106"/>
      <c r="H216" s="106"/>
      <c r="J216" s="106"/>
      <c r="K216" s="106"/>
      <c r="O216" s="106"/>
    </row>
    <row r="217" spans="3:19" x14ac:dyDescent="0.2">
      <c r="C217" s="106"/>
      <c r="D217" s="106"/>
      <c r="H217" s="106"/>
      <c r="J217" s="106"/>
      <c r="K217" s="106"/>
      <c r="O217" s="106"/>
    </row>
    <row r="218" spans="3:19" x14ac:dyDescent="0.2">
      <c r="C218" s="106"/>
      <c r="D218" s="106"/>
      <c r="H218" s="106"/>
      <c r="J218" s="106"/>
      <c r="K218" s="106"/>
      <c r="O218" s="106"/>
    </row>
    <row r="219" spans="3:19" x14ac:dyDescent="0.2">
      <c r="C219" s="106"/>
      <c r="D219" s="106"/>
      <c r="H219" s="106"/>
      <c r="J219" s="106"/>
      <c r="K219" s="106"/>
      <c r="O219" s="106"/>
    </row>
    <row r="220" spans="3:19" x14ac:dyDescent="0.2">
      <c r="C220" s="106"/>
      <c r="D220" s="106"/>
      <c r="H220" s="106"/>
      <c r="J220" s="106"/>
      <c r="K220" s="106"/>
      <c r="O220" s="106"/>
    </row>
    <row r="221" spans="3:19" x14ac:dyDescent="0.2">
      <c r="C221" s="106"/>
      <c r="D221" s="106"/>
      <c r="H221" s="106"/>
      <c r="J221" s="106"/>
      <c r="K221" s="106"/>
      <c r="O221" s="106"/>
      <c r="R221" s="15"/>
    </row>
    <row r="222" spans="3:19" x14ac:dyDescent="0.2">
      <c r="C222" s="106"/>
      <c r="D222" s="106"/>
      <c r="H222" s="106"/>
      <c r="J222" s="106"/>
      <c r="K222" s="106"/>
      <c r="O222" s="106"/>
      <c r="R222" s="15"/>
    </row>
    <row r="223" spans="3:19" x14ac:dyDescent="0.2">
      <c r="C223" s="106"/>
      <c r="D223" s="106"/>
      <c r="H223" s="106"/>
      <c r="J223" s="106"/>
      <c r="K223" s="106"/>
      <c r="O223" s="106"/>
    </row>
    <row r="224" spans="3:19" x14ac:dyDescent="0.2">
      <c r="C224" s="106"/>
      <c r="D224" s="106"/>
      <c r="H224" s="106"/>
      <c r="J224" s="106"/>
      <c r="K224" s="106"/>
      <c r="O224" s="106"/>
    </row>
    <row r="225" spans="3:19" x14ac:dyDescent="0.2">
      <c r="C225" s="106"/>
      <c r="D225" s="106"/>
      <c r="H225" s="106"/>
      <c r="J225" s="106"/>
      <c r="K225" s="106"/>
      <c r="O225" s="106"/>
      <c r="R225" s="15"/>
    </row>
    <row r="226" spans="3:19" x14ac:dyDescent="0.2">
      <c r="C226" s="106"/>
      <c r="D226" s="106"/>
      <c r="H226" s="106"/>
      <c r="J226" s="106"/>
      <c r="K226" s="106"/>
      <c r="O226" s="106"/>
    </row>
    <row r="227" spans="3:19" x14ac:dyDescent="0.2">
      <c r="C227" s="106"/>
      <c r="D227" s="106"/>
      <c r="H227" s="106"/>
      <c r="J227" s="106"/>
      <c r="K227" s="106"/>
      <c r="O227" s="106"/>
    </row>
    <row r="228" spans="3:19" x14ac:dyDescent="0.2">
      <c r="C228" s="106"/>
      <c r="D228" s="106"/>
      <c r="H228" s="106"/>
      <c r="J228" s="106"/>
      <c r="K228" s="106"/>
      <c r="O228" s="106"/>
    </row>
    <row r="229" spans="3:19" x14ac:dyDescent="0.2">
      <c r="C229" s="106"/>
      <c r="D229" s="106"/>
      <c r="H229" s="106"/>
      <c r="J229" s="106"/>
      <c r="K229" s="106"/>
      <c r="O229" s="106"/>
    </row>
    <row r="230" spans="3:19" x14ac:dyDescent="0.2">
      <c r="C230" s="106"/>
      <c r="D230" s="106"/>
      <c r="H230" s="106"/>
      <c r="J230" s="106"/>
      <c r="K230" s="106"/>
      <c r="O230" s="106"/>
    </row>
    <row r="231" spans="3:19" x14ac:dyDescent="0.2">
      <c r="C231" s="106"/>
      <c r="D231" s="106"/>
      <c r="H231" s="106"/>
      <c r="J231" s="106"/>
      <c r="K231" s="106"/>
      <c r="O231" s="106"/>
    </row>
    <row r="232" spans="3:19" x14ac:dyDescent="0.2">
      <c r="C232" s="106"/>
      <c r="D232" s="106"/>
      <c r="H232" s="106"/>
      <c r="J232" s="106"/>
      <c r="K232" s="106"/>
      <c r="O232" s="106"/>
    </row>
    <row r="233" spans="3:19" x14ac:dyDescent="0.2">
      <c r="C233" s="106"/>
      <c r="D233" s="106"/>
      <c r="H233" s="106"/>
      <c r="J233" s="106"/>
      <c r="K233" s="106"/>
      <c r="O233" s="106"/>
      <c r="R233" s="15"/>
    </row>
    <row r="234" spans="3:19" x14ac:dyDescent="0.2">
      <c r="C234" s="106"/>
      <c r="D234" s="106"/>
      <c r="H234" s="106"/>
      <c r="J234" s="106"/>
      <c r="K234" s="106"/>
      <c r="O234" s="106"/>
    </row>
    <row r="235" spans="3:19" x14ac:dyDescent="0.2">
      <c r="C235" s="106"/>
      <c r="D235" s="106"/>
      <c r="H235" s="106"/>
      <c r="J235" s="106"/>
      <c r="K235" s="106"/>
      <c r="O235" s="106"/>
    </row>
    <row r="236" spans="3:19" x14ac:dyDescent="0.2">
      <c r="C236" s="106"/>
      <c r="D236" s="106"/>
      <c r="H236" s="106"/>
      <c r="J236" s="106"/>
      <c r="K236" s="106"/>
      <c r="O236" s="106"/>
    </row>
    <row r="237" spans="3:19" x14ac:dyDescent="0.2">
      <c r="C237" s="106"/>
      <c r="D237" s="106"/>
      <c r="H237" s="106"/>
      <c r="J237" s="106"/>
      <c r="K237" s="106"/>
      <c r="O237" s="106"/>
      <c r="R237" s="15"/>
      <c r="S237" s="15"/>
    </row>
    <row r="238" spans="3:19" x14ac:dyDescent="0.2">
      <c r="C238" s="106"/>
      <c r="D238" s="106"/>
      <c r="H238" s="106"/>
      <c r="J238" s="106"/>
      <c r="K238" s="106"/>
      <c r="O238" s="106"/>
    </row>
    <row r="239" spans="3:19" x14ac:dyDescent="0.2">
      <c r="C239" s="106"/>
      <c r="D239" s="106"/>
      <c r="H239" s="106"/>
      <c r="J239" s="106"/>
      <c r="K239" s="106"/>
      <c r="O239" s="106"/>
    </row>
    <row r="240" spans="3:19" x14ac:dyDescent="0.2">
      <c r="C240" s="106"/>
      <c r="D240" s="106"/>
      <c r="H240" s="106"/>
      <c r="J240" s="106"/>
      <c r="K240" s="106"/>
      <c r="O240" s="106"/>
      <c r="R240" s="15"/>
    </row>
    <row r="241" spans="3:19" x14ac:dyDescent="0.2">
      <c r="C241" s="106"/>
      <c r="D241" s="106"/>
      <c r="H241" s="106"/>
      <c r="J241" s="106"/>
      <c r="K241" s="106"/>
      <c r="O241" s="106"/>
    </row>
    <row r="242" spans="3:19" x14ac:dyDescent="0.2">
      <c r="C242" s="106"/>
      <c r="D242" s="106"/>
      <c r="H242" s="106"/>
      <c r="J242" s="106"/>
      <c r="K242" s="106"/>
      <c r="O242" s="106"/>
    </row>
    <row r="243" spans="3:19" x14ac:dyDescent="0.2">
      <c r="C243" s="106"/>
      <c r="D243" s="106"/>
      <c r="H243" s="106"/>
      <c r="J243" s="106"/>
      <c r="K243" s="106"/>
      <c r="O243" s="106"/>
      <c r="R243" s="15"/>
    </row>
    <row r="244" spans="3:19" x14ac:dyDescent="0.2">
      <c r="C244" s="106"/>
      <c r="D244" s="106"/>
      <c r="H244" s="106"/>
      <c r="J244" s="106"/>
      <c r="K244" s="106"/>
      <c r="O244" s="106"/>
      <c r="R244" s="15"/>
      <c r="S244" s="15"/>
    </row>
    <row r="245" spans="3:19" x14ac:dyDescent="0.2">
      <c r="C245" s="106"/>
      <c r="D245" s="106"/>
      <c r="H245" s="106"/>
      <c r="J245" s="106"/>
      <c r="K245" s="106"/>
      <c r="O245" s="106"/>
    </row>
    <row r="246" spans="3:19" x14ac:dyDescent="0.2">
      <c r="C246" s="106"/>
      <c r="D246" s="106"/>
      <c r="H246" s="106"/>
      <c r="J246" s="106"/>
      <c r="K246" s="106"/>
      <c r="O246" s="106"/>
    </row>
    <row r="247" spans="3:19" x14ac:dyDescent="0.2">
      <c r="C247" s="106"/>
      <c r="D247" s="106"/>
      <c r="H247" s="106"/>
      <c r="J247" s="106"/>
      <c r="K247" s="106"/>
      <c r="O247" s="106"/>
    </row>
    <row r="248" spans="3:19" x14ac:dyDescent="0.2">
      <c r="C248" s="106"/>
      <c r="D248" s="106"/>
      <c r="H248" s="106"/>
      <c r="J248" s="106"/>
      <c r="K248" s="106"/>
      <c r="O248" s="106"/>
    </row>
    <row r="249" spans="3:19" x14ac:dyDescent="0.2">
      <c r="C249" s="106"/>
      <c r="D249" s="106"/>
      <c r="H249" s="106"/>
      <c r="J249" s="106"/>
      <c r="K249" s="106"/>
      <c r="O249" s="106"/>
    </row>
    <row r="250" spans="3:19" x14ac:dyDescent="0.2">
      <c r="C250" s="106"/>
      <c r="D250" s="106"/>
      <c r="H250" s="106"/>
      <c r="J250" s="106"/>
      <c r="K250" s="106"/>
      <c r="O250" s="106"/>
    </row>
    <row r="251" spans="3:19" x14ac:dyDescent="0.2">
      <c r="C251" s="106"/>
      <c r="D251" s="106"/>
      <c r="H251" s="106"/>
      <c r="J251" s="106"/>
      <c r="K251" s="106"/>
      <c r="O251" s="106"/>
    </row>
    <row r="252" spans="3:19" x14ac:dyDescent="0.2">
      <c r="C252" s="106"/>
      <c r="D252" s="106"/>
      <c r="H252" s="106"/>
      <c r="J252" s="106"/>
      <c r="K252" s="106"/>
      <c r="O252" s="106"/>
    </row>
    <row r="253" spans="3:19" x14ac:dyDescent="0.2">
      <c r="C253" s="106"/>
      <c r="D253" s="106"/>
      <c r="H253" s="106"/>
      <c r="J253" s="106"/>
      <c r="K253" s="106"/>
      <c r="O253" s="106"/>
    </row>
    <row r="254" spans="3:19" x14ac:dyDescent="0.2">
      <c r="C254" s="106"/>
      <c r="D254" s="106"/>
      <c r="H254" s="106"/>
      <c r="J254" s="106"/>
      <c r="K254" s="106"/>
      <c r="O254" s="106"/>
    </row>
    <row r="255" spans="3:19" x14ac:dyDescent="0.2">
      <c r="C255" s="106"/>
      <c r="D255" s="106"/>
      <c r="H255" s="106"/>
      <c r="J255" s="106"/>
      <c r="K255" s="106"/>
      <c r="O255" s="106"/>
    </row>
    <row r="256" spans="3:19" x14ac:dyDescent="0.2">
      <c r="C256" s="106"/>
      <c r="D256" s="106"/>
      <c r="H256" s="106"/>
      <c r="J256" s="106"/>
      <c r="K256" s="106"/>
      <c r="O256" s="106"/>
    </row>
    <row r="257" spans="3:18" x14ac:dyDescent="0.2">
      <c r="C257" s="106"/>
      <c r="D257" s="106"/>
      <c r="H257" s="106"/>
      <c r="J257" s="106"/>
      <c r="K257" s="106"/>
      <c r="O257" s="106"/>
      <c r="R257" s="15"/>
    </row>
    <row r="258" spans="3:18" x14ac:dyDescent="0.2">
      <c r="C258" s="106"/>
      <c r="D258" s="106"/>
      <c r="H258" s="106"/>
      <c r="J258" s="106"/>
      <c r="K258" s="106"/>
      <c r="O258" s="106"/>
    </row>
    <row r="259" spans="3:18" x14ac:dyDescent="0.2">
      <c r="C259" s="106"/>
      <c r="D259" s="106"/>
      <c r="H259" s="106"/>
      <c r="J259" s="106"/>
      <c r="K259" s="106"/>
      <c r="O259" s="106"/>
      <c r="R259" s="15"/>
    </row>
    <row r="260" spans="3:18" x14ac:dyDescent="0.2">
      <c r="C260" s="106"/>
      <c r="D260" s="106"/>
      <c r="H260" s="106"/>
      <c r="J260" s="106"/>
      <c r="K260" s="106"/>
      <c r="O260" s="106"/>
    </row>
    <row r="261" spans="3:18" x14ac:dyDescent="0.2">
      <c r="C261" s="106"/>
      <c r="D261" s="106"/>
      <c r="H261" s="106"/>
      <c r="J261" s="106"/>
      <c r="K261" s="106"/>
      <c r="O261" s="106"/>
    </row>
    <row r="262" spans="3:18" x14ac:dyDescent="0.2">
      <c r="C262" s="106"/>
      <c r="D262" s="106"/>
      <c r="H262" s="106"/>
      <c r="J262" s="106"/>
      <c r="K262" s="106"/>
      <c r="O262" s="106"/>
      <c r="R262" s="15"/>
    </row>
    <row r="263" spans="3:18" x14ac:dyDescent="0.2">
      <c r="C263" s="106"/>
      <c r="D263" s="106"/>
      <c r="H263" s="106"/>
      <c r="J263" s="106"/>
      <c r="K263" s="106"/>
      <c r="O263" s="106"/>
    </row>
    <row r="264" spans="3:18" x14ac:dyDescent="0.2">
      <c r="C264" s="106"/>
      <c r="D264" s="106"/>
      <c r="H264" s="106"/>
      <c r="J264" s="106"/>
      <c r="K264" s="106"/>
      <c r="O264" s="106"/>
    </row>
    <row r="265" spans="3:18" x14ac:dyDescent="0.2">
      <c r="C265" s="106"/>
      <c r="D265" s="106"/>
      <c r="H265" s="106"/>
      <c r="J265" s="106"/>
      <c r="K265" s="106"/>
      <c r="O265" s="106"/>
    </row>
    <row r="266" spans="3:18" x14ac:dyDescent="0.2">
      <c r="C266" s="106"/>
      <c r="D266" s="106"/>
      <c r="H266" s="106"/>
      <c r="J266" s="106"/>
      <c r="K266" s="106"/>
      <c r="O266" s="106"/>
    </row>
    <row r="267" spans="3:18" x14ac:dyDescent="0.2">
      <c r="C267" s="106"/>
      <c r="D267" s="106"/>
      <c r="H267" s="106"/>
      <c r="J267" s="106"/>
      <c r="K267" s="106"/>
      <c r="O267" s="106"/>
    </row>
    <row r="268" spans="3:18" x14ac:dyDescent="0.2">
      <c r="C268" s="106"/>
      <c r="D268" s="106"/>
      <c r="H268" s="106"/>
      <c r="J268" s="106"/>
      <c r="K268" s="106"/>
      <c r="O268" s="106"/>
    </row>
    <row r="269" spans="3:18" x14ac:dyDescent="0.2">
      <c r="C269" s="106"/>
      <c r="D269" s="106"/>
      <c r="H269" s="106"/>
      <c r="J269" s="106"/>
      <c r="K269" s="106"/>
      <c r="O269" s="106"/>
    </row>
    <row r="270" spans="3:18" x14ac:dyDescent="0.2">
      <c r="C270" s="106"/>
      <c r="D270" s="106"/>
      <c r="H270" s="106"/>
      <c r="J270" s="106"/>
      <c r="K270" s="106"/>
      <c r="O270" s="106"/>
    </row>
    <row r="271" spans="3:18" x14ac:dyDescent="0.2">
      <c r="C271" s="106"/>
      <c r="D271" s="106"/>
      <c r="H271" s="106"/>
      <c r="J271" s="106"/>
      <c r="K271" s="106"/>
      <c r="O271" s="106"/>
    </row>
    <row r="272" spans="3:18" x14ac:dyDescent="0.2">
      <c r="C272" s="106"/>
      <c r="D272" s="106"/>
      <c r="H272" s="106"/>
      <c r="J272" s="106"/>
      <c r="K272" s="106"/>
      <c r="O272" s="106"/>
    </row>
    <row r="273" spans="3:18" x14ac:dyDescent="0.2">
      <c r="C273" s="106"/>
      <c r="D273" s="106"/>
      <c r="H273" s="106"/>
      <c r="J273" s="106"/>
      <c r="K273" s="106"/>
      <c r="O273" s="106"/>
    </row>
    <row r="274" spans="3:18" x14ac:dyDescent="0.2">
      <c r="C274" s="106"/>
      <c r="D274" s="106"/>
      <c r="H274" s="106"/>
      <c r="J274" s="106"/>
      <c r="K274" s="106"/>
      <c r="O274" s="106"/>
    </row>
    <row r="275" spans="3:18" x14ac:dyDescent="0.2">
      <c r="C275" s="106"/>
      <c r="D275" s="106"/>
      <c r="H275" s="106"/>
      <c r="J275" s="106"/>
      <c r="K275" s="106"/>
      <c r="O275" s="106"/>
    </row>
    <row r="276" spans="3:18" x14ac:dyDescent="0.2">
      <c r="C276" s="106"/>
      <c r="D276" s="106"/>
      <c r="H276" s="106"/>
      <c r="J276" s="106"/>
      <c r="K276" s="106"/>
      <c r="O276" s="106"/>
    </row>
    <row r="277" spans="3:18" x14ac:dyDescent="0.2">
      <c r="C277" s="106"/>
      <c r="D277" s="106"/>
      <c r="H277" s="106"/>
      <c r="J277" s="106"/>
      <c r="K277" s="106"/>
      <c r="O277" s="106"/>
    </row>
    <row r="278" spans="3:18" x14ac:dyDescent="0.2">
      <c r="C278" s="106"/>
      <c r="D278" s="106"/>
      <c r="H278" s="106"/>
      <c r="J278" s="106"/>
      <c r="K278" s="106"/>
      <c r="O278" s="106"/>
    </row>
    <row r="279" spans="3:18" x14ac:dyDescent="0.2">
      <c r="C279" s="106"/>
      <c r="D279" s="106"/>
      <c r="H279" s="106"/>
      <c r="J279" s="106"/>
      <c r="K279" s="106"/>
      <c r="O279" s="106"/>
    </row>
    <row r="280" spans="3:18" x14ac:dyDescent="0.2">
      <c r="C280" s="106"/>
      <c r="D280" s="106"/>
      <c r="H280" s="106"/>
      <c r="J280" s="106"/>
      <c r="K280" s="106"/>
      <c r="O280" s="106"/>
    </row>
    <row r="281" spans="3:18" x14ac:dyDescent="0.2">
      <c r="C281" s="106"/>
      <c r="D281" s="106"/>
      <c r="H281" s="106"/>
      <c r="J281" s="106"/>
      <c r="K281" s="106"/>
      <c r="O281" s="106"/>
      <c r="R281" s="15"/>
    </row>
    <row r="282" spans="3:18" x14ac:dyDescent="0.2">
      <c r="C282" s="106"/>
      <c r="D282" s="106"/>
      <c r="H282" s="106"/>
      <c r="J282" s="106"/>
      <c r="K282" s="106"/>
      <c r="O282" s="106"/>
    </row>
    <row r="283" spans="3:18" x14ac:dyDescent="0.2">
      <c r="C283" s="106"/>
      <c r="D283" s="106"/>
      <c r="H283" s="106"/>
      <c r="J283" s="106"/>
      <c r="K283" s="106"/>
      <c r="O283" s="106"/>
    </row>
    <row r="284" spans="3:18" x14ac:dyDescent="0.2">
      <c r="C284" s="106"/>
      <c r="D284" s="106"/>
      <c r="H284" s="106"/>
      <c r="J284" s="106"/>
      <c r="K284" s="106"/>
      <c r="O284" s="106"/>
    </row>
    <row r="285" spans="3:18" x14ac:dyDescent="0.2">
      <c r="C285" s="106"/>
      <c r="D285" s="106"/>
      <c r="H285" s="106"/>
      <c r="J285" s="106"/>
      <c r="K285" s="106"/>
      <c r="O285" s="106"/>
    </row>
    <row r="286" spans="3:18" x14ac:dyDescent="0.2">
      <c r="C286" s="106"/>
      <c r="D286" s="106"/>
      <c r="H286" s="106"/>
      <c r="J286" s="106"/>
      <c r="K286" s="106"/>
      <c r="O286" s="106"/>
    </row>
    <row r="287" spans="3:18" x14ac:dyDescent="0.2">
      <c r="C287" s="106"/>
      <c r="D287" s="106"/>
      <c r="H287" s="106"/>
      <c r="J287" s="106"/>
      <c r="K287" s="106"/>
      <c r="O287" s="106"/>
    </row>
    <row r="288" spans="3:18" x14ac:dyDescent="0.2">
      <c r="C288" s="106"/>
      <c r="D288" s="106"/>
      <c r="H288" s="106"/>
      <c r="J288" s="106"/>
      <c r="K288" s="106"/>
      <c r="O288" s="106"/>
    </row>
    <row r="289" spans="3:19" x14ac:dyDescent="0.2">
      <c r="C289" s="106"/>
      <c r="D289" s="106"/>
      <c r="H289" s="106"/>
      <c r="J289" s="106"/>
      <c r="K289" s="106"/>
      <c r="O289" s="106"/>
    </row>
    <row r="290" spans="3:19" x14ac:dyDescent="0.2">
      <c r="C290" s="106"/>
      <c r="D290" s="106"/>
      <c r="H290" s="106"/>
      <c r="J290" s="106"/>
      <c r="K290" s="106"/>
      <c r="O290" s="106"/>
    </row>
    <row r="291" spans="3:19" x14ac:dyDescent="0.2">
      <c r="C291" s="106"/>
      <c r="D291" s="106"/>
      <c r="H291" s="106"/>
      <c r="J291" s="106"/>
      <c r="K291" s="106"/>
      <c r="O291" s="106"/>
    </row>
    <row r="292" spans="3:19" x14ac:dyDescent="0.2">
      <c r="C292" s="106"/>
      <c r="D292" s="106"/>
      <c r="H292" s="106"/>
      <c r="J292" s="106"/>
      <c r="K292" s="106"/>
      <c r="O292" s="106"/>
    </row>
    <row r="293" spans="3:19" x14ac:dyDescent="0.2">
      <c r="C293" s="106"/>
      <c r="D293" s="106"/>
      <c r="H293" s="106"/>
      <c r="J293" s="106"/>
      <c r="K293" s="106"/>
      <c r="O293" s="106"/>
    </row>
    <row r="294" spans="3:19" x14ac:dyDescent="0.2">
      <c r="C294" s="106"/>
      <c r="D294" s="106"/>
      <c r="H294" s="106"/>
      <c r="J294" s="106"/>
      <c r="K294" s="106"/>
      <c r="O294" s="106"/>
    </row>
    <row r="295" spans="3:19" x14ac:dyDescent="0.2">
      <c r="C295" s="106"/>
      <c r="D295" s="106"/>
      <c r="H295" s="106"/>
      <c r="J295" s="106"/>
      <c r="K295" s="106"/>
      <c r="O295" s="106"/>
    </row>
    <row r="296" spans="3:19" x14ac:dyDescent="0.2">
      <c r="C296" s="106"/>
      <c r="D296" s="106"/>
      <c r="H296" s="106"/>
      <c r="J296" s="106"/>
      <c r="K296" s="106"/>
      <c r="O296" s="106"/>
      <c r="R296" s="15"/>
    </row>
    <row r="297" spans="3:19" x14ac:dyDescent="0.2">
      <c r="C297" s="106"/>
      <c r="D297" s="106"/>
      <c r="H297" s="106"/>
      <c r="J297" s="106"/>
      <c r="K297" s="106"/>
      <c r="O297" s="106"/>
      <c r="R297" s="15"/>
    </row>
    <row r="298" spans="3:19" x14ac:dyDescent="0.2">
      <c r="C298" s="106"/>
      <c r="D298" s="106"/>
      <c r="H298" s="106"/>
      <c r="J298" s="106"/>
      <c r="K298" s="106"/>
      <c r="O298" s="106"/>
    </row>
    <row r="299" spans="3:19" x14ac:dyDescent="0.2">
      <c r="C299" s="106"/>
      <c r="D299" s="106"/>
      <c r="H299" s="106"/>
      <c r="J299" s="106"/>
      <c r="K299" s="106"/>
      <c r="O299" s="106"/>
    </row>
    <row r="300" spans="3:19" x14ac:dyDescent="0.2">
      <c r="C300" s="106"/>
      <c r="D300" s="106"/>
      <c r="H300" s="106"/>
      <c r="J300" s="106"/>
      <c r="K300" s="106"/>
      <c r="O300" s="106"/>
    </row>
    <row r="301" spans="3:19" x14ac:dyDescent="0.2">
      <c r="C301" s="106"/>
      <c r="D301" s="106"/>
      <c r="H301" s="106"/>
      <c r="J301" s="106"/>
      <c r="K301" s="106"/>
      <c r="O301" s="106"/>
      <c r="S301" s="15"/>
    </row>
    <row r="302" spans="3:19" x14ac:dyDescent="0.2">
      <c r="C302" s="106"/>
      <c r="D302" s="106"/>
      <c r="H302" s="106"/>
      <c r="J302" s="106"/>
      <c r="K302" s="106"/>
      <c r="O302" s="106"/>
    </row>
    <row r="303" spans="3:19" x14ac:dyDescent="0.2">
      <c r="C303" s="106"/>
      <c r="D303" s="106"/>
      <c r="H303" s="106"/>
      <c r="J303" s="106"/>
      <c r="K303" s="106"/>
      <c r="O303" s="106"/>
    </row>
    <row r="304" spans="3:19" x14ac:dyDescent="0.2">
      <c r="C304" s="106"/>
      <c r="D304" s="106"/>
      <c r="H304" s="106"/>
      <c r="J304" s="106"/>
      <c r="K304" s="106"/>
      <c r="O304" s="106"/>
    </row>
    <row r="305" spans="3:19" x14ac:dyDescent="0.2">
      <c r="C305" s="106"/>
      <c r="D305" s="106"/>
      <c r="H305" s="106"/>
      <c r="J305" s="106"/>
      <c r="K305" s="106"/>
      <c r="O305" s="106"/>
    </row>
    <row r="306" spans="3:19" x14ac:dyDescent="0.2">
      <c r="C306" s="106"/>
      <c r="D306" s="106"/>
      <c r="H306" s="106"/>
      <c r="J306" s="106"/>
      <c r="K306" s="106"/>
      <c r="O306" s="106"/>
      <c r="S306" s="15"/>
    </row>
    <row r="307" spans="3:19" x14ac:dyDescent="0.2">
      <c r="C307" s="106"/>
      <c r="D307" s="106"/>
      <c r="H307" s="106"/>
      <c r="J307" s="106"/>
      <c r="K307" s="106"/>
      <c r="O307" s="106"/>
    </row>
    <row r="308" spans="3:19" x14ac:dyDescent="0.2">
      <c r="C308" s="106"/>
      <c r="D308" s="106"/>
      <c r="H308" s="106"/>
      <c r="J308" s="106"/>
      <c r="K308" s="106"/>
      <c r="O308" s="106"/>
    </row>
    <row r="309" spans="3:19" x14ac:dyDescent="0.2">
      <c r="C309" s="106"/>
      <c r="D309" s="106"/>
      <c r="H309" s="106"/>
      <c r="J309" s="106"/>
      <c r="K309" s="106"/>
      <c r="O309" s="106"/>
    </row>
    <row r="310" spans="3:19" x14ac:dyDescent="0.2">
      <c r="C310" s="106"/>
      <c r="D310" s="106"/>
      <c r="H310" s="106"/>
      <c r="J310" s="106"/>
      <c r="K310" s="106"/>
      <c r="O310" s="106"/>
    </row>
    <row r="311" spans="3:19" x14ac:dyDescent="0.2">
      <c r="C311" s="106"/>
      <c r="D311" s="106"/>
      <c r="H311" s="106"/>
      <c r="J311" s="106"/>
      <c r="K311" s="106"/>
      <c r="O311" s="106"/>
    </row>
    <row r="312" spans="3:19" x14ac:dyDescent="0.2">
      <c r="C312" s="106"/>
      <c r="D312" s="106"/>
      <c r="H312" s="106"/>
      <c r="J312" s="106"/>
      <c r="K312" s="106"/>
      <c r="O312" s="106"/>
    </row>
    <row r="313" spans="3:19" x14ac:dyDescent="0.2">
      <c r="C313" s="106"/>
      <c r="D313" s="106"/>
      <c r="H313" s="106"/>
      <c r="J313" s="106"/>
      <c r="K313" s="106"/>
      <c r="O313" s="106"/>
    </row>
    <row r="314" spans="3:19" x14ac:dyDescent="0.2">
      <c r="C314" s="106"/>
      <c r="D314" s="106"/>
      <c r="H314" s="106"/>
      <c r="J314" s="106"/>
      <c r="K314" s="106"/>
      <c r="O314" s="106"/>
    </row>
    <row r="315" spans="3:19" x14ac:dyDescent="0.2">
      <c r="C315" s="106"/>
      <c r="D315" s="106"/>
      <c r="H315" s="106"/>
      <c r="J315" s="106"/>
      <c r="K315" s="106"/>
      <c r="O315" s="106"/>
    </row>
    <row r="316" spans="3:19" x14ac:dyDescent="0.2">
      <c r="C316" s="106"/>
      <c r="D316" s="106"/>
      <c r="H316" s="106"/>
      <c r="J316" s="106"/>
      <c r="K316" s="106"/>
      <c r="O316" s="106"/>
    </row>
    <row r="317" spans="3:19" x14ac:dyDescent="0.2">
      <c r="C317" s="106"/>
      <c r="D317" s="106"/>
      <c r="H317" s="106"/>
      <c r="J317" s="106"/>
      <c r="K317" s="106"/>
      <c r="O317" s="106"/>
    </row>
    <row r="318" spans="3:19" x14ac:dyDescent="0.2">
      <c r="C318" s="106"/>
      <c r="D318" s="106"/>
      <c r="H318" s="106"/>
      <c r="J318" s="106"/>
      <c r="K318" s="106"/>
      <c r="O318" s="106"/>
    </row>
    <row r="319" spans="3:19" x14ac:dyDescent="0.2">
      <c r="C319" s="106"/>
      <c r="D319" s="106"/>
      <c r="H319" s="106"/>
      <c r="J319" s="106"/>
      <c r="K319" s="106"/>
      <c r="O319" s="106"/>
    </row>
    <row r="320" spans="3:19" x14ac:dyDescent="0.2">
      <c r="C320" s="106"/>
      <c r="D320" s="106"/>
      <c r="H320" s="106"/>
      <c r="J320" s="106"/>
      <c r="K320" s="106"/>
      <c r="O320" s="106"/>
    </row>
    <row r="321" spans="3:18" x14ac:dyDescent="0.2">
      <c r="C321" s="106"/>
      <c r="D321" s="106"/>
      <c r="H321" s="106"/>
      <c r="J321" s="106"/>
      <c r="K321" s="106"/>
      <c r="O321" s="106"/>
      <c r="R321" s="15"/>
    </row>
    <row r="322" spans="3:18" x14ac:dyDescent="0.2">
      <c r="C322" s="106"/>
      <c r="D322" s="106"/>
      <c r="H322" s="106"/>
      <c r="J322" s="106"/>
      <c r="K322" s="106"/>
      <c r="O322" s="106"/>
    </row>
    <row r="323" spans="3:18" x14ac:dyDescent="0.2">
      <c r="C323" s="106"/>
      <c r="D323" s="106"/>
      <c r="H323" s="106"/>
      <c r="J323" s="106"/>
      <c r="K323" s="106"/>
      <c r="O323" s="106"/>
    </row>
    <row r="324" spans="3:18" x14ac:dyDescent="0.2">
      <c r="C324" s="106"/>
      <c r="D324" s="106"/>
      <c r="H324" s="106"/>
      <c r="J324" s="106"/>
      <c r="K324" s="106"/>
      <c r="O324" s="106"/>
    </row>
    <row r="325" spans="3:18" x14ac:dyDescent="0.2">
      <c r="C325" s="106"/>
      <c r="D325" s="106"/>
      <c r="H325" s="106"/>
      <c r="J325" s="106"/>
      <c r="K325" s="106"/>
      <c r="O325" s="106"/>
    </row>
    <row r="326" spans="3:18" x14ac:dyDescent="0.2">
      <c r="C326" s="106"/>
      <c r="D326" s="106"/>
      <c r="H326" s="106"/>
      <c r="J326" s="106"/>
      <c r="K326" s="106"/>
      <c r="O326" s="106"/>
    </row>
    <row r="327" spans="3:18" x14ac:dyDescent="0.2">
      <c r="C327" s="106"/>
      <c r="D327" s="106"/>
      <c r="H327" s="106"/>
      <c r="J327" s="106"/>
      <c r="K327" s="106"/>
      <c r="O327" s="106"/>
    </row>
    <row r="328" spans="3:18" x14ac:dyDescent="0.2">
      <c r="C328" s="106"/>
      <c r="D328" s="106"/>
      <c r="H328" s="106"/>
      <c r="J328" s="106"/>
      <c r="K328" s="106"/>
      <c r="O328" s="106"/>
    </row>
    <row r="329" spans="3:18" x14ac:dyDescent="0.2">
      <c r="C329" s="106"/>
      <c r="D329" s="106"/>
      <c r="H329" s="106"/>
      <c r="J329" s="106"/>
      <c r="K329" s="106"/>
      <c r="O329" s="106"/>
    </row>
    <row r="330" spans="3:18" x14ac:dyDescent="0.2">
      <c r="C330" s="106"/>
      <c r="D330" s="106"/>
      <c r="H330" s="106"/>
      <c r="J330" s="106"/>
      <c r="K330" s="106"/>
      <c r="O330" s="106"/>
    </row>
    <row r="331" spans="3:18" x14ac:dyDescent="0.2">
      <c r="C331" s="106"/>
      <c r="D331" s="106"/>
      <c r="H331" s="106"/>
      <c r="J331" s="106"/>
      <c r="K331" s="106"/>
      <c r="O331" s="106"/>
    </row>
    <row r="332" spans="3:18" x14ac:dyDescent="0.2">
      <c r="C332" s="106"/>
      <c r="D332" s="106"/>
      <c r="H332" s="106"/>
      <c r="J332" s="106"/>
      <c r="K332" s="106"/>
      <c r="O332" s="106"/>
    </row>
    <row r="333" spans="3:18" x14ac:dyDescent="0.2">
      <c r="C333" s="106"/>
      <c r="D333" s="106"/>
      <c r="H333" s="106"/>
      <c r="J333" s="106"/>
      <c r="K333" s="106"/>
      <c r="O333" s="106"/>
    </row>
    <row r="334" spans="3:18" x14ac:dyDescent="0.2">
      <c r="C334" s="106"/>
      <c r="D334" s="106"/>
      <c r="H334" s="106"/>
      <c r="J334" s="106"/>
      <c r="K334" s="106"/>
      <c r="O334" s="106"/>
    </row>
    <row r="335" spans="3:18" x14ac:dyDescent="0.2">
      <c r="C335" s="106"/>
      <c r="D335" s="106"/>
      <c r="H335" s="106"/>
      <c r="J335" s="106"/>
      <c r="K335" s="106"/>
      <c r="O335" s="106"/>
    </row>
    <row r="336" spans="3:18" x14ac:dyDescent="0.2">
      <c r="C336" s="106"/>
      <c r="D336" s="106"/>
      <c r="H336" s="106"/>
      <c r="J336" s="106"/>
      <c r="K336" s="106"/>
      <c r="O336" s="106"/>
      <c r="R336" s="15"/>
    </row>
    <row r="337" spans="3:18" x14ac:dyDescent="0.2">
      <c r="C337" s="106"/>
      <c r="D337" s="106"/>
      <c r="H337" s="106"/>
      <c r="J337" s="106"/>
      <c r="K337" s="106"/>
      <c r="O337" s="106"/>
    </row>
    <row r="338" spans="3:18" x14ac:dyDescent="0.2">
      <c r="C338" s="106"/>
      <c r="D338" s="106"/>
      <c r="H338" s="106"/>
      <c r="J338" s="106"/>
      <c r="K338" s="106"/>
      <c r="O338" s="106"/>
    </row>
    <row r="339" spans="3:18" x14ac:dyDescent="0.2">
      <c r="C339" s="106"/>
      <c r="D339" s="106"/>
      <c r="H339" s="106"/>
      <c r="J339" s="106"/>
      <c r="K339" s="106"/>
      <c r="O339" s="106"/>
    </row>
    <row r="340" spans="3:18" x14ac:dyDescent="0.2">
      <c r="C340" s="106"/>
      <c r="D340" s="106"/>
      <c r="H340" s="106"/>
      <c r="J340" s="106"/>
      <c r="K340" s="106"/>
      <c r="O340" s="106"/>
    </row>
    <row r="341" spans="3:18" x14ac:dyDescent="0.2">
      <c r="C341" s="106"/>
      <c r="D341" s="106"/>
      <c r="H341" s="106"/>
      <c r="J341" s="106"/>
      <c r="K341" s="106"/>
      <c r="O341" s="106"/>
      <c r="R341" s="15"/>
    </row>
    <row r="342" spans="3:18" x14ac:dyDescent="0.2">
      <c r="C342" s="106"/>
      <c r="D342" s="106"/>
      <c r="H342" s="106"/>
      <c r="J342" s="106"/>
      <c r="K342" s="106"/>
      <c r="O342" s="106"/>
    </row>
    <row r="343" spans="3:18" x14ac:dyDescent="0.2">
      <c r="C343" s="106"/>
      <c r="D343" s="106"/>
      <c r="H343" s="106"/>
      <c r="J343" s="106"/>
      <c r="K343" s="106"/>
      <c r="O343" s="106"/>
    </row>
    <row r="344" spans="3:18" x14ac:dyDescent="0.2">
      <c r="C344" s="106"/>
      <c r="D344" s="106"/>
      <c r="H344" s="106"/>
      <c r="J344" s="106"/>
      <c r="K344" s="106"/>
      <c r="O344" s="106"/>
    </row>
    <row r="345" spans="3:18" x14ac:dyDescent="0.2">
      <c r="C345" s="106"/>
      <c r="D345" s="106"/>
      <c r="H345" s="106"/>
      <c r="J345" s="106"/>
      <c r="K345" s="106"/>
      <c r="O345" s="106"/>
    </row>
    <row r="346" spans="3:18" x14ac:dyDescent="0.2">
      <c r="C346" s="106"/>
      <c r="D346" s="106"/>
      <c r="H346" s="106"/>
      <c r="J346" s="106"/>
      <c r="K346" s="106"/>
      <c r="O346" s="106"/>
    </row>
    <row r="347" spans="3:18" x14ac:dyDescent="0.2">
      <c r="C347" s="106"/>
      <c r="D347" s="106"/>
      <c r="H347" s="106"/>
      <c r="J347" s="106"/>
      <c r="K347" s="106"/>
      <c r="O347" s="106"/>
    </row>
    <row r="348" spans="3:18" x14ac:dyDescent="0.2">
      <c r="C348" s="106"/>
      <c r="D348" s="106"/>
      <c r="H348" s="106"/>
      <c r="J348" s="106"/>
      <c r="K348" s="106"/>
      <c r="O348" s="106"/>
    </row>
    <row r="349" spans="3:18" x14ac:dyDescent="0.2">
      <c r="C349" s="106"/>
      <c r="D349" s="106"/>
      <c r="H349" s="106"/>
      <c r="J349" s="106"/>
      <c r="K349" s="106"/>
      <c r="O349" s="106"/>
    </row>
    <row r="350" spans="3:18" x14ac:dyDescent="0.2">
      <c r="C350" s="106"/>
      <c r="D350" s="106"/>
      <c r="H350" s="106"/>
      <c r="J350" s="106"/>
      <c r="K350" s="106"/>
      <c r="O350" s="106"/>
    </row>
    <row r="351" spans="3:18" x14ac:dyDescent="0.2">
      <c r="C351" s="106"/>
      <c r="D351" s="106"/>
      <c r="H351" s="106"/>
      <c r="J351" s="106"/>
      <c r="K351" s="106"/>
      <c r="O351" s="106"/>
    </row>
    <row r="352" spans="3:18" x14ac:dyDescent="0.2">
      <c r="C352" s="106"/>
      <c r="D352" s="106"/>
      <c r="H352" s="106"/>
      <c r="J352" s="106"/>
      <c r="K352" s="106"/>
      <c r="O352" s="106"/>
    </row>
    <row r="353" spans="3:15" x14ac:dyDescent="0.2">
      <c r="C353" s="106"/>
      <c r="D353" s="106"/>
      <c r="H353" s="106"/>
      <c r="J353" s="106"/>
      <c r="K353" s="106"/>
      <c r="O353" s="106"/>
    </row>
    <row r="354" spans="3:15" x14ac:dyDescent="0.2">
      <c r="C354" s="106"/>
      <c r="D354" s="106"/>
      <c r="H354" s="106"/>
      <c r="J354" s="106"/>
      <c r="K354" s="106"/>
      <c r="O354" s="106"/>
    </row>
    <row r="355" spans="3:15" x14ac:dyDescent="0.2">
      <c r="C355" s="106"/>
      <c r="D355" s="106"/>
      <c r="H355" s="106"/>
      <c r="J355" s="106"/>
      <c r="K355" s="106"/>
      <c r="O355" s="106"/>
    </row>
    <row r="356" spans="3:15" x14ac:dyDescent="0.2">
      <c r="C356" s="106"/>
      <c r="D356" s="106"/>
      <c r="H356" s="106"/>
      <c r="J356" s="106"/>
      <c r="K356" s="106"/>
      <c r="O356" s="106"/>
    </row>
    <row r="357" spans="3:15" x14ac:dyDescent="0.2">
      <c r="C357" s="106"/>
      <c r="D357" s="106"/>
      <c r="H357" s="106"/>
      <c r="J357" s="106"/>
      <c r="K357" s="106"/>
      <c r="O357" s="106"/>
    </row>
    <row r="358" spans="3:15" x14ac:dyDescent="0.2">
      <c r="C358" s="106"/>
      <c r="D358" s="106"/>
      <c r="H358" s="106"/>
      <c r="J358" s="106"/>
      <c r="K358" s="106"/>
      <c r="O358" s="106"/>
    </row>
    <row r="359" spans="3:15" x14ac:dyDescent="0.2">
      <c r="C359" s="106"/>
      <c r="D359" s="106"/>
      <c r="H359" s="106"/>
      <c r="J359" s="106"/>
      <c r="K359" s="106"/>
      <c r="O359" s="106"/>
    </row>
    <row r="360" spans="3:15" x14ac:dyDescent="0.2">
      <c r="C360" s="106"/>
      <c r="D360" s="106"/>
      <c r="H360" s="106"/>
      <c r="J360" s="106"/>
      <c r="K360" s="106"/>
      <c r="O360" s="106"/>
    </row>
    <row r="361" spans="3:15" x14ac:dyDescent="0.2">
      <c r="C361" s="106"/>
      <c r="D361" s="106"/>
      <c r="H361" s="106"/>
      <c r="J361" s="106"/>
      <c r="K361" s="106"/>
      <c r="O361" s="106"/>
    </row>
    <row r="362" spans="3:15" x14ac:dyDescent="0.2">
      <c r="C362" s="106"/>
      <c r="D362" s="106"/>
      <c r="H362" s="106"/>
      <c r="J362" s="106"/>
      <c r="K362" s="106"/>
      <c r="O362" s="106"/>
    </row>
    <row r="363" spans="3:15" x14ac:dyDescent="0.2">
      <c r="C363" s="106"/>
      <c r="D363" s="106"/>
      <c r="H363" s="106"/>
      <c r="J363" s="106"/>
      <c r="K363" s="106"/>
      <c r="O363" s="106"/>
    </row>
    <row r="364" spans="3:15" x14ac:dyDescent="0.2">
      <c r="C364" s="106"/>
      <c r="D364" s="106"/>
      <c r="H364" s="106"/>
      <c r="J364" s="106"/>
      <c r="K364" s="106"/>
      <c r="O364" s="106"/>
    </row>
    <row r="365" spans="3:15" x14ac:dyDescent="0.2">
      <c r="C365" s="106"/>
      <c r="D365" s="106"/>
      <c r="H365" s="106"/>
      <c r="J365" s="106"/>
      <c r="K365" s="106"/>
      <c r="O365" s="106"/>
    </row>
    <row r="366" spans="3:15" x14ac:dyDescent="0.2">
      <c r="C366" s="106"/>
      <c r="D366" s="106"/>
      <c r="H366" s="106"/>
      <c r="J366" s="106"/>
      <c r="K366" s="106"/>
      <c r="O366" s="106"/>
    </row>
    <row r="367" spans="3:15" x14ac:dyDescent="0.2">
      <c r="C367" s="106"/>
      <c r="D367" s="106"/>
      <c r="H367" s="106"/>
      <c r="J367" s="106"/>
      <c r="K367" s="106"/>
      <c r="O367" s="106"/>
    </row>
    <row r="368" spans="3:15" x14ac:dyDescent="0.2">
      <c r="C368" s="106"/>
      <c r="D368" s="106"/>
      <c r="H368" s="106"/>
      <c r="J368" s="106"/>
      <c r="K368" s="106"/>
      <c r="O368" s="106"/>
    </row>
    <row r="369" spans="3:19" x14ac:dyDescent="0.2">
      <c r="C369" s="106"/>
      <c r="D369" s="106"/>
      <c r="H369" s="106"/>
      <c r="J369" s="106"/>
      <c r="K369" s="106"/>
      <c r="O369" s="106"/>
    </row>
    <row r="370" spans="3:19" x14ac:dyDescent="0.2">
      <c r="C370" s="106"/>
      <c r="D370" s="106"/>
      <c r="H370" s="106"/>
      <c r="J370" s="106"/>
      <c r="K370" s="106"/>
      <c r="O370" s="106"/>
    </row>
    <row r="371" spans="3:19" x14ac:dyDescent="0.2">
      <c r="C371" s="106"/>
      <c r="D371" s="106"/>
      <c r="H371" s="106"/>
      <c r="J371" s="106"/>
      <c r="K371" s="106"/>
      <c r="O371" s="106"/>
    </row>
    <row r="372" spans="3:19" x14ac:dyDescent="0.2">
      <c r="C372" s="106"/>
      <c r="D372" s="106"/>
      <c r="H372" s="106"/>
      <c r="J372" s="106"/>
      <c r="K372" s="106"/>
      <c r="O372" s="106"/>
    </row>
    <row r="373" spans="3:19" x14ac:dyDescent="0.2">
      <c r="C373" s="106"/>
      <c r="D373" s="106"/>
      <c r="H373" s="106"/>
      <c r="J373" s="106"/>
      <c r="K373" s="106"/>
      <c r="O373" s="106"/>
    </row>
    <row r="374" spans="3:19" x14ac:dyDescent="0.2">
      <c r="C374" s="106"/>
      <c r="D374" s="106"/>
      <c r="H374" s="106"/>
      <c r="J374" s="106"/>
      <c r="K374" s="106"/>
      <c r="O374" s="106"/>
    </row>
    <row r="375" spans="3:19" x14ac:dyDescent="0.2">
      <c r="C375" s="106"/>
      <c r="D375" s="106"/>
      <c r="H375" s="106"/>
      <c r="J375" s="106"/>
      <c r="K375" s="106"/>
      <c r="O375" s="106"/>
    </row>
    <row r="376" spans="3:19" x14ac:dyDescent="0.2">
      <c r="C376" s="106"/>
      <c r="D376" s="106"/>
      <c r="H376" s="106"/>
      <c r="J376" s="106"/>
      <c r="K376" s="106"/>
      <c r="O376" s="106"/>
    </row>
    <row r="377" spans="3:19" x14ac:dyDescent="0.2">
      <c r="C377" s="106"/>
      <c r="D377" s="106"/>
      <c r="H377" s="106"/>
      <c r="J377" s="106"/>
      <c r="K377" s="106"/>
      <c r="O377" s="106"/>
      <c r="S377" s="15"/>
    </row>
    <row r="378" spans="3:19" x14ac:dyDescent="0.2">
      <c r="C378" s="106"/>
      <c r="D378" s="106"/>
      <c r="H378" s="106"/>
      <c r="J378" s="106"/>
      <c r="K378" s="106"/>
      <c r="O378" s="106"/>
    </row>
    <row r="379" spans="3:19" x14ac:dyDescent="0.2">
      <c r="C379" s="106"/>
      <c r="D379" s="106"/>
      <c r="H379" s="106"/>
      <c r="J379" s="106"/>
      <c r="K379" s="106"/>
      <c r="O379" s="106"/>
      <c r="R379" s="15"/>
    </row>
    <row r="380" spans="3:19" x14ac:dyDescent="0.2">
      <c r="C380" s="106"/>
      <c r="D380" s="106"/>
      <c r="H380" s="106"/>
      <c r="J380" s="106"/>
      <c r="K380" s="106"/>
      <c r="O380" s="106"/>
    </row>
    <row r="381" spans="3:19" x14ac:dyDescent="0.2">
      <c r="C381" s="106"/>
      <c r="D381" s="106"/>
      <c r="H381" s="106"/>
      <c r="J381" s="106"/>
      <c r="K381" s="106"/>
      <c r="O381" s="106"/>
    </row>
    <row r="382" spans="3:19" x14ac:dyDescent="0.2">
      <c r="C382" s="106"/>
      <c r="D382" s="106"/>
      <c r="H382" s="106"/>
      <c r="J382" s="106"/>
      <c r="K382" s="106"/>
      <c r="O382" s="106"/>
    </row>
    <row r="383" spans="3:19" x14ac:dyDescent="0.2">
      <c r="C383" s="106"/>
      <c r="D383" s="106"/>
      <c r="H383" s="106"/>
      <c r="J383" s="106"/>
      <c r="K383" s="106"/>
      <c r="O383" s="106"/>
    </row>
    <row r="384" spans="3:19" x14ac:dyDescent="0.2">
      <c r="C384" s="106"/>
      <c r="D384" s="106"/>
      <c r="H384" s="106"/>
      <c r="J384" s="106"/>
      <c r="K384" s="106"/>
      <c r="O384" s="106"/>
    </row>
    <row r="385" spans="3:19" x14ac:dyDescent="0.2">
      <c r="C385" s="106"/>
      <c r="D385" s="106"/>
      <c r="H385" s="106"/>
      <c r="J385" s="106"/>
      <c r="K385" s="106"/>
      <c r="O385" s="106"/>
    </row>
    <row r="386" spans="3:19" x14ac:dyDescent="0.2">
      <c r="C386" s="106"/>
      <c r="D386" s="106"/>
      <c r="H386" s="106"/>
      <c r="J386" s="106"/>
      <c r="K386" s="106"/>
      <c r="O386" s="106"/>
    </row>
    <row r="387" spans="3:19" x14ac:dyDescent="0.2">
      <c r="C387" s="106"/>
      <c r="D387" s="106"/>
      <c r="H387" s="106"/>
      <c r="J387" s="106"/>
      <c r="K387" s="106"/>
      <c r="O387" s="106"/>
    </row>
    <row r="388" spans="3:19" x14ac:dyDescent="0.2">
      <c r="C388" s="106"/>
      <c r="D388" s="106"/>
      <c r="H388" s="106"/>
      <c r="J388" s="106"/>
      <c r="K388" s="106"/>
      <c r="O388" s="106"/>
    </row>
    <row r="389" spans="3:19" x14ac:dyDescent="0.2">
      <c r="C389" s="106"/>
      <c r="D389" s="106"/>
      <c r="H389" s="106"/>
      <c r="J389" s="106"/>
      <c r="K389" s="106"/>
      <c r="O389" s="106"/>
    </row>
    <row r="390" spans="3:19" x14ac:dyDescent="0.2">
      <c r="C390" s="106"/>
      <c r="D390" s="106"/>
      <c r="H390" s="106"/>
      <c r="J390" s="106"/>
      <c r="K390" s="106"/>
      <c r="O390" s="106"/>
      <c r="R390" s="15"/>
    </row>
    <row r="391" spans="3:19" x14ac:dyDescent="0.2">
      <c r="C391" s="106"/>
      <c r="D391" s="106"/>
      <c r="H391" s="106"/>
      <c r="J391" s="106"/>
      <c r="K391" s="106"/>
      <c r="O391" s="106"/>
    </row>
    <row r="392" spans="3:19" x14ac:dyDescent="0.2">
      <c r="C392" s="106"/>
      <c r="D392" s="106"/>
      <c r="H392" s="106"/>
      <c r="J392" s="106"/>
      <c r="K392" s="106"/>
      <c r="O392" s="106"/>
    </row>
    <row r="393" spans="3:19" x14ac:dyDescent="0.2">
      <c r="C393" s="106"/>
      <c r="D393" s="106"/>
      <c r="H393" s="106"/>
      <c r="J393" s="106"/>
      <c r="K393" s="106"/>
      <c r="O393" s="106"/>
    </row>
    <row r="394" spans="3:19" x14ac:dyDescent="0.2">
      <c r="C394" s="106"/>
      <c r="D394" s="106"/>
      <c r="H394" s="106"/>
      <c r="J394" s="106"/>
      <c r="K394" s="106"/>
      <c r="O394" s="106"/>
    </row>
    <row r="395" spans="3:19" x14ac:dyDescent="0.2">
      <c r="C395" s="106"/>
      <c r="D395" s="106"/>
      <c r="H395" s="106"/>
      <c r="J395" s="106"/>
      <c r="K395" s="106"/>
      <c r="O395" s="106"/>
    </row>
    <row r="396" spans="3:19" x14ac:dyDescent="0.2">
      <c r="C396" s="106"/>
      <c r="D396" s="106"/>
      <c r="H396" s="106"/>
      <c r="J396" s="106"/>
      <c r="K396" s="106"/>
      <c r="O396" s="106"/>
    </row>
    <row r="397" spans="3:19" x14ac:dyDescent="0.2">
      <c r="C397" s="106"/>
      <c r="D397" s="106"/>
      <c r="H397" s="106"/>
      <c r="J397" s="106"/>
      <c r="K397" s="106"/>
      <c r="O397" s="106"/>
    </row>
    <row r="398" spans="3:19" x14ac:dyDescent="0.2">
      <c r="C398" s="106"/>
      <c r="D398" s="106"/>
      <c r="H398" s="106"/>
      <c r="J398" s="106"/>
      <c r="K398" s="106"/>
      <c r="O398" s="106"/>
      <c r="S398" s="15"/>
    </row>
    <row r="399" spans="3:19" x14ac:dyDescent="0.2">
      <c r="C399" s="106"/>
      <c r="D399" s="106"/>
      <c r="H399" s="106"/>
      <c r="J399" s="106"/>
      <c r="K399" s="106"/>
      <c r="O399" s="106"/>
    </row>
    <row r="400" spans="3:19" x14ac:dyDescent="0.2">
      <c r="C400" s="106"/>
      <c r="D400" s="106"/>
      <c r="H400" s="106"/>
      <c r="J400" s="106"/>
      <c r="K400" s="106"/>
      <c r="O400" s="106"/>
    </row>
    <row r="401" spans="3:15" x14ac:dyDescent="0.2">
      <c r="C401" s="106"/>
      <c r="D401" s="106"/>
      <c r="H401" s="106"/>
      <c r="J401" s="106"/>
      <c r="K401" s="106"/>
      <c r="O401" s="106"/>
    </row>
    <row r="402" spans="3:15" x14ac:dyDescent="0.2">
      <c r="C402" s="106"/>
      <c r="D402" s="106"/>
      <c r="H402" s="106"/>
      <c r="J402" s="106"/>
      <c r="K402" s="106"/>
      <c r="O402" s="106"/>
    </row>
    <row r="403" spans="3:15" x14ac:dyDescent="0.2">
      <c r="C403" s="106"/>
      <c r="D403" s="106"/>
      <c r="H403" s="106"/>
      <c r="J403" s="106"/>
      <c r="K403" s="106"/>
      <c r="O403" s="106"/>
    </row>
    <row r="404" spans="3:15" x14ac:dyDescent="0.2">
      <c r="C404" s="106"/>
      <c r="D404" s="106"/>
      <c r="H404" s="106"/>
      <c r="J404" s="106"/>
      <c r="K404" s="106"/>
      <c r="O404" s="106"/>
    </row>
    <row r="405" spans="3:15" x14ac:dyDescent="0.2">
      <c r="C405" s="106"/>
      <c r="D405" s="106"/>
      <c r="H405" s="106"/>
      <c r="J405" s="106"/>
      <c r="K405" s="106"/>
      <c r="O405" s="106"/>
    </row>
    <row r="406" spans="3:15" x14ac:dyDescent="0.2">
      <c r="C406" s="106"/>
      <c r="D406" s="106"/>
      <c r="H406" s="106"/>
      <c r="J406" s="106"/>
      <c r="K406" s="106"/>
      <c r="O406" s="106"/>
    </row>
    <row r="407" spans="3:15" x14ac:dyDescent="0.2">
      <c r="C407" s="106"/>
      <c r="D407" s="106"/>
      <c r="H407" s="106"/>
      <c r="J407" s="106"/>
      <c r="K407" s="106"/>
      <c r="O407" s="106"/>
    </row>
    <row r="408" spans="3:15" x14ac:dyDescent="0.2">
      <c r="C408" s="106"/>
      <c r="D408" s="106"/>
      <c r="H408" s="106"/>
      <c r="J408" s="106"/>
      <c r="K408" s="106"/>
      <c r="O408" s="106"/>
    </row>
    <row r="409" spans="3:15" x14ac:dyDescent="0.2">
      <c r="C409" s="106"/>
      <c r="D409" s="106"/>
      <c r="H409" s="106"/>
      <c r="J409" s="106"/>
      <c r="K409" s="106"/>
      <c r="O409" s="106"/>
    </row>
    <row r="410" spans="3:15" x14ac:dyDescent="0.2">
      <c r="C410" s="106"/>
      <c r="D410" s="106"/>
      <c r="H410" s="106"/>
      <c r="J410" s="106"/>
      <c r="K410" s="106"/>
      <c r="O410" s="106"/>
    </row>
    <row r="411" spans="3:15" x14ac:dyDescent="0.2">
      <c r="C411" s="106"/>
      <c r="D411" s="106"/>
      <c r="H411" s="106"/>
      <c r="J411" s="106"/>
      <c r="K411" s="106"/>
      <c r="O411" s="106"/>
    </row>
    <row r="412" spans="3:15" x14ac:dyDescent="0.2">
      <c r="C412" s="106"/>
      <c r="D412" s="106"/>
      <c r="H412" s="106"/>
      <c r="J412" s="106"/>
      <c r="K412" s="106"/>
      <c r="O412" s="106"/>
    </row>
    <row r="413" spans="3:15" x14ac:dyDescent="0.2">
      <c r="C413" s="106"/>
      <c r="D413" s="106"/>
      <c r="H413" s="106"/>
      <c r="J413" s="106"/>
      <c r="K413" s="106"/>
      <c r="O413" s="106"/>
    </row>
    <row r="414" spans="3:15" x14ac:dyDescent="0.2">
      <c r="C414" s="106"/>
      <c r="D414" s="106"/>
      <c r="H414" s="106"/>
      <c r="J414" s="106"/>
      <c r="K414" s="106"/>
      <c r="O414" s="106"/>
    </row>
    <row r="415" spans="3:15" x14ac:dyDescent="0.2">
      <c r="C415" s="106"/>
      <c r="D415" s="106"/>
      <c r="H415" s="106"/>
      <c r="J415" s="106"/>
      <c r="K415" s="106"/>
      <c r="O415" s="106"/>
    </row>
    <row r="416" spans="3:15" x14ac:dyDescent="0.2">
      <c r="C416" s="106"/>
      <c r="D416" s="106"/>
      <c r="H416" s="106"/>
      <c r="J416" s="106"/>
      <c r="K416" s="106"/>
      <c r="O416" s="106"/>
    </row>
    <row r="417" spans="3:15" x14ac:dyDescent="0.2">
      <c r="C417" s="106"/>
      <c r="D417" s="106"/>
      <c r="H417" s="106"/>
      <c r="J417" s="106"/>
      <c r="K417" s="106"/>
      <c r="O417" s="106"/>
    </row>
    <row r="418" spans="3:15" x14ac:dyDescent="0.2">
      <c r="C418" s="106"/>
      <c r="D418" s="106"/>
      <c r="H418" s="106"/>
      <c r="J418" s="106"/>
      <c r="K418" s="106"/>
      <c r="O418" s="106"/>
    </row>
    <row r="419" spans="3:15" x14ac:dyDescent="0.2">
      <c r="C419" s="106"/>
      <c r="D419" s="106"/>
      <c r="H419" s="106"/>
      <c r="J419" s="106"/>
      <c r="K419" s="106"/>
      <c r="O419" s="106"/>
    </row>
    <row r="420" spans="3:15" x14ac:dyDescent="0.2">
      <c r="C420" s="106"/>
      <c r="D420" s="106"/>
      <c r="H420" s="106"/>
      <c r="J420" s="106"/>
      <c r="K420" s="106"/>
      <c r="O420" s="106"/>
    </row>
    <row r="421" spans="3:15" x14ac:dyDescent="0.2">
      <c r="C421" s="106"/>
      <c r="D421" s="106"/>
      <c r="H421" s="106"/>
      <c r="J421" s="106"/>
      <c r="K421" s="106"/>
      <c r="O421" s="106"/>
    </row>
    <row r="422" spans="3:15" x14ac:dyDescent="0.2">
      <c r="C422" s="106"/>
      <c r="D422" s="106"/>
      <c r="H422" s="106"/>
      <c r="J422" s="106"/>
      <c r="K422" s="106"/>
      <c r="O422" s="106"/>
    </row>
    <row r="423" spans="3:15" x14ac:dyDescent="0.2">
      <c r="C423" s="106"/>
      <c r="D423" s="106"/>
      <c r="H423" s="106"/>
      <c r="J423" s="106"/>
      <c r="K423" s="106"/>
      <c r="O423" s="106"/>
    </row>
    <row r="424" spans="3:15" x14ac:dyDescent="0.2">
      <c r="C424" s="106"/>
      <c r="D424" s="106"/>
      <c r="H424" s="106"/>
      <c r="J424" s="106"/>
      <c r="K424" s="106"/>
      <c r="O424" s="106"/>
    </row>
    <row r="425" spans="3:15" x14ac:dyDescent="0.2">
      <c r="C425" s="106"/>
      <c r="D425" s="106"/>
      <c r="H425" s="106"/>
      <c r="J425" s="106"/>
      <c r="K425" s="106"/>
      <c r="O425" s="106"/>
    </row>
    <row r="426" spans="3:15" x14ac:dyDescent="0.2">
      <c r="C426" s="106"/>
      <c r="D426" s="106"/>
      <c r="H426" s="106"/>
      <c r="J426" s="106"/>
      <c r="K426" s="106"/>
      <c r="O426" s="106"/>
    </row>
    <row r="427" spans="3:15" x14ac:dyDescent="0.2">
      <c r="C427" s="106"/>
      <c r="D427" s="106"/>
      <c r="H427" s="106"/>
      <c r="J427" s="106"/>
      <c r="K427" s="106"/>
      <c r="O427" s="106"/>
    </row>
    <row r="428" spans="3:15" x14ac:dyDescent="0.2">
      <c r="C428" s="106"/>
      <c r="D428" s="106"/>
      <c r="H428" s="106"/>
      <c r="J428" s="106"/>
      <c r="K428" s="106"/>
      <c r="O428" s="106"/>
    </row>
    <row r="429" spans="3:15" x14ac:dyDescent="0.2">
      <c r="C429" s="106"/>
      <c r="D429" s="106"/>
      <c r="H429" s="106"/>
      <c r="J429" s="106"/>
      <c r="K429" s="106"/>
      <c r="O429" s="106"/>
    </row>
    <row r="430" spans="3:15" x14ac:dyDescent="0.2">
      <c r="C430" s="106"/>
      <c r="D430" s="106"/>
      <c r="H430" s="106"/>
      <c r="J430" s="106"/>
      <c r="K430" s="106"/>
      <c r="O430" s="106"/>
    </row>
    <row r="431" spans="3:15" x14ac:dyDescent="0.2">
      <c r="C431" s="106"/>
      <c r="D431" s="106"/>
      <c r="H431" s="106"/>
      <c r="J431" s="106"/>
      <c r="K431" s="106"/>
      <c r="O431" s="106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308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254</v>
      </c>
      <c r="B1" s="106" t="s">
        <v>255</v>
      </c>
      <c r="C1" s="106" t="s">
        <v>256</v>
      </c>
      <c r="D1" s="106" t="s">
        <v>257</v>
      </c>
      <c r="E1" s="106" t="s">
        <v>258</v>
      </c>
      <c r="F1" s="106" t="s">
        <v>259</v>
      </c>
      <c r="G1" s="106" t="s">
        <v>260</v>
      </c>
      <c r="H1" s="106" t="s">
        <v>261</v>
      </c>
      <c r="I1" s="106" t="s">
        <v>262</v>
      </c>
    </row>
    <row r="2" spans="1:10" x14ac:dyDescent="0.2">
      <c r="A2" s="106" t="s">
        <v>1913</v>
      </c>
      <c r="B2" s="106" t="s">
        <v>327</v>
      </c>
      <c r="C2" s="106" t="s">
        <v>275</v>
      </c>
      <c r="D2" s="106" t="s">
        <v>265</v>
      </c>
      <c r="E2" s="106">
        <v>9267</v>
      </c>
      <c r="F2" s="106" t="s">
        <v>1914</v>
      </c>
      <c r="G2" s="106" t="s">
        <v>266</v>
      </c>
      <c r="H2" s="106" t="s">
        <v>276</v>
      </c>
      <c r="I2" s="106">
        <v>347</v>
      </c>
    </row>
    <row r="3" spans="1:10" x14ac:dyDescent="0.2">
      <c r="A3" s="106" t="s">
        <v>347</v>
      </c>
      <c r="B3" s="106" t="s">
        <v>686</v>
      </c>
      <c r="C3" s="106" t="s">
        <v>264</v>
      </c>
      <c r="D3" s="106" t="s">
        <v>265</v>
      </c>
      <c r="E3">
        <v>9818</v>
      </c>
      <c r="F3" s="106" t="s">
        <v>1693</v>
      </c>
      <c r="G3" s="106" t="s">
        <v>274</v>
      </c>
      <c r="H3" s="106" t="s">
        <v>272</v>
      </c>
      <c r="I3">
        <v>117</v>
      </c>
    </row>
    <row r="4" spans="1:10" x14ac:dyDescent="0.2">
      <c r="A4" s="106" t="s">
        <v>347</v>
      </c>
      <c r="B4" s="106" t="s">
        <v>1690</v>
      </c>
      <c r="C4" s="106" t="s">
        <v>264</v>
      </c>
      <c r="D4" s="106" t="s">
        <v>265</v>
      </c>
      <c r="E4">
        <v>6594</v>
      </c>
      <c r="F4" s="106" t="s">
        <v>1691</v>
      </c>
      <c r="G4" s="106" t="s">
        <v>266</v>
      </c>
      <c r="H4" s="106" t="s">
        <v>291</v>
      </c>
      <c r="I4" t="s">
        <v>4540</v>
      </c>
      <c r="J4" t="s">
        <v>4855</v>
      </c>
    </row>
    <row r="5" spans="1:10" x14ac:dyDescent="0.2">
      <c r="A5" s="106" t="s">
        <v>347</v>
      </c>
      <c r="B5" s="106" t="s">
        <v>1689</v>
      </c>
      <c r="C5" s="106" t="s">
        <v>264</v>
      </c>
      <c r="D5" s="106" t="s">
        <v>265</v>
      </c>
      <c r="E5">
        <v>6146</v>
      </c>
      <c r="F5" s="106" t="s">
        <v>348</v>
      </c>
      <c r="G5" s="106" t="s">
        <v>266</v>
      </c>
      <c r="H5" s="106" t="s">
        <v>287</v>
      </c>
      <c r="I5" t="s">
        <v>407</v>
      </c>
      <c r="J5" t="s">
        <v>4266</v>
      </c>
    </row>
    <row r="6" spans="1:10" x14ac:dyDescent="0.2">
      <c r="A6" s="106" t="s">
        <v>347</v>
      </c>
      <c r="B6" s="106" t="s">
        <v>263</v>
      </c>
      <c r="C6" s="106" t="s">
        <v>273</v>
      </c>
      <c r="D6" s="106" t="s">
        <v>269</v>
      </c>
      <c r="E6">
        <v>8977</v>
      </c>
      <c r="F6" s="106" t="s">
        <v>685</v>
      </c>
      <c r="G6" s="106" t="s">
        <v>303</v>
      </c>
      <c r="H6" s="106" t="s">
        <v>304</v>
      </c>
      <c r="I6" t="s">
        <v>297</v>
      </c>
      <c r="J6" t="s">
        <v>4714</v>
      </c>
    </row>
    <row r="7" spans="1:10" x14ac:dyDescent="0.2">
      <c r="A7" s="106" t="s">
        <v>1445</v>
      </c>
      <c r="B7" s="106" t="s">
        <v>1915</v>
      </c>
      <c r="C7" s="106" t="s">
        <v>264</v>
      </c>
      <c r="D7" s="106" t="s">
        <v>269</v>
      </c>
      <c r="E7">
        <v>4556</v>
      </c>
      <c r="F7" s="106" t="s">
        <v>1916</v>
      </c>
      <c r="G7" s="106" t="s">
        <v>270</v>
      </c>
      <c r="H7" s="106" t="s">
        <v>311</v>
      </c>
      <c r="I7" s="106">
        <v>45</v>
      </c>
      <c r="J7" s="106"/>
    </row>
    <row r="8" spans="1:10" x14ac:dyDescent="0.2">
      <c r="A8" s="106" t="s">
        <v>1445</v>
      </c>
      <c r="B8" s="106" t="s">
        <v>1915</v>
      </c>
      <c r="C8" s="106" t="s">
        <v>264</v>
      </c>
      <c r="D8" s="106" t="s">
        <v>265</v>
      </c>
      <c r="E8">
        <v>9932</v>
      </c>
      <c r="F8" s="106" t="s">
        <v>1917</v>
      </c>
      <c r="G8" s="106" t="s">
        <v>266</v>
      </c>
      <c r="H8" s="106" t="s">
        <v>272</v>
      </c>
      <c r="I8" s="106">
        <v>234</v>
      </c>
      <c r="J8" s="106"/>
    </row>
    <row r="9" spans="1:10" x14ac:dyDescent="0.2">
      <c r="A9" s="106" t="s">
        <v>1445</v>
      </c>
      <c r="B9" s="106" t="s">
        <v>684</v>
      </c>
      <c r="C9" s="106" t="s">
        <v>264</v>
      </c>
      <c r="D9" s="106" t="s">
        <v>265</v>
      </c>
      <c r="E9">
        <v>8595</v>
      </c>
      <c r="F9" s="106" t="s">
        <v>1447</v>
      </c>
      <c r="G9" s="106" t="s">
        <v>266</v>
      </c>
      <c r="H9" s="106" t="s">
        <v>1448</v>
      </c>
      <c r="I9" s="106" t="s">
        <v>297</v>
      </c>
      <c r="J9" s="106" t="s">
        <v>4856</v>
      </c>
    </row>
    <row r="10" spans="1:10" x14ac:dyDescent="0.2">
      <c r="A10" s="106" t="s">
        <v>1445</v>
      </c>
      <c r="B10" s="106" t="s">
        <v>327</v>
      </c>
      <c r="C10" s="106" t="s">
        <v>275</v>
      </c>
      <c r="D10" s="106" t="s">
        <v>265</v>
      </c>
      <c r="E10">
        <v>1381</v>
      </c>
      <c r="F10" s="106" t="s">
        <v>1918</v>
      </c>
      <c r="G10" s="106" t="s">
        <v>270</v>
      </c>
      <c r="H10" s="106" t="s">
        <v>314</v>
      </c>
      <c r="I10" s="106">
        <v>131</v>
      </c>
      <c r="J10" s="106"/>
    </row>
    <row r="11" spans="1:10" x14ac:dyDescent="0.2">
      <c r="A11" s="106" t="s">
        <v>1445</v>
      </c>
      <c r="B11" s="106" t="s">
        <v>327</v>
      </c>
      <c r="C11" s="106" t="s">
        <v>273</v>
      </c>
      <c r="D11" s="106" t="s">
        <v>265</v>
      </c>
      <c r="E11">
        <v>2408</v>
      </c>
      <c r="F11" s="106" t="s">
        <v>1919</v>
      </c>
      <c r="G11" s="106" t="s">
        <v>270</v>
      </c>
      <c r="H11" s="106" t="s">
        <v>271</v>
      </c>
      <c r="I11">
        <v>29</v>
      </c>
    </row>
    <row r="12" spans="1:10" x14ac:dyDescent="0.2">
      <c r="A12" s="106" t="s">
        <v>1445</v>
      </c>
      <c r="B12" s="106" t="s">
        <v>327</v>
      </c>
      <c r="C12" s="106" t="s">
        <v>264</v>
      </c>
      <c r="D12" s="106" t="s">
        <v>269</v>
      </c>
      <c r="E12">
        <v>2656</v>
      </c>
      <c r="F12" s="106" t="s">
        <v>1920</v>
      </c>
      <c r="G12" s="106" t="s">
        <v>270</v>
      </c>
      <c r="H12" s="106" t="s">
        <v>276</v>
      </c>
      <c r="I12">
        <v>48</v>
      </c>
    </row>
    <row r="13" spans="1:10" x14ac:dyDescent="0.2">
      <c r="A13" s="106" t="s">
        <v>1445</v>
      </c>
      <c r="B13" s="106" t="s">
        <v>327</v>
      </c>
      <c r="C13" s="106" t="s">
        <v>264</v>
      </c>
      <c r="D13" s="106" t="s">
        <v>265</v>
      </c>
      <c r="E13">
        <v>2664</v>
      </c>
      <c r="F13" s="106" t="s">
        <v>1921</v>
      </c>
      <c r="G13" s="106" t="s">
        <v>266</v>
      </c>
      <c r="H13" s="106" t="s">
        <v>276</v>
      </c>
      <c r="I13" s="106">
        <v>533</v>
      </c>
      <c r="J13" s="106"/>
    </row>
    <row r="14" spans="1:10" x14ac:dyDescent="0.2">
      <c r="A14" s="106" t="s">
        <v>1445</v>
      </c>
      <c r="B14" s="106" t="s">
        <v>327</v>
      </c>
      <c r="C14" s="106" t="s">
        <v>264</v>
      </c>
      <c r="D14" s="106" t="s">
        <v>265</v>
      </c>
      <c r="E14">
        <v>2804</v>
      </c>
      <c r="F14" s="106" t="s">
        <v>1922</v>
      </c>
      <c r="G14" s="106" t="s">
        <v>274</v>
      </c>
      <c r="H14" s="106" t="s">
        <v>267</v>
      </c>
      <c r="I14" s="106">
        <v>159</v>
      </c>
      <c r="J14" s="106"/>
    </row>
    <row r="15" spans="1:10" x14ac:dyDescent="0.2">
      <c r="A15" s="106" t="s">
        <v>1445</v>
      </c>
      <c r="B15" s="106" t="s">
        <v>327</v>
      </c>
      <c r="C15" s="106" t="s">
        <v>264</v>
      </c>
      <c r="D15" s="106" t="s">
        <v>265</v>
      </c>
      <c r="E15">
        <v>5609</v>
      </c>
      <c r="F15" s="106" t="s">
        <v>1923</v>
      </c>
      <c r="G15" s="106" t="s">
        <v>274</v>
      </c>
      <c r="H15" s="106" t="s">
        <v>726</v>
      </c>
      <c r="I15">
        <v>42</v>
      </c>
    </row>
    <row r="16" spans="1:10" x14ac:dyDescent="0.2">
      <c r="A16" s="106" t="s">
        <v>1445</v>
      </c>
      <c r="B16" s="106" t="s">
        <v>327</v>
      </c>
      <c r="C16" s="106" t="s">
        <v>273</v>
      </c>
      <c r="D16" s="106" t="s">
        <v>265</v>
      </c>
      <c r="E16">
        <v>6866</v>
      </c>
      <c r="F16" s="106" t="s">
        <v>1924</v>
      </c>
      <c r="G16" s="106" t="s">
        <v>266</v>
      </c>
      <c r="H16" s="106" t="s">
        <v>291</v>
      </c>
      <c r="I16" s="106">
        <v>534</v>
      </c>
      <c r="J16" s="106"/>
    </row>
    <row r="17" spans="1:10" x14ac:dyDescent="0.2">
      <c r="A17" s="106" t="s">
        <v>1445</v>
      </c>
      <c r="B17" s="106" t="s">
        <v>327</v>
      </c>
      <c r="C17" s="106" t="s">
        <v>264</v>
      </c>
      <c r="D17" s="106" t="s">
        <v>265</v>
      </c>
      <c r="E17">
        <v>6961</v>
      </c>
      <c r="F17" s="106" t="s">
        <v>1446</v>
      </c>
      <c r="G17" s="106" t="s">
        <v>266</v>
      </c>
      <c r="H17" s="106" t="s">
        <v>291</v>
      </c>
      <c r="I17" s="106">
        <v>625</v>
      </c>
      <c r="J17" s="106"/>
    </row>
    <row r="18" spans="1:10" x14ac:dyDescent="0.2">
      <c r="A18" s="106" t="s">
        <v>1445</v>
      </c>
      <c r="B18" s="106" t="s">
        <v>327</v>
      </c>
      <c r="C18" s="106" t="s">
        <v>264</v>
      </c>
      <c r="D18" s="106" t="s">
        <v>265</v>
      </c>
      <c r="E18">
        <v>7931</v>
      </c>
      <c r="F18" s="106" t="s">
        <v>1925</v>
      </c>
      <c r="G18" s="106" t="s">
        <v>266</v>
      </c>
      <c r="H18" s="106" t="s">
        <v>279</v>
      </c>
      <c r="I18">
        <v>556</v>
      </c>
    </row>
    <row r="19" spans="1:10" x14ac:dyDescent="0.2">
      <c r="A19" s="106" t="s">
        <v>1445</v>
      </c>
      <c r="B19" s="106" t="s">
        <v>327</v>
      </c>
      <c r="C19" s="106" t="s">
        <v>264</v>
      </c>
      <c r="D19" s="106" t="s">
        <v>265</v>
      </c>
      <c r="E19">
        <v>9029</v>
      </c>
      <c r="F19" s="106" t="s">
        <v>1926</v>
      </c>
      <c r="G19" s="106" t="s">
        <v>274</v>
      </c>
      <c r="H19" s="106" t="s">
        <v>356</v>
      </c>
      <c r="I19">
        <v>80</v>
      </c>
    </row>
    <row r="20" spans="1:10" x14ac:dyDescent="0.2">
      <c r="A20" s="106" t="s">
        <v>1445</v>
      </c>
      <c r="B20" s="106" t="s">
        <v>327</v>
      </c>
      <c r="C20" s="106" t="s">
        <v>264</v>
      </c>
      <c r="D20" s="106" t="s">
        <v>265</v>
      </c>
      <c r="E20">
        <v>9629</v>
      </c>
      <c r="F20" s="106" t="s">
        <v>1927</v>
      </c>
      <c r="G20" s="106" t="s">
        <v>266</v>
      </c>
      <c r="H20" s="106" t="s">
        <v>277</v>
      </c>
      <c r="I20">
        <v>455</v>
      </c>
    </row>
    <row r="21" spans="1:10" x14ac:dyDescent="0.2">
      <c r="A21" s="106" t="s">
        <v>1445</v>
      </c>
      <c r="B21" s="106" t="s">
        <v>327</v>
      </c>
      <c r="C21" s="106" t="s">
        <v>264</v>
      </c>
      <c r="D21" s="106" t="s">
        <v>269</v>
      </c>
      <c r="E21">
        <v>9914</v>
      </c>
      <c r="F21" s="106" t="s">
        <v>1928</v>
      </c>
      <c r="G21" s="106" t="s">
        <v>270</v>
      </c>
      <c r="H21" s="106" t="s">
        <v>272</v>
      </c>
      <c r="I21" s="106">
        <v>24</v>
      </c>
      <c r="J21" s="106"/>
    </row>
    <row r="22" spans="1:10" x14ac:dyDescent="0.2">
      <c r="A22" s="106" t="s">
        <v>1445</v>
      </c>
      <c r="B22" s="106" t="s">
        <v>1689</v>
      </c>
      <c r="C22" s="106" t="s">
        <v>264</v>
      </c>
      <c r="D22" s="106" t="s">
        <v>269</v>
      </c>
      <c r="E22">
        <v>2397</v>
      </c>
      <c r="F22" s="106" t="s">
        <v>1929</v>
      </c>
      <c r="G22" s="106" t="s">
        <v>274</v>
      </c>
      <c r="H22" s="106" t="s">
        <v>271</v>
      </c>
      <c r="I22" s="106">
        <v>37</v>
      </c>
      <c r="J22" s="106"/>
    </row>
    <row r="23" spans="1:10" x14ac:dyDescent="0.2">
      <c r="A23" s="106" t="s">
        <v>1445</v>
      </c>
      <c r="B23" s="106" t="s">
        <v>1689</v>
      </c>
      <c r="C23" s="106" t="s">
        <v>264</v>
      </c>
      <c r="D23" s="106" t="s">
        <v>265</v>
      </c>
      <c r="E23">
        <v>5279</v>
      </c>
      <c r="F23" s="106" t="s">
        <v>1930</v>
      </c>
      <c r="G23" s="106" t="s">
        <v>270</v>
      </c>
      <c r="H23" s="106" t="s">
        <v>308</v>
      </c>
      <c r="I23">
        <v>33</v>
      </c>
    </row>
    <row r="24" spans="1:10" x14ac:dyDescent="0.2">
      <c r="A24" s="106" t="s">
        <v>1445</v>
      </c>
      <c r="B24" s="106" t="s">
        <v>1931</v>
      </c>
      <c r="C24" s="106" t="s">
        <v>264</v>
      </c>
      <c r="D24" s="106" t="s">
        <v>265</v>
      </c>
      <c r="E24">
        <v>7908</v>
      </c>
      <c r="F24" s="106" t="s">
        <v>1932</v>
      </c>
      <c r="G24" s="106" t="s">
        <v>266</v>
      </c>
      <c r="H24" s="106" t="s">
        <v>279</v>
      </c>
      <c r="I24" s="106">
        <v>104</v>
      </c>
      <c r="J24" s="106"/>
    </row>
    <row r="25" spans="1:10" x14ac:dyDescent="0.2">
      <c r="A25" s="106" t="s">
        <v>1445</v>
      </c>
      <c r="B25" s="106" t="s">
        <v>263</v>
      </c>
      <c r="C25" s="106" t="s">
        <v>264</v>
      </c>
      <c r="D25" s="106" t="s">
        <v>265</v>
      </c>
      <c r="E25">
        <v>2208</v>
      </c>
      <c r="F25" s="106" t="s">
        <v>1933</v>
      </c>
      <c r="G25" s="106" t="s">
        <v>274</v>
      </c>
      <c r="H25" s="106" t="s">
        <v>267</v>
      </c>
      <c r="I25" s="106">
        <v>508</v>
      </c>
      <c r="J25" s="106"/>
    </row>
    <row r="26" spans="1:10" x14ac:dyDescent="0.2">
      <c r="A26" s="106" t="s">
        <v>350</v>
      </c>
      <c r="B26" s="106" t="s">
        <v>1694</v>
      </c>
      <c r="C26" s="106" t="s">
        <v>264</v>
      </c>
      <c r="D26" s="106" t="s">
        <v>269</v>
      </c>
      <c r="E26">
        <v>8628</v>
      </c>
      <c r="F26" s="106" t="s">
        <v>1695</v>
      </c>
      <c r="G26" s="106" t="s">
        <v>266</v>
      </c>
      <c r="H26" s="106" t="s">
        <v>1448</v>
      </c>
      <c r="I26" s="106" t="s">
        <v>289</v>
      </c>
      <c r="J26" s="106" t="s">
        <v>4857</v>
      </c>
    </row>
    <row r="27" spans="1:10" x14ac:dyDescent="0.2">
      <c r="A27" s="106" t="s">
        <v>350</v>
      </c>
      <c r="B27" s="106" t="s">
        <v>327</v>
      </c>
      <c r="C27" s="106" t="s">
        <v>268</v>
      </c>
      <c r="D27" s="106" t="s">
        <v>269</v>
      </c>
      <c r="E27">
        <v>2926</v>
      </c>
      <c r="F27" s="106" t="s">
        <v>1934</v>
      </c>
      <c r="G27" s="106" t="s">
        <v>274</v>
      </c>
      <c r="H27" s="106" t="s">
        <v>267</v>
      </c>
      <c r="I27">
        <v>15</v>
      </c>
    </row>
    <row r="28" spans="1:10" x14ac:dyDescent="0.2">
      <c r="A28" s="106" t="s">
        <v>350</v>
      </c>
      <c r="B28" s="106" t="s">
        <v>327</v>
      </c>
      <c r="C28" s="106" t="s">
        <v>264</v>
      </c>
      <c r="D28" s="106" t="s">
        <v>265</v>
      </c>
      <c r="E28">
        <v>3132</v>
      </c>
      <c r="F28" s="106" t="s">
        <v>740</v>
      </c>
      <c r="G28" s="106" t="s">
        <v>266</v>
      </c>
      <c r="H28" s="106" t="s">
        <v>272</v>
      </c>
      <c r="I28" t="s">
        <v>297</v>
      </c>
      <c r="J28" t="s">
        <v>4473</v>
      </c>
    </row>
    <row r="29" spans="1:10" x14ac:dyDescent="0.2">
      <c r="A29" s="106" t="s">
        <v>350</v>
      </c>
      <c r="B29" s="106" t="s">
        <v>327</v>
      </c>
      <c r="C29" s="106" t="s">
        <v>264</v>
      </c>
      <c r="D29" s="106" t="s">
        <v>265</v>
      </c>
      <c r="E29">
        <v>3157</v>
      </c>
      <c r="F29" s="106" t="s">
        <v>1935</v>
      </c>
      <c r="G29" s="106" t="s">
        <v>266</v>
      </c>
      <c r="H29" s="106" t="s">
        <v>272</v>
      </c>
      <c r="I29" s="106">
        <v>165</v>
      </c>
      <c r="J29" s="106"/>
    </row>
    <row r="30" spans="1:10" x14ac:dyDescent="0.2">
      <c r="A30" s="106" t="s">
        <v>350</v>
      </c>
      <c r="B30" s="106" t="s">
        <v>327</v>
      </c>
      <c r="C30" s="106" t="s">
        <v>264</v>
      </c>
      <c r="D30" s="106" t="s">
        <v>265</v>
      </c>
      <c r="E30">
        <v>4185</v>
      </c>
      <c r="F30" s="106" t="s">
        <v>1936</v>
      </c>
      <c r="G30" s="106" t="s">
        <v>266</v>
      </c>
      <c r="H30" s="106" t="s">
        <v>279</v>
      </c>
      <c r="I30" s="106" t="s">
        <v>316</v>
      </c>
      <c r="J30" s="106" t="s">
        <v>4858</v>
      </c>
    </row>
    <row r="31" spans="1:10" x14ac:dyDescent="0.2">
      <c r="A31" s="106" t="s">
        <v>350</v>
      </c>
      <c r="B31" s="106" t="s">
        <v>327</v>
      </c>
      <c r="C31" s="106" t="s">
        <v>264</v>
      </c>
      <c r="D31" s="106" t="s">
        <v>269</v>
      </c>
      <c r="E31">
        <v>4973</v>
      </c>
      <c r="F31" s="106" t="s">
        <v>351</v>
      </c>
      <c r="G31" s="106" t="s">
        <v>266</v>
      </c>
      <c r="H31" s="106" t="s">
        <v>279</v>
      </c>
      <c r="I31">
        <v>167</v>
      </c>
    </row>
    <row r="32" spans="1:10" x14ac:dyDescent="0.2">
      <c r="A32" s="106" t="s">
        <v>350</v>
      </c>
      <c r="B32" s="106" t="s">
        <v>327</v>
      </c>
      <c r="C32" s="106" t="s">
        <v>264</v>
      </c>
      <c r="D32" s="106" t="s">
        <v>265</v>
      </c>
      <c r="E32">
        <v>5906</v>
      </c>
      <c r="F32" s="106" t="s">
        <v>1937</v>
      </c>
      <c r="G32" s="106" t="s">
        <v>270</v>
      </c>
      <c r="H32" s="106" t="s">
        <v>281</v>
      </c>
      <c r="I32">
        <v>74</v>
      </c>
    </row>
    <row r="33" spans="1:10" x14ac:dyDescent="0.2">
      <c r="A33" s="106" t="s">
        <v>350</v>
      </c>
      <c r="B33" s="106" t="s">
        <v>327</v>
      </c>
      <c r="C33" s="106" t="s">
        <v>264</v>
      </c>
      <c r="D33" s="106" t="s">
        <v>269</v>
      </c>
      <c r="E33">
        <v>6027</v>
      </c>
      <c r="F33" s="106" t="s">
        <v>1938</v>
      </c>
      <c r="G33" s="106" t="s">
        <v>278</v>
      </c>
      <c r="H33" s="106" t="s">
        <v>271</v>
      </c>
      <c r="I33" s="106" t="s">
        <v>297</v>
      </c>
      <c r="J33" s="106" t="s">
        <v>4381</v>
      </c>
    </row>
    <row r="34" spans="1:10" x14ac:dyDescent="0.2">
      <c r="A34" s="106" t="s">
        <v>350</v>
      </c>
      <c r="B34" s="106" t="s">
        <v>327</v>
      </c>
      <c r="C34" s="106" t="s">
        <v>264</v>
      </c>
      <c r="D34" s="106" t="s">
        <v>265</v>
      </c>
      <c r="E34">
        <v>6161</v>
      </c>
      <c r="F34" s="106" t="s">
        <v>1939</v>
      </c>
      <c r="G34" s="106" t="s">
        <v>274</v>
      </c>
      <c r="H34" s="106" t="s">
        <v>287</v>
      </c>
      <c r="I34" s="106">
        <v>199</v>
      </c>
      <c r="J34" s="106"/>
    </row>
    <row r="35" spans="1:10" x14ac:dyDescent="0.2">
      <c r="A35" s="106" t="s">
        <v>350</v>
      </c>
      <c r="B35" s="106" t="s">
        <v>327</v>
      </c>
      <c r="C35" s="106" t="s">
        <v>264</v>
      </c>
      <c r="D35" s="106" t="s">
        <v>265</v>
      </c>
      <c r="E35">
        <v>7466</v>
      </c>
      <c r="F35" s="106" t="s">
        <v>1940</v>
      </c>
      <c r="G35" s="106" t="s">
        <v>266</v>
      </c>
      <c r="H35" s="106" t="s">
        <v>272</v>
      </c>
      <c r="I35">
        <v>149</v>
      </c>
    </row>
    <row r="36" spans="1:10" x14ac:dyDescent="0.2">
      <c r="A36" s="106" t="s">
        <v>350</v>
      </c>
      <c r="B36" s="106" t="s">
        <v>327</v>
      </c>
      <c r="C36" s="106" t="s">
        <v>264</v>
      </c>
      <c r="D36" s="106" t="s">
        <v>265</v>
      </c>
      <c r="E36">
        <v>7970</v>
      </c>
      <c r="F36" s="106" t="s">
        <v>1941</v>
      </c>
      <c r="G36" s="106" t="s">
        <v>266</v>
      </c>
      <c r="H36" s="106" t="s">
        <v>279</v>
      </c>
      <c r="I36">
        <v>879</v>
      </c>
    </row>
    <row r="37" spans="1:10" x14ac:dyDescent="0.2">
      <c r="A37" s="106" t="s">
        <v>350</v>
      </c>
      <c r="B37" s="106" t="s">
        <v>327</v>
      </c>
      <c r="C37" s="106" t="s">
        <v>264</v>
      </c>
      <c r="D37" s="106" t="s">
        <v>265</v>
      </c>
      <c r="E37">
        <v>9663</v>
      </c>
      <c r="F37" s="106" t="s">
        <v>1942</v>
      </c>
      <c r="G37" s="106" t="s">
        <v>266</v>
      </c>
      <c r="H37" s="106" t="s">
        <v>271</v>
      </c>
      <c r="I37" s="106" t="s">
        <v>297</v>
      </c>
      <c r="J37" s="106" t="s">
        <v>4859</v>
      </c>
    </row>
    <row r="38" spans="1:10" x14ac:dyDescent="0.2">
      <c r="A38" s="106" t="s">
        <v>350</v>
      </c>
      <c r="B38" s="106" t="s">
        <v>1689</v>
      </c>
      <c r="C38" s="106" t="s">
        <v>264</v>
      </c>
      <c r="D38" s="106" t="s">
        <v>265</v>
      </c>
      <c r="E38">
        <v>3635</v>
      </c>
      <c r="F38" s="106" t="s">
        <v>1943</v>
      </c>
      <c r="G38" s="106" t="s">
        <v>266</v>
      </c>
      <c r="H38" s="106" t="s">
        <v>277</v>
      </c>
      <c r="I38" t="s">
        <v>333</v>
      </c>
      <c r="J38" t="s">
        <v>4532</v>
      </c>
    </row>
    <row r="39" spans="1:10" x14ac:dyDescent="0.2">
      <c r="A39" s="106" t="s">
        <v>350</v>
      </c>
      <c r="B39" s="106" t="s">
        <v>1689</v>
      </c>
      <c r="C39" s="106" t="s">
        <v>264</v>
      </c>
      <c r="D39" s="106" t="s">
        <v>265</v>
      </c>
      <c r="E39">
        <v>5936</v>
      </c>
      <c r="F39" s="106" t="s">
        <v>1449</v>
      </c>
      <c r="G39" s="106" t="s">
        <v>266</v>
      </c>
      <c r="H39" s="106" t="s">
        <v>281</v>
      </c>
      <c r="I39">
        <v>48</v>
      </c>
    </row>
    <row r="40" spans="1:10" x14ac:dyDescent="0.2">
      <c r="A40" s="106" t="s">
        <v>350</v>
      </c>
      <c r="B40" s="106" t="s">
        <v>1689</v>
      </c>
      <c r="C40" s="106" t="s">
        <v>264</v>
      </c>
      <c r="D40" s="106" t="s">
        <v>265</v>
      </c>
      <c r="E40">
        <v>6988</v>
      </c>
      <c r="F40" s="106" t="s">
        <v>1944</v>
      </c>
      <c r="G40" s="106" t="s">
        <v>266</v>
      </c>
      <c r="H40" s="106" t="s">
        <v>279</v>
      </c>
      <c r="I40" t="s">
        <v>359</v>
      </c>
      <c r="J40" t="s">
        <v>4293</v>
      </c>
    </row>
    <row r="41" spans="1:10" x14ac:dyDescent="0.2">
      <c r="A41" s="106" t="s">
        <v>350</v>
      </c>
      <c r="B41" s="106" t="s">
        <v>1689</v>
      </c>
      <c r="C41" s="106" t="s">
        <v>264</v>
      </c>
      <c r="D41" s="106" t="s">
        <v>265</v>
      </c>
      <c r="E41">
        <v>7460</v>
      </c>
      <c r="F41" s="106" t="s">
        <v>1945</v>
      </c>
      <c r="G41" s="106" t="s">
        <v>274</v>
      </c>
      <c r="H41" s="106" t="s">
        <v>272</v>
      </c>
      <c r="I41">
        <v>179</v>
      </c>
    </row>
    <row r="42" spans="1:10" x14ac:dyDescent="0.2">
      <c r="A42" s="106" t="s">
        <v>350</v>
      </c>
      <c r="B42" s="106" t="s">
        <v>1689</v>
      </c>
      <c r="C42" s="106" t="s">
        <v>264</v>
      </c>
      <c r="D42" s="106" t="s">
        <v>269</v>
      </c>
      <c r="E42">
        <v>8903</v>
      </c>
      <c r="F42" s="106" t="s">
        <v>1946</v>
      </c>
      <c r="G42" s="106" t="s">
        <v>270</v>
      </c>
      <c r="H42" s="106" t="s">
        <v>292</v>
      </c>
      <c r="I42">
        <v>26</v>
      </c>
    </row>
    <row r="43" spans="1:10" x14ac:dyDescent="0.2">
      <c r="A43" s="106" t="s">
        <v>350</v>
      </c>
      <c r="B43" s="106" t="s">
        <v>1689</v>
      </c>
      <c r="C43" s="106" t="s">
        <v>264</v>
      </c>
      <c r="D43" s="106" t="s">
        <v>265</v>
      </c>
      <c r="E43">
        <v>9058</v>
      </c>
      <c r="F43" s="106" t="s">
        <v>1947</v>
      </c>
      <c r="G43" s="106" t="s">
        <v>266</v>
      </c>
      <c r="H43" s="106" t="s">
        <v>556</v>
      </c>
      <c r="I43">
        <v>830</v>
      </c>
    </row>
    <row r="44" spans="1:10" x14ac:dyDescent="0.2">
      <c r="A44" s="106" t="s">
        <v>350</v>
      </c>
      <c r="B44" s="106" t="s">
        <v>1931</v>
      </c>
      <c r="C44" s="106" t="s">
        <v>268</v>
      </c>
      <c r="D44" s="106" t="s">
        <v>265</v>
      </c>
      <c r="E44">
        <v>6200</v>
      </c>
      <c r="F44" s="106" t="s">
        <v>1696</v>
      </c>
      <c r="G44" s="106" t="s">
        <v>266</v>
      </c>
      <c r="H44" s="106" t="s">
        <v>271</v>
      </c>
      <c r="I44">
        <v>784</v>
      </c>
    </row>
    <row r="45" spans="1:10" x14ac:dyDescent="0.2">
      <c r="A45" s="106" t="s">
        <v>350</v>
      </c>
      <c r="B45" s="106" t="s">
        <v>263</v>
      </c>
      <c r="C45" s="106" t="s">
        <v>264</v>
      </c>
      <c r="D45" s="106" t="s">
        <v>265</v>
      </c>
      <c r="E45">
        <v>6999</v>
      </c>
      <c r="F45" s="106" t="s">
        <v>1948</v>
      </c>
      <c r="G45" s="106" t="s">
        <v>266</v>
      </c>
      <c r="H45" s="106" t="s">
        <v>291</v>
      </c>
      <c r="I45" s="106">
        <v>568</v>
      </c>
      <c r="J45" s="106"/>
    </row>
    <row r="46" spans="1:10" x14ac:dyDescent="0.2">
      <c r="A46" s="106" t="s">
        <v>350</v>
      </c>
      <c r="B46" s="106" t="s">
        <v>263</v>
      </c>
      <c r="C46" s="106" t="s">
        <v>264</v>
      </c>
      <c r="D46" s="106" t="s">
        <v>265</v>
      </c>
      <c r="E46">
        <v>8707</v>
      </c>
      <c r="F46" s="106" t="s">
        <v>1949</v>
      </c>
      <c r="G46" s="106" t="s">
        <v>266</v>
      </c>
      <c r="H46" s="106" t="s">
        <v>1448</v>
      </c>
      <c r="I46">
        <v>330</v>
      </c>
    </row>
    <row r="47" spans="1:10" x14ac:dyDescent="0.2">
      <c r="A47" s="106" t="s">
        <v>350</v>
      </c>
      <c r="B47" s="106" t="s">
        <v>263</v>
      </c>
      <c r="C47" s="106" t="s">
        <v>264</v>
      </c>
      <c r="D47" s="106" t="s">
        <v>265</v>
      </c>
      <c r="E47">
        <v>8897</v>
      </c>
      <c r="F47" s="106" t="s">
        <v>1950</v>
      </c>
      <c r="G47" s="106" t="s">
        <v>266</v>
      </c>
      <c r="H47" s="106" t="s">
        <v>292</v>
      </c>
      <c r="I47">
        <v>598</v>
      </c>
    </row>
    <row r="48" spans="1:10" x14ac:dyDescent="0.2">
      <c r="A48" s="106" t="s">
        <v>352</v>
      </c>
      <c r="B48" s="106" t="s">
        <v>1481</v>
      </c>
      <c r="C48" s="106" t="s">
        <v>264</v>
      </c>
      <c r="D48" s="106" t="s">
        <v>265</v>
      </c>
      <c r="E48">
        <v>6798</v>
      </c>
      <c r="F48" s="106" t="s">
        <v>1951</v>
      </c>
      <c r="G48" s="106" t="s">
        <v>266</v>
      </c>
      <c r="H48" s="106" t="s">
        <v>291</v>
      </c>
      <c r="I48">
        <v>236</v>
      </c>
    </row>
    <row r="49" spans="1:10" x14ac:dyDescent="0.2">
      <c r="A49" s="106" t="s">
        <v>352</v>
      </c>
      <c r="B49" s="106" t="s">
        <v>686</v>
      </c>
      <c r="C49" s="106" t="s">
        <v>264</v>
      </c>
      <c r="D49" s="106" t="s">
        <v>269</v>
      </c>
      <c r="E49">
        <v>4733</v>
      </c>
      <c r="F49" s="106" t="s">
        <v>1952</v>
      </c>
      <c r="G49" s="106" t="s">
        <v>266</v>
      </c>
      <c r="H49" s="106" t="s">
        <v>277</v>
      </c>
      <c r="I49" t="s">
        <v>316</v>
      </c>
      <c r="J49" t="s">
        <v>4860</v>
      </c>
    </row>
    <row r="50" spans="1:10" x14ac:dyDescent="0.2">
      <c r="A50" s="106" t="s">
        <v>352</v>
      </c>
      <c r="B50" s="106" t="s">
        <v>686</v>
      </c>
      <c r="C50" s="106" t="s">
        <v>264</v>
      </c>
      <c r="D50" s="106" t="s">
        <v>265</v>
      </c>
      <c r="E50">
        <v>4832</v>
      </c>
      <c r="F50" s="106" t="s">
        <v>1953</v>
      </c>
      <c r="G50" s="106" t="s">
        <v>274</v>
      </c>
      <c r="H50" s="106" t="s">
        <v>277</v>
      </c>
      <c r="I50" s="106">
        <v>302</v>
      </c>
      <c r="J50" s="106"/>
    </row>
    <row r="51" spans="1:10" x14ac:dyDescent="0.2">
      <c r="A51" s="106" t="s">
        <v>352</v>
      </c>
      <c r="B51" s="106" t="s">
        <v>686</v>
      </c>
      <c r="C51" s="106" t="s">
        <v>264</v>
      </c>
      <c r="D51" s="106" t="s">
        <v>265</v>
      </c>
      <c r="E51">
        <v>8566</v>
      </c>
      <c r="F51" s="106" t="s">
        <v>1697</v>
      </c>
      <c r="G51" s="106" t="s">
        <v>266</v>
      </c>
      <c r="H51" s="106" t="s">
        <v>302</v>
      </c>
      <c r="I51" s="106" t="s">
        <v>297</v>
      </c>
      <c r="J51" s="106" t="s">
        <v>4520</v>
      </c>
    </row>
    <row r="52" spans="1:10" x14ac:dyDescent="0.2">
      <c r="A52" s="106" t="s">
        <v>352</v>
      </c>
      <c r="B52" s="106" t="s">
        <v>327</v>
      </c>
      <c r="C52" s="106" t="s">
        <v>264</v>
      </c>
      <c r="D52" s="106" t="s">
        <v>265</v>
      </c>
      <c r="E52">
        <v>2413</v>
      </c>
      <c r="F52" s="106" t="s">
        <v>1954</v>
      </c>
      <c r="G52" s="106" t="s">
        <v>266</v>
      </c>
      <c r="H52" s="106" t="s">
        <v>271</v>
      </c>
      <c r="I52" t="s">
        <v>475</v>
      </c>
      <c r="J52" t="s">
        <v>4861</v>
      </c>
    </row>
    <row r="53" spans="1:10" x14ac:dyDescent="0.2">
      <c r="A53" s="106" t="s">
        <v>352</v>
      </c>
      <c r="B53" s="106" t="s">
        <v>327</v>
      </c>
      <c r="C53" s="106" t="s">
        <v>264</v>
      </c>
      <c r="D53" s="106" t="s">
        <v>269</v>
      </c>
      <c r="E53">
        <v>3316</v>
      </c>
      <c r="F53" s="106" t="s">
        <v>1955</v>
      </c>
      <c r="G53" s="106" t="s">
        <v>270</v>
      </c>
      <c r="H53" s="106" t="s">
        <v>272</v>
      </c>
      <c r="I53">
        <v>42</v>
      </c>
    </row>
    <row r="54" spans="1:10" x14ac:dyDescent="0.2">
      <c r="A54" s="106" t="s">
        <v>352</v>
      </c>
      <c r="B54" s="106" t="s">
        <v>327</v>
      </c>
      <c r="C54" s="106" t="s">
        <v>264</v>
      </c>
      <c r="D54" s="106" t="s">
        <v>265</v>
      </c>
      <c r="E54">
        <v>4063</v>
      </c>
      <c r="F54" s="106" t="s">
        <v>1956</v>
      </c>
      <c r="G54" s="106" t="s">
        <v>266</v>
      </c>
      <c r="H54" s="106" t="s">
        <v>279</v>
      </c>
      <c r="I54" t="s">
        <v>4862</v>
      </c>
      <c r="J54" t="s">
        <v>4622</v>
      </c>
    </row>
    <row r="55" spans="1:10" x14ac:dyDescent="0.2">
      <c r="A55" s="106" t="s">
        <v>352</v>
      </c>
      <c r="B55" s="106" t="s">
        <v>327</v>
      </c>
      <c r="C55" s="106" t="s">
        <v>264</v>
      </c>
      <c r="D55" s="106" t="s">
        <v>265</v>
      </c>
      <c r="E55">
        <v>4217</v>
      </c>
      <c r="F55" s="106" t="s">
        <v>1957</v>
      </c>
      <c r="G55" s="106" t="s">
        <v>266</v>
      </c>
      <c r="H55" s="106" t="s">
        <v>279</v>
      </c>
      <c r="I55" s="106" t="s">
        <v>407</v>
      </c>
      <c r="J55" s="106" t="s">
        <v>4863</v>
      </c>
    </row>
    <row r="56" spans="1:10" x14ac:dyDescent="0.2">
      <c r="A56" s="106" t="s">
        <v>352</v>
      </c>
      <c r="B56" s="106" t="s">
        <v>327</v>
      </c>
      <c r="C56" s="106" t="s">
        <v>268</v>
      </c>
      <c r="D56" s="106" t="s">
        <v>269</v>
      </c>
      <c r="E56">
        <v>4479</v>
      </c>
      <c r="F56" s="106" t="s">
        <v>1958</v>
      </c>
      <c r="G56" s="106" t="s">
        <v>278</v>
      </c>
      <c r="H56" s="106" t="s">
        <v>277</v>
      </c>
      <c r="I56">
        <v>486</v>
      </c>
    </row>
    <row r="57" spans="1:10" x14ac:dyDescent="0.2">
      <c r="A57" s="106" t="s">
        <v>352</v>
      </c>
      <c r="B57" s="106" t="s">
        <v>327</v>
      </c>
      <c r="C57" s="106" t="s">
        <v>264</v>
      </c>
      <c r="D57" s="106" t="s">
        <v>265</v>
      </c>
      <c r="E57">
        <v>4549</v>
      </c>
      <c r="F57" s="106" t="s">
        <v>1959</v>
      </c>
      <c r="G57" s="106" t="s">
        <v>266</v>
      </c>
      <c r="H57" s="106" t="s">
        <v>311</v>
      </c>
      <c r="I57">
        <v>964</v>
      </c>
    </row>
    <row r="58" spans="1:10" x14ac:dyDescent="0.2">
      <c r="A58" s="106" t="s">
        <v>352</v>
      </c>
      <c r="B58" s="106" t="s">
        <v>327</v>
      </c>
      <c r="C58" s="106" t="s">
        <v>264</v>
      </c>
      <c r="D58" s="106" t="s">
        <v>265</v>
      </c>
      <c r="E58">
        <v>4557</v>
      </c>
      <c r="F58" s="106" t="s">
        <v>469</v>
      </c>
      <c r="G58" s="106" t="s">
        <v>270</v>
      </c>
      <c r="H58" s="106" t="s">
        <v>311</v>
      </c>
      <c r="I58">
        <v>238</v>
      </c>
    </row>
    <row r="59" spans="1:10" x14ac:dyDescent="0.2">
      <c r="A59" s="106" t="s">
        <v>352</v>
      </c>
      <c r="B59" s="106" t="s">
        <v>327</v>
      </c>
      <c r="C59" s="106" t="s">
        <v>264</v>
      </c>
      <c r="D59" s="106" t="s">
        <v>265</v>
      </c>
      <c r="E59">
        <v>4684</v>
      </c>
      <c r="F59" s="106" t="s">
        <v>470</v>
      </c>
      <c r="G59" s="106" t="s">
        <v>266</v>
      </c>
      <c r="H59" s="106" t="s">
        <v>277</v>
      </c>
      <c r="I59" t="s">
        <v>1856</v>
      </c>
      <c r="J59" t="s">
        <v>4625</v>
      </c>
    </row>
    <row r="60" spans="1:10" x14ac:dyDescent="0.2">
      <c r="A60" s="106" t="s">
        <v>352</v>
      </c>
      <c r="B60" s="106" t="s">
        <v>327</v>
      </c>
      <c r="C60" s="106" t="s">
        <v>264</v>
      </c>
      <c r="D60" s="106" t="s">
        <v>265</v>
      </c>
      <c r="E60">
        <v>6210</v>
      </c>
      <c r="F60" s="106" t="s">
        <v>1960</v>
      </c>
      <c r="G60" s="106" t="s">
        <v>266</v>
      </c>
      <c r="H60" s="106" t="s">
        <v>287</v>
      </c>
      <c r="I60">
        <v>117</v>
      </c>
    </row>
    <row r="61" spans="1:10" x14ac:dyDescent="0.2">
      <c r="A61" s="106" t="s">
        <v>352</v>
      </c>
      <c r="B61" s="106" t="s">
        <v>327</v>
      </c>
      <c r="C61" s="106" t="s">
        <v>264</v>
      </c>
      <c r="D61" s="106" t="s">
        <v>269</v>
      </c>
      <c r="E61">
        <v>6325</v>
      </c>
      <c r="F61" s="106" t="s">
        <v>1961</v>
      </c>
      <c r="G61" s="106" t="s">
        <v>266</v>
      </c>
      <c r="H61" s="106" t="s">
        <v>287</v>
      </c>
      <c r="I61">
        <v>88</v>
      </c>
    </row>
    <row r="62" spans="1:10" x14ac:dyDescent="0.2">
      <c r="A62" s="106" t="s">
        <v>352</v>
      </c>
      <c r="B62" s="106" t="s">
        <v>327</v>
      </c>
      <c r="C62" s="106" t="s">
        <v>264</v>
      </c>
      <c r="D62" s="106" t="s">
        <v>265</v>
      </c>
      <c r="E62">
        <v>6337</v>
      </c>
      <c r="F62" s="106" t="s">
        <v>1962</v>
      </c>
      <c r="G62" s="106" t="s">
        <v>270</v>
      </c>
      <c r="H62" s="106" t="s">
        <v>287</v>
      </c>
      <c r="I62">
        <v>90</v>
      </c>
    </row>
    <row r="63" spans="1:10" x14ac:dyDescent="0.2">
      <c r="A63" s="106" t="s">
        <v>352</v>
      </c>
      <c r="B63" s="106" t="s">
        <v>327</v>
      </c>
      <c r="C63" s="106" t="s">
        <v>264</v>
      </c>
      <c r="D63" s="106" t="s">
        <v>265</v>
      </c>
      <c r="E63">
        <v>6807</v>
      </c>
      <c r="F63" s="106" t="s">
        <v>1963</v>
      </c>
      <c r="G63" s="106" t="s">
        <v>266</v>
      </c>
      <c r="H63" s="106" t="s">
        <v>291</v>
      </c>
      <c r="I63" t="s">
        <v>289</v>
      </c>
      <c r="J63" t="s">
        <v>4354</v>
      </c>
    </row>
    <row r="64" spans="1:10" x14ac:dyDescent="0.2">
      <c r="A64" s="106" t="s">
        <v>352</v>
      </c>
      <c r="B64" s="106" t="s">
        <v>327</v>
      </c>
      <c r="C64" s="106" t="s">
        <v>273</v>
      </c>
      <c r="D64" s="106" t="s">
        <v>265</v>
      </c>
      <c r="E64">
        <v>7739</v>
      </c>
      <c r="F64" s="106" t="s">
        <v>4417</v>
      </c>
      <c r="G64" s="106" t="s">
        <v>266</v>
      </c>
      <c r="H64" s="106" t="s">
        <v>291</v>
      </c>
      <c r="I64" s="106">
        <v>894</v>
      </c>
      <c r="J64" s="106"/>
    </row>
    <row r="65" spans="1:10" x14ac:dyDescent="0.2">
      <c r="A65" s="106" t="s">
        <v>352</v>
      </c>
      <c r="B65" s="106" t="s">
        <v>327</v>
      </c>
      <c r="C65" s="106" t="s">
        <v>273</v>
      </c>
      <c r="D65" s="106" t="s">
        <v>265</v>
      </c>
      <c r="E65">
        <v>8060</v>
      </c>
      <c r="F65" s="106" t="s">
        <v>1964</v>
      </c>
      <c r="G65" s="106" t="s">
        <v>266</v>
      </c>
      <c r="H65" s="106" t="s">
        <v>272</v>
      </c>
      <c r="I65" t="s">
        <v>333</v>
      </c>
      <c r="J65" t="s">
        <v>4864</v>
      </c>
    </row>
    <row r="66" spans="1:10" x14ac:dyDescent="0.2">
      <c r="A66" s="106" t="s">
        <v>352</v>
      </c>
      <c r="B66" s="106" t="s">
        <v>327</v>
      </c>
      <c r="C66" s="106" t="s">
        <v>264</v>
      </c>
      <c r="D66" s="106" t="s">
        <v>265</v>
      </c>
      <c r="E66">
        <v>8342</v>
      </c>
      <c r="F66" s="106" t="s">
        <v>4419</v>
      </c>
      <c r="G66" s="106" t="s">
        <v>266</v>
      </c>
      <c r="H66" s="106" t="s">
        <v>484</v>
      </c>
      <c r="I66" s="106">
        <v>571</v>
      </c>
      <c r="J66" s="106"/>
    </row>
    <row r="67" spans="1:10" x14ac:dyDescent="0.2">
      <c r="A67" s="106" t="s">
        <v>352</v>
      </c>
      <c r="B67" s="106" t="s">
        <v>327</v>
      </c>
      <c r="C67" s="106" t="s">
        <v>264</v>
      </c>
      <c r="D67" s="106" t="s">
        <v>265</v>
      </c>
      <c r="E67">
        <v>8818</v>
      </c>
      <c r="F67" s="106" t="s">
        <v>1699</v>
      </c>
      <c r="G67" s="106" t="s">
        <v>266</v>
      </c>
      <c r="H67" s="106" t="s">
        <v>292</v>
      </c>
      <c r="I67" s="106">
        <v>767</v>
      </c>
      <c r="J67" s="106"/>
    </row>
    <row r="68" spans="1:10" x14ac:dyDescent="0.2">
      <c r="A68" s="106" t="s">
        <v>352</v>
      </c>
      <c r="B68" s="106" t="s">
        <v>327</v>
      </c>
      <c r="C68" s="106" t="s">
        <v>264</v>
      </c>
      <c r="D68" s="106" t="s">
        <v>265</v>
      </c>
      <c r="E68">
        <v>8860</v>
      </c>
      <c r="F68" s="106" t="s">
        <v>1965</v>
      </c>
      <c r="G68" s="106" t="s">
        <v>266</v>
      </c>
      <c r="H68" s="106" t="s">
        <v>292</v>
      </c>
      <c r="I68">
        <v>256</v>
      </c>
    </row>
    <row r="69" spans="1:10" x14ac:dyDescent="0.2">
      <c r="A69" s="106" t="s">
        <v>352</v>
      </c>
      <c r="B69" s="106" t="s">
        <v>327</v>
      </c>
      <c r="C69" s="106" t="s">
        <v>264</v>
      </c>
      <c r="D69" s="106" t="s">
        <v>265</v>
      </c>
      <c r="E69">
        <v>9691</v>
      </c>
      <c r="F69" s="106" t="s">
        <v>1966</v>
      </c>
      <c r="G69" s="106" t="s">
        <v>270</v>
      </c>
      <c r="H69" s="106" t="s">
        <v>277</v>
      </c>
      <c r="I69" s="106">
        <v>114</v>
      </c>
      <c r="J69" s="106"/>
    </row>
    <row r="70" spans="1:10" x14ac:dyDescent="0.2">
      <c r="A70" s="106" t="s">
        <v>352</v>
      </c>
      <c r="B70" s="106" t="s">
        <v>327</v>
      </c>
      <c r="C70" s="106" t="s">
        <v>264</v>
      </c>
      <c r="D70" s="106" t="s">
        <v>265</v>
      </c>
      <c r="E70">
        <v>9782</v>
      </c>
      <c r="F70" s="106" t="s">
        <v>1967</v>
      </c>
      <c r="G70" s="106" t="s">
        <v>270</v>
      </c>
      <c r="H70" s="106" t="s">
        <v>271</v>
      </c>
      <c r="I70" s="106">
        <v>169</v>
      </c>
      <c r="J70" s="106"/>
    </row>
    <row r="71" spans="1:10" x14ac:dyDescent="0.2">
      <c r="A71" s="106" t="s">
        <v>352</v>
      </c>
      <c r="B71" s="106" t="s">
        <v>290</v>
      </c>
      <c r="C71" s="106" t="s">
        <v>264</v>
      </c>
      <c r="D71" s="106" t="s">
        <v>265</v>
      </c>
      <c r="E71">
        <v>9478</v>
      </c>
      <c r="F71" s="106" t="s">
        <v>1450</v>
      </c>
      <c r="G71" s="106" t="s">
        <v>270</v>
      </c>
      <c r="H71" s="106" t="s">
        <v>277</v>
      </c>
      <c r="I71">
        <v>47</v>
      </c>
    </row>
    <row r="72" spans="1:10" x14ac:dyDescent="0.2">
      <c r="A72" s="106" t="s">
        <v>352</v>
      </c>
      <c r="B72" s="106" t="s">
        <v>1689</v>
      </c>
      <c r="C72" s="106" t="s">
        <v>264</v>
      </c>
      <c r="D72" s="106" t="s">
        <v>265</v>
      </c>
      <c r="E72">
        <v>1934</v>
      </c>
      <c r="F72" s="106" t="s">
        <v>1968</v>
      </c>
      <c r="G72" s="106" t="s">
        <v>266</v>
      </c>
      <c r="H72" s="106" t="s">
        <v>293</v>
      </c>
      <c r="I72">
        <v>508</v>
      </c>
    </row>
    <row r="73" spans="1:10" x14ac:dyDescent="0.2">
      <c r="A73" s="106" t="s">
        <v>352</v>
      </c>
      <c r="B73" s="106" t="s">
        <v>1689</v>
      </c>
      <c r="C73" s="106" t="s">
        <v>264</v>
      </c>
      <c r="D73" s="106" t="s">
        <v>265</v>
      </c>
      <c r="E73">
        <v>4212</v>
      </c>
      <c r="F73" s="106" t="s">
        <v>1969</v>
      </c>
      <c r="G73" s="106" t="s">
        <v>266</v>
      </c>
      <c r="H73" s="106" t="s">
        <v>279</v>
      </c>
      <c r="I73" s="106" t="s">
        <v>297</v>
      </c>
      <c r="J73" s="106" t="s">
        <v>4865</v>
      </c>
    </row>
    <row r="74" spans="1:10" x14ac:dyDescent="0.2">
      <c r="A74" s="106" t="s">
        <v>352</v>
      </c>
      <c r="B74" s="106" t="s">
        <v>1689</v>
      </c>
      <c r="C74" s="106" t="s">
        <v>264</v>
      </c>
      <c r="D74" s="106" t="s">
        <v>265</v>
      </c>
      <c r="E74">
        <v>5809</v>
      </c>
      <c r="F74" s="106" t="s">
        <v>1698</v>
      </c>
      <c r="G74" s="106" t="s">
        <v>266</v>
      </c>
      <c r="H74" s="106" t="s">
        <v>373</v>
      </c>
      <c r="I74" s="106">
        <v>443</v>
      </c>
      <c r="J74" s="106"/>
    </row>
    <row r="75" spans="1:10" x14ac:dyDescent="0.2">
      <c r="A75" s="106" t="s">
        <v>352</v>
      </c>
      <c r="B75" s="106" t="s">
        <v>1689</v>
      </c>
      <c r="C75" s="106" t="s">
        <v>264</v>
      </c>
      <c r="D75" s="106" t="s">
        <v>265</v>
      </c>
      <c r="E75">
        <v>6755</v>
      </c>
      <c r="F75" s="106" t="s">
        <v>1970</v>
      </c>
      <c r="G75" s="106" t="s">
        <v>266</v>
      </c>
      <c r="H75" s="106" t="s">
        <v>291</v>
      </c>
      <c r="I75" s="106" t="s">
        <v>289</v>
      </c>
      <c r="J75" s="106" t="s">
        <v>4866</v>
      </c>
    </row>
    <row r="76" spans="1:10" x14ac:dyDescent="0.2">
      <c r="A76" s="106" t="s">
        <v>352</v>
      </c>
      <c r="B76" s="106" t="s">
        <v>1689</v>
      </c>
      <c r="C76" s="106" t="s">
        <v>264</v>
      </c>
      <c r="D76" s="106" t="s">
        <v>265</v>
      </c>
      <c r="E76">
        <v>8140</v>
      </c>
      <c r="F76" s="106" t="s">
        <v>1971</v>
      </c>
      <c r="G76" s="106" t="s">
        <v>266</v>
      </c>
      <c r="H76" s="106" t="s">
        <v>272</v>
      </c>
      <c r="I76">
        <v>680</v>
      </c>
    </row>
    <row r="77" spans="1:10" x14ac:dyDescent="0.2">
      <c r="A77" s="106" t="s">
        <v>352</v>
      </c>
      <c r="B77" s="106" t="s">
        <v>1689</v>
      </c>
      <c r="C77" s="106" t="s">
        <v>264</v>
      </c>
      <c r="D77" s="106" t="s">
        <v>265</v>
      </c>
      <c r="E77">
        <v>9277</v>
      </c>
      <c r="F77" s="106" t="s">
        <v>1972</v>
      </c>
      <c r="G77" s="106" t="s">
        <v>266</v>
      </c>
      <c r="H77" s="106" t="s">
        <v>276</v>
      </c>
      <c r="I77">
        <v>658</v>
      </c>
    </row>
    <row r="78" spans="1:10" x14ac:dyDescent="0.2">
      <c r="A78" s="106" t="s">
        <v>352</v>
      </c>
      <c r="B78" s="106" t="s">
        <v>263</v>
      </c>
      <c r="C78" s="106" t="s">
        <v>268</v>
      </c>
      <c r="D78" s="106" t="s">
        <v>269</v>
      </c>
      <c r="E78">
        <v>3496</v>
      </c>
      <c r="F78" s="106" t="s">
        <v>1973</v>
      </c>
      <c r="G78" s="106" t="s">
        <v>278</v>
      </c>
      <c r="H78" s="106" t="s">
        <v>292</v>
      </c>
      <c r="I78">
        <v>50</v>
      </c>
    </row>
    <row r="79" spans="1:10" x14ac:dyDescent="0.2">
      <c r="A79" s="106" t="s">
        <v>352</v>
      </c>
      <c r="B79" s="106" t="s">
        <v>263</v>
      </c>
      <c r="C79" s="106" t="s">
        <v>264</v>
      </c>
      <c r="D79" s="106" t="s">
        <v>265</v>
      </c>
      <c r="E79">
        <v>4462</v>
      </c>
      <c r="F79" s="106" t="s">
        <v>353</v>
      </c>
      <c r="G79" s="106" t="s">
        <v>266</v>
      </c>
      <c r="H79" s="106" t="s">
        <v>279</v>
      </c>
      <c r="I79">
        <v>167</v>
      </c>
    </row>
    <row r="80" spans="1:10" x14ac:dyDescent="0.2">
      <c r="A80" s="106" t="s">
        <v>352</v>
      </c>
      <c r="B80" s="106" t="s">
        <v>263</v>
      </c>
      <c r="C80" s="106" t="s">
        <v>264</v>
      </c>
      <c r="D80" s="106" t="s">
        <v>265</v>
      </c>
      <c r="E80">
        <v>7820</v>
      </c>
      <c r="F80" s="106" t="s">
        <v>1974</v>
      </c>
      <c r="G80" s="106" t="s">
        <v>266</v>
      </c>
      <c r="H80" s="106" t="s">
        <v>288</v>
      </c>
      <c r="I80" s="106">
        <v>351</v>
      </c>
      <c r="J80" s="106"/>
    </row>
    <row r="81" spans="1:10" x14ac:dyDescent="0.2">
      <c r="A81" s="106" t="s">
        <v>352</v>
      </c>
      <c r="B81" s="106" t="s">
        <v>263</v>
      </c>
      <c r="C81" s="106" t="s">
        <v>264</v>
      </c>
      <c r="D81" s="106" t="s">
        <v>265</v>
      </c>
      <c r="E81">
        <v>8208</v>
      </c>
      <c r="F81" s="106" t="s">
        <v>1975</v>
      </c>
      <c r="G81" s="106" t="s">
        <v>270</v>
      </c>
      <c r="H81" s="106" t="s">
        <v>276</v>
      </c>
      <c r="I81">
        <v>74</v>
      </c>
    </row>
    <row r="82" spans="1:10" x14ac:dyDescent="0.2">
      <c r="A82" s="106" t="s">
        <v>352</v>
      </c>
      <c r="B82" s="106" t="s">
        <v>263</v>
      </c>
      <c r="C82" s="106" t="s">
        <v>264</v>
      </c>
      <c r="D82" s="106" t="s">
        <v>265</v>
      </c>
      <c r="E82">
        <v>9307</v>
      </c>
      <c r="F82" s="106" t="s">
        <v>1976</v>
      </c>
      <c r="G82" s="106" t="s">
        <v>274</v>
      </c>
      <c r="H82" s="106" t="s">
        <v>556</v>
      </c>
      <c r="I82">
        <v>117</v>
      </c>
    </row>
    <row r="83" spans="1:10" x14ac:dyDescent="0.2">
      <c r="A83" s="106" t="s">
        <v>354</v>
      </c>
      <c r="B83" s="106" t="s">
        <v>1977</v>
      </c>
      <c r="C83" s="106" t="s">
        <v>264</v>
      </c>
      <c r="D83" s="106" t="s">
        <v>269</v>
      </c>
      <c r="E83">
        <v>4679</v>
      </c>
      <c r="F83" s="106" t="s">
        <v>1978</v>
      </c>
      <c r="G83" s="106" t="s">
        <v>266</v>
      </c>
      <c r="H83" s="106" t="s">
        <v>271</v>
      </c>
      <c r="I83">
        <v>32</v>
      </c>
    </row>
    <row r="84" spans="1:10" x14ac:dyDescent="0.2">
      <c r="A84" s="106" t="s">
        <v>354</v>
      </c>
      <c r="B84" s="106" t="s">
        <v>1915</v>
      </c>
      <c r="C84" s="106" t="s">
        <v>264</v>
      </c>
      <c r="D84" s="106" t="s">
        <v>265</v>
      </c>
      <c r="E84">
        <v>1973</v>
      </c>
      <c r="F84" s="106" t="s">
        <v>1979</v>
      </c>
      <c r="G84" s="106" t="s">
        <v>266</v>
      </c>
      <c r="H84" s="106" t="s">
        <v>277</v>
      </c>
      <c r="I84" t="s">
        <v>289</v>
      </c>
      <c r="J84" t="s">
        <v>4867</v>
      </c>
    </row>
    <row r="85" spans="1:10" x14ac:dyDescent="0.2">
      <c r="A85" s="106" t="s">
        <v>354</v>
      </c>
      <c r="B85" s="106" t="s">
        <v>1915</v>
      </c>
      <c r="C85" s="106" t="s">
        <v>264</v>
      </c>
      <c r="D85" s="106" t="s">
        <v>265</v>
      </c>
      <c r="E85">
        <v>2335</v>
      </c>
      <c r="F85" s="106" t="s">
        <v>1980</v>
      </c>
      <c r="G85" s="106" t="s">
        <v>266</v>
      </c>
      <c r="H85" s="106" t="s">
        <v>277</v>
      </c>
      <c r="I85" s="106">
        <v>128</v>
      </c>
      <c r="J85" s="106"/>
    </row>
    <row r="86" spans="1:10" x14ac:dyDescent="0.2">
      <c r="A86" s="106" t="s">
        <v>354</v>
      </c>
      <c r="B86" s="106" t="s">
        <v>684</v>
      </c>
      <c r="C86" s="106" t="s">
        <v>273</v>
      </c>
      <c r="D86" s="106" t="s">
        <v>265</v>
      </c>
      <c r="E86">
        <v>3912</v>
      </c>
      <c r="F86" s="106" t="s">
        <v>1981</v>
      </c>
      <c r="G86" s="106" t="s">
        <v>266</v>
      </c>
      <c r="H86" s="106" t="s">
        <v>277</v>
      </c>
      <c r="I86">
        <v>125</v>
      </c>
    </row>
    <row r="87" spans="1:10" x14ac:dyDescent="0.2">
      <c r="A87" s="106" t="s">
        <v>354</v>
      </c>
      <c r="B87" s="106" t="s">
        <v>1481</v>
      </c>
      <c r="C87" s="106" t="s">
        <v>273</v>
      </c>
      <c r="D87" s="106" t="s">
        <v>265</v>
      </c>
      <c r="E87">
        <v>6858</v>
      </c>
      <c r="F87" s="106" t="s">
        <v>1982</v>
      </c>
      <c r="G87" s="106" t="s">
        <v>266</v>
      </c>
      <c r="H87" s="106" t="s">
        <v>291</v>
      </c>
      <c r="I87">
        <v>68</v>
      </c>
    </row>
    <row r="88" spans="1:10" x14ac:dyDescent="0.2">
      <c r="A88" s="106" t="s">
        <v>354</v>
      </c>
      <c r="B88" s="106" t="s">
        <v>686</v>
      </c>
      <c r="C88" s="106" t="s">
        <v>264</v>
      </c>
      <c r="D88" s="106" t="s">
        <v>269</v>
      </c>
      <c r="E88">
        <v>3077</v>
      </c>
      <c r="F88" s="106" t="s">
        <v>1983</v>
      </c>
      <c r="G88" s="106" t="s">
        <v>270</v>
      </c>
      <c r="H88" s="106" t="s">
        <v>276</v>
      </c>
      <c r="I88">
        <v>37</v>
      </c>
    </row>
    <row r="89" spans="1:10" x14ac:dyDescent="0.2">
      <c r="A89" s="106" t="s">
        <v>354</v>
      </c>
      <c r="B89" s="106" t="s">
        <v>686</v>
      </c>
      <c r="C89" s="106" t="s">
        <v>264</v>
      </c>
      <c r="D89" s="106" t="s">
        <v>265</v>
      </c>
      <c r="E89">
        <v>5907</v>
      </c>
      <c r="F89" s="106" t="s">
        <v>1984</v>
      </c>
      <c r="G89" s="106" t="s">
        <v>274</v>
      </c>
      <c r="H89" s="106" t="s">
        <v>281</v>
      </c>
      <c r="I89">
        <v>133</v>
      </c>
    </row>
    <row r="90" spans="1:10" x14ac:dyDescent="0.2">
      <c r="A90" s="106" t="s">
        <v>354</v>
      </c>
      <c r="B90" s="106" t="s">
        <v>686</v>
      </c>
      <c r="C90" s="106" t="s">
        <v>264</v>
      </c>
      <c r="D90" s="106" t="s">
        <v>265</v>
      </c>
      <c r="E90">
        <v>8708</v>
      </c>
      <c r="F90" s="106" t="s">
        <v>1985</v>
      </c>
      <c r="G90" s="106" t="s">
        <v>266</v>
      </c>
      <c r="H90" s="106" t="s">
        <v>1448</v>
      </c>
      <c r="I90">
        <v>360</v>
      </c>
    </row>
    <row r="91" spans="1:10" x14ac:dyDescent="0.2">
      <c r="A91" s="106" t="s">
        <v>354</v>
      </c>
      <c r="B91" s="106" t="s">
        <v>686</v>
      </c>
      <c r="C91" s="106" t="s">
        <v>264</v>
      </c>
      <c r="D91" s="106" t="s">
        <v>265</v>
      </c>
      <c r="E91">
        <v>9039</v>
      </c>
      <c r="F91" s="106" t="s">
        <v>355</v>
      </c>
      <c r="G91" s="106" t="s">
        <v>266</v>
      </c>
      <c r="H91" s="106" t="s">
        <v>356</v>
      </c>
      <c r="I91" s="106" t="s">
        <v>297</v>
      </c>
      <c r="J91" s="106" t="s">
        <v>4868</v>
      </c>
    </row>
    <row r="92" spans="1:10" x14ac:dyDescent="0.2">
      <c r="A92" s="106" t="s">
        <v>354</v>
      </c>
      <c r="B92" s="106" t="s">
        <v>686</v>
      </c>
      <c r="C92" s="106" t="s">
        <v>264</v>
      </c>
      <c r="D92" s="106" t="s">
        <v>269</v>
      </c>
      <c r="E92">
        <v>9701</v>
      </c>
      <c r="F92" s="106" t="s">
        <v>1986</v>
      </c>
      <c r="G92" s="106" t="s">
        <v>274</v>
      </c>
      <c r="H92" s="106" t="s">
        <v>271</v>
      </c>
      <c r="I92" s="106">
        <v>122</v>
      </c>
      <c r="J92" s="106"/>
    </row>
    <row r="93" spans="1:10" x14ac:dyDescent="0.2">
      <c r="A93" s="106" t="s">
        <v>354</v>
      </c>
      <c r="B93" s="106" t="s">
        <v>686</v>
      </c>
      <c r="C93" s="106" t="s">
        <v>264</v>
      </c>
      <c r="D93" s="106" t="s">
        <v>265</v>
      </c>
      <c r="E93">
        <v>9708</v>
      </c>
      <c r="F93" s="106" t="s">
        <v>1987</v>
      </c>
      <c r="G93" s="106" t="s">
        <v>274</v>
      </c>
      <c r="H93" s="106" t="s">
        <v>271</v>
      </c>
      <c r="I93" s="106" t="s">
        <v>297</v>
      </c>
      <c r="J93" s="106" t="s">
        <v>4677</v>
      </c>
    </row>
    <row r="94" spans="1:10" x14ac:dyDescent="0.2">
      <c r="A94" s="106" t="s">
        <v>354</v>
      </c>
      <c r="B94" s="106" t="s">
        <v>327</v>
      </c>
      <c r="C94" s="106" t="s">
        <v>264</v>
      </c>
      <c r="D94" s="106" t="s">
        <v>269</v>
      </c>
      <c r="E94">
        <v>1723</v>
      </c>
      <c r="F94" s="106" t="s">
        <v>460</v>
      </c>
      <c r="G94" s="106" t="s">
        <v>270</v>
      </c>
      <c r="H94" s="106" t="s">
        <v>293</v>
      </c>
      <c r="I94">
        <v>288</v>
      </c>
    </row>
    <row r="95" spans="1:10" x14ac:dyDescent="0.2">
      <c r="A95" s="106" t="s">
        <v>354</v>
      </c>
      <c r="B95" s="106" t="s">
        <v>327</v>
      </c>
      <c r="C95" s="106" t="s">
        <v>264</v>
      </c>
      <c r="D95" s="106" t="s">
        <v>265</v>
      </c>
      <c r="E95">
        <v>1967</v>
      </c>
      <c r="F95" s="106" t="s">
        <v>1988</v>
      </c>
      <c r="G95" s="106" t="s">
        <v>266</v>
      </c>
      <c r="H95" s="106" t="s">
        <v>293</v>
      </c>
      <c r="I95" s="106">
        <v>228</v>
      </c>
      <c r="J95" s="106"/>
    </row>
    <row r="96" spans="1:10" x14ac:dyDescent="0.2">
      <c r="A96" s="106" t="s">
        <v>354</v>
      </c>
      <c r="B96" s="106" t="s">
        <v>327</v>
      </c>
      <c r="C96" s="106" t="s">
        <v>264</v>
      </c>
      <c r="D96" s="106" t="s">
        <v>269</v>
      </c>
      <c r="E96">
        <v>2540</v>
      </c>
      <c r="F96" s="106" t="s">
        <v>1452</v>
      </c>
      <c r="G96" s="106" t="s">
        <v>266</v>
      </c>
      <c r="H96" s="106" t="s">
        <v>267</v>
      </c>
      <c r="I96">
        <v>328</v>
      </c>
    </row>
    <row r="97" spans="1:10" x14ac:dyDescent="0.2">
      <c r="A97" s="106" t="s">
        <v>354</v>
      </c>
      <c r="B97" s="106" t="s">
        <v>327</v>
      </c>
      <c r="C97" s="106" t="s">
        <v>264</v>
      </c>
      <c r="D97" s="106" t="s">
        <v>265</v>
      </c>
      <c r="E97">
        <v>2714</v>
      </c>
      <c r="F97" s="106" t="s">
        <v>1989</v>
      </c>
      <c r="G97" s="106" t="s">
        <v>270</v>
      </c>
      <c r="H97" s="106" t="s">
        <v>272</v>
      </c>
      <c r="I97">
        <v>52</v>
      </c>
    </row>
    <row r="98" spans="1:10" x14ac:dyDescent="0.2">
      <c r="A98" s="106" t="s">
        <v>354</v>
      </c>
      <c r="B98" s="106" t="s">
        <v>327</v>
      </c>
      <c r="C98" s="106" t="s">
        <v>264</v>
      </c>
      <c r="D98" s="106" t="s">
        <v>265</v>
      </c>
      <c r="E98">
        <v>2760</v>
      </c>
      <c r="F98" s="106" t="s">
        <v>1990</v>
      </c>
      <c r="G98" s="106" t="s">
        <v>266</v>
      </c>
      <c r="H98" s="106" t="s">
        <v>272</v>
      </c>
      <c r="I98">
        <v>296</v>
      </c>
    </row>
    <row r="99" spans="1:10" x14ac:dyDescent="0.2">
      <c r="A99" s="106" t="s">
        <v>354</v>
      </c>
      <c r="B99" s="106" t="s">
        <v>327</v>
      </c>
      <c r="C99" s="106" t="s">
        <v>264</v>
      </c>
      <c r="D99" s="106" t="s">
        <v>269</v>
      </c>
      <c r="E99">
        <v>3658</v>
      </c>
      <c r="F99" s="106" t="s">
        <v>742</v>
      </c>
      <c r="G99" s="106" t="s">
        <v>266</v>
      </c>
      <c r="H99" s="106" t="s">
        <v>277</v>
      </c>
      <c r="I99">
        <v>118</v>
      </c>
    </row>
    <row r="100" spans="1:10" x14ac:dyDescent="0.2">
      <c r="A100" s="106" t="s">
        <v>354</v>
      </c>
      <c r="B100" s="106" t="s">
        <v>327</v>
      </c>
      <c r="C100" s="106" t="s">
        <v>264</v>
      </c>
      <c r="D100" s="106" t="s">
        <v>265</v>
      </c>
      <c r="E100">
        <v>3844</v>
      </c>
      <c r="F100" s="106" t="s">
        <v>1991</v>
      </c>
      <c r="G100" s="106" t="s">
        <v>266</v>
      </c>
      <c r="H100" s="106" t="s">
        <v>277</v>
      </c>
      <c r="I100" s="106">
        <v>801</v>
      </c>
      <c r="J100" s="106"/>
    </row>
    <row r="101" spans="1:10" x14ac:dyDescent="0.2">
      <c r="A101" s="106" t="s">
        <v>354</v>
      </c>
      <c r="B101" s="106" t="s">
        <v>327</v>
      </c>
      <c r="C101" s="106" t="s">
        <v>264</v>
      </c>
      <c r="D101" s="106" t="s">
        <v>265</v>
      </c>
      <c r="E101">
        <v>3850</v>
      </c>
      <c r="F101" s="106" t="s">
        <v>1451</v>
      </c>
      <c r="G101" s="106" t="s">
        <v>274</v>
      </c>
      <c r="H101" s="106" t="s">
        <v>277</v>
      </c>
      <c r="I101" s="106">
        <v>222</v>
      </c>
      <c r="J101" s="106"/>
    </row>
    <row r="102" spans="1:10" x14ac:dyDescent="0.2">
      <c r="A102" s="106" t="s">
        <v>354</v>
      </c>
      <c r="B102" s="106" t="s">
        <v>327</v>
      </c>
      <c r="C102" s="106" t="s">
        <v>264</v>
      </c>
      <c r="D102" s="106" t="s">
        <v>265</v>
      </c>
      <c r="E102">
        <v>4099</v>
      </c>
      <c r="F102" s="106" t="s">
        <v>1453</v>
      </c>
      <c r="G102" s="106" t="s">
        <v>266</v>
      </c>
      <c r="H102" s="106" t="s">
        <v>279</v>
      </c>
      <c r="I102">
        <v>775</v>
      </c>
    </row>
    <row r="103" spans="1:10" x14ac:dyDescent="0.2">
      <c r="A103" s="106" t="s">
        <v>354</v>
      </c>
      <c r="B103" s="106" t="s">
        <v>327</v>
      </c>
      <c r="C103" s="106" t="s">
        <v>268</v>
      </c>
      <c r="D103" s="106" t="s">
        <v>265</v>
      </c>
      <c r="E103">
        <v>4751</v>
      </c>
      <c r="F103" s="106" t="s">
        <v>1992</v>
      </c>
      <c r="G103" s="106" t="s">
        <v>266</v>
      </c>
      <c r="H103" s="106" t="s">
        <v>271</v>
      </c>
      <c r="I103" s="106" t="s">
        <v>316</v>
      </c>
      <c r="J103" s="106" t="s">
        <v>4869</v>
      </c>
    </row>
    <row r="104" spans="1:10" x14ac:dyDescent="0.2">
      <c r="A104" s="106" t="s">
        <v>354</v>
      </c>
      <c r="B104" s="106" t="s">
        <v>327</v>
      </c>
      <c r="C104" s="106" t="s">
        <v>275</v>
      </c>
      <c r="D104" s="106" t="s">
        <v>265</v>
      </c>
      <c r="E104">
        <v>4826</v>
      </c>
      <c r="F104" s="106" t="s">
        <v>1993</v>
      </c>
      <c r="G104" s="106" t="s">
        <v>266</v>
      </c>
      <c r="H104" s="106" t="s">
        <v>277</v>
      </c>
      <c r="I104" s="106">
        <v>182</v>
      </c>
      <c r="J104" s="106"/>
    </row>
    <row r="105" spans="1:10" x14ac:dyDescent="0.2">
      <c r="A105" s="106" t="s">
        <v>354</v>
      </c>
      <c r="B105" s="106" t="s">
        <v>327</v>
      </c>
      <c r="C105" s="106" t="s">
        <v>268</v>
      </c>
      <c r="D105" s="106" t="s">
        <v>265</v>
      </c>
      <c r="E105">
        <v>4928</v>
      </c>
      <c r="F105" s="106" t="s">
        <v>1994</v>
      </c>
      <c r="G105" s="106" t="s">
        <v>266</v>
      </c>
      <c r="H105" s="106" t="s">
        <v>279</v>
      </c>
      <c r="I105" s="106" t="s">
        <v>297</v>
      </c>
      <c r="J105" s="106" t="s">
        <v>4681</v>
      </c>
    </row>
    <row r="106" spans="1:10" x14ac:dyDescent="0.2">
      <c r="A106" s="106" t="s">
        <v>354</v>
      </c>
      <c r="B106" s="106" t="s">
        <v>327</v>
      </c>
      <c r="C106" s="106" t="s">
        <v>264</v>
      </c>
      <c r="D106" s="106" t="s">
        <v>265</v>
      </c>
      <c r="E106">
        <v>5612</v>
      </c>
      <c r="F106" s="106" t="s">
        <v>1995</v>
      </c>
      <c r="G106" s="106" t="s">
        <v>266</v>
      </c>
      <c r="H106" s="106" t="s">
        <v>726</v>
      </c>
      <c r="I106" s="106">
        <v>56</v>
      </c>
      <c r="J106" s="106"/>
    </row>
    <row r="107" spans="1:10" x14ac:dyDescent="0.2">
      <c r="A107" s="106" t="s">
        <v>354</v>
      </c>
      <c r="B107" s="106" t="s">
        <v>327</v>
      </c>
      <c r="C107" s="106" t="s">
        <v>264</v>
      </c>
      <c r="D107" s="106" t="s">
        <v>265</v>
      </c>
      <c r="E107">
        <v>5911</v>
      </c>
      <c r="F107" s="106" t="s">
        <v>1996</v>
      </c>
      <c r="G107" s="106" t="s">
        <v>266</v>
      </c>
      <c r="H107" s="106" t="s">
        <v>281</v>
      </c>
      <c r="I107">
        <v>887</v>
      </c>
    </row>
    <row r="108" spans="1:10" x14ac:dyDescent="0.2">
      <c r="A108" s="106" t="s">
        <v>354</v>
      </c>
      <c r="B108" s="106" t="s">
        <v>327</v>
      </c>
      <c r="C108" s="106" t="s">
        <v>264</v>
      </c>
      <c r="D108" s="106" t="s">
        <v>265</v>
      </c>
      <c r="E108">
        <v>6297</v>
      </c>
      <c r="F108" s="106" t="s">
        <v>1997</v>
      </c>
      <c r="G108" s="106" t="s">
        <v>270</v>
      </c>
      <c r="H108" s="106" t="s">
        <v>287</v>
      </c>
      <c r="I108" s="106">
        <v>41</v>
      </c>
      <c r="J108" s="106"/>
    </row>
    <row r="109" spans="1:10" x14ac:dyDescent="0.2">
      <c r="A109" s="106" t="s">
        <v>354</v>
      </c>
      <c r="B109" s="106" t="s">
        <v>327</v>
      </c>
      <c r="C109" s="106" t="s">
        <v>264</v>
      </c>
      <c r="D109" s="106" t="s">
        <v>265</v>
      </c>
      <c r="E109">
        <v>6305</v>
      </c>
      <c r="F109" s="106" t="s">
        <v>1998</v>
      </c>
      <c r="G109" s="106" t="s">
        <v>266</v>
      </c>
      <c r="H109" s="106" t="s">
        <v>287</v>
      </c>
      <c r="I109" s="106" t="s">
        <v>518</v>
      </c>
      <c r="J109" s="106" t="s">
        <v>4638</v>
      </c>
    </row>
    <row r="110" spans="1:10" x14ac:dyDescent="0.2">
      <c r="A110" s="106" t="s">
        <v>354</v>
      </c>
      <c r="B110" s="106" t="s">
        <v>327</v>
      </c>
      <c r="C110" s="106" t="s">
        <v>264</v>
      </c>
      <c r="D110" s="106" t="s">
        <v>265</v>
      </c>
      <c r="E110">
        <v>6349</v>
      </c>
      <c r="F110" s="106" t="s">
        <v>1700</v>
      </c>
      <c r="G110" s="106" t="s">
        <v>266</v>
      </c>
      <c r="H110" s="106" t="s">
        <v>287</v>
      </c>
      <c r="I110" s="106">
        <v>639</v>
      </c>
      <c r="J110" s="106"/>
    </row>
    <row r="111" spans="1:10" x14ac:dyDescent="0.2">
      <c r="A111" s="106" t="s">
        <v>354</v>
      </c>
      <c r="B111" s="106" t="s">
        <v>327</v>
      </c>
      <c r="C111" s="106" t="s">
        <v>264</v>
      </c>
      <c r="D111" s="106" t="s">
        <v>265</v>
      </c>
      <c r="E111">
        <v>6645</v>
      </c>
      <c r="F111" s="106" t="s">
        <v>478</v>
      </c>
      <c r="G111" s="106" t="s">
        <v>266</v>
      </c>
      <c r="H111" s="106" t="s">
        <v>291</v>
      </c>
      <c r="I111" t="s">
        <v>446</v>
      </c>
      <c r="J111" t="s">
        <v>3944</v>
      </c>
    </row>
    <row r="112" spans="1:10" x14ac:dyDescent="0.2">
      <c r="A112" s="106" t="s">
        <v>354</v>
      </c>
      <c r="B112" s="106" t="s">
        <v>327</v>
      </c>
      <c r="C112" s="106" t="s">
        <v>264</v>
      </c>
      <c r="D112" s="106" t="s">
        <v>265</v>
      </c>
      <c r="E112">
        <v>6701</v>
      </c>
      <c r="F112" s="106" t="s">
        <v>1999</v>
      </c>
      <c r="G112" s="106" t="s">
        <v>266</v>
      </c>
      <c r="H112" s="106" t="s">
        <v>291</v>
      </c>
      <c r="I112" t="s">
        <v>545</v>
      </c>
      <c r="J112" t="s">
        <v>4870</v>
      </c>
    </row>
    <row r="113" spans="1:10" x14ac:dyDescent="0.2">
      <c r="A113" s="106" t="s">
        <v>354</v>
      </c>
      <c r="B113" s="106" t="s">
        <v>327</v>
      </c>
      <c r="C113" s="106" t="s">
        <v>264</v>
      </c>
      <c r="D113" s="106" t="s">
        <v>265</v>
      </c>
      <c r="E113">
        <v>6857</v>
      </c>
      <c r="F113" s="106" t="s">
        <v>2000</v>
      </c>
      <c r="G113" s="106" t="s">
        <v>266</v>
      </c>
      <c r="H113" s="106" t="s">
        <v>291</v>
      </c>
      <c r="I113" s="106" t="s">
        <v>545</v>
      </c>
      <c r="J113" s="106" t="s">
        <v>4641</v>
      </c>
    </row>
    <row r="114" spans="1:10" x14ac:dyDescent="0.2">
      <c r="A114" s="106" t="s">
        <v>354</v>
      </c>
      <c r="B114" s="106" t="s">
        <v>327</v>
      </c>
      <c r="C114" s="106" t="s">
        <v>264</v>
      </c>
      <c r="D114" s="106" t="s">
        <v>265</v>
      </c>
      <c r="E114">
        <v>6945</v>
      </c>
      <c r="F114" s="106" t="s">
        <v>2001</v>
      </c>
      <c r="G114" s="106" t="s">
        <v>274</v>
      </c>
      <c r="H114" s="106" t="s">
        <v>291</v>
      </c>
      <c r="I114">
        <v>348</v>
      </c>
    </row>
    <row r="115" spans="1:10" x14ac:dyDescent="0.2">
      <c r="A115" s="106" t="s">
        <v>354</v>
      </c>
      <c r="B115" s="106" t="s">
        <v>327</v>
      </c>
      <c r="C115" s="106" t="s">
        <v>264</v>
      </c>
      <c r="D115" s="106" t="s">
        <v>265</v>
      </c>
      <c r="E115">
        <v>6954</v>
      </c>
      <c r="F115" s="106" t="s">
        <v>2002</v>
      </c>
      <c r="G115" s="106" t="s">
        <v>266</v>
      </c>
      <c r="H115" s="106" t="s">
        <v>291</v>
      </c>
      <c r="I115" s="106" t="s">
        <v>4420</v>
      </c>
      <c r="J115" s="106" t="s">
        <v>4871</v>
      </c>
    </row>
    <row r="116" spans="1:10" x14ac:dyDescent="0.2">
      <c r="A116" s="106" t="s">
        <v>354</v>
      </c>
      <c r="B116" s="106" t="s">
        <v>327</v>
      </c>
      <c r="C116" s="106" t="s">
        <v>264</v>
      </c>
      <c r="D116" s="106" t="s">
        <v>265</v>
      </c>
      <c r="E116">
        <v>6955</v>
      </c>
      <c r="F116" s="106" t="s">
        <v>2003</v>
      </c>
      <c r="G116" s="106" t="s">
        <v>274</v>
      </c>
      <c r="H116" s="106" t="s">
        <v>291</v>
      </c>
      <c r="I116">
        <v>357</v>
      </c>
    </row>
    <row r="117" spans="1:10" x14ac:dyDescent="0.2">
      <c r="A117" s="106" t="s">
        <v>354</v>
      </c>
      <c r="B117" s="106" t="s">
        <v>327</v>
      </c>
      <c r="C117" s="106" t="s">
        <v>264</v>
      </c>
      <c r="D117" s="106" t="s">
        <v>265</v>
      </c>
      <c r="E117">
        <v>7102</v>
      </c>
      <c r="F117" s="106" t="s">
        <v>2004</v>
      </c>
      <c r="G117" s="106" t="s">
        <v>266</v>
      </c>
      <c r="H117" s="106" t="s">
        <v>296</v>
      </c>
      <c r="I117">
        <v>467</v>
      </c>
    </row>
    <row r="118" spans="1:10" x14ac:dyDescent="0.2">
      <c r="A118" s="106" t="s">
        <v>354</v>
      </c>
      <c r="B118" s="106" t="s">
        <v>327</v>
      </c>
      <c r="C118" s="106" t="s">
        <v>264</v>
      </c>
      <c r="D118" s="106" t="s">
        <v>269</v>
      </c>
      <c r="E118">
        <v>7191</v>
      </c>
      <c r="F118" s="106" t="s">
        <v>2005</v>
      </c>
      <c r="G118" s="106" t="s">
        <v>266</v>
      </c>
      <c r="H118" s="106" t="s">
        <v>302</v>
      </c>
      <c r="I118" s="106">
        <v>189</v>
      </c>
      <c r="J118" s="106"/>
    </row>
    <row r="119" spans="1:10" x14ac:dyDescent="0.2">
      <c r="A119" s="106" t="s">
        <v>354</v>
      </c>
      <c r="B119" s="106" t="s">
        <v>327</v>
      </c>
      <c r="C119" s="106" t="s">
        <v>264</v>
      </c>
      <c r="D119" s="106" t="s">
        <v>265</v>
      </c>
      <c r="E119">
        <v>7205</v>
      </c>
      <c r="F119" s="106" t="s">
        <v>2006</v>
      </c>
      <c r="G119" s="106" t="s">
        <v>266</v>
      </c>
      <c r="H119" s="106" t="s">
        <v>296</v>
      </c>
      <c r="I119" s="106" t="s">
        <v>325</v>
      </c>
      <c r="J119" s="106" t="s">
        <v>4872</v>
      </c>
    </row>
    <row r="120" spans="1:10" x14ac:dyDescent="0.2">
      <c r="A120" s="106" t="s">
        <v>354</v>
      </c>
      <c r="B120" s="106" t="s">
        <v>327</v>
      </c>
      <c r="C120" s="106" t="s">
        <v>264</v>
      </c>
      <c r="D120" s="106" t="s">
        <v>265</v>
      </c>
      <c r="E120">
        <v>7250</v>
      </c>
      <c r="F120" s="106" t="s">
        <v>2007</v>
      </c>
      <c r="G120" s="106" t="s">
        <v>266</v>
      </c>
      <c r="H120" s="106" t="s">
        <v>296</v>
      </c>
      <c r="I120" s="106">
        <v>923</v>
      </c>
      <c r="J120" s="106"/>
    </row>
    <row r="121" spans="1:10" x14ac:dyDescent="0.2">
      <c r="A121" s="106" t="s">
        <v>354</v>
      </c>
      <c r="B121" s="106" t="s">
        <v>327</v>
      </c>
      <c r="C121" s="106" t="s">
        <v>264</v>
      </c>
      <c r="D121" s="106" t="s">
        <v>265</v>
      </c>
      <c r="E121">
        <v>7299</v>
      </c>
      <c r="F121" s="106" t="s">
        <v>2008</v>
      </c>
      <c r="G121" s="106" t="s">
        <v>274</v>
      </c>
      <c r="H121" s="106" t="s">
        <v>296</v>
      </c>
      <c r="I121" s="106">
        <v>75</v>
      </c>
      <c r="J121" s="106"/>
    </row>
    <row r="122" spans="1:10" x14ac:dyDescent="0.2">
      <c r="A122" s="106" t="s">
        <v>354</v>
      </c>
      <c r="B122" s="106" t="s">
        <v>327</v>
      </c>
      <c r="C122" s="106" t="s">
        <v>273</v>
      </c>
      <c r="D122" s="106" t="s">
        <v>265</v>
      </c>
      <c r="E122">
        <v>7751</v>
      </c>
      <c r="F122" s="106" t="s">
        <v>2009</v>
      </c>
      <c r="G122" s="106" t="s">
        <v>266</v>
      </c>
      <c r="H122" s="106" t="s">
        <v>291</v>
      </c>
      <c r="I122" t="s">
        <v>1746</v>
      </c>
      <c r="J122" t="s">
        <v>4638</v>
      </c>
    </row>
    <row r="123" spans="1:10" x14ac:dyDescent="0.2">
      <c r="A123" s="106" t="s">
        <v>354</v>
      </c>
      <c r="B123" s="106" t="s">
        <v>327</v>
      </c>
      <c r="C123" s="106" t="s">
        <v>268</v>
      </c>
      <c r="D123" s="106" t="s">
        <v>265</v>
      </c>
      <c r="E123">
        <v>7821</v>
      </c>
      <c r="F123" s="106" t="s">
        <v>1658</v>
      </c>
      <c r="G123" s="106" t="s">
        <v>266</v>
      </c>
      <c r="H123" s="106" t="s">
        <v>288</v>
      </c>
      <c r="I123" s="106">
        <v>718</v>
      </c>
      <c r="J123" s="106"/>
    </row>
    <row r="124" spans="1:10" x14ac:dyDescent="0.2">
      <c r="A124" s="106" t="s">
        <v>354</v>
      </c>
      <c r="B124" s="106" t="s">
        <v>327</v>
      </c>
      <c r="C124" s="106" t="s">
        <v>268</v>
      </c>
      <c r="D124" s="106" t="s">
        <v>265</v>
      </c>
      <c r="E124">
        <v>7839</v>
      </c>
      <c r="F124" s="106" t="s">
        <v>2011</v>
      </c>
      <c r="G124" s="106" t="s">
        <v>266</v>
      </c>
      <c r="H124" s="106" t="s">
        <v>288</v>
      </c>
      <c r="I124" s="106">
        <v>700</v>
      </c>
      <c r="J124" s="106"/>
    </row>
    <row r="125" spans="1:10" x14ac:dyDescent="0.2">
      <c r="A125" s="106" t="s">
        <v>354</v>
      </c>
      <c r="B125" s="106" t="s">
        <v>327</v>
      </c>
      <c r="C125" s="106" t="s">
        <v>264</v>
      </c>
      <c r="D125" s="106" t="s">
        <v>265</v>
      </c>
      <c r="E125">
        <v>7995</v>
      </c>
      <c r="F125" s="106" t="s">
        <v>481</v>
      </c>
      <c r="G125" s="106" t="s">
        <v>266</v>
      </c>
      <c r="H125" s="106" t="s">
        <v>279</v>
      </c>
      <c r="I125" s="106">
        <v>487</v>
      </c>
      <c r="J125" s="106"/>
    </row>
    <row r="126" spans="1:10" x14ac:dyDescent="0.2">
      <c r="A126" s="106" t="s">
        <v>354</v>
      </c>
      <c r="B126" s="106" t="s">
        <v>327</v>
      </c>
      <c r="C126" s="106" t="s">
        <v>264</v>
      </c>
      <c r="D126" s="106" t="s">
        <v>265</v>
      </c>
      <c r="E126">
        <v>8036</v>
      </c>
      <c r="F126" s="106" t="s">
        <v>2012</v>
      </c>
      <c r="G126" s="106" t="s">
        <v>266</v>
      </c>
      <c r="H126" s="106" t="s">
        <v>272</v>
      </c>
      <c r="I126" t="s">
        <v>359</v>
      </c>
      <c r="J126" t="s">
        <v>4460</v>
      </c>
    </row>
    <row r="127" spans="1:10" x14ac:dyDescent="0.2">
      <c r="A127" s="106" t="s">
        <v>354</v>
      </c>
      <c r="B127" s="106" t="s">
        <v>327</v>
      </c>
      <c r="C127" s="106" t="s">
        <v>264</v>
      </c>
      <c r="D127" s="106" t="s">
        <v>265</v>
      </c>
      <c r="E127">
        <v>8218</v>
      </c>
      <c r="F127" s="106" t="s">
        <v>2013</v>
      </c>
      <c r="G127" s="106" t="s">
        <v>266</v>
      </c>
      <c r="H127" s="106" t="s">
        <v>276</v>
      </c>
      <c r="I127" t="s">
        <v>297</v>
      </c>
      <c r="J127" t="s">
        <v>4733</v>
      </c>
    </row>
    <row r="128" spans="1:10" x14ac:dyDescent="0.2">
      <c r="A128" s="106" t="s">
        <v>354</v>
      </c>
      <c r="B128" s="106" t="s">
        <v>327</v>
      </c>
      <c r="C128" s="106" t="s">
        <v>264</v>
      </c>
      <c r="D128" s="106" t="s">
        <v>265</v>
      </c>
      <c r="E128">
        <v>8242</v>
      </c>
      <c r="F128" s="106" t="s">
        <v>482</v>
      </c>
      <c r="G128" s="106" t="s">
        <v>266</v>
      </c>
      <c r="H128" s="106" t="s">
        <v>276</v>
      </c>
      <c r="I128" t="s">
        <v>297</v>
      </c>
      <c r="J128" t="s">
        <v>4873</v>
      </c>
    </row>
    <row r="129" spans="1:10" x14ac:dyDescent="0.2">
      <c r="A129" s="106" t="s">
        <v>354</v>
      </c>
      <c r="B129" s="106" t="s">
        <v>327</v>
      </c>
      <c r="C129" s="106" t="s">
        <v>264</v>
      </c>
      <c r="D129" s="106" t="s">
        <v>269</v>
      </c>
      <c r="E129">
        <v>8283</v>
      </c>
      <c r="F129" s="106" t="s">
        <v>2014</v>
      </c>
      <c r="G129" s="106" t="s">
        <v>266</v>
      </c>
      <c r="H129" s="106" t="s">
        <v>272</v>
      </c>
      <c r="I129" t="s">
        <v>333</v>
      </c>
      <c r="J129" t="s">
        <v>4668</v>
      </c>
    </row>
    <row r="130" spans="1:10" x14ac:dyDescent="0.2">
      <c r="A130" s="106" t="s">
        <v>354</v>
      </c>
      <c r="B130" s="106" t="s">
        <v>327</v>
      </c>
      <c r="C130" s="106" t="s">
        <v>264</v>
      </c>
      <c r="D130" s="106" t="s">
        <v>265</v>
      </c>
      <c r="E130">
        <v>8285</v>
      </c>
      <c r="F130" s="106" t="s">
        <v>2015</v>
      </c>
      <c r="G130" s="106" t="s">
        <v>266</v>
      </c>
      <c r="H130" s="106" t="s">
        <v>272</v>
      </c>
      <c r="I130">
        <v>211</v>
      </c>
    </row>
    <row r="131" spans="1:10" x14ac:dyDescent="0.2">
      <c r="A131" s="106" t="s">
        <v>354</v>
      </c>
      <c r="B131" s="106" t="s">
        <v>327</v>
      </c>
      <c r="C131" s="106" t="s">
        <v>264</v>
      </c>
      <c r="D131" s="106" t="s">
        <v>265</v>
      </c>
      <c r="E131">
        <v>8350</v>
      </c>
      <c r="F131" s="106" t="s">
        <v>2016</v>
      </c>
      <c r="G131" s="106" t="s">
        <v>266</v>
      </c>
      <c r="H131" s="106" t="s">
        <v>484</v>
      </c>
      <c r="I131" s="106">
        <v>266</v>
      </c>
      <c r="J131" s="106"/>
    </row>
    <row r="132" spans="1:10" x14ac:dyDescent="0.2">
      <c r="A132" s="106" t="s">
        <v>354</v>
      </c>
      <c r="B132" s="106" t="s">
        <v>327</v>
      </c>
      <c r="C132" s="106" t="s">
        <v>264</v>
      </c>
      <c r="D132" s="106" t="s">
        <v>269</v>
      </c>
      <c r="E132">
        <v>8772</v>
      </c>
      <c r="F132" s="106" t="s">
        <v>2017</v>
      </c>
      <c r="G132" s="106" t="s">
        <v>266</v>
      </c>
      <c r="H132" s="106" t="s">
        <v>302</v>
      </c>
      <c r="I132" s="106">
        <v>246</v>
      </c>
      <c r="J132" s="106"/>
    </row>
    <row r="133" spans="1:10" x14ac:dyDescent="0.2">
      <c r="A133" s="106" t="s">
        <v>354</v>
      </c>
      <c r="B133" s="106" t="s">
        <v>327</v>
      </c>
      <c r="C133" s="106" t="s">
        <v>264</v>
      </c>
      <c r="D133" s="106" t="s">
        <v>265</v>
      </c>
      <c r="E133">
        <v>9436</v>
      </c>
      <c r="F133" s="106" t="s">
        <v>1520</v>
      </c>
      <c r="G133" s="106" t="s">
        <v>270</v>
      </c>
      <c r="H133" s="106" t="s">
        <v>277</v>
      </c>
      <c r="I133" t="s">
        <v>297</v>
      </c>
      <c r="J133" t="s">
        <v>4349</v>
      </c>
    </row>
    <row r="134" spans="1:10" x14ac:dyDescent="0.2">
      <c r="A134" s="106" t="s">
        <v>354</v>
      </c>
      <c r="B134" s="106" t="s">
        <v>327</v>
      </c>
      <c r="C134" s="106" t="s">
        <v>264</v>
      </c>
      <c r="D134" s="106" t="s">
        <v>265</v>
      </c>
      <c r="E134">
        <v>9506</v>
      </c>
      <c r="F134" s="106" t="s">
        <v>2018</v>
      </c>
      <c r="G134" s="106" t="s">
        <v>266</v>
      </c>
      <c r="H134" s="106" t="s">
        <v>489</v>
      </c>
      <c r="I134" s="106" t="s">
        <v>283</v>
      </c>
      <c r="J134" s="106" t="s">
        <v>4720</v>
      </c>
    </row>
    <row r="135" spans="1:10" x14ac:dyDescent="0.2">
      <c r="A135" s="106" t="s">
        <v>354</v>
      </c>
      <c r="B135" s="106" t="s">
        <v>327</v>
      </c>
      <c r="C135" s="106" t="s">
        <v>264</v>
      </c>
      <c r="D135" s="106" t="s">
        <v>265</v>
      </c>
      <c r="E135">
        <v>9551</v>
      </c>
      <c r="F135" s="106" t="s">
        <v>1701</v>
      </c>
      <c r="G135" s="106" t="s">
        <v>266</v>
      </c>
      <c r="H135" s="106" t="s">
        <v>489</v>
      </c>
      <c r="I135" s="106" t="s">
        <v>297</v>
      </c>
      <c r="J135" s="106" t="s">
        <v>2417</v>
      </c>
    </row>
    <row r="136" spans="1:10" x14ac:dyDescent="0.2">
      <c r="A136" s="106" t="s">
        <v>354</v>
      </c>
      <c r="B136" s="106" t="s">
        <v>327</v>
      </c>
      <c r="C136" s="106" t="s">
        <v>264</v>
      </c>
      <c r="D136" s="106" t="s">
        <v>265</v>
      </c>
      <c r="E136">
        <v>9733</v>
      </c>
      <c r="F136" s="106" t="s">
        <v>2019</v>
      </c>
      <c r="G136" s="106" t="s">
        <v>270</v>
      </c>
      <c r="H136" s="106" t="s">
        <v>271</v>
      </c>
      <c r="I136" s="106">
        <v>574</v>
      </c>
      <c r="J136" s="106"/>
    </row>
    <row r="137" spans="1:10" x14ac:dyDescent="0.2">
      <c r="A137" s="106" t="s">
        <v>354</v>
      </c>
      <c r="B137" s="106" t="s">
        <v>327</v>
      </c>
      <c r="C137" s="106" t="s">
        <v>264</v>
      </c>
      <c r="D137" s="106" t="s">
        <v>269</v>
      </c>
      <c r="E137">
        <v>9909</v>
      </c>
      <c r="F137" s="106" t="s">
        <v>2020</v>
      </c>
      <c r="G137" s="106" t="s">
        <v>270</v>
      </c>
      <c r="H137" s="106" t="s">
        <v>272</v>
      </c>
      <c r="I137">
        <v>25</v>
      </c>
    </row>
    <row r="138" spans="1:10" x14ac:dyDescent="0.2">
      <c r="A138" s="106" t="s">
        <v>354</v>
      </c>
      <c r="B138" s="106" t="s">
        <v>1689</v>
      </c>
      <c r="C138" s="106" t="s">
        <v>264</v>
      </c>
      <c r="D138" s="106" t="s">
        <v>265</v>
      </c>
      <c r="E138">
        <v>4290</v>
      </c>
      <c r="F138" s="106" t="s">
        <v>2021</v>
      </c>
      <c r="G138" s="106" t="s">
        <v>266</v>
      </c>
      <c r="H138" s="106" t="s">
        <v>271</v>
      </c>
      <c r="I138" s="106" t="s">
        <v>297</v>
      </c>
      <c r="J138" s="106" t="s">
        <v>4874</v>
      </c>
    </row>
    <row r="139" spans="1:10" x14ac:dyDescent="0.2">
      <c r="A139" s="106" t="s">
        <v>354</v>
      </c>
      <c r="B139" s="106" t="s">
        <v>1689</v>
      </c>
      <c r="C139" s="106" t="s">
        <v>264</v>
      </c>
      <c r="D139" s="106" t="s">
        <v>265</v>
      </c>
      <c r="E139">
        <v>4362</v>
      </c>
      <c r="F139" s="106" t="s">
        <v>2022</v>
      </c>
      <c r="G139" s="106" t="s">
        <v>266</v>
      </c>
      <c r="H139" s="106" t="s">
        <v>279</v>
      </c>
      <c r="I139">
        <v>319</v>
      </c>
    </row>
    <row r="140" spans="1:10" x14ac:dyDescent="0.2">
      <c r="A140" s="106" t="s">
        <v>354</v>
      </c>
      <c r="B140" s="106" t="s">
        <v>1689</v>
      </c>
      <c r="C140" s="106" t="s">
        <v>264</v>
      </c>
      <c r="D140" s="106" t="s">
        <v>265</v>
      </c>
      <c r="E140">
        <v>4366</v>
      </c>
      <c r="F140" s="106" t="s">
        <v>2023</v>
      </c>
      <c r="G140" s="106" t="s">
        <v>274</v>
      </c>
      <c r="H140" s="106" t="s">
        <v>279</v>
      </c>
      <c r="I140" s="106">
        <v>70</v>
      </c>
      <c r="J140" s="106"/>
    </row>
    <row r="141" spans="1:10" x14ac:dyDescent="0.2">
      <c r="A141" s="106" t="s">
        <v>354</v>
      </c>
      <c r="B141" s="106" t="s">
        <v>1689</v>
      </c>
      <c r="C141" s="106" t="s">
        <v>264</v>
      </c>
      <c r="D141" s="106" t="s">
        <v>269</v>
      </c>
      <c r="E141">
        <v>4957</v>
      </c>
      <c r="F141" s="106" t="s">
        <v>2024</v>
      </c>
      <c r="G141" s="106" t="s">
        <v>274</v>
      </c>
      <c r="H141" s="106" t="s">
        <v>279</v>
      </c>
      <c r="I141">
        <v>74</v>
      </c>
    </row>
    <row r="142" spans="1:10" x14ac:dyDescent="0.2">
      <c r="A142" s="106" t="s">
        <v>354</v>
      </c>
      <c r="B142" s="106" t="s">
        <v>1689</v>
      </c>
      <c r="C142" s="106" t="s">
        <v>264</v>
      </c>
      <c r="D142" s="106" t="s">
        <v>265</v>
      </c>
      <c r="E142">
        <v>6271</v>
      </c>
      <c r="F142" s="106" t="s">
        <v>2025</v>
      </c>
      <c r="G142" s="106" t="s">
        <v>274</v>
      </c>
      <c r="H142" s="106" t="s">
        <v>287</v>
      </c>
      <c r="I142">
        <v>366</v>
      </c>
    </row>
    <row r="143" spans="1:10" x14ac:dyDescent="0.2">
      <c r="A143" s="106" t="s">
        <v>354</v>
      </c>
      <c r="B143" s="106" t="s">
        <v>1689</v>
      </c>
      <c r="C143" s="106" t="s">
        <v>264</v>
      </c>
      <c r="D143" s="106" t="s">
        <v>265</v>
      </c>
      <c r="E143">
        <v>6946</v>
      </c>
      <c r="F143" s="106" t="s">
        <v>4422</v>
      </c>
      <c r="G143" s="106" t="s">
        <v>274</v>
      </c>
      <c r="H143" s="106" t="s">
        <v>291</v>
      </c>
      <c r="I143">
        <v>49</v>
      </c>
    </row>
    <row r="144" spans="1:10" x14ac:dyDescent="0.2">
      <c r="A144" s="106" t="s">
        <v>354</v>
      </c>
      <c r="B144" s="106" t="s">
        <v>1689</v>
      </c>
      <c r="C144" s="106" t="s">
        <v>264</v>
      </c>
      <c r="D144" s="106" t="s">
        <v>265</v>
      </c>
      <c r="E144">
        <v>7477</v>
      </c>
      <c r="F144" s="106" t="s">
        <v>2026</v>
      </c>
      <c r="G144" s="106" t="s">
        <v>270</v>
      </c>
      <c r="H144" s="106" t="s">
        <v>272</v>
      </c>
      <c r="I144">
        <v>12</v>
      </c>
    </row>
    <row r="145" spans="1:10" x14ac:dyDescent="0.2">
      <c r="A145" s="106" t="s">
        <v>354</v>
      </c>
      <c r="B145" s="106" t="s">
        <v>1689</v>
      </c>
      <c r="C145" s="106" t="s">
        <v>264</v>
      </c>
      <c r="D145" s="106" t="s">
        <v>265</v>
      </c>
      <c r="E145">
        <v>7735</v>
      </c>
      <c r="F145" s="106" t="s">
        <v>2027</v>
      </c>
      <c r="G145" s="106" t="s">
        <v>266</v>
      </c>
      <c r="H145" s="106" t="s">
        <v>291</v>
      </c>
      <c r="I145" t="s">
        <v>333</v>
      </c>
      <c r="J145" t="s">
        <v>4875</v>
      </c>
    </row>
    <row r="146" spans="1:10" x14ac:dyDescent="0.2">
      <c r="A146" s="106" t="s">
        <v>354</v>
      </c>
      <c r="B146" s="106" t="s">
        <v>1689</v>
      </c>
      <c r="C146" s="106" t="s">
        <v>264</v>
      </c>
      <c r="D146" s="106" t="s">
        <v>265</v>
      </c>
      <c r="E146">
        <v>9474</v>
      </c>
      <c r="F146" s="106" t="s">
        <v>487</v>
      </c>
      <c r="G146" s="106" t="s">
        <v>266</v>
      </c>
      <c r="H146" s="106" t="s">
        <v>277</v>
      </c>
      <c r="I146" s="106" t="s">
        <v>297</v>
      </c>
      <c r="J146" s="106" t="s">
        <v>4876</v>
      </c>
    </row>
    <row r="147" spans="1:10" x14ac:dyDescent="0.2">
      <c r="A147" s="106" t="s">
        <v>354</v>
      </c>
      <c r="B147" s="106" t="s">
        <v>1689</v>
      </c>
      <c r="C147" s="106" t="s">
        <v>264</v>
      </c>
      <c r="D147" s="106" t="s">
        <v>265</v>
      </c>
      <c r="E147">
        <v>9536</v>
      </c>
      <c r="F147" s="106" t="s">
        <v>2028</v>
      </c>
      <c r="G147" s="106" t="s">
        <v>266</v>
      </c>
      <c r="H147" s="106" t="s">
        <v>489</v>
      </c>
      <c r="I147" s="106">
        <v>902</v>
      </c>
      <c r="J147" s="106"/>
    </row>
    <row r="148" spans="1:10" x14ac:dyDescent="0.2">
      <c r="A148" s="106" t="s">
        <v>354</v>
      </c>
      <c r="B148" s="106" t="s">
        <v>1689</v>
      </c>
      <c r="C148" s="106" t="s">
        <v>264</v>
      </c>
      <c r="D148" s="106" t="s">
        <v>265</v>
      </c>
      <c r="E148">
        <v>9962</v>
      </c>
      <c r="F148" s="106" t="s">
        <v>2029</v>
      </c>
      <c r="G148" s="106" t="s">
        <v>266</v>
      </c>
      <c r="H148" s="106" t="s">
        <v>272</v>
      </c>
      <c r="I148" t="s">
        <v>343</v>
      </c>
      <c r="J148" t="s">
        <v>4365</v>
      </c>
    </row>
    <row r="149" spans="1:10" x14ac:dyDescent="0.2">
      <c r="A149" s="106" t="s">
        <v>354</v>
      </c>
      <c r="B149" s="106" t="s">
        <v>1931</v>
      </c>
      <c r="C149" s="106" t="s">
        <v>264</v>
      </c>
      <c r="D149" s="106" t="s">
        <v>269</v>
      </c>
      <c r="E149">
        <v>6414</v>
      </c>
      <c r="F149" s="106" t="s">
        <v>2030</v>
      </c>
      <c r="G149" s="106" t="s">
        <v>270</v>
      </c>
      <c r="H149" s="106" t="s">
        <v>287</v>
      </c>
      <c r="I149" s="106">
        <v>142</v>
      </c>
      <c r="J149" s="106"/>
    </row>
    <row r="150" spans="1:10" x14ac:dyDescent="0.2">
      <c r="A150" s="106" t="s">
        <v>354</v>
      </c>
      <c r="B150" s="106" t="s">
        <v>263</v>
      </c>
      <c r="C150" s="106" t="s">
        <v>273</v>
      </c>
      <c r="D150" s="106" t="s">
        <v>265</v>
      </c>
      <c r="E150">
        <v>2491</v>
      </c>
      <c r="F150" s="106" t="s">
        <v>2031</v>
      </c>
      <c r="G150" s="106" t="s">
        <v>266</v>
      </c>
      <c r="H150" s="106" t="s">
        <v>271</v>
      </c>
      <c r="I150" s="106">
        <v>865</v>
      </c>
      <c r="J150" s="106"/>
    </row>
    <row r="151" spans="1:10" x14ac:dyDescent="0.2">
      <c r="A151" s="106" t="s">
        <v>354</v>
      </c>
      <c r="B151" s="106" t="s">
        <v>263</v>
      </c>
      <c r="C151" s="106" t="s">
        <v>273</v>
      </c>
      <c r="D151" s="106" t="s">
        <v>265</v>
      </c>
      <c r="E151">
        <v>3938</v>
      </c>
      <c r="F151" s="106" t="s">
        <v>2032</v>
      </c>
      <c r="G151" s="106" t="s">
        <v>266</v>
      </c>
      <c r="H151" s="106" t="s">
        <v>277</v>
      </c>
      <c r="I151" t="s">
        <v>545</v>
      </c>
      <c r="J151" t="s">
        <v>4615</v>
      </c>
    </row>
    <row r="152" spans="1:10" x14ac:dyDescent="0.2">
      <c r="A152" s="106" t="s">
        <v>354</v>
      </c>
      <c r="B152" s="106" t="s">
        <v>263</v>
      </c>
      <c r="C152" s="106" t="s">
        <v>264</v>
      </c>
      <c r="D152" s="106" t="s">
        <v>265</v>
      </c>
      <c r="E152">
        <v>4206</v>
      </c>
      <c r="F152" s="106" t="s">
        <v>2033</v>
      </c>
      <c r="G152" s="106" t="s">
        <v>266</v>
      </c>
      <c r="H152" s="106" t="s">
        <v>279</v>
      </c>
      <c r="I152" s="106" t="s">
        <v>289</v>
      </c>
      <c r="J152" s="106" t="s">
        <v>4877</v>
      </c>
    </row>
    <row r="153" spans="1:10" x14ac:dyDescent="0.2">
      <c r="A153" s="106" t="s">
        <v>354</v>
      </c>
      <c r="B153" s="106" t="s">
        <v>263</v>
      </c>
      <c r="C153" s="106" t="s">
        <v>264</v>
      </c>
      <c r="D153" s="106" t="s">
        <v>269</v>
      </c>
      <c r="E153">
        <v>4517</v>
      </c>
      <c r="F153" s="106" t="s">
        <v>2034</v>
      </c>
      <c r="G153" s="106" t="s">
        <v>266</v>
      </c>
      <c r="H153" s="106" t="s">
        <v>311</v>
      </c>
      <c r="I153" s="106">
        <v>291</v>
      </c>
      <c r="J153" s="106"/>
    </row>
    <row r="154" spans="1:10" x14ac:dyDescent="0.2">
      <c r="A154" s="106" t="s">
        <v>357</v>
      </c>
      <c r="B154" s="106" t="s">
        <v>1915</v>
      </c>
      <c r="C154" s="106" t="s">
        <v>264</v>
      </c>
      <c r="D154" s="106" t="s">
        <v>265</v>
      </c>
      <c r="E154">
        <v>1878</v>
      </c>
      <c r="F154" s="106" t="s">
        <v>358</v>
      </c>
      <c r="G154" s="106" t="s">
        <v>266</v>
      </c>
      <c r="H154" s="106" t="s">
        <v>293</v>
      </c>
      <c r="I154" s="106" t="s">
        <v>359</v>
      </c>
      <c r="J154" s="106" t="s">
        <v>4876</v>
      </c>
    </row>
    <row r="155" spans="1:10" x14ac:dyDescent="0.2">
      <c r="A155" s="106" t="s">
        <v>357</v>
      </c>
      <c r="B155" s="106" t="s">
        <v>1915</v>
      </c>
      <c r="C155" s="106" t="s">
        <v>264</v>
      </c>
      <c r="D155" s="106" t="s">
        <v>265</v>
      </c>
      <c r="E155">
        <v>2737</v>
      </c>
      <c r="F155" s="106" t="s">
        <v>360</v>
      </c>
      <c r="G155" s="106" t="s">
        <v>266</v>
      </c>
      <c r="H155" s="106" t="s">
        <v>272</v>
      </c>
      <c r="I155" s="106">
        <v>263</v>
      </c>
      <c r="J155" s="106"/>
    </row>
    <row r="156" spans="1:10" x14ac:dyDescent="0.2">
      <c r="A156" s="106" t="s">
        <v>357</v>
      </c>
      <c r="B156" s="106" t="s">
        <v>1915</v>
      </c>
      <c r="C156" s="106" t="s">
        <v>273</v>
      </c>
      <c r="D156" s="106" t="s">
        <v>265</v>
      </c>
      <c r="E156">
        <v>3003</v>
      </c>
      <c r="F156" s="106" t="s">
        <v>689</v>
      </c>
      <c r="G156" s="106" t="s">
        <v>266</v>
      </c>
      <c r="H156" s="106" t="s">
        <v>292</v>
      </c>
      <c r="I156" s="106" t="s">
        <v>343</v>
      </c>
      <c r="J156" s="106" t="s">
        <v>4878</v>
      </c>
    </row>
    <row r="157" spans="1:10" x14ac:dyDescent="0.2">
      <c r="A157" s="106" t="s">
        <v>357</v>
      </c>
      <c r="B157" s="106" t="s">
        <v>1915</v>
      </c>
      <c r="C157" s="106" t="s">
        <v>264</v>
      </c>
      <c r="D157" s="106" t="s">
        <v>265</v>
      </c>
      <c r="E157">
        <v>3275</v>
      </c>
      <c r="F157" s="106" t="s">
        <v>2035</v>
      </c>
      <c r="G157" s="106" t="s">
        <v>266</v>
      </c>
      <c r="H157" s="106" t="s">
        <v>292</v>
      </c>
      <c r="I157">
        <v>122</v>
      </c>
    </row>
    <row r="158" spans="1:10" x14ac:dyDescent="0.2">
      <c r="A158" s="106" t="s">
        <v>357</v>
      </c>
      <c r="B158" s="106" t="s">
        <v>1915</v>
      </c>
      <c r="C158" s="106" t="s">
        <v>2036</v>
      </c>
      <c r="D158" s="106" t="s">
        <v>265</v>
      </c>
      <c r="E158">
        <v>8011</v>
      </c>
      <c r="F158" s="106" t="s">
        <v>2037</v>
      </c>
      <c r="G158" s="106" t="s">
        <v>266</v>
      </c>
      <c r="H158" s="106" t="s">
        <v>299</v>
      </c>
      <c r="I158" s="106">
        <v>167</v>
      </c>
      <c r="J158" s="106"/>
    </row>
    <row r="159" spans="1:10" x14ac:dyDescent="0.2">
      <c r="A159" s="106" t="s">
        <v>357</v>
      </c>
      <c r="B159" s="106" t="s">
        <v>1915</v>
      </c>
      <c r="C159" s="106" t="s">
        <v>264</v>
      </c>
      <c r="D159" s="106" t="s">
        <v>265</v>
      </c>
      <c r="E159">
        <v>8609</v>
      </c>
      <c r="F159" s="106" t="s">
        <v>2038</v>
      </c>
      <c r="G159" s="106" t="s">
        <v>266</v>
      </c>
      <c r="H159" s="106" t="s">
        <v>1448</v>
      </c>
      <c r="I159" s="106">
        <v>804</v>
      </c>
      <c r="J159" s="106"/>
    </row>
    <row r="160" spans="1:10" x14ac:dyDescent="0.2">
      <c r="A160" s="106" t="s">
        <v>357</v>
      </c>
      <c r="B160" s="106" t="s">
        <v>1915</v>
      </c>
      <c r="C160" s="106" t="s">
        <v>264</v>
      </c>
      <c r="D160" s="106" t="s">
        <v>265</v>
      </c>
      <c r="E160">
        <v>8706</v>
      </c>
      <c r="F160" s="106" t="s">
        <v>2039</v>
      </c>
      <c r="G160" s="106" t="s">
        <v>266</v>
      </c>
      <c r="H160" s="106" t="s">
        <v>1448</v>
      </c>
      <c r="I160" s="106">
        <v>253</v>
      </c>
      <c r="J160" s="106"/>
    </row>
    <row r="161" spans="1:10" x14ac:dyDescent="0.2">
      <c r="A161" s="106" t="s">
        <v>357</v>
      </c>
      <c r="B161" s="106" t="s">
        <v>1915</v>
      </c>
      <c r="C161" s="106" t="s">
        <v>264</v>
      </c>
      <c r="D161" s="106" t="s">
        <v>265</v>
      </c>
      <c r="E161">
        <v>9533</v>
      </c>
      <c r="F161" s="106" t="s">
        <v>2040</v>
      </c>
      <c r="G161" s="106" t="s">
        <v>266</v>
      </c>
      <c r="H161" s="106" t="s">
        <v>489</v>
      </c>
      <c r="I161" s="106" t="s">
        <v>316</v>
      </c>
      <c r="J161" s="106" t="s">
        <v>4616</v>
      </c>
    </row>
    <row r="162" spans="1:10" x14ac:dyDescent="0.2">
      <c r="A162" s="106" t="s">
        <v>357</v>
      </c>
      <c r="B162" s="106" t="s">
        <v>1915</v>
      </c>
      <c r="C162" s="106" t="s">
        <v>264</v>
      </c>
      <c r="D162" s="106" t="s">
        <v>265</v>
      </c>
      <c r="E162">
        <v>9744</v>
      </c>
      <c r="F162" s="106" t="s">
        <v>2041</v>
      </c>
      <c r="G162" s="106" t="s">
        <v>266</v>
      </c>
      <c r="H162" s="106" t="s">
        <v>271</v>
      </c>
      <c r="I162" s="106" t="s">
        <v>297</v>
      </c>
      <c r="J162" s="106" t="s">
        <v>4879</v>
      </c>
    </row>
    <row r="163" spans="1:10" x14ac:dyDescent="0.2">
      <c r="A163" s="106" t="s">
        <v>357</v>
      </c>
      <c r="B163" s="106" t="s">
        <v>684</v>
      </c>
      <c r="C163" s="106" t="s">
        <v>264</v>
      </c>
      <c r="D163" s="106" t="s">
        <v>265</v>
      </c>
      <c r="E163">
        <v>4205</v>
      </c>
      <c r="F163" s="106" t="s">
        <v>1702</v>
      </c>
      <c r="G163" s="106" t="s">
        <v>266</v>
      </c>
      <c r="H163" s="106" t="s">
        <v>279</v>
      </c>
      <c r="I163" s="106" t="s">
        <v>333</v>
      </c>
      <c r="J163" s="106" t="s">
        <v>4415</v>
      </c>
    </row>
    <row r="164" spans="1:10" x14ac:dyDescent="0.2">
      <c r="A164" s="106" t="s">
        <v>357</v>
      </c>
      <c r="B164" s="106" t="s">
        <v>684</v>
      </c>
      <c r="C164" s="106" t="s">
        <v>264</v>
      </c>
      <c r="D164" s="106" t="s">
        <v>265</v>
      </c>
      <c r="E164">
        <v>4348</v>
      </c>
      <c r="F164" s="106" t="s">
        <v>2042</v>
      </c>
      <c r="G164" s="106" t="s">
        <v>266</v>
      </c>
      <c r="H164" s="106" t="s">
        <v>277</v>
      </c>
      <c r="I164" t="s">
        <v>297</v>
      </c>
      <c r="J164" t="s">
        <v>4264</v>
      </c>
    </row>
    <row r="165" spans="1:10" x14ac:dyDescent="0.2">
      <c r="A165" s="106" t="s">
        <v>357</v>
      </c>
      <c r="B165" s="106" t="s">
        <v>684</v>
      </c>
      <c r="C165" s="106" t="s">
        <v>264</v>
      </c>
      <c r="D165" s="106" t="s">
        <v>265</v>
      </c>
      <c r="E165">
        <v>8697</v>
      </c>
      <c r="F165" s="106" t="s">
        <v>2043</v>
      </c>
      <c r="G165" s="106" t="s">
        <v>266</v>
      </c>
      <c r="H165" s="106" t="s">
        <v>302</v>
      </c>
      <c r="I165" s="106" t="s">
        <v>359</v>
      </c>
      <c r="J165" s="106" t="s">
        <v>4371</v>
      </c>
    </row>
    <row r="166" spans="1:10" x14ac:dyDescent="0.2">
      <c r="A166" s="106" t="s">
        <v>357</v>
      </c>
      <c r="B166" s="106" t="s">
        <v>1481</v>
      </c>
      <c r="C166" s="106" t="s">
        <v>264</v>
      </c>
      <c r="D166" s="106" t="s">
        <v>265</v>
      </c>
      <c r="E166">
        <v>4204</v>
      </c>
      <c r="F166" s="106" t="s">
        <v>2044</v>
      </c>
      <c r="G166" s="106" t="s">
        <v>266</v>
      </c>
      <c r="H166" s="106" t="s">
        <v>279</v>
      </c>
      <c r="I166" s="106" t="s">
        <v>407</v>
      </c>
      <c r="J166" s="106" t="s">
        <v>4370</v>
      </c>
    </row>
    <row r="167" spans="1:10" x14ac:dyDescent="0.2">
      <c r="A167" s="106" t="s">
        <v>357</v>
      </c>
      <c r="B167" s="106" t="s">
        <v>1481</v>
      </c>
      <c r="C167" s="106" t="s">
        <v>264</v>
      </c>
      <c r="D167" s="106" t="s">
        <v>269</v>
      </c>
      <c r="E167">
        <v>4367</v>
      </c>
      <c r="F167" s="106" t="s">
        <v>2045</v>
      </c>
      <c r="G167" s="106" t="s">
        <v>274</v>
      </c>
      <c r="H167" s="106" t="s">
        <v>279</v>
      </c>
      <c r="I167" s="106">
        <v>140</v>
      </c>
      <c r="J167" s="106"/>
    </row>
    <row r="168" spans="1:10" x14ac:dyDescent="0.2">
      <c r="A168" s="106" t="s">
        <v>357</v>
      </c>
      <c r="B168" s="106" t="s">
        <v>1481</v>
      </c>
      <c r="C168" s="106" t="s">
        <v>264</v>
      </c>
      <c r="D168" s="106" t="s">
        <v>265</v>
      </c>
      <c r="E168">
        <v>4951</v>
      </c>
      <c r="F168" s="106" t="s">
        <v>2046</v>
      </c>
      <c r="G168" s="106" t="s">
        <v>266</v>
      </c>
      <c r="H168" s="106" t="s">
        <v>279</v>
      </c>
      <c r="I168">
        <v>389</v>
      </c>
    </row>
    <row r="169" spans="1:10" x14ac:dyDescent="0.2">
      <c r="A169" s="106" t="s">
        <v>357</v>
      </c>
      <c r="B169" s="106" t="s">
        <v>1481</v>
      </c>
      <c r="C169" s="106" t="s">
        <v>264</v>
      </c>
      <c r="D169" s="106" t="s">
        <v>265</v>
      </c>
      <c r="E169">
        <v>5449</v>
      </c>
      <c r="F169" s="106" t="s">
        <v>2047</v>
      </c>
      <c r="G169" s="106" t="s">
        <v>266</v>
      </c>
      <c r="H169" s="106" t="s">
        <v>726</v>
      </c>
      <c r="I169">
        <v>674</v>
      </c>
    </row>
    <row r="170" spans="1:10" x14ac:dyDescent="0.2">
      <c r="A170" s="106" t="s">
        <v>357</v>
      </c>
      <c r="B170" s="106" t="s">
        <v>1481</v>
      </c>
      <c r="C170" s="106" t="s">
        <v>264</v>
      </c>
      <c r="D170" s="106" t="s">
        <v>265</v>
      </c>
      <c r="E170">
        <v>6364</v>
      </c>
      <c r="F170" s="106" t="s">
        <v>2048</v>
      </c>
      <c r="G170" s="106" t="s">
        <v>266</v>
      </c>
      <c r="H170" s="106" t="s">
        <v>287</v>
      </c>
      <c r="I170">
        <v>404</v>
      </c>
    </row>
    <row r="171" spans="1:10" x14ac:dyDescent="0.2">
      <c r="A171" s="106" t="s">
        <v>357</v>
      </c>
      <c r="B171" s="106" t="s">
        <v>1481</v>
      </c>
      <c r="C171" s="106" t="s">
        <v>264</v>
      </c>
      <c r="D171" s="106" t="s">
        <v>265</v>
      </c>
      <c r="E171">
        <v>8137</v>
      </c>
      <c r="F171" s="106" t="s">
        <v>1456</v>
      </c>
      <c r="G171" s="106" t="s">
        <v>266</v>
      </c>
      <c r="H171" s="106" t="s">
        <v>272</v>
      </c>
      <c r="I171">
        <v>179</v>
      </c>
    </row>
    <row r="172" spans="1:10" x14ac:dyDescent="0.2">
      <c r="A172" s="106" t="s">
        <v>357</v>
      </c>
      <c r="B172" s="106" t="s">
        <v>1481</v>
      </c>
      <c r="C172" s="106" t="s">
        <v>264</v>
      </c>
      <c r="D172" s="106" t="s">
        <v>265</v>
      </c>
      <c r="E172">
        <v>8343</v>
      </c>
      <c r="F172" s="106" t="s">
        <v>2049</v>
      </c>
      <c r="G172" s="106" t="s">
        <v>266</v>
      </c>
      <c r="H172" s="106" t="s">
        <v>484</v>
      </c>
      <c r="I172">
        <v>379</v>
      </c>
    </row>
    <row r="173" spans="1:10" x14ac:dyDescent="0.2">
      <c r="A173" s="106" t="s">
        <v>357</v>
      </c>
      <c r="B173" s="106" t="s">
        <v>1481</v>
      </c>
      <c r="C173" s="106" t="s">
        <v>264</v>
      </c>
      <c r="D173" s="106" t="s">
        <v>265</v>
      </c>
      <c r="E173">
        <v>8613</v>
      </c>
      <c r="F173" s="106" t="s">
        <v>2050</v>
      </c>
      <c r="G173" s="106" t="s">
        <v>266</v>
      </c>
      <c r="H173" s="106" t="s">
        <v>1448</v>
      </c>
      <c r="I173">
        <v>354</v>
      </c>
    </row>
    <row r="174" spans="1:10" x14ac:dyDescent="0.2">
      <c r="A174" s="106" t="s">
        <v>357</v>
      </c>
      <c r="B174" s="106" t="s">
        <v>1481</v>
      </c>
      <c r="C174" s="106" t="s">
        <v>264</v>
      </c>
      <c r="D174" s="106" t="s">
        <v>269</v>
      </c>
      <c r="E174">
        <v>8622</v>
      </c>
      <c r="F174" s="106" t="s">
        <v>2051</v>
      </c>
      <c r="G174" s="106" t="s">
        <v>266</v>
      </c>
      <c r="H174" s="106" t="s">
        <v>1448</v>
      </c>
      <c r="I174">
        <v>161</v>
      </c>
    </row>
    <row r="175" spans="1:10" x14ac:dyDescent="0.2">
      <c r="A175" s="106" t="s">
        <v>357</v>
      </c>
      <c r="B175" s="106" t="s">
        <v>1481</v>
      </c>
      <c r="C175" s="106" t="s">
        <v>264</v>
      </c>
      <c r="D175" s="106" t="s">
        <v>265</v>
      </c>
      <c r="E175">
        <v>8624</v>
      </c>
      <c r="F175" s="106" t="s">
        <v>2052</v>
      </c>
      <c r="G175" s="106" t="s">
        <v>266</v>
      </c>
      <c r="H175" s="106" t="s">
        <v>1448</v>
      </c>
      <c r="I175" s="106">
        <v>278</v>
      </c>
      <c r="J175" s="106"/>
    </row>
    <row r="176" spans="1:10" x14ac:dyDescent="0.2">
      <c r="A176" s="106" t="s">
        <v>357</v>
      </c>
      <c r="B176" s="106" t="s">
        <v>1481</v>
      </c>
      <c r="C176" s="106" t="s">
        <v>264</v>
      </c>
      <c r="D176" s="106" t="s">
        <v>265</v>
      </c>
      <c r="E176">
        <v>9507</v>
      </c>
      <c r="F176" s="106" t="s">
        <v>2053</v>
      </c>
      <c r="G176" s="106" t="s">
        <v>266</v>
      </c>
      <c r="H176" s="106" t="s">
        <v>489</v>
      </c>
      <c r="I176" s="106" t="s">
        <v>289</v>
      </c>
      <c r="J176" s="106" t="s">
        <v>4880</v>
      </c>
    </row>
    <row r="177" spans="1:10" x14ac:dyDescent="0.2">
      <c r="A177" s="106" t="s">
        <v>357</v>
      </c>
      <c r="B177" s="106" t="s">
        <v>686</v>
      </c>
      <c r="C177" s="106" t="s">
        <v>264</v>
      </c>
      <c r="D177" s="106" t="s">
        <v>265</v>
      </c>
      <c r="E177">
        <v>2674</v>
      </c>
      <c r="F177" s="106" t="s">
        <v>2054</v>
      </c>
      <c r="G177" s="106" t="s">
        <v>266</v>
      </c>
      <c r="H177" s="106" t="s">
        <v>276</v>
      </c>
      <c r="I177" s="106">
        <v>117</v>
      </c>
      <c r="J177" s="106"/>
    </row>
    <row r="178" spans="1:10" x14ac:dyDescent="0.2">
      <c r="A178" s="106" t="s">
        <v>357</v>
      </c>
      <c r="B178" s="106" t="s">
        <v>686</v>
      </c>
      <c r="C178" s="106" t="s">
        <v>264</v>
      </c>
      <c r="D178" s="106" t="s">
        <v>265</v>
      </c>
      <c r="E178">
        <v>2692</v>
      </c>
      <c r="F178" s="106" t="s">
        <v>2055</v>
      </c>
      <c r="G178" s="106" t="s">
        <v>266</v>
      </c>
      <c r="H178" s="106" t="s">
        <v>272</v>
      </c>
      <c r="I178">
        <v>689</v>
      </c>
    </row>
    <row r="179" spans="1:10" x14ac:dyDescent="0.2">
      <c r="A179" s="106" t="s">
        <v>357</v>
      </c>
      <c r="B179" s="106" t="s">
        <v>686</v>
      </c>
      <c r="C179" s="106" t="s">
        <v>264</v>
      </c>
      <c r="D179" s="106" t="s">
        <v>265</v>
      </c>
      <c r="E179">
        <v>4705</v>
      </c>
      <c r="F179" s="106" t="s">
        <v>2056</v>
      </c>
      <c r="G179" s="106" t="s">
        <v>270</v>
      </c>
      <c r="H179" s="106" t="s">
        <v>271</v>
      </c>
      <c r="I179">
        <v>40</v>
      </c>
    </row>
    <row r="180" spans="1:10" x14ac:dyDescent="0.2">
      <c r="A180" s="106" t="s">
        <v>357</v>
      </c>
      <c r="B180" s="106" t="s">
        <v>686</v>
      </c>
      <c r="C180" s="106" t="s">
        <v>264</v>
      </c>
      <c r="D180" s="106" t="s">
        <v>265</v>
      </c>
      <c r="E180">
        <v>5703</v>
      </c>
      <c r="F180" s="106" t="s">
        <v>2057</v>
      </c>
      <c r="G180" s="106" t="s">
        <v>266</v>
      </c>
      <c r="H180" s="106" t="s">
        <v>373</v>
      </c>
      <c r="I180" s="106" t="s">
        <v>297</v>
      </c>
      <c r="J180" s="106" t="s">
        <v>4881</v>
      </c>
    </row>
    <row r="181" spans="1:10" x14ac:dyDescent="0.2">
      <c r="A181" s="106" t="s">
        <v>357</v>
      </c>
      <c r="B181" s="106" t="s">
        <v>686</v>
      </c>
      <c r="C181" s="106" t="s">
        <v>273</v>
      </c>
      <c r="D181" s="106" t="s">
        <v>265</v>
      </c>
      <c r="E181">
        <v>5819</v>
      </c>
      <c r="F181" s="106" t="s">
        <v>2058</v>
      </c>
      <c r="G181" s="106" t="s">
        <v>266</v>
      </c>
      <c r="H181" s="106" t="s">
        <v>373</v>
      </c>
      <c r="I181" s="106">
        <v>128</v>
      </c>
      <c r="J181" s="106"/>
    </row>
    <row r="182" spans="1:10" x14ac:dyDescent="0.2">
      <c r="A182" s="106" t="s">
        <v>357</v>
      </c>
      <c r="B182" s="106" t="s">
        <v>686</v>
      </c>
      <c r="C182" s="106" t="s">
        <v>264</v>
      </c>
      <c r="D182" s="106" t="s">
        <v>265</v>
      </c>
      <c r="E182">
        <v>5992</v>
      </c>
      <c r="F182" s="106" t="s">
        <v>2059</v>
      </c>
      <c r="G182" s="106" t="s">
        <v>266</v>
      </c>
      <c r="H182" s="106" t="s">
        <v>281</v>
      </c>
      <c r="I182" s="106">
        <v>194</v>
      </c>
      <c r="J182" s="106"/>
    </row>
    <row r="183" spans="1:10" x14ac:dyDescent="0.2">
      <c r="A183" s="106" t="s">
        <v>357</v>
      </c>
      <c r="B183" s="106" t="s">
        <v>686</v>
      </c>
      <c r="C183" s="106" t="s">
        <v>264</v>
      </c>
      <c r="D183" s="106" t="s">
        <v>265</v>
      </c>
      <c r="E183">
        <v>6332</v>
      </c>
      <c r="F183" s="106" t="s">
        <v>2060</v>
      </c>
      <c r="G183" s="106" t="s">
        <v>266</v>
      </c>
      <c r="H183" s="106" t="s">
        <v>287</v>
      </c>
      <c r="I183">
        <v>735</v>
      </c>
    </row>
    <row r="184" spans="1:10" x14ac:dyDescent="0.2">
      <c r="A184" s="106" t="s">
        <v>357</v>
      </c>
      <c r="B184" s="106" t="s">
        <v>686</v>
      </c>
      <c r="C184" s="106" t="s">
        <v>264</v>
      </c>
      <c r="D184" s="106" t="s">
        <v>265</v>
      </c>
      <c r="E184">
        <v>6470</v>
      </c>
      <c r="F184" s="106" t="s">
        <v>687</v>
      </c>
      <c r="G184" s="106" t="s">
        <v>266</v>
      </c>
      <c r="H184" s="106" t="s">
        <v>287</v>
      </c>
      <c r="I184" s="106">
        <v>233</v>
      </c>
      <c r="J184" s="106"/>
    </row>
    <row r="185" spans="1:10" x14ac:dyDescent="0.2">
      <c r="A185" s="106" t="s">
        <v>357</v>
      </c>
      <c r="B185" s="106" t="s">
        <v>686</v>
      </c>
      <c r="C185" s="106" t="s">
        <v>264</v>
      </c>
      <c r="D185" s="106" t="s">
        <v>265</v>
      </c>
      <c r="E185">
        <v>6995</v>
      </c>
      <c r="F185" s="106" t="s">
        <v>2061</v>
      </c>
      <c r="G185" s="106" t="s">
        <v>266</v>
      </c>
      <c r="H185" s="106" t="s">
        <v>296</v>
      </c>
      <c r="I185" s="106" t="s">
        <v>297</v>
      </c>
      <c r="J185" s="106" t="s">
        <v>4681</v>
      </c>
    </row>
    <row r="186" spans="1:10" x14ac:dyDescent="0.2">
      <c r="A186" s="106" t="s">
        <v>357</v>
      </c>
      <c r="B186" s="106" t="s">
        <v>686</v>
      </c>
      <c r="C186" s="106" t="s">
        <v>264</v>
      </c>
      <c r="D186" s="106" t="s">
        <v>269</v>
      </c>
      <c r="E186">
        <v>8160</v>
      </c>
      <c r="F186" s="106" t="s">
        <v>2062</v>
      </c>
      <c r="G186" s="106" t="s">
        <v>266</v>
      </c>
      <c r="H186" s="106" t="s">
        <v>276</v>
      </c>
      <c r="I186" s="106">
        <v>773</v>
      </c>
      <c r="J186" s="106"/>
    </row>
    <row r="187" spans="1:10" x14ac:dyDescent="0.2">
      <c r="A187" s="106" t="s">
        <v>357</v>
      </c>
      <c r="B187" s="106" t="s">
        <v>686</v>
      </c>
      <c r="C187" s="106" t="s">
        <v>264</v>
      </c>
      <c r="D187" s="106" t="s">
        <v>265</v>
      </c>
      <c r="E187">
        <v>9014</v>
      </c>
      <c r="F187" s="106" t="s">
        <v>2063</v>
      </c>
      <c r="G187" s="106" t="s">
        <v>266</v>
      </c>
      <c r="H187" s="106" t="s">
        <v>356</v>
      </c>
      <c r="I187" s="106">
        <v>265</v>
      </c>
      <c r="J187" s="106"/>
    </row>
    <row r="188" spans="1:10" x14ac:dyDescent="0.2">
      <c r="A188" s="106" t="s">
        <v>357</v>
      </c>
      <c r="B188" s="106" t="s">
        <v>686</v>
      </c>
      <c r="C188" s="106" t="s">
        <v>264</v>
      </c>
      <c r="D188" s="106" t="s">
        <v>265</v>
      </c>
      <c r="E188">
        <v>9380</v>
      </c>
      <c r="F188" s="106" t="s">
        <v>2064</v>
      </c>
      <c r="G188" s="106" t="s">
        <v>266</v>
      </c>
      <c r="H188" s="106" t="s">
        <v>556</v>
      </c>
      <c r="I188" s="106">
        <v>84</v>
      </c>
      <c r="J188" s="106"/>
    </row>
    <row r="189" spans="1:10" x14ac:dyDescent="0.2">
      <c r="A189" s="106" t="s">
        <v>357</v>
      </c>
      <c r="B189" s="106" t="s">
        <v>327</v>
      </c>
      <c r="C189" s="106" t="s">
        <v>264</v>
      </c>
      <c r="D189" s="106" t="s">
        <v>265</v>
      </c>
      <c r="E189">
        <v>1775</v>
      </c>
      <c r="F189" s="106" t="s">
        <v>2065</v>
      </c>
      <c r="G189" s="106" t="s">
        <v>274</v>
      </c>
      <c r="H189" s="106" t="s">
        <v>293</v>
      </c>
      <c r="I189" s="106">
        <v>191</v>
      </c>
      <c r="J189" s="106"/>
    </row>
    <row r="190" spans="1:10" x14ac:dyDescent="0.2">
      <c r="A190" s="106" t="s">
        <v>357</v>
      </c>
      <c r="B190" s="106" t="s">
        <v>327</v>
      </c>
      <c r="C190" s="106" t="s">
        <v>264</v>
      </c>
      <c r="D190" s="106" t="s">
        <v>265</v>
      </c>
      <c r="E190">
        <v>1930</v>
      </c>
      <c r="F190" s="106" t="s">
        <v>2066</v>
      </c>
      <c r="G190" s="106" t="s">
        <v>266</v>
      </c>
      <c r="H190" s="106" t="s">
        <v>293</v>
      </c>
      <c r="I190">
        <v>299</v>
      </c>
    </row>
    <row r="191" spans="1:10" x14ac:dyDescent="0.2">
      <c r="A191" s="106" t="s">
        <v>357</v>
      </c>
      <c r="B191" s="106" t="s">
        <v>327</v>
      </c>
      <c r="C191" s="106" t="s">
        <v>264</v>
      </c>
      <c r="D191" s="106" t="s">
        <v>265</v>
      </c>
      <c r="E191">
        <v>1941</v>
      </c>
      <c r="F191" s="106" t="s">
        <v>461</v>
      </c>
      <c r="G191" s="106" t="s">
        <v>266</v>
      </c>
      <c r="H191" s="106" t="s">
        <v>293</v>
      </c>
      <c r="I191" s="106" t="s">
        <v>297</v>
      </c>
      <c r="J191" s="106" t="s">
        <v>4635</v>
      </c>
    </row>
    <row r="192" spans="1:10" x14ac:dyDescent="0.2">
      <c r="A192" s="106" t="s">
        <v>357</v>
      </c>
      <c r="B192" s="106" t="s">
        <v>327</v>
      </c>
      <c r="C192" s="106" t="s">
        <v>264</v>
      </c>
      <c r="D192" s="106" t="s">
        <v>265</v>
      </c>
      <c r="E192">
        <v>1944</v>
      </c>
      <c r="F192" s="106" t="s">
        <v>2067</v>
      </c>
      <c r="G192" s="106" t="s">
        <v>266</v>
      </c>
      <c r="H192" s="106" t="s">
        <v>293</v>
      </c>
      <c r="I192" s="106" t="s">
        <v>333</v>
      </c>
      <c r="J192" s="106" t="s">
        <v>4465</v>
      </c>
    </row>
    <row r="193" spans="1:10" x14ac:dyDescent="0.2">
      <c r="A193" s="106" t="s">
        <v>357</v>
      </c>
      <c r="B193" s="106" t="s">
        <v>327</v>
      </c>
      <c r="C193" s="106" t="s">
        <v>264</v>
      </c>
      <c r="D193" s="106" t="s">
        <v>265</v>
      </c>
      <c r="E193">
        <v>2127</v>
      </c>
      <c r="F193" s="106" t="s">
        <v>636</v>
      </c>
      <c r="G193" s="106" t="s">
        <v>266</v>
      </c>
      <c r="H193" s="106" t="s">
        <v>271</v>
      </c>
      <c r="I193" s="106" t="s">
        <v>325</v>
      </c>
      <c r="J193" s="106" t="s">
        <v>4882</v>
      </c>
    </row>
    <row r="194" spans="1:10" x14ac:dyDescent="0.2">
      <c r="A194" s="106" t="s">
        <v>357</v>
      </c>
      <c r="B194" s="106" t="s">
        <v>327</v>
      </c>
      <c r="C194" s="106" t="s">
        <v>264</v>
      </c>
      <c r="D194" s="106" t="s">
        <v>265</v>
      </c>
      <c r="E194">
        <v>2359</v>
      </c>
      <c r="F194" s="106" t="s">
        <v>2068</v>
      </c>
      <c r="G194" s="106" t="s">
        <v>266</v>
      </c>
      <c r="H194" s="106" t="s">
        <v>277</v>
      </c>
      <c r="I194" s="106">
        <v>237</v>
      </c>
      <c r="J194" s="106"/>
    </row>
    <row r="195" spans="1:10" x14ac:dyDescent="0.2">
      <c r="A195" s="106" t="s">
        <v>357</v>
      </c>
      <c r="B195" s="106" t="s">
        <v>327</v>
      </c>
      <c r="C195" s="106" t="s">
        <v>264</v>
      </c>
      <c r="D195" s="106" t="s">
        <v>265</v>
      </c>
      <c r="E195">
        <v>2810</v>
      </c>
      <c r="F195" s="106" t="s">
        <v>1855</v>
      </c>
      <c r="G195" s="106" t="s">
        <v>266</v>
      </c>
      <c r="H195" s="106" t="s">
        <v>267</v>
      </c>
      <c r="I195" s="106" t="s">
        <v>333</v>
      </c>
      <c r="J195" s="106" t="s">
        <v>4883</v>
      </c>
    </row>
    <row r="196" spans="1:10" x14ac:dyDescent="0.2">
      <c r="A196" s="106" t="s">
        <v>357</v>
      </c>
      <c r="B196" s="106" t="s">
        <v>327</v>
      </c>
      <c r="C196" s="106" t="s">
        <v>264</v>
      </c>
      <c r="D196" s="106" t="s">
        <v>265</v>
      </c>
      <c r="E196">
        <v>3153</v>
      </c>
      <c r="F196" s="106" t="s">
        <v>2069</v>
      </c>
      <c r="G196" s="106" t="s">
        <v>266</v>
      </c>
      <c r="H196" s="106" t="s">
        <v>272</v>
      </c>
      <c r="I196" s="106">
        <v>200</v>
      </c>
      <c r="J196" s="106"/>
    </row>
    <row r="197" spans="1:10" x14ac:dyDescent="0.2">
      <c r="A197" s="106" t="s">
        <v>357</v>
      </c>
      <c r="B197" s="106" t="s">
        <v>327</v>
      </c>
      <c r="C197" s="106" t="s">
        <v>264</v>
      </c>
      <c r="D197" s="106" t="s">
        <v>265</v>
      </c>
      <c r="E197">
        <v>3167</v>
      </c>
      <c r="F197" s="106" t="s">
        <v>690</v>
      </c>
      <c r="G197" s="106" t="s">
        <v>266</v>
      </c>
      <c r="H197" s="106" t="s">
        <v>272</v>
      </c>
      <c r="I197" t="s">
        <v>297</v>
      </c>
      <c r="J197" t="s">
        <v>4728</v>
      </c>
    </row>
    <row r="198" spans="1:10" x14ac:dyDescent="0.2">
      <c r="A198" s="106" t="s">
        <v>357</v>
      </c>
      <c r="B198" s="106" t="s">
        <v>327</v>
      </c>
      <c r="C198" s="106" t="s">
        <v>264</v>
      </c>
      <c r="D198" s="106" t="s">
        <v>265</v>
      </c>
      <c r="E198">
        <v>3199</v>
      </c>
      <c r="F198" s="106" t="s">
        <v>1705</v>
      </c>
      <c r="G198" s="106" t="s">
        <v>266</v>
      </c>
      <c r="H198" s="106" t="s">
        <v>276</v>
      </c>
      <c r="I198" s="106">
        <v>181</v>
      </c>
      <c r="J198" s="106"/>
    </row>
    <row r="199" spans="1:10" x14ac:dyDescent="0.2">
      <c r="A199" s="106" t="s">
        <v>357</v>
      </c>
      <c r="B199" s="106" t="s">
        <v>327</v>
      </c>
      <c r="C199" s="106" t="s">
        <v>264</v>
      </c>
      <c r="D199" s="106" t="s">
        <v>265</v>
      </c>
      <c r="E199">
        <v>3231</v>
      </c>
      <c r="F199" s="106" t="s">
        <v>466</v>
      </c>
      <c r="G199" s="106" t="s">
        <v>266</v>
      </c>
      <c r="H199" s="106" t="s">
        <v>292</v>
      </c>
      <c r="I199" s="106" t="s">
        <v>283</v>
      </c>
      <c r="J199" s="106" t="s">
        <v>3944</v>
      </c>
    </row>
    <row r="200" spans="1:10" x14ac:dyDescent="0.2">
      <c r="A200" s="106" t="s">
        <v>357</v>
      </c>
      <c r="B200" s="106" t="s">
        <v>327</v>
      </c>
      <c r="C200" s="106" t="s">
        <v>264</v>
      </c>
      <c r="D200" s="106" t="s">
        <v>265</v>
      </c>
      <c r="E200">
        <v>3388</v>
      </c>
      <c r="F200" s="106" t="s">
        <v>691</v>
      </c>
      <c r="G200" s="106" t="s">
        <v>266</v>
      </c>
      <c r="H200" s="106" t="s">
        <v>272</v>
      </c>
      <c r="I200">
        <v>197</v>
      </c>
    </row>
    <row r="201" spans="1:10" x14ac:dyDescent="0.2">
      <c r="A201" s="106" t="s">
        <v>357</v>
      </c>
      <c r="B201" s="106" t="s">
        <v>327</v>
      </c>
      <c r="C201" s="106" t="s">
        <v>275</v>
      </c>
      <c r="D201" s="106" t="s">
        <v>269</v>
      </c>
      <c r="E201">
        <v>3426</v>
      </c>
      <c r="F201" s="106" t="s">
        <v>2070</v>
      </c>
      <c r="G201" s="106" t="s">
        <v>270</v>
      </c>
      <c r="H201" s="106" t="s">
        <v>281</v>
      </c>
      <c r="I201" s="106">
        <v>62</v>
      </c>
      <c r="J201" s="106"/>
    </row>
    <row r="202" spans="1:10" x14ac:dyDescent="0.2">
      <c r="A202" s="106" t="s">
        <v>357</v>
      </c>
      <c r="B202" s="106" t="s">
        <v>327</v>
      </c>
      <c r="C202" s="106" t="s">
        <v>264</v>
      </c>
      <c r="D202" s="106" t="s">
        <v>265</v>
      </c>
      <c r="E202">
        <v>3640</v>
      </c>
      <c r="F202" s="106" t="s">
        <v>692</v>
      </c>
      <c r="G202" s="106" t="s">
        <v>266</v>
      </c>
      <c r="H202" s="106" t="s">
        <v>277</v>
      </c>
      <c r="I202">
        <v>133</v>
      </c>
    </row>
    <row r="203" spans="1:10" x14ac:dyDescent="0.2">
      <c r="A203" s="106" t="s">
        <v>357</v>
      </c>
      <c r="B203" s="106" t="s">
        <v>327</v>
      </c>
      <c r="C203" s="106" t="s">
        <v>264</v>
      </c>
      <c r="D203" s="106" t="s">
        <v>265</v>
      </c>
      <c r="E203">
        <v>3771</v>
      </c>
      <c r="F203" s="106" t="s">
        <v>2071</v>
      </c>
      <c r="G203" s="106" t="s">
        <v>266</v>
      </c>
      <c r="H203" s="106" t="s">
        <v>277</v>
      </c>
      <c r="I203">
        <v>162</v>
      </c>
    </row>
    <row r="204" spans="1:10" x14ac:dyDescent="0.2">
      <c r="A204" s="106" t="s">
        <v>357</v>
      </c>
      <c r="B204" s="106" t="s">
        <v>327</v>
      </c>
      <c r="C204" s="106" t="s">
        <v>264</v>
      </c>
      <c r="D204" s="106" t="s">
        <v>265</v>
      </c>
      <c r="E204">
        <v>4113</v>
      </c>
      <c r="F204" s="106" t="s">
        <v>2072</v>
      </c>
      <c r="G204" s="106" t="s">
        <v>274</v>
      </c>
      <c r="H204" s="106" t="s">
        <v>279</v>
      </c>
      <c r="I204" s="106">
        <v>232</v>
      </c>
      <c r="J204" s="106"/>
    </row>
    <row r="205" spans="1:10" x14ac:dyDescent="0.2">
      <c r="A205" s="106" t="s">
        <v>357</v>
      </c>
      <c r="B205" s="106" t="s">
        <v>327</v>
      </c>
      <c r="C205" s="106" t="s">
        <v>264</v>
      </c>
      <c r="D205" s="106" t="s">
        <v>265</v>
      </c>
      <c r="E205">
        <v>4307</v>
      </c>
      <c r="F205" s="106" t="s">
        <v>2073</v>
      </c>
      <c r="G205" s="106" t="s">
        <v>266</v>
      </c>
      <c r="H205" s="106" t="s">
        <v>277</v>
      </c>
      <c r="I205" s="106" t="s">
        <v>1856</v>
      </c>
      <c r="J205" s="106" t="s">
        <v>4884</v>
      </c>
    </row>
    <row r="206" spans="1:10" x14ac:dyDescent="0.2">
      <c r="A206" s="106" t="s">
        <v>357</v>
      </c>
      <c r="B206" s="106" t="s">
        <v>327</v>
      </c>
      <c r="C206" s="106" t="s">
        <v>264</v>
      </c>
      <c r="D206" s="106" t="s">
        <v>265</v>
      </c>
      <c r="E206">
        <v>4308</v>
      </c>
      <c r="F206" s="106" t="s">
        <v>2074</v>
      </c>
      <c r="G206" s="106" t="s">
        <v>278</v>
      </c>
      <c r="H206" s="106" t="s">
        <v>277</v>
      </c>
      <c r="I206" s="106">
        <v>118</v>
      </c>
      <c r="J206" s="106"/>
    </row>
    <row r="207" spans="1:10" x14ac:dyDescent="0.2">
      <c r="A207" s="106" t="s">
        <v>357</v>
      </c>
      <c r="B207" s="106" t="s">
        <v>327</v>
      </c>
      <c r="C207" s="106" t="s">
        <v>268</v>
      </c>
      <c r="D207" s="106" t="s">
        <v>269</v>
      </c>
      <c r="E207">
        <v>4327</v>
      </c>
      <c r="F207" s="106" t="s">
        <v>2075</v>
      </c>
      <c r="G207" s="106" t="s">
        <v>270</v>
      </c>
      <c r="H207" s="106" t="s">
        <v>271</v>
      </c>
      <c r="I207">
        <v>128</v>
      </c>
    </row>
    <row r="208" spans="1:10" x14ac:dyDescent="0.2">
      <c r="A208" s="106" t="s">
        <v>357</v>
      </c>
      <c r="B208" s="106" t="s">
        <v>327</v>
      </c>
      <c r="C208" s="106" t="s">
        <v>264</v>
      </c>
      <c r="D208" s="106" t="s">
        <v>265</v>
      </c>
      <c r="E208">
        <v>4347</v>
      </c>
      <c r="F208" s="106" t="s">
        <v>4429</v>
      </c>
      <c r="G208" s="106" t="s">
        <v>270</v>
      </c>
      <c r="H208" s="106" t="s">
        <v>271</v>
      </c>
      <c r="I208" s="106">
        <v>71</v>
      </c>
      <c r="J208" s="106"/>
    </row>
    <row r="209" spans="1:10" x14ac:dyDescent="0.2">
      <c r="A209" s="106" t="s">
        <v>357</v>
      </c>
      <c r="B209" s="106" t="s">
        <v>327</v>
      </c>
      <c r="C209" s="106" t="s">
        <v>264</v>
      </c>
      <c r="D209" s="106" t="s">
        <v>265</v>
      </c>
      <c r="E209">
        <v>4461</v>
      </c>
      <c r="F209" s="106" t="s">
        <v>2076</v>
      </c>
      <c r="G209" s="106" t="s">
        <v>266</v>
      </c>
      <c r="H209" s="106" t="s">
        <v>279</v>
      </c>
      <c r="I209" s="106">
        <v>481</v>
      </c>
      <c r="J209" s="106"/>
    </row>
    <row r="210" spans="1:10" x14ac:dyDescent="0.2">
      <c r="A210" s="106" t="s">
        <v>357</v>
      </c>
      <c r="B210" s="106" t="s">
        <v>327</v>
      </c>
      <c r="C210" s="106" t="s">
        <v>264</v>
      </c>
      <c r="D210" s="106" t="s">
        <v>265</v>
      </c>
      <c r="E210">
        <v>4506</v>
      </c>
      <c r="F210" s="106" t="s">
        <v>2077</v>
      </c>
      <c r="G210" s="106" t="s">
        <v>266</v>
      </c>
      <c r="H210" s="106" t="s">
        <v>311</v>
      </c>
      <c r="I210" s="106" t="s">
        <v>343</v>
      </c>
      <c r="J210" s="106" t="s">
        <v>4506</v>
      </c>
    </row>
    <row r="211" spans="1:10" x14ac:dyDescent="0.2">
      <c r="A211" s="106" t="s">
        <v>357</v>
      </c>
      <c r="B211" s="106" t="s">
        <v>327</v>
      </c>
      <c r="C211" s="106" t="s">
        <v>264</v>
      </c>
      <c r="D211" s="106" t="s">
        <v>265</v>
      </c>
      <c r="E211">
        <v>4761</v>
      </c>
      <c r="F211" s="106" t="s">
        <v>2078</v>
      </c>
      <c r="G211" s="106" t="s">
        <v>274</v>
      </c>
      <c r="H211" s="106" t="s">
        <v>277</v>
      </c>
      <c r="I211" s="106">
        <v>111</v>
      </c>
      <c r="J211" s="106"/>
    </row>
    <row r="212" spans="1:10" x14ac:dyDescent="0.2">
      <c r="A212" s="106" t="s">
        <v>357</v>
      </c>
      <c r="B212" s="106" t="s">
        <v>327</v>
      </c>
      <c r="C212" s="106" t="s">
        <v>273</v>
      </c>
      <c r="D212" s="106" t="s">
        <v>265</v>
      </c>
      <c r="E212">
        <v>4779</v>
      </c>
      <c r="F212" s="106" t="s">
        <v>2079</v>
      </c>
      <c r="G212" s="106" t="s">
        <v>266</v>
      </c>
      <c r="H212" s="106" t="s">
        <v>277</v>
      </c>
      <c r="I212" s="106">
        <v>205</v>
      </c>
      <c r="J212" s="106"/>
    </row>
    <row r="213" spans="1:10" x14ac:dyDescent="0.2">
      <c r="A213" s="106" t="s">
        <v>357</v>
      </c>
      <c r="B213" s="106" t="s">
        <v>327</v>
      </c>
      <c r="C213" s="106" t="s">
        <v>264</v>
      </c>
      <c r="D213" s="106" t="s">
        <v>265</v>
      </c>
      <c r="E213">
        <v>4917</v>
      </c>
      <c r="F213" s="106" t="s">
        <v>2080</v>
      </c>
      <c r="G213" s="106" t="s">
        <v>266</v>
      </c>
      <c r="H213" s="106" t="s">
        <v>279</v>
      </c>
      <c r="I213" s="106" t="s">
        <v>297</v>
      </c>
      <c r="J213" s="106" t="s">
        <v>4885</v>
      </c>
    </row>
    <row r="214" spans="1:10" x14ac:dyDescent="0.2">
      <c r="A214" s="106" t="s">
        <v>357</v>
      </c>
      <c r="B214" s="106" t="s">
        <v>327</v>
      </c>
      <c r="C214" s="106" t="s">
        <v>264</v>
      </c>
      <c r="D214" s="106" t="s">
        <v>265</v>
      </c>
      <c r="E214">
        <v>4921</v>
      </c>
      <c r="F214" s="106" t="s">
        <v>2081</v>
      </c>
      <c r="G214" s="106" t="s">
        <v>266</v>
      </c>
      <c r="H214" s="106" t="s">
        <v>279</v>
      </c>
      <c r="I214" s="106" t="s">
        <v>333</v>
      </c>
      <c r="J214" s="106" t="s">
        <v>4886</v>
      </c>
    </row>
    <row r="215" spans="1:10" x14ac:dyDescent="0.2">
      <c r="A215" s="106" t="s">
        <v>357</v>
      </c>
      <c r="B215" s="106" t="s">
        <v>327</v>
      </c>
      <c r="C215" s="106" t="s">
        <v>264</v>
      </c>
      <c r="D215" s="106" t="s">
        <v>265</v>
      </c>
      <c r="E215">
        <v>4980</v>
      </c>
      <c r="F215" s="106" t="s">
        <v>2082</v>
      </c>
      <c r="G215" s="106" t="s">
        <v>266</v>
      </c>
      <c r="H215" s="106" t="s">
        <v>279</v>
      </c>
      <c r="I215" s="106">
        <v>672</v>
      </c>
      <c r="J215" s="106"/>
    </row>
    <row r="216" spans="1:10" x14ac:dyDescent="0.2">
      <c r="A216" s="106" t="s">
        <v>357</v>
      </c>
      <c r="B216" s="106" t="s">
        <v>327</v>
      </c>
      <c r="C216" s="106" t="s">
        <v>264</v>
      </c>
      <c r="D216" s="106" t="s">
        <v>265</v>
      </c>
      <c r="E216">
        <v>4987</v>
      </c>
      <c r="F216" s="106" t="s">
        <v>2083</v>
      </c>
      <c r="G216" s="106" t="s">
        <v>274</v>
      </c>
      <c r="H216" s="106" t="s">
        <v>279</v>
      </c>
      <c r="I216" s="106">
        <v>133</v>
      </c>
      <c r="J216" s="106"/>
    </row>
    <row r="217" spans="1:10" x14ac:dyDescent="0.2">
      <c r="A217" s="106" t="s">
        <v>357</v>
      </c>
      <c r="B217" s="106" t="s">
        <v>327</v>
      </c>
      <c r="C217" s="106" t="s">
        <v>264</v>
      </c>
      <c r="D217" s="106" t="s">
        <v>265</v>
      </c>
      <c r="E217">
        <v>5202</v>
      </c>
      <c r="F217" s="106" t="s">
        <v>2084</v>
      </c>
      <c r="G217" s="106" t="s">
        <v>266</v>
      </c>
      <c r="H217" s="106" t="s">
        <v>308</v>
      </c>
      <c r="I217">
        <v>615</v>
      </c>
    </row>
    <row r="218" spans="1:10" x14ac:dyDescent="0.2">
      <c r="A218" s="106" t="s">
        <v>357</v>
      </c>
      <c r="B218" s="106" t="s">
        <v>327</v>
      </c>
      <c r="C218" s="106" t="s">
        <v>264</v>
      </c>
      <c r="D218" s="106" t="s">
        <v>265</v>
      </c>
      <c r="E218">
        <v>5344</v>
      </c>
      <c r="F218" s="106" t="s">
        <v>2085</v>
      </c>
      <c r="G218" s="106" t="s">
        <v>266</v>
      </c>
      <c r="H218" s="106" t="s">
        <v>308</v>
      </c>
      <c r="I218" s="106" t="s">
        <v>297</v>
      </c>
      <c r="J218" s="106" t="s">
        <v>4887</v>
      </c>
    </row>
    <row r="219" spans="1:10" x14ac:dyDescent="0.2">
      <c r="A219" s="106" t="s">
        <v>357</v>
      </c>
      <c r="B219" s="106" t="s">
        <v>327</v>
      </c>
      <c r="C219" s="106" t="s">
        <v>264</v>
      </c>
      <c r="D219" s="106" t="s">
        <v>265</v>
      </c>
      <c r="E219">
        <v>5484</v>
      </c>
      <c r="F219" s="106" t="s">
        <v>2086</v>
      </c>
      <c r="G219" s="106" t="s">
        <v>270</v>
      </c>
      <c r="H219" s="106" t="s">
        <v>726</v>
      </c>
      <c r="I219" s="106">
        <v>114</v>
      </c>
      <c r="J219" s="106"/>
    </row>
    <row r="220" spans="1:10" x14ac:dyDescent="0.2">
      <c r="A220" s="106" t="s">
        <v>357</v>
      </c>
      <c r="B220" s="106" t="s">
        <v>327</v>
      </c>
      <c r="C220" s="106" t="s">
        <v>264</v>
      </c>
      <c r="D220" s="106" t="s">
        <v>265</v>
      </c>
      <c r="E220">
        <v>5486</v>
      </c>
      <c r="F220" s="106" t="s">
        <v>1703</v>
      </c>
      <c r="G220" s="106" t="s">
        <v>266</v>
      </c>
      <c r="H220" s="106" t="s">
        <v>726</v>
      </c>
      <c r="I220" t="s">
        <v>518</v>
      </c>
      <c r="J220" t="s">
        <v>4888</v>
      </c>
    </row>
    <row r="221" spans="1:10" x14ac:dyDescent="0.2">
      <c r="A221" s="106" t="s">
        <v>357</v>
      </c>
      <c r="B221" s="106" t="s">
        <v>327</v>
      </c>
      <c r="C221" s="106" t="s">
        <v>264</v>
      </c>
      <c r="D221" s="106" t="s">
        <v>265</v>
      </c>
      <c r="E221">
        <v>5603</v>
      </c>
      <c r="F221" s="106" t="s">
        <v>2087</v>
      </c>
      <c r="G221" s="106" t="s">
        <v>266</v>
      </c>
      <c r="H221" s="106" t="s">
        <v>726</v>
      </c>
      <c r="I221">
        <v>48</v>
      </c>
    </row>
    <row r="222" spans="1:10" x14ac:dyDescent="0.2">
      <c r="A222" s="106" t="s">
        <v>357</v>
      </c>
      <c r="B222" s="106" t="s">
        <v>327</v>
      </c>
      <c r="C222" s="106" t="s">
        <v>264</v>
      </c>
      <c r="D222" s="106" t="s">
        <v>265</v>
      </c>
      <c r="E222">
        <v>5659</v>
      </c>
      <c r="F222" s="106" t="s">
        <v>2088</v>
      </c>
      <c r="G222" s="106" t="s">
        <v>266</v>
      </c>
      <c r="H222" s="106" t="s">
        <v>726</v>
      </c>
      <c r="I222">
        <v>237</v>
      </c>
    </row>
    <row r="223" spans="1:10" x14ac:dyDescent="0.2">
      <c r="A223" s="106" t="s">
        <v>357</v>
      </c>
      <c r="B223" s="106" t="s">
        <v>327</v>
      </c>
      <c r="C223" s="106" t="s">
        <v>264</v>
      </c>
      <c r="D223" s="106" t="s">
        <v>269</v>
      </c>
      <c r="E223">
        <v>5781</v>
      </c>
      <c r="F223" s="106" t="s">
        <v>2089</v>
      </c>
      <c r="G223" s="106" t="s">
        <v>274</v>
      </c>
      <c r="H223" s="106" t="s">
        <v>373</v>
      </c>
      <c r="I223" s="106">
        <v>23</v>
      </c>
      <c r="J223" s="106"/>
    </row>
    <row r="224" spans="1:10" x14ac:dyDescent="0.2">
      <c r="A224" s="106" t="s">
        <v>357</v>
      </c>
      <c r="B224" s="106" t="s">
        <v>327</v>
      </c>
      <c r="C224" s="106" t="s">
        <v>268</v>
      </c>
      <c r="D224" s="106" t="s">
        <v>265</v>
      </c>
      <c r="E224">
        <v>6080</v>
      </c>
      <c r="F224" s="106" t="s">
        <v>2090</v>
      </c>
      <c r="G224" s="106" t="s">
        <v>266</v>
      </c>
      <c r="H224" s="106" t="s">
        <v>271</v>
      </c>
      <c r="I224" s="106" t="s">
        <v>297</v>
      </c>
      <c r="J224" s="106" t="s">
        <v>4365</v>
      </c>
    </row>
    <row r="225" spans="1:10" x14ac:dyDescent="0.2">
      <c r="A225" s="106" t="s">
        <v>357</v>
      </c>
      <c r="B225" s="106" t="s">
        <v>327</v>
      </c>
      <c r="C225" s="106" t="s">
        <v>264</v>
      </c>
      <c r="D225" s="106" t="s">
        <v>265</v>
      </c>
      <c r="E225">
        <v>6256</v>
      </c>
      <c r="F225" s="106" t="s">
        <v>2091</v>
      </c>
      <c r="G225" s="106" t="s">
        <v>270</v>
      </c>
      <c r="H225" s="106" t="s">
        <v>287</v>
      </c>
      <c r="I225" s="106" t="s">
        <v>297</v>
      </c>
      <c r="J225" s="106" t="s">
        <v>4889</v>
      </c>
    </row>
    <row r="226" spans="1:10" x14ac:dyDescent="0.2">
      <c r="A226" s="106" t="s">
        <v>357</v>
      </c>
      <c r="B226" s="106" t="s">
        <v>327</v>
      </c>
      <c r="C226" s="106" t="s">
        <v>264</v>
      </c>
      <c r="D226" s="106" t="s">
        <v>265</v>
      </c>
      <c r="E226">
        <v>6257</v>
      </c>
      <c r="F226" s="106" t="s">
        <v>1706</v>
      </c>
      <c r="G226" s="106" t="s">
        <v>270</v>
      </c>
      <c r="H226" s="106" t="s">
        <v>287</v>
      </c>
      <c r="I226" s="106">
        <v>245</v>
      </c>
      <c r="J226" s="106"/>
    </row>
    <row r="227" spans="1:10" x14ac:dyDescent="0.2">
      <c r="A227" s="106" t="s">
        <v>357</v>
      </c>
      <c r="B227" s="106" t="s">
        <v>327</v>
      </c>
      <c r="C227" s="106" t="s">
        <v>264</v>
      </c>
      <c r="D227" s="106" t="s">
        <v>265</v>
      </c>
      <c r="E227">
        <v>6262</v>
      </c>
      <c r="F227" s="106" t="s">
        <v>2092</v>
      </c>
      <c r="G227" s="106" t="s">
        <v>266</v>
      </c>
      <c r="H227" s="106" t="s">
        <v>287</v>
      </c>
      <c r="I227" s="106">
        <v>126</v>
      </c>
      <c r="J227" s="106"/>
    </row>
    <row r="228" spans="1:10" x14ac:dyDescent="0.2">
      <c r="A228" s="106" t="s">
        <v>357</v>
      </c>
      <c r="B228" s="106" t="s">
        <v>327</v>
      </c>
      <c r="C228" s="106" t="s">
        <v>264</v>
      </c>
      <c r="D228" s="106" t="s">
        <v>265</v>
      </c>
      <c r="E228">
        <v>6345</v>
      </c>
      <c r="F228" s="106" t="s">
        <v>2093</v>
      </c>
      <c r="G228" s="106" t="s">
        <v>266</v>
      </c>
      <c r="H228" s="106" t="s">
        <v>287</v>
      </c>
      <c r="I228" s="106">
        <v>631</v>
      </c>
      <c r="J228" s="106"/>
    </row>
    <row r="229" spans="1:10" x14ac:dyDescent="0.2">
      <c r="A229" s="106" t="s">
        <v>357</v>
      </c>
      <c r="B229" s="106" t="s">
        <v>327</v>
      </c>
      <c r="C229" s="106" t="s">
        <v>264</v>
      </c>
      <c r="D229" s="106" t="s">
        <v>265</v>
      </c>
      <c r="E229">
        <v>6454</v>
      </c>
      <c r="F229" s="106" t="s">
        <v>2094</v>
      </c>
      <c r="G229" s="106" t="s">
        <v>266</v>
      </c>
      <c r="H229" s="106" t="s">
        <v>287</v>
      </c>
      <c r="I229" s="106" t="s">
        <v>297</v>
      </c>
      <c r="J229" s="106" t="s">
        <v>4267</v>
      </c>
    </row>
    <row r="230" spans="1:10" x14ac:dyDescent="0.2">
      <c r="A230" s="106" t="s">
        <v>357</v>
      </c>
      <c r="B230" s="106" t="s">
        <v>327</v>
      </c>
      <c r="C230" s="106" t="s">
        <v>264</v>
      </c>
      <c r="D230" s="106" t="s">
        <v>265</v>
      </c>
      <c r="E230">
        <v>6471</v>
      </c>
      <c r="F230" s="106" t="s">
        <v>1628</v>
      </c>
      <c r="G230" s="106" t="s">
        <v>266</v>
      </c>
      <c r="H230" s="106" t="s">
        <v>287</v>
      </c>
      <c r="I230" t="s">
        <v>283</v>
      </c>
      <c r="J230" t="s">
        <v>4712</v>
      </c>
    </row>
    <row r="231" spans="1:10" x14ac:dyDescent="0.2">
      <c r="A231" s="106" t="s">
        <v>357</v>
      </c>
      <c r="B231" s="106" t="s">
        <v>327</v>
      </c>
      <c r="C231" s="106" t="s">
        <v>264</v>
      </c>
      <c r="D231" s="106" t="s">
        <v>265</v>
      </c>
      <c r="E231">
        <v>6498</v>
      </c>
      <c r="F231" s="106" t="s">
        <v>2095</v>
      </c>
      <c r="G231" s="106" t="s">
        <v>266</v>
      </c>
      <c r="H231" s="106" t="s">
        <v>287</v>
      </c>
      <c r="I231" s="106">
        <v>750</v>
      </c>
      <c r="J231" s="106"/>
    </row>
    <row r="232" spans="1:10" x14ac:dyDescent="0.2">
      <c r="A232" s="106" t="s">
        <v>357</v>
      </c>
      <c r="B232" s="106" t="s">
        <v>327</v>
      </c>
      <c r="C232" s="106" t="s">
        <v>264</v>
      </c>
      <c r="D232" s="106" t="s">
        <v>265</v>
      </c>
      <c r="E232">
        <v>6504</v>
      </c>
      <c r="F232" s="106" t="s">
        <v>2096</v>
      </c>
      <c r="G232" s="106" t="s">
        <v>266</v>
      </c>
      <c r="H232" s="106" t="s">
        <v>291</v>
      </c>
      <c r="I232" s="106" t="s">
        <v>283</v>
      </c>
      <c r="J232" s="106" t="s">
        <v>4617</v>
      </c>
    </row>
    <row r="233" spans="1:10" x14ac:dyDescent="0.2">
      <c r="A233" s="106" t="s">
        <v>357</v>
      </c>
      <c r="B233" s="106" t="s">
        <v>327</v>
      </c>
      <c r="C233" s="106" t="s">
        <v>264</v>
      </c>
      <c r="D233" s="106" t="s">
        <v>265</v>
      </c>
      <c r="E233">
        <v>6508</v>
      </c>
      <c r="F233" s="106" t="s">
        <v>2097</v>
      </c>
      <c r="G233" s="106" t="s">
        <v>266</v>
      </c>
      <c r="H233" s="106" t="s">
        <v>291</v>
      </c>
      <c r="I233" s="106" t="s">
        <v>297</v>
      </c>
      <c r="J233" s="106" t="s">
        <v>4645</v>
      </c>
    </row>
    <row r="234" spans="1:10" x14ac:dyDescent="0.2">
      <c r="A234" s="106" t="s">
        <v>357</v>
      </c>
      <c r="B234" s="106" t="s">
        <v>327</v>
      </c>
      <c r="C234" s="106" t="s">
        <v>264</v>
      </c>
      <c r="D234" s="106" t="s">
        <v>265</v>
      </c>
      <c r="E234">
        <v>6516</v>
      </c>
      <c r="F234" s="106" t="s">
        <v>2098</v>
      </c>
      <c r="G234" s="106" t="s">
        <v>266</v>
      </c>
      <c r="H234" s="106" t="s">
        <v>291</v>
      </c>
      <c r="I234" s="106">
        <v>720</v>
      </c>
      <c r="J234" s="106"/>
    </row>
    <row r="235" spans="1:10" x14ac:dyDescent="0.2">
      <c r="A235" s="106" t="s">
        <v>357</v>
      </c>
      <c r="B235" s="106" t="s">
        <v>327</v>
      </c>
      <c r="C235" s="106" t="s">
        <v>264</v>
      </c>
      <c r="D235" s="106" t="s">
        <v>265</v>
      </c>
      <c r="E235">
        <v>6586</v>
      </c>
      <c r="F235" s="106" t="s">
        <v>2099</v>
      </c>
      <c r="G235" s="106" t="s">
        <v>266</v>
      </c>
      <c r="H235" s="106" t="s">
        <v>287</v>
      </c>
      <c r="I235" s="106" t="s">
        <v>490</v>
      </c>
      <c r="J235" s="106" t="s">
        <v>4890</v>
      </c>
    </row>
    <row r="236" spans="1:10" x14ac:dyDescent="0.2">
      <c r="A236" s="106" t="s">
        <v>357</v>
      </c>
      <c r="B236" s="106" t="s">
        <v>327</v>
      </c>
      <c r="C236" s="106" t="s">
        <v>264</v>
      </c>
      <c r="D236" s="106" t="s">
        <v>265</v>
      </c>
      <c r="E236">
        <v>6702</v>
      </c>
      <c r="F236" s="106" t="s">
        <v>4434</v>
      </c>
      <c r="G236" s="106" t="s">
        <v>266</v>
      </c>
      <c r="H236" s="106" t="s">
        <v>291</v>
      </c>
      <c r="I236" s="106" t="s">
        <v>1783</v>
      </c>
      <c r="J236" s="106" t="s">
        <v>4317</v>
      </c>
    </row>
    <row r="237" spans="1:10" x14ac:dyDescent="0.2">
      <c r="A237" s="106" t="s">
        <v>357</v>
      </c>
      <c r="B237" s="106" t="s">
        <v>327</v>
      </c>
      <c r="C237" s="106" t="s">
        <v>264</v>
      </c>
      <c r="D237" s="106" t="s">
        <v>265</v>
      </c>
      <c r="E237">
        <v>6754</v>
      </c>
      <c r="F237" s="106" t="s">
        <v>2100</v>
      </c>
      <c r="G237" s="106" t="s">
        <v>266</v>
      </c>
      <c r="H237" s="106" t="s">
        <v>291</v>
      </c>
      <c r="I237" s="106" t="s">
        <v>289</v>
      </c>
      <c r="J237" s="106" t="s">
        <v>4629</v>
      </c>
    </row>
    <row r="238" spans="1:10" x14ac:dyDescent="0.2">
      <c r="A238" s="106" t="s">
        <v>357</v>
      </c>
      <c r="B238" s="106" t="s">
        <v>327</v>
      </c>
      <c r="C238" s="106" t="s">
        <v>264</v>
      </c>
      <c r="D238" s="106" t="s">
        <v>265</v>
      </c>
      <c r="E238">
        <v>6770</v>
      </c>
      <c r="F238" s="106" t="s">
        <v>2101</v>
      </c>
      <c r="G238" s="106" t="s">
        <v>266</v>
      </c>
      <c r="H238" s="106" t="s">
        <v>291</v>
      </c>
      <c r="I238" s="106" t="s">
        <v>283</v>
      </c>
      <c r="J238" s="106" t="s">
        <v>4642</v>
      </c>
    </row>
    <row r="239" spans="1:10" x14ac:dyDescent="0.2">
      <c r="A239" s="106" t="s">
        <v>357</v>
      </c>
      <c r="B239" s="106" t="s">
        <v>327</v>
      </c>
      <c r="C239" s="106" t="s">
        <v>264</v>
      </c>
      <c r="D239" s="106" t="s">
        <v>265</v>
      </c>
      <c r="E239">
        <v>6788</v>
      </c>
      <c r="F239" s="106" t="s">
        <v>479</v>
      </c>
      <c r="G239" s="106" t="s">
        <v>266</v>
      </c>
      <c r="H239" s="106" t="s">
        <v>291</v>
      </c>
      <c r="I239" s="106">
        <v>406</v>
      </c>
      <c r="J239" s="106"/>
    </row>
    <row r="240" spans="1:10" x14ac:dyDescent="0.2">
      <c r="A240" s="106" t="s">
        <v>357</v>
      </c>
      <c r="B240" s="106" t="s">
        <v>327</v>
      </c>
      <c r="C240" s="106" t="s">
        <v>264</v>
      </c>
      <c r="D240" s="106" t="s">
        <v>265</v>
      </c>
      <c r="E240">
        <v>6794</v>
      </c>
      <c r="F240" s="106" t="s">
        <v>1707</v>
      </c>
      <c r="G240" s="106" t="s">
        <v>266</v>
      </c>
      <c r="H240" s="106" t="s">
        <v>291</v>
      </c>
      <c r="I240" s="106">
        <v>494</v>
      </c>
      <c r="J240" s="106"/>
    </row>
    <row r="241" spans="1:10" x14ac:dyDescent="0.2">
      <c r="A241" s="106" t="s">
        <v>357</v>
      </c>
      <c r="B241" s="106" t="s">
        <v>327</v>
      </c>
      <c r="C241" s="106" t="s">
        <v>264</v>
      </c>
      <c r="D241" s="106" t="s">
        <v>265</v>
      </c>
      <c r="E241">
        <v>6810</v>
      </c>
      <c r="F241" s="106" t="s">
        <v>2102</v>
      </c>
      <c r="G241" s="106" t="s">
        <v>266</v>
      </c>
      <c r="H241" s="106" t="s">
        <v>291</v>
      </c>
      <c r="I241" s="106">
        <v>827</v>
      </c>
      <c r="J241" s="106"/>
    </row>
    <row r="242" spans="1:10" x14ac:dyDescent="0.2">
      <c r="A242" s="106" t="s">
        <v>357</v>
      </c>
      <c r="B242" s="106" t="s">
        <v>327</v>
      </c>
      <c r="C242" s="106" t="s">
        <v>264</v>
      </c>
      <c r="D242" s="106" t="s">
        <v>265</v>
      </c>
      <c r="E242">
        <v>6823</v>
      </c>
      <c r="F242" s="106" t="s">
        <v>2103</v>
      </c>
      <c r="G242" s="106" t="s">
        <v>266</v>
      </c>
      <c r="H242" s="106" t="s">
        <v>291</v>
      </c>
      <c r="I242" s="106">
        <v>465</v>
      </c>
      <c r="J242" s="106"/>
    </row>
    <row r="243" spans="1:10" x14ac:dyDescent="0.2">
      <c r="A243" s="106" t="s">
        <v>357</v>
      </c>
      <c r="B243" s="106" t="s">
        <v>327</v>
      </c>
      <c r="C243" s="106" t="s">
        <v>264</v>
      </c>
      <c r="D243" s="106" t="s">
        <v>265</v>
      </c>
      <c r="E243">
        <v>6826</v>
      </c>
      <c r="F243" s="106" t="s">
        <v>2104</v>
      </c>
      <c r="G243" s="106" t="s">
        <v>266</v>
      </c>
      <c r="H243" s="106" t="s">
        <v>291</v>
      </c>
      <c r="I243" s="106">
        <v>145</v>
      </c>
      <c r="J243" s="106"/>
    </row>
    <row r="244" spans="1:10" x14ac:dyDescent="0.2">
      <c r="A244" s="106" t="s">
        <v>357</v>
      </c>
      <c r="B244" s="106" t="s">
        <v>327</v>
      </c>
      <c r="C244" s="106" t="s">
        <v>264</v>
      </c>
      <c r="D244" s="106" t="s">
        <v>265</v>
      </c>
      <c r="E244">
        <v>6882</v>
      </c>
      <c r="F244" s="106" t="s">
        <v>2105</v>
      </c>
      <c r="G244" s="106" t="s">
        <v>274</v>
      </c>
      <c r="H244" s="106" t="s">
        <v>291</v>
      </c>
      <c r="I244" s="106">
        <v>131</v>
      </c>
      <c r="J244" s="106"/>
    </row>
    <row r="245" spans="1:10" x14ac:dyDescent="0.2">
      <c r="A245" s="106" t="s">
        <v>357</v>
      </c>
      <c r="B245" s="106" t="s">
        <v>327</v>
      </c>
      <c r="C245" s="106" t="s">
        <v>264</v>
      </c>
      <c r="D245" s="106" t="s">
        <v>265</v>
      </c>
      <c r="E245">
        <v>6923</v>
      </c>
      <c r="F245" s="106" t="s">
        <v>2106</v>
      </c>
      <c r="G245" s="106" t="s">
        <v>266</v>
      </c>
      <c r="H245" s="106" t="s">
        <v>291</v>
      </c>
      <c r="I245" s="106" t="s">
        <v>283</v>
      </c>
      <c r="J245" s="106" t="s">
        <v>4885</v>
      </c>
    </row>
    <row r="246" spans="1:10" x14ac:dyDescent="0.2">
      <c r="A246" s="106" t="s">
        <v>357</v>
      </c>
      <c r="B246" s="106" t="s">
        <v>327</v>
      </c>
      <c r="C246" s="106" t="s">
        <v>264</v>
      </c>
      <c r="D246" s="106" t="s">
        <v>265</v>
      </c>
      <c r="E246">
        <v>6952</v>
      </c>
      <c r="F246" s="106" t="s">
        <v>2107</v>
      </c>
      <c r="G246" s="106" t="s">
        <v>266</v>
      </c>
      <c r="H246" s="106" t="s">
        <v>291</v>
      </c>
      <c r="I246" s="106" t="s">
        <v>283</v>
      </c>
      <c r="J246" s="106" t="s">
        <v>4891</v>
      </c>
    </row>
    <row r="247" spans="1:10" x14ac:dyDescent="0.2">
      <c r="A247" s="106" t="s">
        <v>357</v>
      </c>
      <c r="B247" s="106" t="s">
        <v>327</v>
      </c>
      <c r="C247" s="106" t="s">
        <v>264</v>
      </c>
      <c r="D247" s="106" t="s">
        <v>265</v>
      </c>
      <c r="E247">
        <v>6967</v>
      </c>
      <c r="F247" s="106" t="s">
        <v>2108</v>
      </c>
      <c r="G247" s="106" t="s">
        <v>266</v>
      </c>
      <c r="H247" s="106" t="s">
        <v>291</v>
      </c>
      <c r="I247" s="106" t="s">
        <v>297</v>
      </c>
      <c r="J247" s="106" t="s">
        <v>4311</v>
      </c>
    </row>
    <row r="248" spans="1:10" x14ac:dyDescent="0.2">
      <c r="A248" s="106" t="s">
        <v>357</v>
      </c>
      <c r="B248" s="106" t="s">
        <v>327</v>
      </c>
      <c r="C248" s="106" t="s">
        <v>264</v>
      </c>
      <c r="D248" s="106" t="s">
        <v>265</v>
      </c>
      <c r="E248">
        <v>6971</v>
      </c>
      <c r="F248" s="106" t="s">
        <v>2109</v>
      </c>
      <c r="G248" s="106" t="s">
        <v>266</v>
      </c>
      <c r="H248" s="106" t="s">
        <v>291</v>
      </c>
      <c r="I248" s="106" t="s">
        <v>4892</v>
      </c>
      <c r="J248" s="106" t="s">
        <v>4300</v>
      </c>
    </row>
    <row r="249" spans="1:10" x14ac:dyDescent="0.2">
      <c r="A249" s="106" t="s">
        <v>357</v>
      </c>
      <c r="B249" s="106" t="s">
        <v>327</v>
      </c>
      <c r="C249" s="106" t="s">
        <v>264</v>
      </c>
      <c r="D249" s="106" t="s">
        <v>265</v>
      </c>
      <c r="E249">
        <v>6973</v>
      </c>
      <c r="F249" s="106" t="s">
        <v>2110</v>
      </c>
      <c r="G249" s="106" t="s">
        <v>266</v>
      </c>
      <c r="H249" s="106" t="s">
        <v>272</v>
      </c>
      <c r="I249" s="106">
        <v>47</v>
      </c>
      <c r="J249" s="106"/>
    </row>
    <row r="250" spans="1:10" x14ac:dyDescent="0.2">
      <c r="A250" s="106" t="s">
        <v>357</v>
      </c>
      <c r="B250" s="106" t="s">
        <v>327</v>
      </c>
      <c r="C250" s="106" t="s">
        <v>264</v>
      </c>
      <c r="D250" s="106" t="s">
        <v>269</v>
      </c>
      <c r="E250">
        <v>7175</v>
      </c>
      <c r="F250" s="106" t="s">
        <v>2111</v>
      </c>
      <c r="G250" s="106" t="s">
        <v>270</v>
      </c>
      <c r="H250" s="106" t="s">
        <v>1448</v>
      </c>
      <c r="I250" s="106">
        <v>27</v>
      </c>
      <c r="J250" s="106"/>
    </row>
    <row r="251" spans="1:10" x14ac:dyDescent="0.2">
      <c r="A251" s="106" t="s">
        <v>357</v>
      </c>
      <c r="B251" s="106" t="s">
        <v>327</v>
      </c>
      <c r="C251" s="106" t="s">
        <v>264</v>
      </c>
      <c r="D251" s="106" t="s">
        <v>265</v>
      </c>
      <c r="E251">
        <v>7283</v>
      </c>
      <c r="F251" s="106" t="s">
        <v>2112</v>
      </c>
      <c r="G251" s="106" t="s">
        <v>266</v>
      </c>
      <c r="H251" s="106" t="s">
        <v>296</v>
      </c>
      <c r="I251">
        <v>478</v>
      </c>
    </row>
    <row r="252" spans="1:10" x14ac:dyDescent="0.2">
      <c r="A252" s="106" t="s">
        <v>357</v>
      </c>
      <c r="B252" s="106" t="s">
        <v>327</v>
      </c>
      <c r="C252" s="106" t="s">
        <v>264</v>
      </c>
      <c r="D252" s="106" t="s">
        <v>265</v>
      </c>
      <c r="E252">
        <v>7313</v>
      </c>
      <c r="F252" s="106" t="s">
        <v>2113</v>
      </c>
      <c r="G252" s="106" t="s">
        <v>266</v>
      </c>
      <c r="H252" s="106" t="s">
        <v>296</v>
      </c>
      <c r="I252" t="s">
        <v>289</v>
      </c>
      <c r="J252" t="s">
        <v>4893</v>
      </c>
    </row>
    <row r="253" spans="1:10" x14ac:dyDescent="0.2">
      <c r="A253" s="106" t="s">
        <v>357</v>
      </c>
      <c r="B253" s="106" t="s">
        <v>327</v>
      </c>
      <c r="C253" s="106" t="s">
        <v>264</v>
      </c>
      <c r="D253" s="106" t="s">
        <v>265</v>
      </c>
      <c r="E253">
        <v>7464</v>
      </c>
      <c r="F253" s="106" t="s">
        <v>2114</v>
      </c>
      <c r="G253" s="106" t="s">
        <v>270</v>
      </c>
      <c r="H253" s="106" t="s">
        <v>272</v>
      </c>
      <c r="I253" s="106">
        <v>44</v>
      </c>
      <c r="J253" s="106"/>
    </row>
    <row r="254" spans="1:10" x14ac:dyDescent="0.2">
      <c r="A254" s="106" t="s">
        <v>357</v>
      </c>
      <c r="B254" s="106" t="s">
        <v>327</v>
      </c>
      <c r="C254" s="106" t="s">
        <v>264</v>
      </c>
      <c r="D254" s="106" t="s">
        <v>265</v>
      </c>
      <c r="E254">
        <v>7518</v>
      </c>
      <c r="F254" s="106" t="s">
        <v>2115</v>
      </c>
      <c r="G254" s="106" t="s">
        <v>266</v>
      </c>
      <c r="H254" s="106" t="s">
        <v>277</v>
      </c>
      <c r="I254" s="106" t="s">
        <v>289</v>
      </c>
      <c r="J254" s="106" t="s">
        <v>4894</v>
      </c>
    </row>
    <row r="255" spans="1:10" x14ac:dyDescent="0.2">
      <c r="A255" s="106" t="s">
        <v>357</v>
      </c>
      <c r="B255" s="106" t="s">
        <v>327</v>
      </c>
      <c r="C255" s="106" t="s">
        <v>264</v>
      </c>
      <c r="D255" s="106" t="s">
        <v>265</v>
      </c>
      <c r="E255">
        <v>7559</v>
      </c>
      <c r="F255" s="106" t="s">
        <v>2116</v>
      </c>
      <c r="G255" s="106" t="s">
        <v>270</v>
      </c>
      <c r="H255" s="106" t="s">
        <v>272</v>
      </c>
      <c r="I255" s="106">
        <v>87</v>
      </c>
      <c r="J255" s="106"/>
    </row>
    <row r="256" spans="1:10" x14ac:dyDescent="0.2">
      <c r="A256" s="106" t="s">
        <v>357</v>
      </c>
      <c r="B256" s="106" t="s">
        <v>327</v>
      </c>
      <c r="C256" s="106" t="s">
        <v>264</v>
      </c>
      <c r="D256" s="106" t="s">
        <v>269</v>
      </c>
      <c r="E256">
        <v>7774</v>
      </c>
      <c r="F256" s="106" t="s">
        <v>1708</v>
      </c>
      <c r="G256" s="106" t="s">
        <v>270</v>
      </c>
      <c r="H256" s="106" t="s">
        <v>342</v>
      </c>
      <c r="I256" s="106">
        <v>374</v>
      </c>
      <c r="J256" s="106"/>
    </row>
    <row r="257" spans="1:10" x14ac:dyDescent="0.2">
      <c r="A257" s="106" t="s">
        <v>357</v>
      </c>
      <c r="B257" s="106" t="s">
        <v>327</v>
      </c>
      <c r="C257" s="106" t="s">
        <v>264</v>
      </c>
      <c r="D257" s="106" t="s">
        <v>265</v>
      </c>
      <c r="E257">
        <v>7943</v>
      </c>
      <c r="F257" s="106" t="s">
        <v>2117</v>
      </c>
      <c r="G257" s="106" t="s">
        <v>266</v>
      </c>
      <c r="H257" s="106" t="s">
        <v>308</v>
      </c>
      <c r="I257">
        <v>952</v>
      </c>
    </row>
    <row r="258" spans="1:10" x14ac:dyDescent="0.2">
      <c r="A258" s="106" t="s">
        <v>357</v>
      </c>
      <c r="B258" s="106" t="s">
        <v>327</v>
      </c>
      <c r="C258" s="106" t="s">
        <v>264</v>
      </c>
      <c r="D258" s="106" t="s">
        <v>265</v>
      </c>
      <c r="E258">
        <v>7945</v>
      </c>
      <c r="F258" s="106" t="s">
        <v>2118</v>
      </c>
      <c r="G258" s="106" t="s">
        <v>274</v>
      </c>
      <c r="H258" s="106" t="s">
        <v>288</v>
      </c>
      <c r="I258" s="106">
        <v>132</v>
      </c>
      <c r="J258" s="106"/>
    </row>
    <row r="259" spans="1:10" x14ac:dyDescent="0.2">
      <c r="A259" s="106" t="s">
        <v>357</v>
      </c>
      <c r="B259" s="106" t="s">
        <v>327</v>
      </c>
      <c r="C259" s="106" t="s">
        <v>264</v>
      </c>
      <c r="D259" s="106" t="s">
        <v>265</v>
      </c>
      <c r="E259">
        <v>8035</v>
      </c>
      <c r="F259" s="106" t="s">
        <v>2119</v>
      </c>
      <c r="G259" s="106" t="s">
        <v>266</v>
      </c>
      <c r="H259" s="106" t="s">
        <v>291</v>
      </c>
      <c r="I259" s="106" t="s">
        <v>2010</v>
      </c>
      <c r="J259" s="106" t="s">
        <v>4895</v>
      </c>
    </row>
    <row r="260" spans="1:10" x14ac:dyDescent="0.2">
      <c r="A260" s="106" t="s">
        <v>357</v>
      </c>
      <c r="B260" s="106" t="s">
        <v>327</v>
      </c>
      <c r="C260" s="106" t="s">
        <v>264</v>
      </c>
      <c r="D260" s="106" t="s">
        <v>265</v>
      </c>
      <c r="E260">
        <v>8044</v>
      </c>
      <c r="F260" s="106" t="s">
        <v>2120</v>
      </c>
      <c r="G260" s="106" t="s">
        <v>274</v>
      </c>
      <c r="H260" s="106" t="s">
        <v>272</v>
      </c>
      <c r="I260" s="106">
        <v>31</v>
      </c>
      <c r="J260" s="106"/>
    </row>
    <row r="261" spans="1:10" x14ac:dyDescent="0.2">
      <c r="A261" s="106" t="s">
        <v>357</v>
      </c>
      <c r="B261" s="106" t="s">
        <v>327</v>
      </c>
      <c r="C261" s="106" t="s">
        <v>264</v>
      </c>
      <c r="D261" s="106" t="s">
        <v>265</v>
      </c>
      <c r="E261">
        <v>8303</v>
      </c>
      <c r="F261" s="106" t="s">
        <v>2121</v>
      </c>
      <c r="G261" s="106" t="s">
        <v>266</v>
      </c>
      <c r="H261" s="106" t="s">
        <v>484</v>
      </c>
      <c r="I261" s="106" t="s">
        <v>316</v>
      </c>
      <c r="J261" s="106" t="s">
        <v>4634</v>
      </c>
    </row>
    <row r="262" spans="1:10" x14ac:dyDescent="0.2">
      <c r="A262" s="106" t="s">
        <v>357</v>
      </c>
      <c r="B262" s="106" t="s">
        <v>327</v>
      </c>
      <c r="C262" s="106" t="s">
        <v>264</v>
      </c>
      <c r="D262" s="106" t="s">
        <v>265</v>
      </c>
      <c r="E262">
        <v>8341</v>
      </c>
      <c r="F262" s="106" t="s">
        <v>2122</v>
      </c>
      <c r="G262" s="106" t="s">
        <v>266</v>
      </c>
      <c r="H262" s="106" t="s">
        <v>484</v>
      </c>
      <c r="I262" s="106" t="s">
        <v>297</v>
      </c>
      <c r="J262" s="106" t="s">
        <v>4363</v>
      </c>
    </row>
    <row r="263" spans="1:10" x14ac:dyDescent="0.2">
      <c r="A263" s="106" t="s">
        <v>357</v>
      </c>
      <c r="B263" s="106" t="s">
        <v>327</v>
      </c>
      <c r="C263" s="106" t="s">
        <v>264</v>
      </c>
      <c r="D263" s="106" t="s">
        <v>265</v>
      </c>
      <c r="E263">
        <v>8363</v>
      </c>
      <c r="F263" s="106" t="s">
        <v>2123</v>
      </c>
      <c r="G263" s="106" t="s">
        <v>266</v>
      </c>
      <c r="H263" s="106" t="s">
        <v>484</v>
      </c>
      <c r="I263" s="106">
        <v>948</v>
      </c>
      <c r="J263" s="106"/>
    </row>
    <row r="264" spans="1:10" x14ac:dyDescent="0.2">
      <c r="A264" s="106" t="s">
        <v>357</v>
      </c>
      <c r="B264" s="106" t="s">
        <v>327</v>
      </c>
      <c r="C264" s="106" t="s">
        <v>264</v>
      </c>
      <c r="D264" s="106" t="s">
        <v>265</v>
      </c>
      <c r="E264">
        <v>8366</v>
      </c>
      <c r="F264" s="106" t="s">
        <v>4436</v>
      </c>
      <c r="G264" s="106" t="s">
        <v>266</v>
      </c>
      <c r="H264" s="106" t="s">
        <v>484</v>
      </c>
      <c r="I264" s="106" t="s">
        <v>297</v>
      </c>
      <c r="J264" s="106" t="s">
        <v>4896</v>
      </c>
    </row>
    <row r="265" spans="1:10" x14ac:dyDescent="0.2">
      <c r="A265" s="106" t="s">
        <v>357</v>
      </c>
      <c r="B265" s="106" t="s">
        <v>327</v>
      </c>
      <c r="C265" s="106" t="s">
        <v>264</v>
      </c>
      <c r="D265" s="106" t="s">
        <v>265</v>
      </c>
      <c r="E265">
        <v>8382</v>
      </c>
      <c r="F265" s="106" t="s">
        <v>2124</v>
      </c>
      <c r="G265" s="106" t="s">
        <v>266</v>
      </c>
      <c r="H265" s="106" t="s">
        <v>484</v>
      </c>
      <c r="I265" s="106" t="s">
        <v>289</v>
      </c>
      <c r="J265" s="106" t="s">
        <v>4623</v>
      </c>
    </row>
    <row r="266" spans="1:10" x14ac:dyDescent="0.2">
      <c r="A266" s="106" t="s">
        <v>357</v>
      </c>
      <c r="B266" s="106" t="s">
        <v>327</v>
      </c>
      <c r="C266" s="106" t="s">
        <v>264</v>
      </c>
      <c r="D266" s="106" t="s">
        <v>265</v>
      </c>
      <c r="E266">
        <v>8383</v>
      </c>
      <c r="F266" s="106" t="s">
        <v>2125</v>
      </c>
      <c r="G266" s="106" t="s">
        <v>266</v>
      </c>
      <c r="H266" s="106" t="s">
        <v>484</v>
      </c>
      <c r="I266" s="106">
        <v>131</v>
      </c>
      <c r="J266" s="106"/>
    </row>
    <row r="267" spans="1:10" x14ac:dyDescent="0.2">
      <c r="A267" s="106" t="s">
        <v>357</v>
      </c>
      <c r="B267" s="106" t="s">
        <v>327</v>
      </c>
      <c r="C267" s="106" t="s">
        <v>264</v>
      </c>
      <c r="D267" s="106" t="s">
        <v>265</v>
      </c>
      <c r="E267">
        <v>8572</v>
      </c>
      <c r="F267" s="106" t="s">
        <v>1709</v>
      </c>
      <c r="G267" s="106" t="s">
        <v>266</v>
      </c>
      <c r="H267" s="106" t="s">
        <v>302</v>
      </c>
      <c r="I267" s="106" t="s">
        <v>343</v>
      </c>
      <c r="J267" s="106" t="s">
        <v>4627</v>
      </c>
    </row>
    <row r="268" spans="1:10" x14ac:dyDescent="0.2">
      <c r="A268" s="106" t="s">
        <v>357</v>
      </c>
      <c r="B268" s="106" t="s">
        <v>327</v>
      </c>
      <c r="C268" s="106" t="s">
        <v>264</v>
      </c>
      <c r="D268" s="106" t="s">
        <v>265</v>
      </c>
      <c r="E268">
        <v>8589</v>
      </c>
      <c r="F268" s="106" t="s">
        <v>2126</v>
      </c>
      <c r="G268" s="106" t="s">
        <v>266</v>
      </c>
      <c r="H268" s="106" t="s">
        <v>302</v>
      </c>
      <c r="I268" s="106" t="s">
        <v>297</v>
      </c>
      <c r="J268" s="106" t="s">
        <v>4897</v>
      </c>
    </row>
    <row r="269" spans="1:10" x14ac:dyDescent="0.2">
      <c r="A269" s="106" t="s">
        <v>357</v>
      </c>
      <c r="B269" s="106" t="s">
        <v>327</v>
      </c>
      <c r="C269" s="106" t="s">
        <v>264</v>
      </c>
      <c r="D269" s="106" t="s">
        <v>265</v>
      </c>
      <c r="E269">
        <v>8604</v>
      </c>
      <c r="F269" s="106" t="s">
        <v>2127</v>
      </c>
      <c r="G269" s="106" t="s">
        <v>266</v>
      </c>
      <c r="H269" s="106" t="s">
        <v>1448</v>
      </c>
      <c r="I269" s="106" t="s">
        <v>4357</v>
      </c>
      <c r="J269" s="106" t="s">
        <v>4898</v>
      </c>
    </row>
    <row r="270" spans="1:10" x14ac:dyDescent="0.2">
      <c r="A270" s="106" t="s">
        <v>357</v>
      </c>
      <c r="B270" s="106" t="s">
        <v>327</v>
      </c>
      <c r="C270" s="106" t="s">
        <v>264</v>
      </c>
      <c r="D270" s="106" t="s">
        <v>265</v>
      </c>
      <c r="E270">
        <v>8692</v>
      </c>
      <c r="F270" s="106" t="s">
        <v>2128</v>
      </c>
      <c r="G270" s="106" t="s">
        <v>266</v>
      </c>
      <c r="H270" s="106" t="s">
        <v>1448</v>
      </c>
      <c r="I270" s="106">
        <v>172</v>
      </c>
      <c r="J270" s="106"/>
    </row>
    <row r="271" spans="1:10" x14ac:dyDescent="0.2">
      <c r="A271" s="106" t="s">
        <v>357</v>
      </c>
      <c r="B271" s="106" t="s">
        <v>327</v>
      </c>
      <c r="C271" s="106" t="s">
        <v>264</v>
      </c>
      <c r="D271" s="106" t="s">
        <v>269</v>
      </c>
      <c r="E271">
        <v>8700</v>
      </c>
      <c r="F271" s="106" t="s">
        <v>2129</v>
      </c>
      <c r="G271" s="106" t="s">
        <v>270</v>
      </c>
      <c r="H271" s="106" t="s">
        <v>1448</v>
      </c>
      <c r="I271" s="106">
        <v>40</v>
      </c>
      <c r="J271" s="106"/>
    </row>
    <row r="272" spans="1:10" x14ac:dyDescent="0.2">
      <c r="A272" s="106" t="s">
        <v>357</v>
      </c>
      <c r="B272" s="106" t="s">
        <v>327</v>
      </c>
      <c r="C272" s="106" t="s">
        <v>264</v>
      </c>
      <c r="D272" s="106" t="s">
        <v>265</v>
      </c>
      <c r="E272">
        <v>8732</v>
      </c>
      <c r="F272" s="106" t="s">
        <v>2130</v>
      </c>
      <c r="G272" s="106" t="s">
        <v>266</v>
      </c>
      <c r="H272" s="106" t="s">
        <v>1448</v>
      </c>
      <c r="I272" s="106">
        <v>82</v>
      </c>
      <c r="J272" s="106"/>
    </row>
    <row r="273" spans="1:10" x14ac:dyDescent="0.2">
      <c r="A273" s="106" t="s">
        <v>357</v>
      </c>
      <c r="B273" s="106" t="s">
        <v>327</v>
      </c>
      <c r="C273" s="106" t="s">
        <v>264</v>
      </c>
      <c r="D273" s="106" t="s">
        <v>265</v>
      </c>
      <c r="E273">
        <v>8793</v>
      </c>
      <c r="F273" s="106" t="s">
        <v>1711</v>
      </c>
      <c r="G273" s="106" t="s">
        <v>266</v>
      </c>
      <c r="H273" s="106" t="s">
        <v>302</v>
      </c>
      <c r="I273" s="106">
        <v>576</v>
      </c>
      <c r="J273" s="106"/>
    </row>
    <row r="274" spans="1:10" x14ac:dyDescent="0.2">
      <c r="A274" s="106" t="s">
        <v>357</v>
      </c>
      <c r="B274" s="106" t="s">
        <v>327</v>
      </c>
      <c r="C274" s="106" t="s">
        <v>264</v>
      </c>
      <c r="D274" s="106" t="s">
        <v>265</v>
      </c>
      <c r="E274">
        <v>8803</v>
      </c>
      <c r="F274" s="106" t="s">
        <v>2131</v>
      </c>
      <c r="G274" s="106" t="s">
        <v>266</v>
      </c>
      <c r="H274" s="106" t="s">
        <v>292</v>
      </c>
      <c r="I274" t="s">
        <v>297</v>
      </c>
      <c r="J274" t="s">
        <v>4412</v>
      </c>
    </row>
    <row r="275" spans="1:10" x14ac:dyDescent="0.2">
      <c r="A275" s="106" t="s">
        <v>357</v>
      </c>
      <c r="B275" s="106" t="s">
        <v>327</v>
      </c>
      <c r="C275" s="106" t="s">
        <v>264</v>
      </c>
      <c r="D275" s="106" t="s">
        <v>265</v>
      </c>
      <c r="E275">
        <v>8864</v>
      </c>
      <c r="F275" s="106" t="s">
        <v>2132</v>
      </c>
      <c r="G275" s="106" t="s">
        <v>266</v>
      </c>
      <c r="H275" s="106" t="s">
        <v>292</v>
      </c>
      <c r="I275" s="106">
        <v>299</v>
      </c>
      <c r="J275" s="106"/>
    </row>
    <row r="276" spans="1:10" x14ac:dyDescent="0.2">
      <c r="A276" s="106" t="s">
        <v>357</v>
      </c>
      <c r="B276" s="106" t="s">
        <v>327</v>
      </c>
      <c r="C276" s="106" t="s">
        <v>264</v>
      </c>
      <c r="D276" s="106" t="s">
        <v>265</v>
      </c>
      <c r="E276">
        <v>8871</v>
      </c>
      <c r="F276" s="106" t="s">
        <v>2133</v>
      </c>
      <c r="G276" s="106" t="s">
        <v>266</v>
      </c>
      <c r="H276" s="106" t="s">
        <v>292</v>
      </c>
      <c r="I276" s="106">
        <v>751</v>
      </c>
      <c r="J276" s="106"/>
    </row>
    <row r="277" spans="1:10" x14ac:dyDescent="0.2">
      <c r="A277" s="106" t="s">
        <v>357</v>
      </c>
      <c r="B277" s="106" t="s">
        <v>327</v>
      </c>
      <c r="C277" s="106" t="s">
        <v>264</v>
      </c>
      <c r="D277" s="106" t="s">
        <v>269</v>
      </c>
      <c r="E277">
        <v>8898</v>
      </c>
      <c r="F277" s="106" t="s">
        <v>2134</v>
      </c>
      <c r="G277" s="106" t="s">
        <v>270</v>
      </c>
      <c r="H277" s="106" t="s">
        <v>292</v>
      </c>
      <c r="I277" s="106">
        <v>147</v>
      </c>
      <c r="J277" s="106"/>
    </row>
    <row r="278" spans="1:10" x14ac:dyDescent="0.2">
      <c r="A278" s="106" t="s">
        <v>357</v>
      </c>
      <c r="B278" s="106" t="s">
        <v>327</v>
      </c>
      <c r="C278" s="106" t="s">
        <v>264</v>
      </c>
      <c r="D278" s="106" t="s">
        <v>265</v>
      </c>
      <c r="E278">
        <v>9020</v>
      </c>
      <c r="F278" s="106" t="s">
        <v>693</v>
      </c>
      <c r="G278" s="106" t="s">
        <v>266</v>
      </c>
      <c r="H278" s="106" t="s">
        <v>356</v>
      </c>
      <c r="I278" t="s">
        <v>694</v>
      </c>
      <c r="J278" t="s">
        <v>4532</v>
      </c>
    </row>
    <row r="279" spans="1:10" x14ac:dyDescent="0.2">
      <c r="A279" s="106" t="s">
        <v>357</v>
      </c>
      <c r="B279" s="106" t="s">
        <v>327</v>
      </c>
      <c r="C279" s="106" t="s">
        <v>264</v>
      </c>
      <c r="D279" s="106" t="s">
        <v>265</v>
      </c>
      <c r="E279">
        <v>9037</v>
      </c>
      <c r="F279" s="106" t="s">
        <v>362</v>
      </c>
      <c r="G279" s="106" t="s">
        <v>266</v>
      </c>
      <c r="H279" s="106" t="s">
        <v>356</v>
      </c>
      <c r="I279">
        <v>679</v>
      </c>
    </row>
    <row r="280" spans="1:10" x14ac:dyDescent="0.2">
      <c r="A280" s="106" t="s">
        <v>357</v>
      </c>
      <c r="B280" s="106" t="s">
        <v>327</v>
      </c>
      <c r="C280" s="106" t="s">
        <v>264</v>
      </c>
      <c r="D280" s="106" t="s">
        <v>265</v>
      </c>
      <c r="E280">
        <v>9055</v>
      </c>
      <c r="F280" s="106" t="s">
        <v>1519</v>
      </c>
      <c r="G280" s="106" t="s">
        <v>274</v>
      </c>
      <c r="H280" s="106" t="s">
        <v>356</v>
      </c>
      <c r="I280" s="106">
        <v>319</v>
      </c>
      <c r="J280" s="106"/>
    </row>
    <row r="281" spans="1:10" x14ac:dyDescent="0.2">
      <c r="A281" s="106" t="s">
        <v>357</v>
      </c>
      <c r="B281" s="106" t="s">
        <v>327</v>
      </c>
      <c r="C281" s="106" t="s">
        <v>264</v>
      </c>
      <c r="D281" s="106" t="s">
        <v>265</v>
      </c>
      <c r="E281">
        <v>9064</v>
      </c>
      <c r="F281" s="106" t="s">
        <v>2135</v>
      </c>
      <c r="G281" s="106" t="s">
        <v>266</v>
      </c>
      <c r="H281" s="106" t="s">
        <v>356</v>
      </c>
      <c r="I281" s="106" t="s">
        <v>518</v>
      </c>
      <c r="J281" s="106" t="s">
        <v>4443</v>
      </c>
    </row>
    <row r="282" spans="1:10" x14ac:dyDescent="0.2">
      <c r="A282" s="106" t="s">
        <v>357</v>
      </c>
      <c r="B282" s="106" t="s">
        <v>327</v>
      </c>
      <c r="C282" s="106" t="s">
        <v>264</v>
      </c>
      <c r="D282" s="106" t="s">
        <v>265</v>
      </c>
      <c r="E282">
        <v>9090</v>
      </c>
      <c r="F282" s="106" t="s">
        <v>2136</v>
      </c>
      <c r="G282" s="106" t="s">
        <v>266</v>
      </c>
      <c r="H282" s="106" t="s">
        <v>356</v>
      </c>
      <c r="I282" t="s">
        <v>297</v>
      </c>
      <c r="J282" t="s">
        <v>4633</v>
      </c>
    </row>
    <row r="283" spans="1:10" x14ac:dyDescent="0.2">
      <c r="A283" s="106" t="s">
        <v>357</v>
      </c>
      <c r="B283" s="106" t="s">
        <v>327</v>
      </c>
      <c r="C283" s="106" t="s">
        <v>264</v>
      </c>
      <c r="D283" s="106" t="s">
        <v>265</v>
      </c>
      <c r="E283">
        <v>9202</v>
      </c>
      <c r="F283" s="106" t="s">
        <v>485</v>
      </c>
      <c r="G283" s="106" t="s">
        <v>266</v>
      </c>
      <c r="H283" s="106" t="s">
        <v>486</v>
      </c>
      <c r="I283" s="106" t="s">
        <v>545</v>
      </c>
      <c r="J283" s="106" t="s">
        <v>4655</v>
      </c>
    </row>
    <row r="284" spans="1:10" x14ac:dyDescent="0.2">
      <c r="A284" s="106" t="s">
        <v>357</v>
      </c>
      <c r="B284" s="106" t="s">
        <v>327</v>
      </c>
      <c r="C284" s="106" t="s">
        <v>264</v>
      </c>
      <c r="D284" s="106" t="s">
        <v>269</v>
      </c>
      <c r="E284">
        <v>9422</v>
      </c>
      <c r="F284" s="106" t="s">
        <v>2137</v>
      </c>
      <c r="G284" s="106" t="s">
        <v>266</v>
      </c>
      <c r="H284" s="106" t="s">
        <v>277</v>
      </c>
      <c r="I284" s="106">
        <v>794</v>
      </c>
      <c r="J284" s="106"/>
    </row>
    <row r="285" spans="1:10" x14ac:dyDescent="0.2">
      <c r="A285" s="106" t="s">
        <v>357</v>
      </c>
      <c r="B285" s="106" t="s">
        <v>327</v>
      </c>
      <c r="C285" s="106" t="s">
        <v>264</v>
      </c>
      <c r="D285" s="106" t="s">
        <v>265</v>
      </c>
      <c r="E285">
        <v>9437</v>
      </c>
      <c r="F285" s="106" t="s">
        <v>2138</v>
      </c>
      <c r="G285" s="106" t="s">
        <v>266</v>
      </c>
      <c r="H285" s="106" t="s">
        <v>277</v>
      </c>
      <c r="I285" s="106" t="s">
        <v>4899</v>
      </c>
      <c r="J285" s="106" t="s">
        <v>4654</v>
      </c>
    </row>
    <row r="286" spans="1:10" x14ac:dyDescent="0.2">
      <c r="A286" s="106" t="s">
        <v>357</v>
      </c>
      <c r="B286" s="106" t="s">
        <v>327</v>
      </c>
      <c r="C286" s="106" t="s">
        <v>264</v>
      </c>
      <c r="D286" s="106" t="s">
        <v>265</v>
      </c>
      <c r="E286">
        <v>9504</v>
      </c>
      <c r="F286" s="106" t="s">
        <v>491</v>
      </c>
      <c r="G286" s="106" t="s">
        <v>266</v>
      </c>
      <c r="H286" s="106" t="s">
        <v>489</v>
      </c>
      <c r="I286" t="s">
        <v>283</v>
      </c>
      <c r="J286" t="s">
        <v>4874</v>
      </c>
    </row>
    <row r="287" spans="1:10" x14ac:dyDescent="0.2">
      <c r="A287" s="106" t="s">
        <v>357</v>
      </c>
      <c r="B287" s="106" t="s">
        <v>327</v>
      </c>
      <c r="C287" s="106" t="s">
        <v>264</v>
      </c>
      <c r="D287" s="106" t="s">
        <v>265</v>
      </c>
      <c r="E287">
        <v>9532</v>
      </c>
      <c r="F287" s="106" t="s">
        <v>2139</v>
      </c>
      <c r="G287" s="106" t="s">
        <v>266</v>
      </c>
      <c r="H287" s="106" t="s">
        <v>489</v>
      </c>
      <c r="I287" s="106" t="s">
        <v>343</v>
      </c>
      <c r="J287" s="106" t="s">
        <v>4695</v>
      </c>
    </row>
    <row r="288" spans="1:10" x14ac:dyDescent="0.2">
      <c r="A288" s="106" t="s">
        <v>357</v>
      </c>
      <c r="B288" s="106" t="s">
        <v>327</v>
      </c>
      <c r="C288" s="106" t="s">
        <v>264</v>
      </c>
      <c r="D288" s="106" t="s">
        <v>265</v>
      </c>
      <c r="E288">
        <v>9640</v>
      </c>
      <c r="F288" s="106" t="s">
        <v>2140</v>
      </c>
      <c r="G288" s="106" t="s">
        <v>270</v>
      </c>
      <c r="H288" s="106" t="s">
        <v>277</v>
      </c>
      <c r="I288" s="106">
        <v>376</v>
      </c>
      <c r="J288" s="106"/>
    </row>
    <row r="289" spans="1:10" x14ac:dyDescent="0.2">
      <c r="A289" s="106" t="s">
        <v>357</v>
      </c>
      <c r="B289" s="106" t="s">
        <v>327</v>
      </c>
      <c r="C289" s="106" t="s">
        <v>264</v>
      </c>
      <c r="D289" s="106" t="s">
        <v>265</v>
      </c>
      <c r="E289">
        <v>9686</v>
      </c>
      <c r="F289" s="106" t="s">
        <v>2141</v>
      </c>
      <c r="G289" s="106" t="s">
        <v>274</v>
      </c>
      <c r="H289" s="106" t="s">
        <v>271</v>
      </c>
      <c r="I289" s="106">
        <v>143</v>
      </c>
      <c r="J289" s="106"/>
    </row>
    <row r="290" spans="1:10" x14ac:dyDescent="0.2">
      <c r="A290" s="106" t="s">
        <v>357</v>
      </c>
      <c r="B290" s="106" t="s">
        <v>327</v>
      </c>
      <c r="C290" s="106" t="s">
        <v>264</v>
      </c>
      <c r="D290" s="106" t="s">
        <v>265</v>
      </c>
      <c r="E290">
        <v>9766</v>
      </c>
      <c r="F290" s="106" t="s">
        <v>2142</v>
      </c>
      <c r="G290" s="106" t="s">
        <v>266</v>
      </c>
      <c r="H290" s="106" t="s">
        <v>277</v>
      </c>
      <c r="I290" s="106" t="s">
        <v>325</v>
      </c>
      <c r="J290" s="106" t="s">
        <v>4459</v>
      </c>
    </row>
    <row r="291" spans="1:10" x14ac:dyDescent="0.2">
      <c r="A291" s="106" t="s">
        <v>357</v>
      </c>
      <c r="B291" s="106" t="s">
        <v>327</v>
      </c>
      <c r="C291" s="106" t="s">
        <v>268</v>
      </c>
      <c r="D291" s="106" t="s">
        <v>269</v>
      </c>
      <c r="E291">
        <v>9795</v>
      </c>
      <c r="F291" s="106" t="s">
        <v>1457</v>
      </c>
      <c r="G291" s="106" t="s">
        <v>266</v>
      </c>
      <c r="H291" s="106" t="s">
        <v>271</v>
      </c>
      <c r="I291" s="106">
        <v>270</v>
      </c>
      <c r="J291" s="106"/>
    </row>
    <row r="292" spans="1:10" x14ac:dyDescent="0.2">
      <c r="A292" s="106" t="s">
        <v>357</v>
      </c>
      <c r="B292" s="106" t="s">
        <v>327</v>
      </c>
      <c r="C292" s="106" t="s">
        <v>264</v>
      </c>
      <c r="D292" s="106" t="s">
        <v>265</v>
      </c>
      <c r="E292">
        <v>9919</v>
      </c>
      <c r="F292" s="106" t="s">
        <v>2143</v>
      </c>
      <c r="G292" s="106" t="s">
        <v>266</v>
      </c>
      <c r="H292" s="106" t="s">
        <v>276</v>
      </c>
      <c r="I292" s="106">
        <v>331</v>
      </c>
      <c r="J292" s="106"/>
    </row>
    <row r="293" spans="1:10" x14ac:dyDescent="0.2">
      <c r="A293" s="106" t="s">
        <v>357</v>
      </c>
      <c r="B293" s="106" t="s">
        <v>327</v>
      </c>
      <c r="C293" s="106" t="s">
        <v>264</v>
      </c>
      <c r="D293" s="106" t="s">
        <v>265</v>
      </c>
      <c r="E293">
        <v>9936</v>
      </c>
      <c r="F293" s="106" t="s">
        <v>494</v>
      </c>
      <c r="G293" s="106" t="s">
        <v>266</v>
      </c>
      <c r="H293" s="106" t="s">
        <v>276</v>
      </c>
      <c r="I293" s="106" t="s">
        <v>297</v>
      </c>
      <c r="J293" s="106" t="s">
        <v>4493</v>
      </c>
    </row>
    <row r="294" spans="1:10" x14ac:dyDescent="0.2">
      <c r="A294" s="106" t="s">
        <v>357</v>
      </c>
      <c r="B294" s="106" t="s">
        <v>327</v>
      </c>
      <c r="C294" s="106" t="s">
        <v>264</v>
      </c>
      <c r="D294" s="106" t="s">
        <v>265</v>
      </c>
      <c r="E294">
        <v>9986</v>
      </c>
      <c r="F294" s="106" t="s">
        <v>2144</v>
      </c>
      <c r="G294" s="106" t="s">
        <v>266</v>
      </c>
      <c r="H294" s="106" t="s">
        <v>272</v>
      </c>
      <c r="I294" s="106">
        <v>93</v>
      </c>
      <c r="J294" s="106"/>
    </row>
    <row r="295" spans="1:10" x14ac:dyDescent="0.2">
      <c r="A295" s="106" t="s">
        <v>357</v>
      </c>
      <c r="B295" s="106" t="s">
        <v>327</v>
      </c>
      <c r="C295" s="106" t="s">
        <v>264</v>
      </c>
      <c r="D295" s="106" t="s">
        <v>265</v>
      </c>
      <c r="E295">
        <v>9990</v>
      </c>
      <c r="F295" s="106" t="s">
        <v>2145</v>
      </c>
      <c r="G295" s="106" t="s">
        <v>266</v>
      </c>
      <c r="H295" s="106" t="s">
        <v>276</v>
      </c>
      <c r="I295" s="106">
        <v>268</v>
      </c>
      <c r="J295" s="106"/>
    </row>
    <row r="296" spans="1:10" x14ac:dyDescent="0.2">
      <c r="A296" s="106" t="s">
        <v>357</v>
      </c>
      <c r="B296" s="106" t="s">
        <v>327</v>
      </c>
      <c r="C296" s="106" t="s">
        <v>264</v>
      </c>
      <c r="D296" s="106" t="s">
        <v>265</v>
      </c>
      <c r="E296">
        <v>9991</v>
      </c>
      <c r="F296" s="106" t="s">
        <v>2146</v>
      </c>
      <c r="G296" s="106" t="s">
        <v>266</v>
      </c>
      <c r="H296" s="106" t="s">
        <v>272</v>
      </c>
      <c r="I296" s="106">
        <v>413</v>
      </c>
      <c r="J296" s="106"/>
    </row>
    <row r="297" spans="1:10" x14ac:dyDescent="0.2">
      <c r="A297" s="106" t="s">
        <v>357</v>
      </c>
      <c r="B297" s="106" t="s">
        <v>327</v>
      </c>
      <c r="C297" s="106" t="s">
        <v>264</v>
      </c>
      <c r="D297" s="106" t="s">
        <v>265</v>
      </c>
      <c r="E297">
        <v>9995</v>
      </c>
      <c r="F297" s="106" t="s">
        <v>363</v>
      </c>
      <c r="G297" s="106" t="s">
        <v>266</v>
      </c>
      <c r="H297" s="106" t="s">
        <v>272</v>
      </c>
      <c r="I297" s="106">
        <v>125</v>
      </c>
      <c r="J297" s="106"/>
    </row>
    <row r="298" spans="1:10" x14ac:dyDescent="0.2">
      <c r="A298" s="106" t="s">
        <v>357</v>
      </c>
      <c r="B298" s="106" t="s">
        <v>290</v>
      </c>
      <c r="C298" s="106" t="s">
        <v>264</v>
      </c>
      <c r="D298" s="106" t="s">
        <v>265</v>
      </c>
      <c r="E298">
        <v>2002</v>
      </c>
      <c r="F298" s="106" t="s">
        <v>1454</v>
      </c>
      <c r="G298" s="106" t="s">
        <v>266</v>
      </c>
      <c r="H298" s="106" t="s">
        <v>267</v>
      </c>
      <c r="I298" s="106" t="s">
        <v>283</v>
      </c>
      <c r="J298" s="106" t="s">
        <v>4264</v>
      </c>
    </row>
    <row r="299" spans="1:10" x14ac:dyDescent="0.2">
      <c r="A299" s="106" t="s">
        <v>357</v>
      </c>
      <c r="B299" s="106" t="s">
        <v>1689</v>
      </c>
      <c r="C299" s="106" t="s">
        <v>264</v>
      </c>
      <c r="D299" s="106" t="s">
        <v>265</v>
      </c>
      <c r="E299">
        <v>2151</v>
      </c>
      <c r="F299" s="106" t="s">
        <v>2147</v>
      </c>
      <c r="G299" s="106" t="s">
        <v>266</v>
      </c>
      <c r="H299" s="106" t="s">
        <v>271</v>
      </c>
      <c r="I299" s="106">
        <v>300</v>
      </c>
      <c r="J299" s="106"/>
    </row>
    <row r="300" spans="1:10" x14ac:dyDescent="0.2">
      <c r="A300" s="106" t="s">
        <v>357</v>
      </c>
      <c r="B300" s="106" t="s">
        <v>1689</v>
      </c>
      <c r="C300" s="106" t="s">
        <v>264</v>
      </c>
      <c r="D300" s="106" t="s">
        <v>265</v>
      </c>
      <c r="E300">
        <v>2412</v>
      </c>
      <c r="F300" s="106" t="s">
        <v>637</v>
      </c>
      <c r="G300" s="106" t="s">
        <v>266</v>
      </c>
      <c r="H300" s="106" t="s">
        <v>271</v>
      </c>
      <c r="I300" t="s">
        <v>333</v>
      </c>
      <c r="J300" t="s">
        <v>4702</v>
      </c>
    </row>
    <row r="301" spans="1:10" x14ac:dyDescent="0.2">
      <c r="A301" s="106" t="s">
        <v>357</v>
      </c>
      <c r="B301" s="106" t="s">
        <v>1689</v>
      </c>
      <c r="C301" s="106" t="s">
        <v>264</v>
      </c>
      <c r="D301" s="106" t="s">
        <v>265</v>
      </c>
      <c r="E301">
        <v>3648</v>
      </c>
      <c r="F301" s="106" t="s">
        <v>2148</v>
      </c>
      <c r="G301" s="106" t="s">
        <v>266</v>
      </c>
      <c r="H301" s="106" t="s">
        <v>277</v>
      </c>
      <c r="I301" s="106">
        <v>154</v>
      </c>
      <c r="J301" s="106"/>
    </row>
    <row r="302" spans="1:10" x14ac:dyDescent="0.2">
      <c r="A302" s="106" t="s">
        <v>357</v>
      </c>
      <c r="B302" s="106" t="s">
        <v>1689</v>
      </c>
      <c r="C302" s="106" t="s">
        <v>264</v>
      </c>
      <c r="D302" s="106" t="s">
        <v>265</v>
      </c>
      <c r="E302">
        <v>3799</v>
      </c>
      <c r="F302" s="106" t="s">
        <v>2149</v>
      </c>
      <c r="G302" s="106" t="s">
        <v>274</v>
      </c>
      <c r="H302" s="106" t="s">
        <v>277</v>
      </c>
      <c r="I302" s="106">
        <v>74</v>
      </c>
      <c r="J302" s="106"/>
    </row>
    <row r="303" spans="1:10" x14ac:dyDescent="0.2">
      <c r="A303" s="106" t="s">
        <v>357</v>
      </c>
      <c r="B303" s="106" t="s">
        <v>1689</v>
      </c>
      <c r="C303" s="106" t="s">
        <v>264</v>
      </c>
      <c r="D303" s="106" t="s">
        <v>265</v>
      </c>
      <c r="E303">
        <v>4526</v>
      </c>
      <c r="F303" s="106" t="s">
        <v>2150</v>
      </c>
      <c r="G303" s="106" t="s">
        <v>266</v>
      </c>
      <c r="H303" s="106" t="s">
        <v>267</v>
      </c>
      <c r="I303" s="106">
        <v>818</v>
      </c>
      <c r="J303" s="106"/>
    </row>
    <row r="304" spans="1:10" x14ac:dyDescent="0.2">
      <c r="A304" s="106" t="s">
        <v>357</v>
      </c>
      <c r="B304" s="106" t="s">
        <v>1689</v>
      </c>
      <c r="C304" s="106" t="s">
        <v>264</v>
      </c>
      <c r="D304" s="106" t="s">
        <v>265</v>
      </c>
      <c r="E304">
        <v>4552</v>
      </c>
      <c r="F304" s="106" t="s">
        <v>2151</v>
      </c>
      <c r="G304" s="106" t="s">
        <v>266</v>
      </c>
      <c r="H304" s="106" t="s">
        <v>311</v>
      </c>
      <c r="I304" s="106" t="s">
        <v>333</v>
      </c>
      <c r="J304" s="106" t="s">
        <v>4900</v>
      </c>
    </row>
    <row r="305" spans="1:10" x14ac:dyDescent="0.2">
      <c r="A305" s="106" t="s">
        <v>357</v>
      </c>
      <c r="B305" s="106" t="s">
        <v>1689</v>
      </c>
      <c r="C305" s="106" t="s">
        <v>264</v>
      </c>
      <c r="D305" s="106" t="s">
        <v>265</v>
      </c>
      <c r="E305">
        <v>4661</v>
      </c>
      <c r="F305" s="106" t="s">
        <v>1704</v>
      </c>
      <c r="G305" s="106" t="s">
        <v>266</v>
      </c>
      <c r="H305" s="106" t="s">
        <v>271</v>
      </c>
      <c r="I305" t="s">
        <v>4262</v>
      </c>
      <c r="J305" t="s">
        <v>4377</v>
      </c>
    </row>
    <row r="306" spans="1:10" x14ac:dyDescent="0.2">
      <c r="A306" s="106" t="s">
        <v>357</v>
      </c>
      <c r="B306" s="106" t="s">
        <v>1689</v>
      </c>
      <c r="C306" s="106" t="s">
        <v>264</v>
      </c>
      <c r="D306" s="106" t="s">
        <v>265</v>
      </c>
      <c r="E306">
        <v>4726</v>
      </c>
      <c r="F306" s="106" t="s">
        <v>2152</v>
      </c>
      <c r="G306" s="106" t="s">
        <v>266</v>
      </c>
      <c r="H306" s="106" t="s">
        <v>277</v>
      </c>
      <c r="I306" s="106">
        <v>523</v>
      </c>
      <c r="J306" s="106"/>
    </row>
    <row r="307" spans="1:10" x14ac:dyDescent="0.2">
      <c r="A307" s="106" t="s">
        <v>357</v>
      </c>
      <c r="B307" s="106" t="s">
        <v>1689</v>
      </c>
      <c r="C307" s="106" t="s">
        <v>264</v>
      </c>
      <c r="D307" s="106" t="s">
        <v>269</v>
      </c>
      <c r="E307">
        <v>4923</v>
      </c>
      <c r="F307" s="106" t="s">
        <v>2153</v>
      </c>
      <c r="G307" s="106" t="s">
        <v>266</v>
      </c>
      <c r="H307" s="106" t="s">
        <v>279</v>
      </c>
      <c r="I307" s="106">
        <v>328</v>
      </c>
      <c r="J307" s="106"/>
    </row>
    <row r="308" spans="1:10" x14ac:dyDescent="0.2">
      <c r="A308" s="106" t="s">
        <v>357</v>
      </c>
      <c r="B308" s="106" t="s">
        <v>1689</v>
      </c>
      <c r="C308" s="106" t="s">
        <v>264</v>
      </c>
      <c r="D308" s="106" t="s">
        <v>265</v>
      </c>
      <c r="E308">
        <v>4956</v>
      </c>
      <c r="F308" s="106" t="s">
        <v>1627</v>
      </c>
      <c r="G308" s="106" t="s">
        <v>266</v>
      </c>
      <c r="H308" s="106" t="s">
        <v>279</v>
      </c>
      <c r="I308">
        <v>640</v>
      </c>
    </row>
    <row r="309" spans="1:10" x14ac:dyDescent="0.2">
      <c r="A309" s="106" t="s">
        <v>357</v>
      </c>
      <c r="B309" s="106" t="s">
        <v>1689</v>
      </c>
      <c r="C309" s="106" t="s">
        <v>264</v>
      </c>
      <c r="D309" s="106" t="s">
        <v>269</v>
      </c>
      <c r="E309">
        <v>5104</v>
      </c>
      <c r="F309" s="106" t="s">
        <v>4437</v>
      </c>
      <c r="G309" s="106" t="s">
        <v>274</v>
      </c>
      <c r="H309" s="106" t="s">
        <v>535</v>
      </c>
      <c r="I309" s="106">
        <v>22</v>
      </c>
      <c r="J309" s="106"/>
    </row>
    <row r="310" spans="1:10" x14ac:dyDescent="0.2">
      <c r="A310" s="106" t="s">
        <v>357</v>
      </c>
      <c r="B310" s="106" t="s">
        <v>1689</v>
      </c>
      <c r="C310" s="106" t="s">
        <v>264</v>
      </c>
      <c r="D310" s="106" t="s">
        <v>265</v>
      </c>
      <c r="E310">
        <v>5334</v>
      </c>
      <c r="F310" s="106" t="s">
        <v>2154</v>
      </c>
      <c r="G310" s="106" t="s">
        <v>266</v>
      </c>
      <c r="H310" s="106" t="s">
        <v>308</v>
      </c>
      <c r="I310" s="106" t="s">
        <v>316</v>
      </c>
      <c r="J310" s="106" t="s">
        <v>4901</v>
      </c>
    </row>
    <row r="311" spans="1:10" x14ac:dyDescent="0.2">
      <c r="A311" s="106" t="s">
        <v>357</v>
      </c>
      <c r="B311" s="106" t="s">
        <v>1689</v>
      </c>
      <c r="C311" s="106" t="s">
        <v>264</v>
      </c>
      <c r="D311" s="106" t="s">
        <v>265</v>
      </c>
      <c r="E311">
        <v>5994</v>
      </c>
      <c r="F311" s="106" t="s">
        <v>2155</v>
      </c>
      <c r="G311" s="106" t="s">
        <v>274</v>
      </c>
      <c r="H311" s="106" t="s">
        <v>281</v>
      </c>
      <c r="I311">
        <v>90</v>
      </c>
    </row>
    <row r="312" spans="1:10" x14ac:dyDescent="0.2">
      <c r="A312" s="106" t="s">
        <v>357</v>
      </c>
      <c r="B312" s="106" t="s">
        <v>1689</v>
      </c>
      <c r="C312" s="106" t="s">
        <v>264</v>
      </c>
      <c r="D312" s="106" t="s">
        <v>265</v>
      </c>
      <c r="E312">
        <v>6912</v>
      </c>
      <c r="F312" s="106" t="s">
        <v>2156</v>
      </c>
      <c r="G312" s="106" t="s">
        <v>270</v>
      </c>
      <c r="H312" s="106" t="s">
        <v>291</v>
      </c>
      <c r="I312">
        <v>86</v>
      </c>
    </row>
    <row r="313" spans="1:10" x14ac:dyDescent="0.2">
      <c r="A313" s="106" t="s">
        <v>357</v>
      </c>
      <c r="B313" s="106" t="s">
        <v>1689</v>
      </c>
      <c r="C313" s="106" t="s">
        <v>264</v>
      </c>
      <c r="D313" s="106" t="s">
        <v>265</v>
      </c>
      <c r="E313">
        <v>7241</v>
      </c>
      <c r="F313" s="106" t="s">
        <v>2157</v>
      </c>
      <c r="G313" s="106" t="s">
        <v>266</v>
      </c>
      <c r="H313" s="106" t="s">
        <v>296</v>
      </c>
      <c r="I313">
        <v>660</v>
      </c>
    </row>
    <row r="314" spans="1:10" x14ac:dyDescent="0.2">
      <c r="A314" s="106" t="s">
        <v>357</v>
      </c>
      <c r="B314" s="106" t="s">
        <v>1689</v>
      </c>
      <c r="C314" s="106" t="s">
        <v>264</v>
      </c>
      <c r="D314" s="106" t="s">
        <v>265</v>
      </c>
      <c r="E314">
        <v>7276</v>
      </c>
      <c r="F314" s="106" t="s">
        <v>2158</v>
      </c>
      <c r="G314" s="106" t="s">
        <v>266</v>
      </c>
      <c r="H314" s="106" t="s">
        <v>291</v>
      </c>
      <c r="I314" s="106" t="s">
        <v>343</v>
      </c>
      <c r="J314" s="106" t="s">
        <v>4513</v>
      </c>
    </row>
    <row r="315" spans="1:10" x14ac:dyDescent="0.2">
      <c r="A315" s="106" t="s">
        <v>357</v>
      </c>
      <c r="B315" s="106" t="s">
        <v>1689</v>
      </c>
      <c r="C315" s="106" t="s">
        <v>264</v>
      </c>
      <c r="D315" s="106" t="s">
        <v>265</v>
      </c>
      <c r="E315">
        <v>7278</v>
      </c>
      <c r="F315" s="106" t="s">
        <v>480</v>
      </c>
      <c r="G315" s="106" t="s">
        <v>266</v>
      </c>
      <c r="H315" s="106" t="s">
        <v>296</v>
      </c>
      <c r="I315" s="106" t="s">
        <v>297</v>
      </c>
      <c r="J315" s="106" t="s">
        <v>4258</v>
      </c>
    </row>
    <row r="316" spans="1:10" x14ac:dyDescent="0.2">
      <c r="A316" s="106" t="s">
        <v>357</v>
      </c>
      <c r="B316" s="106" t="s">
        <v>1689</v>
      </c>
      <c r="C316" s="106" t="s">
        <v>264</v>
      </c>
      <c r="D316" s="106" t="s">
        <v>265</v>
      </c>
      <c r="E316">
        <v>7551</v>
      </c>
      <c r="F316" s="106" t="s">
        <v>1455</v>
      </c>
      <c r="G316" s="106" t="s">
        <v>270</v>
      </c>
      <c r="H316" s="106" t="s">
        <v>296</v>
      </c>
      <c r="I316" s="106">
        <v>99</v>
      </c>
      <c r="J316" s="106"/>
    </row>
    <row r="317" spans="1:10" x14ac:dyDescent="0.2">
      <c r="A317" s="106" t="s">
        <v>357</v>
      </c>
      <c r="B317" s="106" t="s">
        <v>1689</v>
      </c>
      <c r="C317" s="106" t="s">
        <v>264</v>
      </c>
      <c r="D317" s="106" t="s">
        <v>265</v>
      </c>
      <c r="E317">
        <v>7974</v>
      </c>
      <c r="F317" s="106" t="s">
        <v>2159</v>
      </c>
      <c r="G317" s="106" t="s">
        <v>266</v>
      </c>
      <c r="H317" s="106" t="s">
        <v>288</v>
      </c>
      <c r="I317" s="106" t="s">
        <v>4262</v>
      </c>
      <c r="J317" s="106" t="s">
        <v>4427</v>
      </c>
    </row>
    <row r="318" spans="1:10" x14ac:dyDescent="0.2">
      <c r="A318" s="106" t="s">
        <v>357</v>
      </c>
      <c r="B318" s="106" t="s">
        <v>1689</v>
      </c>
      <c r="C318" s="106" t="s">
        <v>264</v>
      </c>
      <c r="D318" s="106" t="s">
        <v>265</v>
      </c>
      <c r="E318">
        <v>8304</v>
      </c>
      <c r="F318" s="106" t="s">
        <v>483</v>
      </c>
      <c r="G318" s="106" t="s">
        <v>266</v>
      </c>
      <c r="H318" s="106" t="s">
        <v>484</v>
      </c>
      <c r="I318" t="s">
        <v>333</v>
      </c>
      <c r="J318" t="s">
        <v>4438</v>
      </c>
    </row>
    <row r="319" spans="1:10" x14ac:dyDescent="0.2">
      <c r="A319" s="106" t="s">
        <v>357</v>
      </c>
      <c r="B319" s="106" t="s">
        <v>1689</v>
      </c>
      <c r="C319" s="106" t="s">
        <v>264</v>
      </c>
      <c r="D319" s="106" t="s">
        <v>265</v>
      </c>
      <c r="E319">
        <v>8316</v>
      </c>
      <c r="F319" s="106" t="s">
        <v>2160</v>
      </c>
      <c r="G319" s="106" t="s">
        <v>266</v>
      </c>
      <c r="H319" s="106" t="s">
        <v>484</v>
      </c>
      <c r="I319" s="106" t="s">
        <v>4263</v>
      </c>
      <c r="J319" s="106" t="s">
        <v>4646</v>
      </c>
    </row>
    <row r="320" spans="1:10" x14ac:dyDescent="0.2">
      <c r="A320" s="106" t="s">
        <v>357</v>
      </c>
      <c r="B320" s="106" t="s">
        <v>1689</v>
      </c>
      <c r="C320" s="106" t="s">
        <v>264</v>
      </c>
      <c r="D320" s="106" t="s">
        <v>265</v>
      </c>
      <c r="E320">
        <v>8421</v>
      </c>
      <c r="F320" s="106" t="s">
        <v>2161</v>
      </c>
      <c r="G320" s="106" t="s">
        <v>303</v>
      </c>
      <c r="H320" s="106" t="s">
        <v>304</v>
      </c>
      <c r="I320" s="106" t="s">
        <v>297</v>
      </c>
      <c r="J320" s="106" t="s">
        <v>4716</v>
      </c>
    </row>
    <row r="321" spans="1:10" x14ac:dyDescent="0.2">
      <c r="A321" s="106" t="s">
        <v>357</v>
      </c>
      <c r="B321" s="106" t="s">
        <v>1689</v>
      </c>
      <c r="C321" s="106" t="s">
        <v>264</v>
      </c>
      <c r="D321" s="106" t="s">
        <v>265</v>
      </c>
      <c r="E321">
        <v>8537</v>
      </c>
      <c r="F321" s="106" t="s">
        <v>2162</v>
      </c>
      <c r="G321" s="106" t="s">
        <v>266</v>
      </c>
      <c r="H321" s="106" t="s">
        <v>484</v>
      </c>
      <c r="I321" s="106">
        <v>164</v>
      </c>
      <c r="J321" s="106"/>
    </row>
    <row r="322" spans="1:10" x14ac:dyDescent="0.2">
      <c r="A322" s="106" t="s">
        <v>357</v>
      </c>
      <c r="B322" s="106" t="s">
        <v>1689</v>
      </c>
      <c r="C322" s="106" t="s">
        <v>264</v>
      </c>
      <c r="D322" s="106" t="s">
        <v>265</v>
      </c>
      <c r="E322">
        <v>8614</v>
      </c>
      <c r="F322" s="106" t="s">
        <v>4439</v>
      </c>
      <c r="G322" s="106" t="s">
        <v>266</v>
      </c>
      <c r="H322" s="106" t="s">
        <v>1448</v>
      </c>
      <c r="I322" s="106">
        <v>134</v>
      </c>
      <c r="J322" s="106"/>
    </row>
    <row r="323" spans="1:10" x14ac:dyDescent="0.2">
      <c r="A323" s="106" t="s">
        <v>357</v>
      </c>
      <c r="B323" s="106" t="s">
        <v>1689</v>
      </c>
      <c r="C323" s="106" t="s">
        <v>264</v>
      </c>
      <c r="D323" s="106" t="s">
        <v>265</v>
      </c>
      <c r="E323">
        <v>8699</v>
      </c>
      <c r="F323" s="106" t="s">
        <v>1710</v>
      </c>
      <c r="G323" s="106" t="s">
        <v>270</v>
      </c>
      <c r="H323" s="106" t="s">
        <v>1448</v>
      </c>
      <c r="I323" s="106">
        <v>380</v>
      </c>
      <c r="J323" s="106"/>
    </row>
    <row r="324" spans="1:10" x14ac:dyDescent="0.2">
      <c r="A324" s="106" t="s">
        <v>357</v>
      </c>
      <c r="B324" s="106" t="s">
        <v>1689</v>
      </c>
      <c r="C324" s="106" t="s">
        <v>264</v>
      </c>
      <c r="D324" s="106" t="s">
        <v>265</v>
      </c>
      <c r="E324">
        <v>9022</v>
      </c>
      <c r="F324" s="106" t="s">
        <v>2163</v>
      </c>
      <c r="G324" s="106" t="s">
        <v>266</v>
      </c>
      <c r="H324" s="106" t="s">
        <v>356</v>
      </c>
      <c r="I324" s="106" t="s">
        <v>1692</v>
      </c>
      <c r="J324" s="106" t="s">
        <v>4625</v>
      </c>
    </row>
    <row r="325" spans="1:10" x14ac:dyDescent="0.2">
      <c r="A325" s="106" t="s">
        <v>357</v>
      </c>
      <c r="B325" s="106" t="s">
        <v>1689</v>
      </c>
      <c r="C325" s="106" t="s">
        <v>264</v>
      </c>
      <c r="D325" s="106" t="s">
        <v>265</v>
      </c>
      <c r="E325">
        <v>9377</v>
      </c>
      <c r="F325" s="106" t="s">
        <v>2164</v>
      </c>
      <c r="G325" s="106" t="s">
        <v>270</v>
      </c>
      <c r="H325" s="106" t="s">
        <v>556</v>
      </c>
      <c r="I325" s="106">
        <v>99</v>
      </c>
      <c r="J325" s="106"/>
    </row>
    <row r="326" spans="1:10" x14ac:dyDescent="0.2">
      <c r="A326" s="106" t="s">
        <v>357</v>
      </c>
      <c r="B326" s="106" t="s">
        <v>1689</v>
      </c>
      <c r="C326" s="106" t="s">
        <v>264</v>
      </c>
      <c r="D326" s="106" t="s">
        <v>265</v>
      </c>
      <c r="E326">
        <v>9501</v>
      </c>
      <c r="F326" s="106" t="s">
        <v>2165</v>
      </c>
      <c r="G326" s="106" t="s">
        <v>266</v>
      </c>
      <c r="H326" s="106" t="s">
        <v>489</v>
      </c>
      <c r="I326" t="s">
        <v>518</v>
      </c>
      <c r="J326" t="s">
        <v>4375</v>
      </c>
    </row>
    <row r="327" spans="1:10" x14ac:dyDescent="0.2">
      <c r="A327" s="106" t="s">
        <v>357</v>
      </c>
      <c r="B327" s="106" t="s">
        <v>1689</v>
      </c>
      <c r="C327" s="106" t="s">
        <v>264</v>
      </c>
      <c r="D327" s="106" t="s">
        <v>265</v>
      </c>
      <c r="E327">
        <v>9531</v>
      </c>
      <c r="F327" s="106" t="s">
        <v>492</v>
      </c>
      <c r="G327" s="106" t="s">
        <v>266</v>
      </c>
      <c r="H327" s="106" t="s">
        <v>489</v>
      </c>
      <c r="I327" s="106" t="s">
        <v>490</v>
      </c>
      <c r="J327" s="106" t="s">
        <v>4445</v>
      </c>
    </row>
    <row r="328" spans="1:10" x14ac:dyDescent="0.2">
      <c r="A328" s="106" t="s">
        <v>357</v>
      </c>
      <c r="B328" s="106" t="s">
        <v>1689</v>
      </c>
      <c r="C328" s="106" t="s">
        <v>264</v>
      </c>
      <c r="D328" s="106" t="s">
        <v>265</v>
      </c>
      <c r="E328">
        <v>9742</v>
      </c>
      <c r="F328" s="106" t="s">
        <v>2166</v>
      </c>
      <c r="G328" s="106" t="s">
        <v>266</v>
      </c>
      <c r="H328" s="106" t="s">
        <v>277</v>
      </c>
      <c r="I328">
        <v>350</v>
      </c>
    </row>
    <row r="329" spans="1:10" x14ac:dyDescent="0.2">
      <c r="A329" s="106" t="s">
        <v>357</v>
      </c>
      <c r="B329" s="106" t="s">
        <v>1689</v>
      </c>
      <c r="C329" s="106" t="s">
        <v>264</v>
      </c>
      <c r="D329" s="106" t="s">
        <v>269</v>
      </c>
      <c r="E329">
        <v>9799</v>
      </c>
      <c r="F329" s="106" t="s">
        <v>2167</v>
      </c>
      <c r="G329" s="106" t="s">
        <v>274</v>
      </c>
      <c r="H329" s="106" t="s">
        <v>277</v>
      </c>
      <c r="I329">
        <v>107</v>
      </c>
    </row>
    <row r="330" spans="1:10" x14ac:dyDescent="0.2">
      <c r="A330" s="106" t="s">
        <v>357</v>
      </c>
      <c r="B330" s="106" t="s">
        <v>1689</v>
      </c>
      <c r="C330" s="106" t="s">
        <v>264</v>
      </c>
      <c r="D330" s="106" t="s">
        <v>265</v>
      </c>
      <c r="E330">
        <v>9950</v>
      </c>
      <c r="F330" s="106" t="s">
        <v>2168</v>
      </c>
      <c r="G330" s="106" t="s">
        <v>270</v>
      </c>
      <c r="H330" s="106" t="s">
        <v>276</v>
      </c>
      <c r="I330" s="106">
        <v>95</v>
      </c>
      <c r="J330" s="106"/>
    </row>
    <row r="331" spans="1:10" x14ac:dyDescent="0.2">
      <c r="A331" s="106" t="s">
        <v>357</v>
      </c>
      <c r="B331" s="106" t="s">
        <v>1689</v>
      </c>
      <c r="C331" s="106" t="s">
        <v>264</v>
      </c>
      <c r="D331" s="106" t="s">
        <v>265</v>
      </c>
      <c r="E331">
        <v>9969</v>
      </c>
      <c r="F331" s="106" t="s">
        <v>2169</v>
      </c>
      <c r="G331" s="106" t="s">
        <v>274</v>
      </c>
      <c r="H331" s="106" t="s">
        <v>276</v>
      </c>
      <c r="I331" s="106">
        <v>27</v>
      </c>
      <c r="J331" s="106"/>
    </row>
    <row r="332" spans="1:10" x14ac:dyDescent="0.2">
      <c r="A332" s="106" t="s">
        <v>357</v>
      </c>
      <c r="B332" s="106" t="s">
        <v>1931</v>
      </c>
      <c r="C332" s="106" t="s">
        <v>264</v>
      </c>
      <c r="D332" s="106" t="s">
        <v>265</v>
      </c>
      <c r="E332">
        <v>1850</v>
      </c>
      <c r="F332" s="106" t="s">
        <v>2170</v>
      </c>
      <c r="G332" s="106" t="s">
        <v>274</v>
      </c>
      <c r="H332" s="106" t="s">
        <v>293</v>
      </c>
      <c r="I332" s="106">
        <v>100</v>
      </c>
      <c r="J332" s="106"/>
    </row>
    <row r="333" spans="1:10" x14ac:dyDescent="0.2">
      <c r="A333" s="106" t="s">
        <v>357</v>
      </c>
      <c r="B333" s="106" t="s">
        <v>1931</v>
      </c>
      <c r="C333" s="106" t="s">
        <v>273</v>
      </c>
      <c r="D333" s="106" t="s">
        <v>265</v>
      </c>
      <c r="E333">
        <v>4519</v>
      </c>
      <c r="F333" s="106" t="s">
        <v>2171</v>
      </c>
      <c r="G333" s="106" t="s">
        <v>266</v>
      </c>
      <c r="H333" s="106" t="s">
        <v>311</v>
      </c>
      <c r="I333" t="s">
        <v>4440</v>
      </c>
      <c r="J333" t="s">
        <v>4643</v>
      </c>
    </row>
    <row r="334" spans="1:10" x14ac:dyDescent="0.2">
      <c r="A334" s="106" t="s">
        <v>357</v>
      </c>
      <c r="B334" s="106" t="s">
        <v>263</v>
      </c>
      <c r="C334" s="106" t="s">
        <v>264</v>
      </c>
      <c r="D334" s="106" t="s">
        <v>265</v>
      </c>
      <c r="E334">
        <v>3420</v>
      </c>
      <c r="F334" s="106" t="s">
        <v>2172</v>
      </c>
      <c r="G334" s="106" t="s">
        <v>274</v>
      </c>
      <c r="H334" s="106" t="s">
        <v>281</v>
      </c>
      <c r="I334" s="106">
        <v>167</v>
      </c>
      <c r="J334" s="106"/>
    </row>
    <row r="335" spans="1:10" x14ac:dyDescent="0.2">
      <c r="A335" s="106" t="s">
        <v>357</v>
      </c>
      <c r="B335" s="106" t="s">
        <v>263</v>
      </c>
      <c r="C335" s="106" t="s">
        <v>264</v>
      </c>
      <c r="D335" s="106" t="s">
        <v>265</v>
      </c>
      <c r="E335">
        <v>3763</v>
      </c>
      <c r="F335" s="106" t="s">
        <v>2173</v>
      </c>
      <c r="G335" s="106" t="s">
        <v>266</v>
      </c>
      <c r="H335" s="106" t="s">
        <v>277</v>
      </c>
      <c r="I335" s="106">
        <v>243</v>
      </c>
      <c r="J335" s="106"/>
    </row>
    <row r="336" spans="1:10" x14ac:dyDescent="0.2">
      <c r="A336" s="106" t="s">
        <v>357</v>
      </c>
      <c r="B336" s="106" t="s">
        <v>263</v>
      </c>
      <c r="C336" s="106" t="s">
        <v>264</v>
      </c>
      <c r="D336" s="106" t="s">
        <v>265</v>
      </c>
      <c r="E336">
        <v>6472</v>
      </c>
      <c r="F336" s="106" t="s">
        <v>2174</v>
      </c>
      <c r="G336" s="106" t="s">
        <v>266</v>
      </c>
      <c r="H336" s="106" t="s">
        <v>287</v>
      </c>
      <c r="I336" s="106" t="s">
        <v>297</v>
      </c>
      <c r="J336" s="106" t="s">
        <v>4298</v>
      </c>
    </row>
    <row r="337" spans="1:10" x14ac:dyDescent="0.2">
      <c r="A337" s="106" t="s">
        <v>357</v>
      </c>
      <c r="B337" s="106" t="s">
        <v>263</v>
      </c>
      <c r="C337" s="106" t="s">
        <v>264</v>
      </c>
      <c r="D337" s="106" t="s">
        <v>265</v>
      </c>
      <c r="E337">
        <v>6676</v>
      </c>
      <c r="F337" s="106" t="s">
        <v>2175</v>
      </c>
      <c r="G337" s="106" t="s">
        <v>266</v>
      </c>
      <c r="H337" s="106" t="s">
        <v>291</v>
      </c>
      <c r="I337" s="106">
        <v>645</v>
      </c>
      <c r="J337" s="106"/>
    </row>
    <row r="338" spans="1:10" x14ac:dyDescent="0.2">
      <c r="A338" s="106" t="s">
        <v>357</v>
      </c>
      <c r="B338" s="106" t="s">
        <v>263</v>
      </c>
      <c r="C338" s="106" t="s">
        <v>264</v>
      </c>
      <c r="D338" s="106" t="s">
        <v>265</v>
      </c>
      <c r="E338">
        <v>6864</v>
      </c>
      <c r="F338" s="106" t="s">
        <v>2176</v>
      </c>
      <c r="G338" s="106" t="s">
        <v>270</v>
      </c>
      <c r="H338" s="106" t="s">
        <v>291</v>
      </c>
      <c r="I338">
        <v>202</v>
      </c>
    </row>
    <row r="339" spans="1:10" x14ac:dyDescent="0.2">
      <c r="A339" s="106" t="s">
        <v>357</v>
      </c>
      <c r="B339" s="106" t="s">
        <v>263</v>
      </c>
      <c r="C339" s="106" t="s">
        <v>264</v>
      </c>
      <c r="D339" s="106" t="s">
        <v>265</v>
      </c>
      <c r="E339">
        <v>7185</v>
      </c>
      <c r="F339" s="106" t="s">
        <v>2177</v>
      </c>
      <c r="G339" s="106" t="s">
        <v>270</v>
      </c>
      <c r="H339" s="106" t="s">
        <v>1448</v>
      </c>
      <c r="I339" s="106">
        <v>117</v>
      </c>
      <c r="J339" s="106"/>
    </row>
    <row r="340" spans="1:10" x14ac:dyDescent="0.2">
      <c r="A340" s="106" t="s">
        <v>357</v>
      </c>
      <c r="B340" s="106" t="s">
        <v>263</v>
      </c>
      <c r="C340" s="106" t="s">
        <v>264</v>
      </c>
      <c r="D340" s="106" t="s">
        <v>265</v>
      </c>
      <c r="E340">
        <v>7570</v>
      </c>
      <c r="F340" s="106" t="s">
        <v>4441</v>
      </c>
      <c r="G340" s="106" t="s">
        <v>266</v>
      </c>
      <c r="H340" s="106" t="s">
        <v>272</v>
      </c>
      <c r="I340">
        <v>203</v>
      </c>
    </row>
    <row r="341" spans="1:10" x14ac:dyDescent="0.2">
      <c r="A341" s="106" t="s">
        <v>357</v>
      </c>
      <c r="B341" s="106" t="s">
        <v>263</v>
      </c>
      <c r="C341" s="106" t="s">
        <v>264</v>
      </c>
      <c r="D341" s="106" t="s">
        <v>265</v>
      </c>
      <c r="E341">
        <v>8014</v>
      </c>
      <c r="F341" s="106" t="s">
        <v>2178</v>
      </c>
      <c r="G341" s="106" t="s">
        <v>266</v>
      </c>
      <c r="H341" s="106" t="s">
        <v>272</v>
      </c>
      <c r="I341" s="106">
        <v>552</v>
      </c>
      <c r="J341" s="106"/>
    </row>
    <row r="342" spans="1:10" x14ac:dyDescent="0.2">
      <c r="A342" s="106" t="s">
        <v>357</v>
      </c>
      <c r="B342" s="106" t="s">
        <v>263</v>
      </c>
      <c r="C342" s="106" t="s">
        <v>264</v>
      </c>
      <c r="D342" s="106" t="s">
        <v>265</v>
      </c>
      <c r="E342">
        <v>8309</v>
      </c>
      <c r="F342" s="106" t="s">
        <v>1518</v>
      </c>
      <c r="G342" s="106" t="s">
        <v>266</v>
      </c>
      <c r="H342" s="106" t="s">
        <v>484</v>
      </c>
      <c r="I342" s="106" t="s">
        <v>1856</v>
      </c>
      <c r="J342" s="106" t="s">
        <v>4902</v>
      </c>
    </row>
    <row r="343" spans="1:10" x14ac:dyDescent="0.2">
      <c r="A343" s="106" t="s">
        <v>357</v>
      </c>
      <c r="B343" s="106" t="s">
        <v>263</v>
      </c>
      <c r="C343" s="106" t="s">
        <v>264</v>
      </c>
      <c r="D343" s="106" t="s">
        <v>265</v>
      </c>
      <c r="E343">
        <v>8771</v>
      </c>
      <c r="F343" s="106" t="s">
        <v>361</v>
      </c>
      <c r="G343" s="106" t="s">
        <v>266</v>
      </c>
      <c r="H343" s="106" t="s">
        <v>302</v>
      </c>
      <c r="I343" s="106">
        <v>566</v>
      </c>
      <c r="J343" s="106"/>
    </row>
    <row r="344" spans="1:10" x14ac:dyDescent="0.2">
      <c r="A344" s="106" t="s">
        <v>357</v>
      </c>
      <c r="B344" s="106" t="s">
        <v>263</v>
      </c>
      <c r="C344" s="106" t="s">
        <v>273</v>
      </c>
      <c r="D344" s="106" t="s">
        <v>265</v>
      </c>
      <c r="E344">
        <v>8892</v>
      </c>
      <c r="F344" s="106" t="s">
        <v>2179</v>
      </c>
      <c r="G344" s="106" t="s">
        <v>266</v>
      </c>
      <c r="H344" s="106" t="s">
        <v>292</v>
      </c>
      <c r="I344" s="106">
        <v>676</v>
      </c>
      <c r="J344" s="106"/>
    </row>
    <row r="345" spans="1:10" x14ac:dyDescent="0.2">
      <c r="A345" s="106" t="s">
        <v>357</v>
      </c>
      <c r="B345" s="106" t="s">
        <v>263</v>
      </c>
      <c r="C345" s="106" t="s">
        <v>264</v>
      </c>
      <c r="D345" s="106" t="s">
        <v>265</v>
      </c>
      <c r="E345">
        <v>9889</v>
      </c>
      <c r="F345" s="106" t="s">
        <v>2180</v>
      </c>
      <c r="G345" s="106" t="s">
        <v>266</v>
      </c>
      <c r="H345" s="106" t="s">
        <v>277</v>
      </c>
      <c r="I345" s="106">
        <v>381</v>
      </c>
      <c r="J345" s="106"/>
    </row>
    <row r="346" spans="1:10" x14ac:dyDescent="0.2">
      <c r="A346" s="106" t="s">
        <v>364</v>
      </c>
      <c r="B346" s="106" t="s">
        <v>1977</v>
      </c>
      <c r="C346" s="106" t="s">
        <v>264</v>
      </c>
      <c r="D346" s="106" t="s">
        <v>265</v>
      </c>
      <c r="E346">
        <v>4043</v>
      </c>
      <c r="F346" s="106" t="s">
        <v>2181</v>
      </c>
      <c r="G346" s="106" t="s">
        <v>266</v>
      </c>
      <c r="H346" s="106" t="s">
        <v>279</v>
      </c>
      <c r="I346" s="106" t="s">
        <v>297</v>
      </c>
      <c r="J346" s="106" t="s">
        <v>4701</v>
      </c>
    </row>
    <row r="347" spans="1:10" x14ac:dyDescent="0.2">
      <c r="A347" s="106" t="s">
        <v>364</v>
      </c>
      <c r="B347" s="106" t="s">
        <v>2182</v>
      </c>
      <c r="C347" s="106" t="s">
        <v>264</v>
      </c>
      <c r="D347" s="106" t="s">
        <v>265</v>
      </c>
      <c r="E347">
        <v>4298</v>
      </c>
      <c r="F347" s="106" t="s">
        <v>2183</v>
      </c>
      <c r="G347" s="106" t="s">
        <v>266</v>
      </c>
      <c r="H347" s="106" t="s">
        <v>277</v>
      </c>
      <c r="I347" s="106">
        <v>587</v>
      </c>
      <c r="J347" s="106"/>
    </row>
    <row r="348" spans="1:10" x14ac:dyDescent="0.2">
      <c r="A348" s="106" t="s">
        <v>364</v>
      </c>
      <c r="B348" s="106" t="s">
        <v>1915</v>
      </c>
      <c r="C348" s="106" t="s">
        <v>264</v>
      </c>
      <c r="D348" s="106" t="s">
        <v>265</v>
      </c>
      <c r="E348">
        <v>2729</v>
      </c>
      <c r="F348" s="106" t="s">
        <v>2184</v>
      </c>
      <c r="G348" s="106" t="s">
        <v>266</v>
      </c>
      <c r="H348" s="106" t="s">
        <v>272</v>
      </c>
      <c r="I348" s="106">
        <v>319</v>
      </c>
      <c r="J348" s="106"/>
    </row>
    <row r="349" spans="1:10" x14ac:dyDescent="0.2">
      <c r="A349" s="106" t="s">
        <v>364</v>
      </c>
      <c r="B349" s="106" t="s">
        <v>1915</v>
      </c>
      <c r="C349" s="106" t="s">
        <v>264</v>
      </c>
      <c r="D349" s="106" t="s">
        <v>265</v>
      </c>
      <c r="E349">
        <v>3104</v>
      </c>
      <c r="F349" s="106" t="s">
        <v>1718</v>
      </c>
      <c r="G349" s="106" t="s">
        <v>266</v>
      </c>
      <c r="H349" s="106" t="s">
        <v>299</v>
      </c>
      <c r="I349" s="106">
        <v>428</v>
      </c>
      <c r="J349" s="106"/>
    </row>
    <row r="350" spans="1:10" x14ac:dyDescent="0.2">
      <c r="A350" s="106" t="s">
        <v>364</v>
      </c>
      <c r="B350" s="106" t="s">
        <v>1915</v>
      </c>
      <c r="C350" s="106" t="s">
        <v>264</v>
      </c>
      <c r="D350" s="106" t="s">
        <v>265</v>
      </c>
      <c r="E350">
        <v>4229</v>
      </c>
      <c r="F350" s="106" t="s">
        <v>2185</v>
      </c>
      <c r="G350" s="106" t="s">
        <v>266</v>
      </c>
      <c r="H350" s="106" t="s">
        <v>279</v>
      </c>
      <c r="I350" s="106">
        <v>236</v>
      </c>
      <c r="J350" s="106"/>
    </row>
    <row r="351" spans="1:10" x14ac:dyDescent="0.2">
      <c r="A351" s="106" t="s">
        <v>364</v>
      </c>
      <c r="B351" s="106" t="s">
        <v>1915</v>
      </c>
      <c r="C351" s="106" t="s">
        <v>264</v>
      </c>
      <c r="D351" s="106" t="s">
        <v>265</v>
      </c>
      <c r="E351">
        <v>5491</v>
      </c>
      <c r="F351" s="106" t="s">
        <v>2186</v>
      </c>
      <c r="G351" s="106" t="s">
        <v>266</v>
      </c>
      <c r="H351" s="106" t="s">
        <v>726</v>
      </c>
      <c r="I351" s="106">
        <v>61</v>
      </c>
      <c r="J351" s="106"/>
    </row>
    <row r="352" spans="1:10" x14ac:dyDescent="0.2">
      <c r="A352" s="106" t="s">
        <v>364</v>
      </c>
      <c r="B352" s="106" t="s">
        <v>1915</v>
      </c>
      <c r="C352" s="106" t="s">
        <v>264</v>
      </c>
      <c r="D352" s="106" t="s">
        <v>265</v>
      </c>
      <c r="E352">
        <v>5929</v>
      </c>
      <c r="F352" s="106" t="s">
        <v>2187</v>
      </c>
      <c r="G352" s="106" t="s">
        <v>266</v>
      </c>
      <c r="H352" s="106" t="s">
        <v>281</v>
      </c>
      <c r="I352" s="106" t="s">
        <v>289</v>
      </c>
      <c r="J352" s="106" t="s">
        <v>4903</v>
      </c>
    </row>
    <row r="353" spans="1:10" x14ac:dyDescent="0.2">
      <c r="A353" s="106" t="s">
        <v>364</v>
      </c>
      <c r="B353" s="106" t="s">
        <v>1915</v>
      </c>
      <c r="C353" s="106" t="s">
        <v>264</v>
      </c>
      <c r="D353" s="106" t="s">
        <v>265</v>
      </c>
      <c r="E353">
        <v>6201</v>
      </c>
      <c r="F353" s="106" t="s">
        <v>474</v>
      </c>
      <c r="G353" s="106" t="s">
        <v>266</v>
      </c>
      <c r="H353" s="106" t="s">
        <v>296</v>
      </c>
      <c r="I353" s="106" t="s">
        <v>475</v>
      </c>
      <c r="J353" s="106" t="s">
        <v>4904</v>
      </c>
    </row>
    <row r="354" spans="1:10" x14ac:dyDescent="0.2">
      <c r="A354" s="106" t="s">
        <v>364</v>
      </c>
      <c r="B354" s="106" t="s">
        <v>1915</v>
      </c>
      <c r="C354" s="106" t="s">
        <v>264</v>
      </c>
      <c r="D354" s="106" t="s">
        <v>265</v>
      </c>
      <c r="E354">
        <v>6902</v>
      </c>
      <c r="F354" s="106" t="s">
        <v>2188</v>
      </c>
      <c r="G354" s="106" t="s">
        <v>266</v>
      </c>
      <c r="H354" s="106" t="s">
        <v>296</v>
      </c>
      <c r="I354" s="106" t="s">
        <v>4364</v>
      </c>
      <c r="J354" s="106" t="s">
        <v>4905</v>
      </c>
    </row>
    <row r="355" spans="1:10" x14ac:dyDescent="0.2">
      <c r="A355" s="106" t="s">
        <v>364</v>
      </c>
      <c r="B355" s="106" t="s">
        <v>1915</v>
      </c>
      <c r="C355" s="106" t="s">
        <v>264</v>
      </c>
      <c r="D355" s="106" t="s">
        <v>265</v>
      </c>
      <c r="E355">
        <v>8084</v>
      </c>
      <c r="F355" s="106" t="s">
        <v>2189</v>
      </c>
      <c r="G355" s="106" t="s">
        <v>266</v>
      </c>
      <c r="H355" s="106" t="s">
        <v>272</v>
      </c>
      <c r="I355" s="106">
        <v>373</v>
      </c>
      <c r="J355" s="106"/>
    </row>
    <row r="356" spans="1:10" x14ac:dyDescent="0.2">
      <c r="A356" s="106" t="s">
        <v>364</v>
      </c>
      <c r="B356" s="106" t="s">
        <v>1915</v>
      </c>
      <c r="C356" s="106" t="s">
        <v>264</v>
      </c>
      <c r="D356" s="106" t="s">
        <v>265</v>
      </c>
      <c r="E356">
        <v>8616</v>
      </c>
      <c r="F356" s="106" t="s">
        <v>2190</v>
      </c>
      <c r="G356" s="106" t="s">
        <v>266</v>
      </c>
      <c r="H356" s="106" t="s">
        <v>1448</v>
      </c>
      <c r="I356" s="106">
        <v>899</v>
      </c>
      <c r="J356" s="106"/>
    </row>
    <row r="357" spans="1:10" x14ac:dyDescent="0.2">
      <c r="A357" s="106" t="s">
        <v>364</v>
      </c>
      <c r="B357" s="106" t="s">
        <v>1915</v>
      </c>
      <c r="C357" s="106" t="s">
        <v>264</v>
      </c>
      <c r="D357" s="106" t="s">
        <v>265</v>
      </c>
      <c r="E357">
        <v>8698</v>
      </c>
      <c r="F357" s="106" t="s">
        <v>2191</v>
      </c>
      <c r="G357" s="106" t="s">
        <v>266</v>
      </c>
      <c r="H357" s="106" t="s">
        <v>1448</v>
      </c>
      <c r="I357" s="106">
        <v>770</v>
      </c>
      <c r="J357" s="106"/>
    </row>
    <row r="358" spans="1:10" x14ac:dyDescent="0.2">
      <c r="A358" s="106" t="s">
        <v>364</v>
      </c>
      <c r="B358" s="106" t="s">
        <v>1915</v>
      </c>
      <c r="C358" s="106" t="s">
        <v>264</v>
      </c>
      <c r="D358" s="106" t="s">
        <v>265</v>
      </c>
      <c r="E358">
        <v>9107</v>
      </c>
      <c r="F358" s="106" t="s">
        <v>2192</v>
      </c>
      <c r="G358" s="106" t="s">
        <v>266</v>
      </c>
      <c r="H358" s="106" t="s">
        <v>2193</v>
      </c>
      <c r="I358" s="106" t="s">
        <v>297</v>
      </c>
      <c r="J358" s="106" t="s">
        <v>4630</v>
      </c>
    </row>
    <row r="359" spans="1:10" x14ac:dyDescent="0.2">
      <c r="A359" s="106" t="s">
        <v>364</v>
      </c>
      <c r="B359" s="106" t="s">
        <v>1915</v>
      </c>
      <c r="C359" s="106" t="s">
        <v>264</v>
      </c>
      <c r="D359" s="106" t="s">
        <v>265</v>
      </c>
      <c r="E359">
        <v>9179</v>
      </c>
      <c r="F359" s="106" t="s">
        <v>2194</v>
      </c>
      <c r="G359" s="106" t="s">
        <v>274</v>
      </c>
      <c r="H359" s="106" t="s">
        <v>2193</v>
      </c>
      <c r="I359" s="106">
        <v>100</v>
      </c>
      <c r="J359" s="106"/>
    </row>
    <row r="360" spans="1:10" x14ac:dyDescent="0.2">
      <c r="A360" s="106" t="s">
        <v>364</v>
      </c>
      <c r="B360" s="106" t="s">
        <v>1915</v>
      </c>
      <c r="C360" s="106" t="s">
        <v>264</v>
      </c>
      <c r="D360" s="106" t="s">
        <v>265</v>
      </c>
      <c r="E360">
        <v>9934</v>
      </c>
      <c r="F360" s="106" t="s">
        <v>1734</v>
      </c>
      <c r="G360" s="106" t="s">
        <v>266</v>
      </c>
      <c r="H360" s="106" t="s">
        <v>272</v>
      </c>
      <c r="I360" t="s">
        <v>297</v>
      </c>
      <c r="J360" t="s">
        <v>4637</v>
      </c>
    </row>
    <row r="361" spans="1:10" x14ac:dyDescent="0.2">
      <c r="A361" s="106" t="s">
        <v>364</v>
      </c>
      <c r="B361" s="106" t="s">
        <v>684</v>
      </c>
      <c r="C361" s="106" t="s">
        <v>264</v>
      </c>
      <c r="D361" s="106" t="s">
        <v>265</v>
      </c>
      <c r="E361">
        <v>2875</v>
      </c>
      <c r="F361" s="106" t="s">
        <v>2195</v>
      </c>
      <c r="G361" s="106" t="s">
        <v>266</v>
      </c>
      <c r="H361" s="106" t="s">
        <v>267</v>
      </c>
      <c r="I361" s="106" t="s">
        <v>283</v>
      </c>
      <c r="J361" s="106" t="s">
        <v>4377</v>
      </c>
    </row>
    <row r="362" spans="1:10" x14ac:dyDescent="0.2">
      <c r="A362" s="106" t="s">
        <v>364</v>
      </c>
      <c r="B362" s="106" t="s">
        <v>684</v>
      </c>
      <c r="C362" s="106" t="s">
        <v>264</v>
      </c>
      <c r="D362" s="106" t="s">
        <v>269</v>
      </c>
      <c r="E362">
        <v>3564</v>
      </c>
      <c r="F362" s="106" t="s">
        <v>741</v>
      </c>
      <c r="G362" s="106" t="s">
        <v>266</v>
      </c>
      <c r="H362" s="106" t="s">
        <v>276</v>
      </c>
      <c r="I362" s="106">
        <v>894</v>
      </c>
      <c r="J362" s="106"/>
    </row>
    <row r="363" spans="1:10" x14ac:dyDescent="0.2">
      <c r="A363" s="106" t="s">
        <v>364</v>
      </c>
      <c r="B363" s="106" t="s">
        <v>684</v>
      </c>
      <c r="C363" s="106" t="s">
        <v>264</v>
      </c>
      <c r="D363" s="106" t="s">
        <v>265</v>
      </c>
      <c r="E363">
        <v>4503</v>
      </c>
      <c r="F363" s="106" t="s">
        <v>2197</v>
      </c>
      <c r="G363" s="106" t="s">
        <v>266</v>
      </c>
      <c r="H363" s="106" t="s">
        <v>311</v>
      </c>
      <c r="I363" s="106" t="s">
        <v>2198</v>
      </c>
      <c r="J363" s="106" t="s">
        <v>4371</v>
      </c>
    </row>
    <row r="364" spans="1:10" x14ac:dyDescent="0.2">
      <c r="A364" s="106" t="s">
        <v>364</v>
      </c>
      <c r="B364" s="106" t="s">
        <v>684</v>
      </c>
      <c r="C364" s="106" t="s">
        <v>264</v>
      </c>
      <c r="D364" s="106" t="s">
        <v>265</v>
      </c>
      <c r="E364">
        <v>4523</v>
      </c>
      <c r="F364" s="106" t="s">
        <v>2199</v>
      </c>
      <c r="G364" s="106" t="s">
        <v>266</v>
      </c>
      <c r="H364" s="106" t="s">
        <v>311</v>
      </c>
      <c r="I364" t="s">
        <v>2200</v>
      </c>
      <c r="J364" t="s">
        <v>4906</v>
      </c>
    </row>
    <row r="365" spans="1:10" x14ac:dyDescent="0.2">
      <c r="A365" s="106" t="s">
        <v>364</v>
      </c>
      <c r="B365" s="106" t="s">
        <v>684</v>
      </c>
      <c r="C365" s="106" t="s">
        <v>264</v>
      </c>
      <c r="D365" s="106" t="s">
        <v>265</v>
      </c>
      <c r="E365">
        <v>4528</v>
      </c>
      <c r="F365" s="106" t="s">
        <v>2201</v>
      </c>
      <c r="G365" s="106" t="s">
        <v>266</v>
      </c>
      <c r="H365" s="106" t="s">
        <v>311</v>
      </c>
      <c r="I365" s="106" t="s">
        <v>446</v>
      </c>
      <c r="J365" s="106" t="s">
        <v>4665</v>
      </c>
    </row>
    <row r="366" spans="1:10" x14ac:dyDescent="0.2">
      <c r="A366" s="106" t="s">
        <v>364</v>
      </c>
      <c r="B366" s="106" t="s">
        <v>684</v>
      </c>
      <c r="C366" s="106" t="s">
        <v>264</v>
      </c>
      <c r="D366" s="106" t="s">
        <v>265</v>
      </c>
      <c r="E366">
        <v>5191</v>
      </c>
      <c r="F366" s="106" t="s">
        <v>2202</v>
      </c>
      <c r="G366" s="106" t="s">
        <v>266</v>
      </c>
      <c r="H366" s="106" t="s">
        <v>535</v>
      </c>
      <c r="I366" s="106">
        <v>956</v>
      </c>
      <c r="J366" s="106"/>
    </row>
    <row r="367" spans="1:10" x14ac:dyDescent="0.2">
      <c r="A367" s="106" t="s">
        <v>364</v>
      </c>
      <c r="B367" s="106" t="s">
        <v>684</v>
      </c>
      <c r="C367" s="106" t="s">
        <v>264</v>
      </c>
      <c r="D367" s="106" t="s">
        <v>265</v>
      </c>
      <c r="E367">
        <v>6035</v>
      </c>
      <c r="F367" s="106" t="s">
        <v>2203</v>
      </c>
      <c r="G367" s="106" t="s">
        <v>266</v>
      </c>
      <c r="H367" s="106" t="s">
        <v>271</v>
      </c>
      <c r="I367" s="106">
        <v>990</v>
      </c>
      <c r="J367" s="106"/>
    </row>
    <row r="368" spans="1:10" x14ac:dyDescent="0.2">
      <c r="A368" s="106" t="s">
        <v>364</v>
      </c>
      <c r="B368" s="106" t="s">
        <v>684</v>
      </c>
      <c r="C368" s="106" t="s">
        <v>264</v>
      </c>
      <c r="D368" s="106" t="s">
        <v>265</v>
      </c>
      <c r="E368">
        <v>6292</v>
      </c>
      <c r="F368" s="106" t="s">
        <v>2204</v>
      </c>
      <c r="G368" s="106" t="s">
        <v>266</v>
      </c>
      <c r="H368" s="106" t="s">
        <v>287</v>
      </c>
      <c r="I368">
        <v>77</v>
      </c>
    </row>
    <row r="369" spans="1:10" x14ac:dyDescent="0.2">
      <c r="A369" s="106" t="s">
        <v>364</v>
      </c>
      <c r="B369" s="106" t="s">
        <v>684</v>
      </c>
      <c r="C369" s="106" t="s">
        <v>264</v>
      </c>
      <c r="D369" s="106" t="s">
        <v>265</v>
      </c>
      <c r="E369">
        <v>8025</v>
      </c>
      <c r="F369" s="106" t="s">
        <v>2205</v>
      </c>
      <c r="G369" s="106" t="s">
        <v>266</v>
      </c>
      <c r="H369" s="106" t="s">
        <v>272</v>
      </c>
      <c r="I369" s="106">
        <v>46</v>
      </c>
      <c r="J369" s="106"/>
    </row>
    <row r="370" spans="1:10" x14ac:dyDescent="0.2">
      <c r="A370" s="106" t="s">
        <v>364</v>
      </c>
      <c r="B370" s="106" t="s">
        <v>684</v>
      </c>
      <c r="C370" s="106" t="s">
        <v>264</v>
      </c>
      <c r="D370" s="106" t="s">
        <v>265</v>
      </c>
      <c r="E370">
        <v>9101</v>
      </c>
      <c r="F370" s="106" t="s">
        <v>2206</v>
      </c>
      <c r="G370" s="106" t="s">
        <v>266</v>
      </c>
      <c r="H370" s="106" t="s">
        <v>2193</v>
      </c>
      <c r="I370" s="106" t="s">
        <v>333</v>
      </c>
      <c r="J370" s="106" t="s">
        <v>4652</v>
      </c>
    </row>
    <row r="371" spans="1:10" x14ac:dyDescent="0.2">
      <c r="A371" s="106" t="s">
        <v>364</v>
      </c>
      <c r="B371" s="106" t="s">
        <v>684</v>
      </c>
      <c r="C371" s="106" t="s">
        <v>264</v>
      </c>
      <c r="D371" s="106" t="s">
        <v>265</v>
      </c>
      <c r="E371">
        <v>9104</v>
      </c>
      <c r="F371" s="106" t="s">
        <v>2207</v>
      </c>
      <c r="G371" s="106" t="s">
        <v>266</v>
      </c>
      <c r="H371" s="106" t="s">
        <v>2193</v>
      </c>
      <c r="I371" s="106" t="s">
        <v>333</v>
      </c>
      <c r="J371" s="106" t="s">
        <v>4907</v>
      </c>
    </row>
    <row r="372" spans="1:10" x14ac:dyDescent="0.2">
      <c r="A372" s="106" t="s">
        <v>364</v>
      </c>
      <c r="B372" s="106" t="s">
        <v>1481</v>
      </c>
      <c r="C372" s="106" t="s">
        <v>264</v>
      </c>
      <c r="D372" s="106" t="s">
        <v>265</v>
      </c>
      <c r="E372">
        <v>1803</v>
      </c>
      <c r="F372" s="106" t="s">
        <v>2208</v>
      </c>
      <c r="G372" s="106" t="s">
        <v>266</v>
      </c>
      <c r="H372" s="106" t="s">
        <v>293</v>
      </c>
      <c r="I372" s="106" t="s">
        <v>407</v>
      </c>
      <c r="J372" s="106" t="s">
        <v>4908</v>
      </c>
    </row>
    <row r="373" spans="1:10" x14ac:dyDescent="0.2">
      <c r="A373" s="106" t="s">
        <v>364</v>
      </c>
      <c r="B373" s="106" t="s">
        <v>1481</v>
      </c>
      <c r="C373" s="106" t="s">
        <v>264</v>
      </c>
      <c r="D373" s="106" t="s">
        <v>265</v>
      </c>
      <c r="E373">
        <v>1911</v>
      </c>
      <c r="F373" s="106" t="s">
        <v>2209</v>
      </c>
      <c r="G373" s="106" t="s">
        <v>266</v>
      </c>
      <c r="H373" s="106" t="s">
        <v>293</v>
      </c>
      <c r="I373" t="s">
        <v>289</v>
      </c>
      <c r="J373" t="s">
        <v>4909</v>
      </c>
    </row>
    <row r="374" spans="1:10" x14ac:dyDescent="0.2">
      <c r="A374" s="106" t="s">
        <v>364</v>
      </c>
      <c r="B374" s="106" t="s">
        <v>1481</v>
      </c>
      <c r="C374" s="106" t="s">
        <v>264</v>
      </c>
      <c r="D374" s="106" t="s">
        <v>265</v>
      </c>
      <c r="E374">
        <v>1942</v>
      </c>
      <c r="F374" s="106" t="s">
        <v>2210</v>
      </c>
      <c r="G374" s="106" t="s">
        <v>266</v>
      </c>
      <c r="H374" s="106" t="s">
        <v>293</v>
      </c>
      <c r="I374" s="106" t="s">
        <v>289</v>
      </c>
      <c r="J374" s="106" t="s">
        <v>4350</v>
      </c>
    </row>
    <row r="375" spans="1:10" x14ac:dyDescent="0.2">
      <c r="A375" s="106" t="s">
        <v>364</v>
      </c>
      <c r="B375" s="106" t="s">
        <v>1481</v>
      </c>
      <c r="C375" s="106" t="s">
        <v>264</v>
      </c>
      <c r="D375" s="106" t="s">
        <v>265</v>
      </c>
      <c r="E375">
        <v>1949</v>
      </c>
      <c r="F375" s="106" t="s">
        <v>2211</v>
      </c>
      <c r="G375" s="106" t="s">
        <v>266</v>
      </c>
      <c r="H375" s="106" t="s">
        <v>293</v>
      </c>
      <c r="I375" t="s">
        <v>297</v>
      </c>
      <c r="J375" t="s">
        <v>4910</v>
      </c>
    </row>
    <row r="376" spans="1:10" x14ac:dyDescent="0.2">
      <c r="A376" s="106" t="s">
        <v>364</v>
      </c>
      <c r="B376" s="106" t="s">
        <v>1481</v>
      </c>
      <c r="C376" s="106" t="s">
        <v>264</v>
      </c>
      <c r="D376" s="106" t="s">
        <v>265</v>
      </c>
      <c r="E376">
        <v>2003</v>
      </c>
      <c r="F376" s="106" t="s">
        <v>2212</v>
      </c>
      <c r="G376" s="106" t="s">
        <v>266</v>
      </c>
      <c r="H376" s="106" t="s">
        <v>267</v>
      </c>
      <c r="I376" s="106">
        <v>295</v>
      </c>
      <c r="J376" s="106"/>
    </row>
    <row r="377" spans="1:10" x14ac:dyDescent="0.2">
      <c r="A377" s="106" t="s">
        <v>364</v>
      </c>
      <c r="B377" s="106" t="s">
        <v>1481</v>
      </c>
      <c r="C377" s="106" t="s">
        <v>264</v>
      </c>
      <c r="D377" s="106" t="s">
        <v>265</v>
      </c>
      <c r="E377">
        <v>2220</v>
      </c>
      <c r="F377" s="106" t="s">
        <v>639</v>
      </c>
      <c r="G377" s="106" t="s">
        <v>266</v>
      </c>
      <c r="H377" s="106" t="s">
        <v>267</v>
      </c>
      <c r="I377" s="106" t="s">
        <v>297</v>
      </c>
      <c r="J377" s="106" t="s">
        <v>4911</v>
      </c>
    </row>
    <row r="378" spans="1:10" x14ac:dyDescent="0.2">
      <c r="A378" s="106" t="s">
        <v>364</v>
      </c>
      <c r="B378" s="106" t="s">
        <v>1481</v>
      </c>
      <c r="C378" s="106" t="s">
        <v>264</v>
      </c>
      <c r="D378" s="106" t="s">
        <v>265</v>
      </c>
      <c r="E378">
        <v>2282</v>
      </c>
      <c r="F378" s="106" t="s">
        <v>2213</v>
      </c>
      <c r="G378" s="106" t="s">
        <v>266</v>
      </c>
      <c r="H378" s="106" t="s">
        <v>267</v>
      </c>
      <c r="I378" s="106" t="s">
        <v>316</v>
      </c>
      <c r="J378" s="106" t="s">
        <v>4418</v>
      </c>
    </row>
    <row r="379" spans="1:10" x14ac:dyDescent="0.2">
      <c r="A379" s="106" t="s">
        <v>364</v>
      </c>
      <c r="B379" s="106" t="s">
        <v>1481</v>
      </c>
      <c r="C379" s="106" t="s">
        <v>264</v>
      </c>
      <c r="D379" s="106" t="s">
        <v>265</v>
      </c>
      <c r="E379">
        <v>2393</v>
      </c>
      <c r="F379" s="106" t="s">
        <v>2214</v>
      </c>
      <c r="G379" s="106" t="s">
        <v>274</v>
      </c>
      <c r="H379" s="106" t="s">
        <v>271</v>
      </c>
      <c r="I379" s="106">
        <v>245</v>
      </c>
      <c r="J379" s="106"/>
    </row>
    <row r="380" spans="1:10" x14ac:dyDescent="0.2">
      <c r="A380" s="106" t="s">
        <v>364</v>
      </c>
      <c r="B380" s="106" t="s">
        <v>1481</v>
      </c>
      <c r="C380" s="106" t="s">
        <v>264</v>
      </c>
      <c r="D380" s="106" t="s">
        <v>269</v>
      </c>
      <c r="E380">
        <v>2806</v>
      </c>
      <c r="F380" s="106" t="s">
        <v>2215</v>
      </c>
      <c r="G380" s="106" t="s">
        <v>274</v>
      </c>
      <c r="H380" s="106" t="s">
        <v>267</v>
      </c>
      <c r="I380" s="106">
        <v>151</v>
      </c>
      <c r="J380" s="106"/>
    </row>
    <row r="381" spans="1:10" x14ac:dyDescent="0.2">
      <c r="A381" s="106" t="s">
        <v>364</v>
      </c>
      <c r="B381" s="106" t="s">
        <v>1481</v>
      </c>
      <c r="C381" s="106" t="s">
        <v>264</v>
      </c>
      <c r="D381" s="106" t="s">
        <v>269</v>
      </c>
      <c r="E381">
        <v>4333</v>
      </c>
      <c r="F381" s="106" t="s">
        <v>467</v>
      </c>
      <c r="G381" s="106" t="s">
        <v>266</v>
      </c>
      <c r="H381" s="106" t="s">
        <v>277</v>
      </c>
      <c r="I381" s="106">
        <v>129</v>
      </c>
      <c r="J381" s="106"/>
    </row>
    <row r="382" spans="1:10" x14ac:dyDescent="0.2">
      <c r="A382" s="106" t="s">
        <v>364</v>
      </c>
      <c r="B382" s="106" t="s">
        <v>1481</v>
      </c>
      <c r="C382" s="106" t="s">
        <v>264</v>
      </c>
      <c r="D382" s="106" t="s">
        <v>269</v>
      </c>
      <c r="E382">
        <v>4531</v>
      </c>
      <c r="F382" s="106" t="s">
        <v>2216</v>
      </c>
      <c r="G382" s="106" t="s">
        <v>266</v>
      </c>
      <c r="H382" s="106" t="s">
        <v>279</v>
      </c>
      <c r="I382" s="106">
        <v>64</v>
      </c>
      <c r="J382" s="106"/>
    </row>
    <row r="383" spans="1:10" x14ac:dyDescent="0.2">
      <c r="A383" s="106" t="s">
        <v>364</v>
      </c>
      <c r="B383" s="106" t="s">
        <v>1481</v>
      </c>
      <c r="C383" s="106" t="s">
        <v>264</v>
      </c>
      <c r="D383" s="106" t="s">
        <v>265</v>
      </c>
      <c r="E383">
        <v>4568</v>
      </c>
      <c r="F383" s="106" t="s">
        <v>2217</v>
      </c>
      <c r="G383" s="106" t="s">
        <v>266</v>
      </c>
      <c r="H383" s="106" t="s">
        <v>311</v>
      </c>
      <c r="I383" s="106" t="s">
        <v>4862</v>
      </c>
      <c r="J383" s="106" t="s">
        <v>4912</v>
      </c>
    </row>
    <row r="384" spans="1:10" x14ac:dyDescent="0.2">
      <c r="A384" s="106" t="s">
        <v>364</v>
      </c>
      <c r="B384" s="106" t="s">
        <v>1481</v>
      </c>
      <c r="C384" s="106" t="s">
        <v>264</v>
      </c>
      <c r="D384" s="106" t="s">
        <v>265</v>
      </c>
      <c r="E384">
        <v>4617</v>
      </c>
      <c r="F384" s="106" t="s">
        <v>2218</v>
      </c>
      <c r="G384" s="106" t="s">
        <v>266</v>
      </c>
      <c r="H384" s="106" t="s">
        <v>279</v>
      </c>
      <c r="I384" s="106">
        <v>729</v>
      </c>
      <c r="J384" s="106"/>
    </row>
    <row r="385" spans="1:10" x14ac:dyDescent="0.2">
      <c r="A385" s="106" t="s">
        <v>364</v>
      </c>
      <c r="B385" s="106" t="s">
        <v>1481</v>
      </c>
      <c r="C385" s="106" t="s">
        <v>264</v>
      </c>
      <c r="D385" s="106" t="s">
        <v>265</v>
      </c>
      <c r="E385">
        <v>4839</v>
      </c>
      <c r="F385" s="106" t="s">
        <v>2219</v>
      </c>
      <c r="G385" s="106" t="s">
        <v>266</v>
      </c>
      <c r="H385" s="106" t="s">
        <v>277</v>
      </c>
      <c r="I385" s="106">
        <v>774</v>
      </c>
      <c r="J385" s="106"/>
    </row>
    <row r="386" spans="1:10" x14ac:dyDescent="0.2">
      <c r="A386" s="106" t="s">
        <v>364</v>
      </c>
      <c r="B386" s="106" t="s">
        <v>1481</v>
      </c>
      <c r="C386" s="106" t="s">
        <v>264</v>
      </c>
      <c r="D386" s="106" t="s">
        <v>265</v>
      </c>
      <c r="E386">
        <v>5204</v>
      </c>
      <c r="F386" s="106" t="s">
        <v>2220</v>
      </c>
      <c r="G386" s="106" t="s">
        <v>266</v>
      </c>
      <c r="H386" s="106" t="s">
        <v>308</v>
      </c>
      <c r="I386" s="106">
        <v>108</v>
      </c>
      <c r="J386" s="106"/>
    </row>
    <row r="387" spans="1:10" x14ac:dyDescent="0.2">
      <c r="A387" s="106" t="s">
        <v>364</v>
      </c>
      <c r="B387" s="106" t="s">
        <v>1481</v>
      </c>
      <c r="C387" s="106" t="s">
        <v>264</v>
      </c>
      <c r="D387" s="106" t="s">
        <v>265</v>
      </c>
      <c r="E387">
        <v>5440</v>
      </c>
      <c r="F387" s="106" t="s">
        <v>1722</v>
      </c>
      <c r="G387" s="106" t="s">
        <v>266</v>
      </c>
      <c r="H387" s="106" t="s">
        <v>726</v>
      </c>
      <c r="I387">
        <v>916</v>
      </c>
    </row>
    <row r="388" spans="1:10" x14ac:dyDescent="0.2">
      <c r="A388" s="106" t="s">
        <v>364</v>
      </c>
      <c r="B388" s="106" t="s">
        <v>1481</v>
      </c>
      <c r="C388" s="106" t="s">
        <v>264</v>
      </c>
      <c r="D388" s="106" t="s">
        <v>265</v>
      </c>
      <c r="E388">
        <v>5458</v>
      </c>
      <c r="F388" s="106" t="s">
        <v>2221</v>
      </c>
      <c r="G388" s="106" t="s">
        <v>274</v>
      </c>
      <c r="H388" s="106" t="s">
        <v>726</v>
      </c>
      <c r="I388" s="106">
        <v>19</v>
      </c>
      <c r="J388" s="106"/>
    </row>
    <row r="389" spans="1:10" x14ac:dyDescent="0.2">
      <c r="A389" s="106" t="s">
        <v>364</v>
      </c>
      <c r="B389" s="106" t="s">
        <v>1481</v>
      </c>
      <c r="C389" s="106" t="s">
        <v>264</v>
      </c>
      <c r="D389" s="106" t="s">
        <v>265</v>
      </c>
      <c r="E389">
        <v>5464</v>
      </c>
      <c r="F389" s="106" t="s">
        <v>2222</v>
      </c>
      <c r="G389" s="106" t="s">
        <v>266</v>
      </c>
      <c r="H389" s="106" t="s">
        <v>726</v>
      </c>
      <c r="I389" s="106">
        <v>202</v>
      </c>
      <c r="J389" s="106"/>
    </row>
    <row r="390" spans="1:10" x14ac:dyDescent="0.2">
      <c r="A390" s="106" t="s">
        <v>364</v>
      </c>
      <c r="B390" s="106" t="s">
        <v>1481</v>
      </c>
      <c r="C390" s="106" t="s">
        <v>264</v>
      </c>
      <c r="D390" s="106" t="s">
        <v>265</v>
      </c>
      <c r="E390">
        <v>5482</v>
      </c>
      <c r="F390" s="106" t="s">
        <v>2223</v>
      </c>
      <c r="G390" s="106" t="s">
        <v>266</v>
      </c>
      <c r="H390" s="106" t="s">
        <v>726</v>
      </c>
      <c r="I390" s="106">
        <v>740</v>
      </c>
      <c r="J390" s="106"/>
    </row>
    <row r="391" spans="1:10" x14ac:dyDescent="0.2">
      <c r="A391" s="106" t="s">
        <v>364</v>
      </c>
      <c r="B391" s="106" t="s">
        <v>1481</v>
      </c>
      <c r="C391" s="106" t="s">
        <v>264</v>
      </c>
      <c r="D391" s="106" t="s">
        <v>265</v>
      </c>
      <c r="E391">
        <v>5938</v>
      </c>
      <c r="F391" s="106" t="s">
        <v>2224</v>
      </c>
      <c r="G391" s="106" t="s">
        <v>266</v>
      </c>
      <c r="H391" s="106" t="s">
        <v>281</v>
      </c>
      <c r="I391" t="s">
        <v>325</v>
      </c>
      <c r="J391" t="s">
        <v>4913</v>
      </c>
    </row>
    <row r="392" spans="1:10" x14ac:dyDescent="0.2">
      <c r="A392" s="106" t="s">
        <v>364</v>
      </c>
      <c r="B392" s="106" t="s">
        <v>1481</v>
      </c>
      <c r="C392" s="106" t="s">
        <v>264</v>
      </c>
      <c r="D392" s="106" t="s">
        <v>265</v>
      </c>
      <c r="E392">
        <v>5956</v>
      </c>
      <c r="F392" s="106" t="s">
        <v>2225</v>
      </c>
      <c r="G392" s="106" t="s">
        <v>274</v>
      </c>
      <c r="H392" s="106" t="s">
        <v>281</v>
      </c>
      <c r="I392">
        <v>52</v>
      </c>
    </row>
    <row r="393" spans="1:10" x14ac:dyDescent="0.2">
      <c r="A393" s="106" t="s">
        <v>364</v>
      </c>
      <c r="B393" s="106" t="s">
        <v>1481</v>
      </c>
      <c r="C393" s="106" t="s">
        <v>264</v>
      </c>
      <c r="D393" s="106" t="s">
        <v>269</v>
      </c>
      <c r="E393">
        <v>6356</v>
      </c>
      <c r="F393" s="106" t="s">
        <v>2226</v>
      </c>
      <c r="G393" s="106" t="s">
        <v>266</v>
      </c>
      <c r="H393" s="106" t="s">
        <v>287</v>
      </c>
      <c r="I393" s="106">
        <v>57</v>
      </c>
      <c r="J393" s="106"/>
    </row>
    <row r="394" spans="1:10" x14ac:dyDescent="0.2">
      <c r="A394" s="106" t="s">
        <v>364</v>
      </c>
      <c r="B394" s="106" t="s">
        <v>1481</v>
      </c>
      <c r="C394" s="106" t="s">
        <v>264</v>
      </c>
      <c r="D394" s="106" t="s">
        <v>265</v>
      </c>
      <c r="E394">
        <v>6473</v>
      </c>
      <c r="F394" s="106" t="s">
        <v>2227</v>
      </c>
      <c r="G394" s="106" t="s">
        <v>266</v>
      </c>
      <c r="H394" s="106" t="s">
        <v>287</v>
      </c>
      <c r="I394" s="106" t="s">
        <v>316</v>
      </c>
      <c r="J394" s="106" t="s">
        <v>4643</v>
      </c>
    </row>
    <row r="395" spans="1:10" x14ac:dyDescent="0.2">
      <c r="A395" s="106" t="s">
        <v>364</v>
      </c>
      <c r="B395" s="106" t="s">
        <v>1481</v>
      </c>
      <c r="C395" s="106" t="s">
        <v>264</v>
      </c>
      <c r="D395" s="106" t="s">
        <v>265</v>
      </c>
      <c r="E395">
        <v>6832</v>
      </c>
      <c r="F395" s="106" t="s">
        <v>540</v>
      </c>
      <c r="G395" s="106" t="s">
        <v>274</v>
      </c>
      <c r="H395" s="106" t="s">
        <v>291</v>
      </c>
      <c r="I395" s="106">
        <v>339</v>
      </c>
      <c r="J395" s="106"/>
    </row>
    <row r="396" spans="1:10" x14ac:dyDescent="0.2">
      <c r="A396" s="106" t="s">
        <v>364</v>
      </c>
      <c r="B396" s="106" t="s">
        <v>1481</v>
      </c>
      <c r="C396" s="106" t="s">
        <v>264</v>
      </c>
      <c r="D396" s="106" t="s">
        <v>265</v>
      </c>
      <c r="E396">
        <v>6994</v>
      </c>
      <c r="F396" s="106" t="s">
        <v>2228</v>
      </c>
      <c r="G396" s="106" t="s">
        <v>274</v>
      </c>
      <c r="H396" s="106" t="s">
        <v>291</v>
      </c>
      <c r="I396" s="106">
        <v>227</v>
      </c>
      <c r="J396" s="106"/>
    </row>
    <row r="397" spans="1:10" x14ac:dyDescent="0.2">
      <c r="A397" s="106" t="s">
        <v>364</v>
      </c>
      <c r="B397" s="106" t="s">
        <v>1481</v>
      </c>
      <c r="C397" s="106" t="s">
        <v>268</v>
      </c>
      <c r="D397" s="106" t="s">
        <v>265</v>
      </c>
      <c r="E397">
        <v>7539</v>
      </c>
      <c r="F397" s="106" t="s">
        <v>1858</v>
      </c>
      <c r="G397" s="106" t="s">
        <v>270</v>
      </c>
      <c r="H397" s="106" t="s">
        <v>272</v>
      </c>
      <c r="I397" s="106">
        <v>118</v>
      </c>
      <c r="J397" s="106"/>
    </row>
    <row r="398" spans="1:10" x14ac:dyDescent="0.2">
      <c r="A398" s="106" t="s">
        <v>364</v>
      </c>
      <c r="B398" s="106" t="s">
        <v>1481</v>
      </c>
      <c r="C398" s="106" t="s">
        <v>264</v>
      </c>
      <c r="D398" s="106" t="s">
        <v>265</v>
      </c>
      <c r="E398">
        <v>7723</v>
      </c>
      <c r="F398" s="106" t="s">
        <v>2229</v>
      </c>
      <c r="G398" s="106" t="s">
        <v>266</v>
      </c>
      <c r="H398" s="106" t="s">
        <v>342</v>
      </c>
      <c r="I398" s="106">
        <v>224</v>
      </c>
      <c r="J398" s="106"/>
    </row>
    <row r="399" spans="1:10" x14ac:dyDescent="0.2">
      <c r="A399" s="106" t="s">
        <v>364</v>
      </c>
      <c r="B399" s="106" t="s">
        <v>1481</v>
      </c>
      <c r="C399" s="106" t="s">
        <v>264</v>
      </c>
      <c r="D399" s="106" t="s">
        <v>265</v>
      </c>
      <c r="E399">
        <v>8133</v>
      </c>
      <c r="F399" s="106" t="s">
        <v>2230</v>
      </c>
      <c r="G399" s="106" t="s">
        <v>266</v>
      </c>
      <c r="H399" s="106" t="s">
        <v>272</v>
      </c>
      <c r="I399" s="106" t="s">
        <v>297</v>
      </c>
      <c r="J399" s="106" t="s">
        <v>4466</v>
      </c>
    </row>
    <row r="400" spans="1:10" x14ac:dyDescent="0.2">
      <c r="A400" s="106" t="s">
        <v>364</v>
      </c>
      <c r="B400" s="106" t="s">
        <v>1481</v>
      </c>
      <c r="C400" s="106" t="s">
        <v>264</v>
      </c>
      <c r="D400" s="106" t="s">
        <v>265</v>
      </c>
      <c r="E400">
        <v>8349</v>
      </c>
      <c r="F400" s="106" t="s">
        <v>2231</v>
      </c>
      <c r="G400" s="106" t="s">
        <v>266</v>
      </c>
      <c r="H400" s="106" t="s">
        <v>484</v>
      </c>
      <c r="I400" s="106">
        <v>99</v>
      </c>
      <c r="J400" s="106"/>
    </row>
    <row r="401" spans="1:10" x14ac:dyDescent="0.2">
      <c r="A401" s="106" t="s">
        <v>364</v>
      </c>
      <c r="B401" s="106" t="s">
        <v>1481</v>
      </c>
      <c r="C401" s="106" t="s">
        <v>264</v>
      </c>
      <c r="D401" s="106" t="s">
        <v>265</v>
      </c>
      <c r="E401">
        <v>8877</v>
      </c>
      <c r="F401" s="106" t="s">
        <v>2232</v>
      </c>
      <c r="G401" s="106" t="s">
        <v>266</v>
      </c>
      <c r="H401" s="106" t="s">
        <v>292</v>
      </c>
      <c r="I401" s="106">
        <v>324</v>
      </c>
      <c r="J401" s="106"/>
    </row>
    <row r="402" spans="1:10" x14ac:dyDescent="0.2">
      <c r="A402" s="106" t="s">
        <v>364</v>
      </c>
      <c r="B402" s="106" t="s">
        <v>1481</v>
      </c>
      <c r="C402" s="106" t="s">
        <v>264</v>
      </c>
      <c r="D402" s="106" t="s">
        <v>265</v>
      </c>
      <c r="E402">
        <v>9062</v>
      </c>
      <c r="F402" s="106" t="s">
        <v>2233</v>
      </c>
      <c r="G402" s="106" t="s">
        <v>266</v>
      </c>
      <c r="H402" s="106" t="s">
        <v>356</v>
      </c>
      <c r="I402" s="106" t="s">
        <v>325</v>
      </c>
      <c r="J402" s="106" t="s">
        <v>4689</v>
      </c>
    </row>
    <row r="403" spans="1:10" x14ac:dyDescent="0.2">
      <c r="A403" s="106" t="s">
        <v>364</v>
      </c>
      <c r="B403" s="106" t="s">
        <v>1481</v>
      </c>
      <c r="C403" s="106" t="s">
        <v>264</v>
      </c>
      <c r="D403" s="106" t="s">
        <v>265</v>
      </c>
      <c r="E403">
        <v>9115</v>
      </c>
      <c r="F403" s="106" t="s">
        <v>2234</v>
      </c>
      <c r="G403" s="106" t="s">
        <v>266</v>
      </c>
      <c r="H403" s="106" t="s">
        <v>2193</v>
      </c>
      <c r="I403" s="106">
        <v>136</v>
      </c>
      <c r="J403" s="106"/>
    </row>
    <row r="404" spans="1:10" x14ac:dyDescent="0.2">
      <c r="A404" s="106" t="s">
        <v>364</v>
      </c>
      <c r="B404" s="106" t="s">
        <v>1481</v>
      </c>
      <c r="C404" s="106" t="s">
        <v>264</v>
      </c>
      <c r="D404" s="106" t="s">
        <v>265</v>
      </c>
      <c r="E404">
        <v>9301</v>
      </c>
      <c r="F404" s="106" t="s">
        <v>2235</v>
      </c>
      <c r="G404" s="106" t="s">
        <v>266</v>
      </c>
      <c r="H404" s="106" t="s">
        <v>556</v>
      </c>
      <c r="I404" t="s">
        <v>289</v>
      </c>
      <c r="J404" t="s">
        <v>4706</v>
      </c>
    </row>
    <row r="405" spans="1:10" x14ac:dyDescent="0.2">
      <c r="A405" s="106" t="s">
        <v>364</v>
      </c>
      <c r="B405" s="106" t="s">
        <v>1481</v>
      </c>
      <c r="C405" s="106" t="s">
        <v>264</v>
      </c>
      <c r="D405" s="106" t="s">
        <v>265</v>
      </c>
      <c r="E405">
        <v>9600</v>
      </c>
      <c r="F405" s="106" t="s">
        <v>2236</v>
      </c>
      <c r="G405" s="106" t="s">
        <v>266</v>
      </c>
      <c r="H405" s="106" t="s">
        <v>277</v>
      </c>
      <c r="I405">
        <v>263</v>
      </c>
    </row>
    <row r="406" spans="1:10" x14ac:dyDescent="0.2">
      <c r="A406" s="106" t="s">
        <v>364</v>
      </c>
      <c r="B406" s="106" t="s">
        <v>686</v>
      </c>
      <c r="C406" s="106" t="s">
        <v>264</v>
      </c>
      <c r="D406" s="106" t="s">
        <v>265</v>
      </c>
      <c r="E406">
        <v>1946</v>
      </c>
      <c r="F406" s="106" t="s">
        <v>462</v>
      </c>
      <c r="G406" s="106" t="s">
        <v>266</v>
      </c>
      <c r="H406" s="106" t="s">
        <v>293</v>
      </c>
      <c r="I406" s="106">
        <v>750</v>
      </c>
      <c r="J406" s="106"/>
    </row>
    <row r="407" spans="1:10" x14ac:dyDescent="0.2">
      <c r="A407" s="106" t="s">
        <v>364</v>
      </c>
      <c r="B407" s="106" t="s">
        <v>686</v>
      </c>
      <c r="C407" s="106" t="s">
        <v>264</v>
      </c>
      <c r="D407" s="106" t="s">
        <v>269</v>
      </c>
      <c r="E407">
        <v>1972</v>
      </c>
      <c r="F407" s="106" t="s">
        <v>2237</v>
      </c>
      <c r="G407" s="106" t="s">
        <v>266</v>
      </c>
      <c r="H407" s="106" t="s">
        <v>293</v>
      </c>
      <c r="I407" s="106">
        <v>106</v>
      </c>
      <c r="J407" s="106"/>
    </row>
    <row r="408" spans="1:10" x14ac:dyDescent="0.2">
      <c r="A408" s="106" t="s">
        <v>364</v>
      </c>
      <c r="B408" s="106" t="s">
        <v>686</v>
      </c>
      <c r="C408" s="106" t="s">
        <v>264</v>
      </c>
      <c r="D408" s="106" t="s">
        <v>265</v>
      </c>
      <c r="E408">
        <v>2114</v>
      </c>
      <c r="F408" s="106" t="s">
        <v>2238</v>
      </c>
      <c r="G408" s="106" t="s">
        <v>274</v>
      </c>
      <c r="H408" s="106" t="s">
        <v>267</v>
      </c>
      <c r="I408">
        <v>168</v>
      </c>
    </row>
    <row r="409" spans="1:10" x14ac:dyDescent="0.2">
      <c r="A409" s="106" t="s">
        <v>364</v>
      </c>
      <c r="B409" s="106" t="s">
        <v>686</v>
      </c>
      <c r="C409" s="106" t="s">
        <v>264</v>
      </c>
      <c r="D409" s="106" t="s">
        <v>265</v>
      </c>
      <c r="E409">
        <v>2267</v>
      </c>
      <c r="F409" s="106" t="s">
        <v>2239</v>
      </c>
      <c r="G409" s="106" t="s">
        <v>266</v>
      </c>
      <c r="H409" s="106" t="s">
        <v>267</v>
      </c>
      <c r="I409" s="106" t="s">
        <v>359</v>
      </c>
      <c r="J409" s="106" t="s">
        <v>4914</v>
      </c>
    </row>
    <row r="410" spans="1:10" x14ac:dyDescent="0.2">
      <c r="A410" s="106" t="s">
        <v>364</v>
      </c>
      <c r="B410" s="106" t="s">
        <v>686</v>
      </c>
      <c r="C410" s="106" t="s">
        <v>264</v>
      </c>
      <c r="D410" s="106" t="s">
        <v>265</v>
      </c>
      <c r="E410">
        <v>2331</v>
      </c>
      <c r="F410" s="106" t="s">
        <v>640</v>
      </c>
      <c r="G410" s="106" t="s">
        <v>266</v>
      </c>
      <c r="H410" s="106" t="s">
        <v>271</v>
      </c>
      <c r="I410" s="106" t="s">
        <v>325</v>
      </c>
      <c r="J410" s="106" t="s">
        <v>4360</v>
      </c>
    </row>
    <row r="411" spans="1:10" x14ac:dyDescent="0.2">
      <c r="A411" s="106" t="s">
        <v>364</v>
      </c>
      <c r="B411" s="106" t="s">
        <v>686</v>
      </c>
      <c r="C411" s="106" t="s">
        <v>264</v>
      </c>
      <c r="D411" s="106" t="s">
        <v>265</v>
      </c>
      <c r="E411">
        <v>2594</v>
      </c>
      <c r="F411" s="106" t="s">
        <v>2240</v>
      </c>
      <c r="G411" s="106" t="s">
        <v>266</v>
      </c>
      <c r="H411" s="106" t="s">
        <v>267</v>
      </c>
      <c r="I411" s="106">
        <v>518</v>
      </c>
      <c r="J411" s="106"/>
    </row>
    <row r="412" spans="1:10" x14ac:dyDescent="0.2">
      <c r="A412" s="106" t="s">
        <v>364</v>
      </c>
      <c r="B412" s="106" t="s">
        <v>686</v>
      </c>
      <c r="C412" s="106" t="s">
        <v>264</v>
      </c>
      <c r="D412" s="106" t="s">
        <v>269</v>
      </c>
      <c r="E412">
        <v>2883</v>
      </c>
      <c r="F412" s="106" t="s">
        <v>2241</v>
      </c>
      <c r="G412" s="106" t="s">
        <v>266</v>
      </c>
      <c r="H412" s="106" t="s">
        <v>267</v>
      </c>
      <c r="I412" s="106">
        <v>116</v>
      </c>
      <c r="J412" s="106"/>
    </row>
    <row r="413" spans="1:10" x14ac:dyDescent="0.2">
      <c r="A413" s="106" t="s">
        <v>364</v>
      </c>
      <c r="B413" s="106" t="s">
        <v>686</v>
      </c>
      <c r="C413" s="106" t="s">
        <v>264</v>
      </c>
      <c r="D413" s="106" t="s">
        <v>265</v>
      </c>
      <c r="E413">
        <v>3004</v>
      </c>
      <c r="F413" s="106" t="s">
        <v>2242</v>
      </c>
      <c r="G413" s="106" t="s">
        <v>266</v>
      </c>
      <c r="H413" s="106" t="s">
        <v>272</v>
      </c>
      <c r="I413" s="106">
        <v>29</v>
      </c>
      <c r="J413" s="106"/>
    </row>
    <row r="414" spans="1:10" x14ac:dyDescent="0.2">
      <c r="A414" s="106" t="s">
        <v>364</v>
      </c>
      <c r="B414" s="106" t="s">
        <v>686</v>
      </c>
      <c r="C414" s="106" t="s">
        <v>264</v>
      </c>
      <c r="D414" s="106" t="s">
        <v>265</v>
      </c>
      <c r="E414">
        <v>3023</v>
      </c>
      <c r="F414" s="106" t="s">
        <v>367</v>
      </c>
      <c r="G414" s="106" t="s">
        <v>266</v>
      </c>
      <c r="H414" s="106" t="s">
        <v>272</v>
      </c>
      <c r="I414" s="106">
        <v>135</v>
      </c>
      <c r="J414" s="106"/>
    </row>
    <row r="415" spans="1:10" x14ac:dyDescent="0.2">
      <c r="A415" s="106" t="s">
        <v>364</v>
      </c>
      <c r="B415" s="106" t="s">
        <v>686</v>
      </c>
      <c r="C415" s="106" t="s">
        <v>264</v>
      </c>
      <c r="D415" s="106" t="s">
        <v>265</v>
      </c>
      <c r="E415">
        <v>3116</v>
      </c>
      <c r="F415" s="106" t="s">
        <v>739</v>
      </c>
      <c r="G415" s="106" t="s">
        <v>266</v>
      </c>
      <c r="H415" s="106" t="s">
        <v>296</v>
      </c>
      <c r="I415" s="106" t="s">
        <v>333</v>
      </c>
      <c r="J415" s="106" t="s">
        <v>4915</v>
      </c>
    </row>
    <row r="416" spans="1:10" x14ac:dyDescent="0.2">
      <c r="A416" s="106" t="s">
        <v>364</v>
      </c>
      <c r="B416" s="106" t="s">
        <v>686</v>
      </c>
      <c r="C416" s="106" t="s">
        <v>264</v>
      </c>
      <c r="D416" s="106" t="s">
        <v>265</v>
      </c>
      <c r="E416">
        <v>3512</v>
      </c>
      <c r="F416" s="106" t="s">
        <v>2243</v>
      </c>
      <c r="G416" s="106" t="s">
        <v>266</v>
      </c>
      <c r="H416" s="106" t="s">
        <v>299</v>
      </c>
      <c r="I416" s="106">
        <v>99</v>
      </c>
      <c r="J416" s="106"/>
    </row>
    <row r="417" spans="1:10" x14ac:dyDescent="0.2">
      <c r="A417" s="106" t="s">
        <v>364</v>
      </c>
      <c r="B417" s="106" t="s">
        <v>686</v>
      </c>
      <c r="C417" s="106" t="s">
        <v>264</v>
      </c>
      <c r="D417" s="106" t="s">
        <v>265</v>
      </c>
      <c r="E417">
        <v>3529</v>
      </c>
      <c r="F417" s="106" t="s">
        <v>2244</v>
      </c>
      <c r="G417" s="106" t="s">
        <v>266</v>
      </c>
      <c r="H417" s="106" t="s">
        <v>299</v>
      </c>
      <c r="I417" s="106">
        <v>148</v>
      </c>
      <c r="J417" s="106"/>
    </row>
    <row r="418" spans="1:10" x14ac:dyDescent="0.2">
      <c r="A418" s="106" t="s">
        <v>364</v>
      </c>
      <c r="B418" s="106" t="s">
        <v>686</v>
      </c>
      <c r="C418" s="106" t="s">
        <v>264</v>
      </c>
      <c r="D418" s="106" t="s">
        <v>265</v>
      </c>
      <c r="E418">
        <v>3577</v>
      </c>
      <c r="F418" s="106" t="s">
        <v>2245</v>
      </c>
      <c r="G418" s="106" t="s">
        <v>266</v>
      </c>
      <c r="H418" s="106" t="s">
        <v>299</v>
      </c>
      <c r="I418" s="106">
        <v>41</v>
      </c>
      <c r="J418" s="106"/>
    </row>
    <row r="419" spans="1:10" x14ac:dyDescent="0.2">
      <c r="A419" s="106" t="s">
        <v>364</v>
      </c>
      <c r="B419" s="106" t="s">
        <v>686</v>
      </c>
      <c r="C419" s="106" t="s">
        <v>264</v>
      </c>
      <c r="D419" s="106" t="s">
        <v>265</v>
      </c>
      <c r="E419">
        <v>4341</v>
      </c>
      <c r="F419" s="106" t="s">
        <v>2246</v>
      </c>
      <c r="G419" s="106" t="s">
        <v>274</v>
      </c>
      <c r="H419" s="106" t="s">
        <v>271</v>
      </c>
      <c r="I419" s="106">
        <v>32</v>
      </c>
      <c r="J419" s="106"/>
    </row>
    <row r="420" spans="1:10" x14ac:dyDescent="0.2">
      <c r="A420" s="106" t="s">
        <v>364</v>
      </c>
      <c r="B420" s="106" t="s">
        <v>686</v>
      </c>
      <c r="C420" s="106" t="s">
        <v>264</v>
      </c>
      <c r="D420" s="106" t="s">
        <v>265</v>
      </c>
      <c r="E420">
        <v>4615</v>
      </c>
      <c r="F420" s="106" t="s">
        <v>2247</v>
      </c>
      <c r="G420" s="106" t="s">
        <v>266</v>
      </c>
      <c r="H420" s="106" t="s">
        <v>279</v>
      </c>
      <c r="I420" s="106">
        <v>69</v>
      </c>
      <c r="J420" s="106"/>
    </row>
    <row r="421" spans="1:10" x14ac:dyDescent="0.2">
      <c r="A421" s="106" t="s">
        <v>364</v>
      </c>
      <c r="B421" s="106" t="s">
        <v>686</v>
      </c>
      <c r="C421" s="106" t="s">
        <v>264</v>
      </c>
      <c r="D421" s="106" t="s">
        <v>269</v>
      </c>
      <c r="E421">
        <v>4762</v>
      </c>
      <c r="F421" s="106" t="s">
        <v>2248</v>
      </c>
      <c r="G421" s="106" t="s">
        <v>266</v>
      </c>
      <c r="H421" s="106" t="s">
        <v>277</v>
      </c>
      <c r="I421" s="106">
        <v>83</v>
      </c>
      <c r="J421" s="106"/>
    </row>
    <row r="422" spans="1:10" x14ac:dyDescent="0.2">
      <c r="A422" s="106" t="s">
        <v>364</v>
      </c>
      <c r="B422" s="106" t="s">
        <v>686</v>
      </c>
      <c r="C422" s="106" t="s">
        <v>264</v>
      </c>
      <c r="D422" s="106" t="s">
        <v>265</v>
      </c>
      <c r="E422">
        <v>5388</v>
      </c>
      <c r="F422" s="106" t="s">
        <v>2249</v>
      </c>
      <c r="G422" s="106" t="s">
        <v>266</v>
      </c>
      <c r="H422" s="106" t="s">
        <v>308</v>
      </c>
      <c r="I422" s="106">
        <v>193</v>
      </c>
      <c r="J422" s="106"/>
    </row>
    <row r="423" spans="1:10" x14ac:dyDescent="0.2">
      <c r="A423" s="106" t="s">
        <v>364</v>
      </c>
      <c r="B423" s="106" t="s">
        <v>686</v>
      </c>
      <c r="C423" s="106" t="s">
        <v>264</v>
      </c>
      <c r="D423" s="106" t="s">
        <v>265</v>
      </c>
      <c r="E423">
        <v>5445</v>
      </c>
      <c r="F423" s="106" t="s">
        <v>1657</v>
      </c>
      <c r="G423" s="106" t="s">
        <v>266</v>
      </c>
      <c r="H423" s="106" t="s">
        <v>726</v>
      </c>
      <c r="I423" s="106">
        <v>138</v>
      </c>
      <c r="J423" s="106"/>
    </row>
    <row r="424" spans="1:10" x14ac:dyDescent="0.2">
      <c r="A424" s="106" t="s">
        <v>364</v>
      </c>
      <c r="B424" s="106" t="s">
        <v>686</v>
      </c>
      <c r="C424" s="106" t="s">
        <v>264</v>
      </c>
      <c r="D424" s="106" t="s">
        <v>269</v>
      </c>
      <c r="E424">
        <v>6022</v>
      </c>
      <c r="F424" s="106" t="s">
        <v>473</v>
      </c>
      <c r="G424" s="106" t="s">
        <v>274</v>
      </c>
      <c r="H424" s="106" t="s">
        <v>287</v>
      </c>
      <c r="I424" s="106">
        <v>26</v>
      </c>
      <c r="J424" s="106"/>
    </row>
    <row r="425" spans="1:10" x14ac:dyDescent="0.2">
      <c r="A425" s="106" t="s">
        <v>364</v>
      </c>
      <c r="B425" s="106" t="s">
        <v>686</v>
      </c>
      <c r="C425" s="106" t="s">
        <v>264</v>
      </c>
      <c r="D425" s="106" t="s">
        <v>265</v>
      </c>
      <c r="E425">
        <v>6745</v>
      </c>
      <c r="F425" s="106" t="s">
        <v>4444</v>
      </c>
      <c r="G425" s="106" t="s">
        <v>266</v>
      </c>
      <c r="H425" s="106" t="s">
        <v>291</v>
      </c>
      <c r="I425" s="106">
        <v>481</v>
      </c>
      <c r="J425" s="106"/>
    </row>
    <row r="426" spans="1:10" x14ac:dyDescent="0.2">
      <c r="A426" s="106" t="s">
        <v>364</v>
      </c>
      <c r="B426" s="106" t="s">
        <v>686</v>
      </c>
      <c r="C426" s="106" t="s">
        <v>264</v>
      </c>
      <c r="D426" s="106" t="s">
        <v>265</v>
      </c>
      <c r="E426">
        <v>7282</v>
      </c>
      <c r="F426" s="106" t="s">
        <v>377</v>
      </c>
      <c r="G426" s="106" t="s">
        <v>266</v>
      </c>
      <c r="H426" s="106" t="s">
        <v>296</v>
      </c>
      <c r="I426" s="106" t="s">
        <v>333</v>
      </c>
      <c r="J426" s="106" t="s">
        <v>4916</v>
      </c>
    </row>
    <row r="427" spans="1:10" x14ac:dyDescent="0.2">
      <c r="A427" s="106" t="s">
        <v>364</v>
      </c>
      <c r="B427" s="106" t="s">
        <v>686</v>
      </c>
      <c r="C427" s="106" t="s">
        <v>264</v>
      </c>
      <c r="D427" s="106" t="s">
        <v>265</v>
      </c>
      <c r="E427">
        <v>7475</v>
      </c>
      <c r="F427" s="106" t="s">
        <v>2250</v>
      </c>
      <c r="G427" s="106" t="s">
        <v>266</v>
      </c>
      <c r="H427" s="106" t="s">
        <v>276</v>
      </c>
      <c r="I427" s="106">
        <v>209</v>
      </c>
      <c r="J427" s="106"/>
    </row>
    <row r="428" spans="1:10" x14ac:dyDescent="0.2">
      <c r="A428" s="106" t="s">
        <v>364</v>
      </c>
      <c r="B428" s="106" t="s">
        <v>686</v>
      </c>
      <c r="C428" s="106" t="s">
        <v>264</v>
      </c>
      <c r="D428" s="106" t="s">
        <v>269</v>
      </c>
      <c r="E428">
        <v>7855</v>
      </c>
      <c r="F428" s="106" t="s">
        <v>2251</v>
      </c>
      <c r="G428" s="106" t="s">
        <v>270</v>
      </c>
      <c r="H428" s="106" t="s">
        <v>288</v>
      </c>
      <c r="I428" s="106">
        <v>16</v>
      </c>
      <c r="J428" s="106"/>
    </row>
    <row r="429" spans="1:10" x14ac:dyDescent="0.2">
      <c r="A429" s="106" t="s">
        <v>364</v>
      </c>
      <c r="B429" s="106" t="s">
        <v>686</v>
      </c>
      <c r="C429" s="106" t="s">
        <v>264</v>
      </c>
      <c r="D429" s="106" t="s">
        <v>265</v>
      </c>
      <c r="E429">
        <v>8081</v>
      </c>
      <c r="F429" s="106" t="s">
        <v>2252</v>
      </c>
      <c r="G429" s="106" t="s">
        <v>266</v>
      </c>
      <c r="H429" s="106" t="s">
        <v>272</v>
      </c>
      <c r="I429" s="106">
        <v>386</v>
      </c>
      <c r="J429" s="106"/>
    </row>
    <row r="430" spans="1:10" x14ac:dyDescent="0.2">
      <c r="A430" s="106" t="s">
        <v>364</v>
      </c>
      <c r="B430" s="106" t="s">
        <v>686</v>
      </c>
      <c r="C430" s="106" t="s">
        <v>264</v>
      </c>
      <c r="D430" s="106" t="s">
        <v>265</v>
      </c>
      <c r="E430">
        <v>8096</v>
      </c>
      <c r="F430" s="106" t="s">
        <v>2253</v>
      </c>
      <c r="G430" s="106" t="s">
        <v>266</v>
      </c>
      <c r="H430" s="106" t="s">
        <v>277</v>
      </c>
      <c r="I430" t="s">
        <v>297</v>
      </c>
      <c r="J430" t="s">
        <v>4626</v>
      </c>
    </row>
    <row r="431" spans="1:10" x14ac:dyDescent="0.2">
      <c r="A431" s="106" t="s">
        <v>364</v>
      </c>
      <c r="B431" s="106" t="s">
        <v>686</v>
      </c>
      <c r="C431" s="106" t="s">
        <v>264</v>
      </c>
      <c r="D431" s="106" t="s">
        <v>265</v>
      </c>
      <c r="E431">
        <v>8345</v>
      </c>
      <c r="F431" s="106" t="s">
        <v>2254</v>
      </c>
      <c r="G431" s="106" t="s">
        <v>266</v>
      </c>
      <c r="H431" s="106" t="s">
        <v>484</v>
      </c>
      <c r="I431">
        <v>497</v>
      </c>
    </row>
    <row r="432" spans="1:10" x14ac:dyDescent="0.2">
      <c r="A432" s="106" t="s">
        <v>364</v>
      </c>
      <c r="B432" s="106" t="s">
        <v>686</v>
      </c>
      <c r="C432" s="106" t="s">
        <v>264</v>
      </c>
      <c r="D432" s="106" t="s">
        <v>265</v>
      </c>
      <c r="E432">
        <v>8388</v>
      </c>
      <c r="F432" s="106" t="s">
        <v>2255</v>
      </c>
      <c r="G432" s="106" t="s">
        <v>266</v>
      </c>
      <c r="H432" s="106" t="s">
        <v>484</v>
      </c>
      <c r="I432" t="s">
        <v>297</v>
      </c>
      <c r="J432" t="s">
        <v>4917</v>
      </c>
    </row>
    <row r="433" spans="1:10" x14ac:dyDescent="0.2">
      <c r="A433" s="106" t="s">
        <v>364</v>
      </c>
      <c r="B433" s="106" t="s">
        <v>686</v>
      </c>
      <c r="C433" s="106" t="s">
        <v>264</v>
      </c>
      <c r="D433" s="106" t="s">
        <v>265</v>
      </c>
      <c r="E433">
        <v>9044</v>
      </c>
      <c r="F433" s="106" t="s">
        <v>1631</v>
      </c>
      <c r="G433" s="106" t="s">
        <v>266</v>
      </c>
      <c r="H433" s="106" t="s">
        <v>356</v>
      </c>
      <c r="I433" s="106" t="s">
        <v>333</v>
      </c>
      <c r="J433" s="106" t="s">
        <v>4699</v>
      </c>
    </row>
    <row r="434" spans="1:10" x14ac:dyDescent="0.2">
      <c r="A434" s="106" t="s">
        <v>364</v>
      </c>
      <c r="B434" s="106" t="s">
        <v>686</v>
      </c>
      <c r="C434" s="106" t="s">
        <v>264</v>
      </c>
      <c r="D434" s="106" t="s">
        <v>265</v>
      </c>
      <c r="E434">
        <v>9065</v>
      </c>
      <c r="F434" s="106" t="s">
        <v>2256</v>
      </c>
      <c r="G434" s="106" t="s">
        <v>266</v>
      </c>
      <c r="H434" s="106" t="s">
        <v>356</v>
      </c>
      <c r="I434" s="106" t="s">
        <v>333</v>
      </c>
      <c r="J434" s="106" t="s">
        <v>4702</v>
      </c>
    </row>
    <row r="435" spans="1:10" x14ac:dyDescent="0.2">
      <c r="A435" s="106" t="s">
        <v>364</v>
      </c>
      <c r="B435" s="106" t="s">
        <v>686</v>
      </c>
      <c r="C435" s="106" t="s">
        <v>264</v>
      </c>
      <c r="D435" s="106" t="s">
        <v>265</v>
      </c>
      <c r="E435">
        <v>9119</v>
      </c>
      <c r="F435" s="106" t="s">
        <v>2258</v>
      </c>
      <c r="G435" s="106" t="s">
        <v>266</v>
      </c>
      <c r="H435" s="106" t="s">
        <v>2193</v>
      </c>
      <c r="I435" s="106">
        <v>409</v>
      </c>
      <c r="J435" s="106"/>
    </row>
    <row r="436" spans="1:10" x14ac:dyDescent="0.2">
      <c r="A436" s="106" t="s">
        <v>364</v>
      </c>
      <c r="B436" s="106" t="s">
        <v>686</v>
      </c>
      <c r="C436" s="106" t="s">
        <v>264</v>
      </c>
      <c r="D436" s="106" t="s">
        <v>265</v>
      </c>
      <c r="E436">
        <v>9311</v>
      </c>
      <c r="F436" s="106" t="s">
        <v>2259</v>
      </c>
      <c r="G436" s="106" t="s">
        <v>274</v>
      </c>
      <c r="H436" s="106" t="s">
        <v>556</v>
      </c>
      <c r="I436">
        <v>61</v>
      </c>
    </row>
    <row r="437" spans="1:10" x14ac:dyDescent="0.2">
      <c r="A437" s="106" t="s">
        <v>364</v>
      </c>
      <c r="B437" s="106" t="s">
        <v>327</v>
      </c>
      <c r="C437" s="106" t="s">
        <v>264</v>
      </c>
      <c r="D437" s="106" t="s">
        <v>265</v>
      </c>
      <c r="E437">
        <v>1514</v>
      </c>
      <c r="F437" s="106" t="s">
        <v>2260</v>
      </c>
      <c r="G437" s="106" t="s">
        <v>266</v>
      </c>
      <c r="H437" s="106" t="s">
        <v>565</v>
      </c>
      <c r="I437">
        <v>86</v>
      </c>
    </row>
    <row r="438" spans="1:10" x14ac:dyDescent="0.2">
      <c r="A438" s="106" t="s">
        <v>364</v>
      </c>
      <c r="B438" s="106" t="s">
        <v>327</v>
      </c>
      <c r="C438" s="106" t="s">
        <v>275</v>
      </c>
      <c r="D438" s="106" t="s">
        <v>269</v>
      </c>
      <c r="E438">
        <v>1788</v>
      </c>
      <c r="F438" s="106" t="s">
        <v>2261</v>
      </c>
      <c r="G438" s="106" t="s">
        <v>270</v>
      </c>
      <c r="H438" s="106" t="s">
        <v>293</v>
      </c>
      <c r="I438" s="106">
        <v>16</v>
      </c>
      <c r="J438" s="106"/>
    </row>
    <row r="439" spans="1:10" x14ac:dyDescent="0.2">
      <c r="A439" s="106" t="s">
        <v>364</v>
      </c>
      <c r="B439" s="106" t="s">
        <v>327</v>
      </c>
      <c r="C439" s="106" t="s">
        <v>264</v>
      </c>
      <c r="D439" s="106" t="s">
        <v>265</v>
      </c>
      <c r="E439">
        <v>1798</v>
      </c>
      <c r="F439" s="106" t="s">
        <v>2262</v>
      </c>
      <c r="G439" s="106" t="s">
        <v>270</v>
      </c>
      <c r="H439" s="106" t="s">
        <v>293</v>
      </c>
      <c r="I439" s="106">
        <v>47</v>
      </c>
      <c r="J439" s="106"/>
    </row>
    <row r="440" spans="1:10" x14ac:dyDescent="0.2">
      <c r="A440" s="106" t="s">
        <v>364</v>
      </c>
      <c r="B440" s="106" t="s">
        <v>327</v>
      </c>
      <c r="C440" s="106" t="s">
        <v>264</v>
      </c>
      <c r="D440" s="106" t="s">
        <v>265</v>
      </c>
      <c r="E440">
        <v>1950</v>
      </c>
      <c r="F440" s="106" t="s">
        <v>1575</v>
      </c>
      <c r="G440" s="106" t="s">
        <v>266</v>
      </c>
      <c r="H440" s="106" t="s">
        <v>293</v>
      </c>
      <c r="I440" s="106" t="s">
        <v>297</v>
      </c>
      <c r="J440" s="106" t="s">
        <v>4442</v>
      </c>
    </row>
    <row r="441" spans="1:10" x14ac:dyDescent="0.2">
      <c r="A441" s="106" t="s">
        <v>364</v>
      </c>
      <c r="B441" s="106" t="s">
        <v>327</v>
      </c>
      <c r="C441" s="106" t="s">
        <v>264</v>
      </c>
      <c r="D441" s="106" t="s">
        <v>265</v>
      </c>
      <c r="E441">
        <v>1959</v>
      </c>
      <c r="F441" s="106" t="s">
        <v>463</v>
      </c>
      <c r="G441" s="106" t="s">
        <v>266</v>
      </c>
      <c r="H441" s="106" t="s">
        <v>293</v>
      </c>
      <c r="I441" s="106" t="s">
        <v>289</v>
      </c>
      <c r="J441" s="106" t="s">
        <v>4918</v>
      </c>
    </row>
    <row r="442" spans="1:10" x14ac:dyDescent="0.2">
      <c r="A442" s="106" t="s">
        <v>364</v>
      </c>
      <c r="B442" s="106" t="s">
        <v>327</v>
      </c>
      <c r="C442" s="106" t="s">
        <v>264</v>
      </c>
      <c r="D442" s="106" t="s">
        <v>265</v>
      </c>
      <c r="E442">
        <v>1976</v>
      </c>
      <c r="F442" s="106" t="s">
        <v>2263</v>
      </c>
      <c r="G442" s="106" t="s">
        <v>266</v>
      </c>
      <c r="H442" s="106" t="s">
        <v>293</v>
      </c>
      <c r="I442" s="106">
        <v>555</v>
      </c>
      <c r="J442" s="106"/>
    </row>
    <row r="443" spans="1:10" x14ac:dyDescent="0.2">
      <c r="A443" s="106" t="s">
        <v>364</v>
      </c>
      <c r="B443" s="106" t="s">
        <v>327</v>
      </c>
      <c r="C443" s="106" t="s">
        <v>264</v>
      </c>
      <c r="D443" s="106" t="s">
        <v>265</v>
      </c>
      <c r="E443">
        <v>2109</v>
      </c>
      <c r="F443" s="106" t="s">
        <v>2264</v>
      </c>
      <c r="G443" s="106" t="s">
        <v>266</v>
      </c>
      <c r="H443" s="106" t="s">
        <v>267</v>
      </c>
      <c r="I443">
        <v>625</v>
      </c>
    </row>
    <row r="444" spans="1:10" x14ac:dyDescent="0.2">
      <c r="A444" s="106" t="s">
        <v>364</v>
      </c>
      <c r="B444" s="106" t="s">
        <v>327</v>
      </c>
      <c r="C444" s="106" t="s">
        <v>264</v>
      </c>
      <c r="D444" s="106" t="s">
        <v>265</v>
      </c>
      <c r="E444">
        <v>2148</v>
      </c>
      <c r="F444" s="106" t="s">
        <v>658</v>
      </c>
      <c r="G444" s="106" t="s">
        <v>266</v>
      </c>
      <c r="H444" s="106" t="s">
        <v>271</v>
      </c>
      <c r="I444" s="106">
        <v>182</v>
      </c>
      <c r="J444" s="106"/>
    </row>
    <row r="445" spans="1:10" x14ac:dyDescent="0.2">
      <c r="A445" s="106" t="s">
        <v>364</v>
      </c>
      <c r="B445" s="106" t="s">
        <v>327</v>
      </c>
      <c r="C445" s="106" t="s">
        <v>264</v>
      </c>
      <c r="D445" s="106" t="s">
        <v>265</v>
      </c>
      <c r="E445">
        <v>2175</v>
      </c>
      <c r="F445" s="106" t="s">
        <v>638</v>
      </c>
      <c r="G445" s="106" t="s">
        <v>266</v>
      </c>
      <c r="H445" s="106" t="s">
        <v>271</v>
      </c>
      <c r="I445" s="106" t="s">
        <v>289</v>
      </c>
      <c r="J445" s="106" t="s">
        <v>4919</v>
      </c>
    </row>
    <row r="446" spans="1:10" x14ac:dyDescent="0.2">
      <c r="A446" s="106" t="s">
        <v>364</v>
      </c>
      <c r="B446" s="106" t="s">
        <v>327</v>
      </c>
      <c r="C446" s="106" t="s">
        <v>264</v>
      </c>
      <c r="D446" s="106" t="s">
        <v>269</v>
      </c>
      <c r="E446">
        <v>2204</v>
      </c>
      <c r="F446" s="106" t="s">
        <v>2265</v>
      </c>
      <c r="G446" s="106" t="s">
        <v>266</v>
      </c>
      <c r="H446" s="106" t="s">
        <v>267</v>
      </c>
      <c r="I446" s="106">
        <v>257</v>
      </c>
      <c r="J446" s="106"/>
    </row>
    <row r="447" spans="1:10" x14ac:dyDescent="0.2">
      <c r="A447" s="106" t="s">
        <v>364</v>
      </c>
      <c r="B447" s="106" t="s">
        <v>327</v>
      </c>
      <c r="C447" s="106" t="s">
        <v>264</v>
      </c>
      <c r="D447" s="106" t="s">
        <v>265</v>
      </c>
      <c r="E447">
        <v>2352</v>
      </c>
      <c r="F447" s="106" t="s">
        <v>2266</v>
      </c>
      <c r="G447" s="106" t="s">
        <v>266</v>
      </c>
      <c r="H447" s="106" t="s">
        <v>277</v>
      </c>
      <c r="I447" s="106">
        <v>64</v>
      </c>
      <c r="J447" s="106"/>
    </row>
    <row r="448" spans="1:10" x14ac:dyDescent="0.2">
      <c r="A448" s="106" t="s">
        <v>364</v>
      </c>
      <c r="B448" s="106" t="s">
        <v>327</v>
      </c>
      <c r="C448" s="106" t="s">
        <v>264</v>
      </c>
      <c r="D448" s="106" t="s">
        <v>265</v>
      </c>
      <c r="E448">
        <v>2378</v>
      </c>
      <c r="F448" s="106" t="s">
        <v>2267</v>
      </c>
      <c r="G448" s="106" t="s">
        <v>266</v>
      </c>
      <c r="H448" s="106" t="s">
        <v>271</v>
      </c>
      <c r="I448">
        <v>373</v>
      </c>
    </row>
    <row r="449" spans="1:10" x14ac:dyDescent="0.2">
      <c r="A449" s="106" t="s">
        <v>364</v>
      </c>
      <c r="B449" s="106" t="s">
        <v>327</v>
      </c>
      <c r="C449" s="106" t="s">
        <v>264</v>
      </c>
      <c r="D449" s="106" t="s">
        <v>265</v>
      </c>
      <c r="E449">
        <v>2464</v>
      </c>
      <c r="F449" s="106" t="s">
        <v>2268</v>
      </c>
      <c r="G449" s="106" t="s">
        <v>266</v>
      </c>
      <c r="H449" s="106" t="s">
        <v>271</v>
      </c>
      <c r="I449">
        <v>61</v>
      </c>
    </row>
    <row r="450" spans="1:10" x14ac:dyDescent="0.2">
      <c r="A450" s="106" t="s">
        <v>364</v>
      </c>
      <c r="B450" s="106" t="s">
        <v>327</v>
      </c>
      <c r="C450" s="106" t="s">
        <v>275</v>
      </c>
      <c r="D450" s="106" t="s">
        <v>269</v>
      </c>
      <c r="E450">
        <v>2481</v>
      </c>
      <c r="F450" s="106" t="s">
        <v>2269</v>
      </c>
      <c r="G450" s="106" t="s">
        <v>270</v>
      </c>
      <c r="H450" s="106" t="s">
        <v>271</v>
      </c>
      <c r="I450" s="106">
        <v>28</v>
      </c>
      <c r="J450" s="106"/>
    </row>
    <row r="451" spans="1:10" x14ac:dyDescent="0.2">
      <c r="A451" s="106" t="s">
        <v>364</v>
      </c>
      <c r="B451" s="106" t="s">
        <v>327</v>
      </c>
      <c r="C451" s="106" t="s">
        <v>264</v>
      </c>
      <c r="D451" s="106" t="s">
        <v>265</v>
      </c>
      <c r="E451">
        <v>2497</v>
      </c>
      <c r="F451" s="106" t="s">
        <v>696</v>
      </c>
      <c r="G451" s="106" t="s">
        <v>278</v>
      </c>
      <c r="H451" s="106" t="s">
        <v>271</v>
      </c>
      <c r="I451" s="106">
        <v>321</v>
      </c>
      <c r="J451" s="106"/>
    </row>
    <row r="452" spans="1:10" x14ac:dyDescent="0.2">
      <c r="A452" s="106" t="s">
        <v>364</v>
      </c>
      <c r="B452" s="106" t="s">
        <v>327</v>
      </c>
      <c r="C452" s="106" t="s">
        <v>264</v>
      </c>
      <c r="D452" s="106" t="s">
        <v>265</v>
      </c>
      <c r="E452">
        <v>2715</v>
      </c>
      <c r="F452" s="106" t="s">
        <v>365</v>
      </c>
      <c r="G452" s="106" t="s">
        <v>266</v>
      </c>
      <c r="H452" s="106" t="s">
        <v>272</v>
      </c>
      <c r="I452" s="106">
        <v>492</v>
      </c>
      <c r="J452" s="106"/>
    </row>
    <row r="453" spans="1:10" x14ac:dyDescent="0.2">
      <c r="A453" s="106" t="s">
        <v>364</v>
      </c>
      <c r="B453" s="106" t="s">
        <v>327</v>
      </c>
      <c r="C453" s="106" t="s">
        <v>264</v>
      </c>
      <c r="D453" s="106" t="s">
        <v>269</v>
      </c>
      <c r="E453">
        <v>2782</v>
      </c>
      <c r="F453" s="106" t="s">
        <v>2270</v>
      </c>
      <c r="G453" s="106" t="s">
        <v>270</v>
      </c>
      <c r="H453" s="106" t="s">
        <v>276</v>
      </c>
      <c r="I453" s="106" t="s">
        <v>289</v>
      </c>
      <c r="J453" s="106" t="s">
        <v>4920</v>
      </c>
    </row>
    <row r="454" spans="1:10" x14ac:dyDescent="0.2">
      <c r="A454" s="106" t="s">
        <v>364</v>
      </c>
      <c r="B454" s="106" t="s">
        <v>327</v>
      </c>
      <c r="C454" s="106" t="s">
        <v>264</v>
      </c>
      <c r="D454" s="106" t="s">
        <v>265</v>
      </c>
      <c r="E454">
        <v>2802</v>
      </c>
      <c r="F454" s="106" t="s">
        <v>688</v>
      </c>
      <c r="G454" s="106" t="s">
        <v>266</v>
      </c>
      <c r="H454" s="106" t="s">
        <v>267</v>
      </c>
      <c r="I454" t="s">
        <v>407</v>
      </c>
      <c r="J454" t="s">
        <v>4666</v>
      </c>
    </row>
    <row r="455" spans="1:10" x14ac:dyDescent="0.2">
      <c r="A455" s="106" t="s">
        <v>364</v>
      </c>
      <c r="B455" s="106" t="s">
        <v>327</v>
      </c>
      <c r="C455" s="106" t="s">
        <v>264</v>
      </c>
      <c r="D455" s="106" t="s">
        <v>265</v>
      </c>
      <c r="E455">
        <v>2805</v>
      </c>
      <c r="F455" s="106" t="s">
        <v>2271</v>
      </c>
      <c r="G455" s="106" t="s">
        <v>274</v>
      </c>
      <c r="H455" s="106" t="s">
        <v>267</v>
      </c>
      <c r="I455">
        <v>599</v>
      </c>
    </row>
    <row r="456" spans="1:10" x14ac:dyDescent="0.2">
      <c r="A456" s="106" t="s">
        <v>364</v>
      </c>
      <c r="B456" s="106" t="s">
        <v>327</v>
      </c>
      <c r="C456" s="106" t="s">
        <v>264</v>
      </c>
      <c r="D456" s="106" t="s">
        <v>269</v>
      </c>
      <c r="E456">
        <v>2814</v>
      </c>
      <c r="F456" s="106" t="s">
        <v>2272</v>
      </c>
      <c r="G456" s="106" t="s">
        <v>270</v>
      </c>
      <c r="H456" s="106" t="s">
        <v>267</v>
      </c>
      <c r="I456">
        <v>159</v>
      </c>
    </row>
    <row r="457" spans="1:10" x14ac:dyDescent="0.2">
      <c r="A457" s="106" t="s">
        <v>364</v>
      </c>
      <c r="B457" s="106" t="s">
        <v>327</v>
      </c>
      <c r="C457" s="106" t="s">
        <v>264</v>
      </c>
      <c r="D457" s="106" t="s">
        <v>265</v>
      </c>
      <c r="E457">
        <v>2818</v>
      </c>
      <c r="F457" s="106" t="s">
        <v>2273</v>
      </c>
      <c r="G457" s="106" t="s">
        <v>266</v>
      </c>
      <c r="H457" s="106" t="s">
        <v>267</v>
      </c>
      <c r="I457" s="106">
        <v>102</v>
      </c>
      <c r="J457" s="106"/>
    </row>
    <row r="458" spans="1:10" x14ac:dyDescent="0.2">
      <c r="A458" s="106" t="s">
        <v>364</v>
      </c>
      <c r="B458" s="106" t="s">
        <v>327</v>
      </c>
      <c r="C458" s="106" t="s">
        <v>264</v>
      </c>
      <c r="D458" s="106" t="s">
        <v>265</v>
      </c>
      <c r="E458">
        <v>2819</v>
      </c>
      <c r="F458" s="106" t="s">
        <v>1716</v>
      </c>
      <c r="G458" s="106" t="s">
        <v>266</v>
      </c>
      <c r="H458" s="106" t="s">
        <v>267</v>
      </c>
      <c r="I458" s="106">
        <v>230</v>
      </c>
      <c r="J458" s="106"/>
    </row>
    <row r="459" spans="1:10" x14ac:dyDescent="0.2">
      <c r="A459" s="106" t="s">
        <v>364</v>
      </c>
      <c r="B459" s="106" t="s">
        <v>327</v>
      </c>
      <c r="C459" s="106" t="s">
        <v>264</v>
      </c>
      <c r="D459" s="106" t="s">
        <v>265</v>
      </c>
      <c r="E459">
        <v>2908</v>
      </c>
      <c r="F459" s="106" t="s">
        <v>2274</v>
      </c>
      <c r="G459" s="106" t="s">
        <v>266</v>
      </c>
      <c r="H459" s="106" t="s">
        <v>267</v>
      </c>
      <c r="I459" s="106">
        <v>691</v>
      </c>
      <c r="J459" s="106"/>
    </row>
    <row r="460" spans="1:10" x14ac:dyDescent="0.2">
      <c r="A460" s="106" t="s">
        <v>364</v>
      </c>
      <c r="B460" s="106" t="s">
        <v>327</v>
      </c>
      <c r="C460" s="106" t="s">
        <v>264</v>
      </c>
      <c r="D460" s="106" t="s">
        <v>265</v>
      </c>
      <c r="E460">
        <v>3098</v>
      </c>
      <c r="F460" s="106" t="s">
        <v>698</v>
      </c>
      <c r="G460" s="106" t="s">
        <v>266</v>
      </c>
      <c r="H460" s="106" t="s">
        <v>276</v>
      </c>
      <c r="I460" s="106" t="s">
        <v>297</v>
      </c>
      <c r="J460" s="106" t="s">
        <v>4921</v>
      </c>
    </row>
    <row r="461" spans="1:10" x14ac:dyDescent="0.2">
      <c r="A461" s="106" t="s">
        <v>364</v>
      </c>
      <c r="B461" s="106" t="s">
        <v>327</v>
      </c>
      <c r="C461" s="106" t="s">
        <v>264</v>
      </c>
      <c r="D461" s="106" t="s">
        <v>265</v>
      </c>
      <c r="E461">
        <v>3099</v>
      </c>
      <c r="F461" s="106" t="s">
        <v>2275</v>
      </c>
      <c r="G461" s="106" t="s">
        <v>266</v>
      </c>
      <c r="H461" s="106" t="s">
        <v>276</v>
      </c>
      <c r="I461" s="106" t="s">
        <v>333</v>
      </c>
      <c r="J461" s="106" t="s">
        <v>4922</v>
      </c>
    </row>
    <row r="462" spans="1:10" x14ac:dyDescent="0.2">
      <c r="A462" s="106" t="s">
        <v>364</v>
      </c>
      <c r="B462" s="106" t="s">
        <v>327</v>
      </c>
      <c r="C462" s="106" t="s">
        <v>264</v>
      </c>
      <c r="D462" s="106" t="s">
        <v>269</v>
      </c>
      <c r="E462">
        <v>3137</v>
      </c>
      <c r="F462" s="106" t="s">
        <v>699</v>
      </c>
      <c r="G462" s="106" t="s">
        <v>278</v>
      </c>
      <c r="H462" s="106" t="s">
        <v>276</v>
      </c>
      <c r="I462">
        <v>99</v>
      </c>
    </row>
    <row r="463" spans="1:10" x14ac:dyDescent="0.2">
      <c r="A463" s="106" t="s">
        <v>364</v>
      </c>
      <c r="B463" s="106" t="s">
        <v>327</v>
      </c>
      <c r="C463" s="106" t="s">
        <v>264</v>
      </c>
      <c r="D463" s="106" t="s">
        <v>265</v>
      </c>
      <c r="E463">
        <v>3150</v>
      </c>
      <c r="F463" s="106" t="s">
        <v>2276</v>
      </c>
      <c r="G463" s="106" t="s">
        <v>270</v>
      </c>
      <c r="H463" s="106" t="s">
        <v>272</v>
      </c>
      <c r="I463" s="106">
        <v>284</v>
      </c>
      <c r="J463" s="106"/>
    </row>
    <row r="464" spans="1:10" x14ac:dyDescent="0.2">
      <c r="A464" s="106" t="s">
        <v>364</v>
      </c>
      <c r="B464" s="106" t="s">
        <v>327</v>
      </c>
      <c r="C464" s="106" t="s">
        <v>264</v>
      </c>
      <c r="D464" s="106" t="s">
        <v>265</v>
      </c>
      <c r="E464">
        <v>3173</v>
      </c>
      <c r="F464" s="106" t="s">
        <v>2277</v>
      </c>
      <c r="G464" s="106" t="s">
        <v>266</v>
      </c>
      <c r="H464" s="106" t="s">
        <v>272</v>
      </c>
      <c r="I464" s="106">
        <v>58</v>
      </c>
      <c r="J464" s="106"/>
    </row>
    <row r="465" spans="1:10" x14ac:dyDescent="0.2">
      <c r="A465" s="106" t="s">
        <v>364</v>
      </c>
      <c r="B465" s="106" t="s">
        <v>327</v>
      </c>
      <c r="C465" s="106" t="s">
        <v>264</v>
      </c>
      <c r="D465" s="106" t="s">
        <v>269</v>
      </c>
      <c r="E465">
        <v>3294</v>
      </c>
      <c r="F465" s="106" t="s">
        <v>2278</v>
      </c>
      <c r="G465" s="106" t="s">
        <v>266</v>
      </c>
      <c r="H465" s="106" t="s">
        <v>292</v>
      </c>
      <c r="I465" s="106">
        <v>55</v>
      </c>
      <c r="J465" s="106"/>
    </row>
    <row r="466" spans="1:10" x14ac:dyDescent="0.2">
      <c r="A466" s="106" t="s">
        <v>364</v>
      </c>
      <c r="B466" s="106" t="s">
        <v>327</v>
      </c>
      <c r="C466" s="106" t="s">
        <v>275</v>
      </c>
      <c r="D466" s="106" t="s">
        <v>265</v>
      </c>
      <c r="E466">
        <v>3326</v>
      </c>
      <c r="F466" s="106" t="s">
        <v>2279</v>
      </c>
      <c r="G466" s="106" t="s">
        <v>270</v>
      </c>
      <c r="H466" s="106" t="s">
        <v>271</v>
      </c>
      <c r="I466">
        <v>19</v>
      </c>
    </row>
    <row r="467" spans="1:10" x14ac:dyDescent="0.2">
      <c r="A467" s="106" t="s">
        <v>364</v>
      </c>
      <c r="B467" s="106" t="s">
        <v>327</v>
      </c>
      <c r="C467" s="106" t="s">
        <v>264</v>
      </c>
      <c r="D467" s="106" t="s">
        <v>265</v>
      </c>
      <c r="E467">
        <v>3341</v>
      </c>
      <c r="F467" s="106" t="s">
        <v>2280</v>
      </c>
      <c r="G467" s="106" t="s">
        <v>266</v>
      </c>
      <c r="H467" s="106" t="s">
        <v>276</v>
      </c>
      <c r="I467">
        <v>614</v>
      </c>
    </row>
    <row r="468" spans="1:10" x14ac:dyDescent="0.2">
      <c r="A468" s="106" t="s">
        <v>364</v>
      </c>
      <c r="B468" s="106" t="s">
        <v>327</v>
      </c>
      <c r="C468" s="106" t="s">
        <v>264</v>
      </c>
      <c r="D468" s="106" t="s">
        <v>269</v>
      </c>
      <c r="E468">
        <v>3352</v>
      </c>
      <c r="F468" s="106" t="s">
        <v>2281</v>
      </c>
      <c r="G468" s="106" t="s">
        <v>270</v>
      </c>
      <c r="H468" s="106" t="s">
        <v>276</v>
      </c>
      <c r="I468" s="106">
        <v>28</v>
      </c>
      <c r="J468" s="106"/>
    </row>
    <row r="469" spans="1:10" x14ac:dyDescent="0.2">
      <c r="A469" s="106" t="s">
        <v>364</v>
      </c>
      <c r="B469" s="106" t="s">
        <v>327</v>
      </c>
      <c r="C469" s="106" t="s">
        <v>264</v>
      </c>
      <c r="D469" s="106" t="s">
        <v>265</v>
      </c>
      <c r="E469">
        <v>3433</v>
      </c>
      <c r="F469" s="106" t="s">
        <v>695</v>
      </c>
      <c r="G469" s="106" t="s">
        <v>266</v>
      </c>
      <c r="H469" s="106" t="s">
        <v>281</v>
      </c>
      <c r="I469" s="106">
        <v>723</v>
      </c>
      <c r="J469" s="106"/>
    </row>
    <row r="470" spans="1:10" x14ac:dyDescent="0.2">
      <c r="A470" s="106" t="s">
        <v>364</v>
      </c>
      <c r="B470" s="106" t="s">
        <v>327</v>
      </c>
      <c r="C470" s="106" t="s">
        <v>264</v>
      </c>
      <c r="D470" s="106" t="s">
        <v>265</v>
      </c>
      <c r="E470">
        <v>3513</v>
      </c>
      <c r="F470" s="106" t="s">
        <v>700</v>
      </c>
      <c r="G470" s="106" t="s">
        <v>266</v>
      </c>
      <c r="H470" s="106" t="s">
        <v>299</v>
      </c>
      <c r="I470" s="106">
        <v>72</v>
      </c>
      <c r="J470" s="106"/>
    </row>
    <row r="471" spans="1:10" x14ac:dyDescent="0.2">
      <c r="A471" s="106" t="s">
        <v>364</v>
      </c>
      <c r="B471" s="106" t="s">
        <v>327</v>
      </c>
      <c r="C471" s="106" t="s">
        <v>264</v>
      </c>
      <c r="D471" s="106" t="s">
        <v>265</v>
      </c>
      <c r="E471">
        <v>3598</v>
      </c>
      <c r="F471" s="106" t="s">
        <v>2283</v>
      </c>
      <c r="G471" s="106" t="s">
        <v>274</v>
      </c>
      <c r="H471" s="106" t="s">
        <v>299</v>
      </c>
      <c r="I471" s="106">
        <v>33</v>
      </c>
      <c r="J471" s="106"/>
    </row>
    <row r="472" spans="1:10" x14ac:dyDescent="0.2">
      <c r="A472" s="106" t="s">
        <v>364</v>
      </c>
      <c r="B472" s="106" t="s">
        <v>327</v>
      </c>
      <c r="C472" s="106" t="s">
        <v>264</v>
      </c>
      <c r="D472" s="106" t="s">
        <v>265</v>
      </c>
      <c r="E472">
        <v>3622</v>
      </c>
      <c r="F472" s="106" t="s">
        <v>758</v>
      </c>
      <c r="G472" s="106" t="s">
        <v>278</v>
      </c>
      <c r="H472" s="106" t="s">
        <v>277</v>
      </c>
      <c r="I472" s="106">
        <v>47</v>
      </c>
      <c r="J472" s="106"/>
    </row>
    <row r="473" spans="1:10" x14ac:dyDescent="0.2">
      <c r="A473" s="106" t="s">
        <v>364</v>
      </c>
      <c r="B473" s="106" t="s">
        <v>327</v>
      </c>
      <c r="C473" s="106" t="s">
        <v>264</v>
      </c>
      <c r="D473" s="106" t="s">
        <v>265</v>
      </c>
      <c r="E473">
        <v>3762</v>
      </c>
      <c r="F473" s="106" t="s">
        <v>368</v>
      </c>
      <c r="G473" s="106" t="s">
        <v>266</v>
      </c>
      <c r="H473" s="106" t="s">
        <v>277</v>
      </c>
      <c r="I473">
        <v>588</v>
      </c>
    </row>
    <row r="474" spans="1:10" x14ac:dyDescent="0.2">
      <c r="A474" s="106" t="s">
        <v>364</v>
      </c>
      <c r="B474" s="106" t="s">
        <v>327</v>
      </c>
      <c r="C474" s="106" t="s">
        <v>264</v>
      </c>
      <c r="D474" s="106" t="s">
        <v>265</v>
      </c>
      <c r="E474">
        <v>3778</v>
      </c>
      <c r="F474" s="106" t="s">
        <v>743</v>
      </c>
      <c r="G474" s="106" t="s">
        <v>266</v>
      </c>
      <c r="H474" s="106" t="s">
        <v>277</v>
      </c>
      <c r="I474">
        <v>277</v>
      </c>
    </row>
    <row r="475" spans="1:10" x14ac:dyDescent="0.2">
      <c r="A475" s="106" t="s">
        <v>364</v>
      </c>
      <c r="B475" s="106" t="s">
        <v>327</v>
      </c>
      <c r="C475" s="106" t="s">
        <v>264</v>
      </c>
      <c r="D475" s="106" t="s">
        <v>265</v>
      </c>
      <c r="E475">
        <v>3779</v>
      </c>
      <c r="F475" s="106" t="s">
        <v>2284</v>
      </c>
      <c r="G475" s="106" t="s">
        <v>270</v>
      </c>
      <c r="H475" s="106" t="s">
        <v>277</v>
      </c>
      <c r="I475">
        <v>18</v>
      </c>
    </row>
    <row r="476" spans="1:10" x14ac:dyDescent="0.2">
      <c r="A476" s="106" t="s">
        <v>364</v>
      </c>
      <c r="B476" s="106" t="s">
        <v>327</v>
      </c>
      <c r="C476" s="106" t="s">
        <v>264</v>
      </c>
      <c r="D476" s="106" t="s">
        <v>265</v>
      </c>
      <c r="E476">
        <v>3793</v>
      </c>
      <c r="F476" s="106" t="s">
        <v>2285</v>
      </c>
      <c r="G476" s="106" t="s">
        <v>278</v>
      </c>
      <c r="H476" s="106" t="s">
        <v>277</v>
      </c>
      <c r="I476" s="106">
        <v>262</v>
      </c>
      <c r="J476" s="106"/>
    </row>
    <row r="477" spans="1:10" x14ac:dyDescent="0.2">
      <c r="A477" s="106" t="s">
        <v>364</v>
      </c>
      <c r="B477" s="106" t="s">
        <v>327</v>
      </c>
      <c r="C477" s="106" t="s">
        <v>264</v>
      </c>
      <c r="D477" s="106" t="s">
        <v>265</v>
      </c>
      <c r="E477">
        <v>3839</v>
      </c>
      <c r="F477" s="106" t="s">
        <v>1719</v>
      </c>
      <c r="G477" s="106" t="s">
        <v>270</v>
      </c>
      <c r="H477" s="106" t="s">
        <v>277</v>
      </c>
      <c r="I477">
        <v>46</v>
      </c>
    </row>
    <row r="478" spans="1:10" x14ac:dyDescent="0.2">
      <c r="A478" s="106" t="s">
        <v>364</v>
      </c>
      <c r="B478" s="106" t="s">
        <v>327</v>
      </c>
      <c r="C478" s="106" t="s">
        <v>264</v>
      </c>
      <c r="D478" s="106" t="s">
        <v>269</v>
      </c>
      <c r="E478">
        <v>3841</v>
      </c>
      <c r="F478" s="106" t="s">
        <v>369</v>
      </c>
      <c r="G478" s="106" t="s">
        <v>270</v>
      </c>
      <c r="H478" s="106" t="s">
        <v>277</v>
      </c>
      <c r="I478" s="106">
        <v>25</v>
      </c>
      <c r="J478" s="106"/>
    </row>
    <row r="479" spans="1:10" x14ac:dyDescent="0.2">
      <c r="A479" s="106" t="s">
        <v>364</v>
      </c>
      <c r="B479" s="106" t="s">
        <v>327</v>
      </c>
      <c r="C479" s="106" t="s">
        <v>264</v>
      </c>
      <c r="D479" s="106" t="s">
        <v>265</v>
      </c>
      <c r="E479">
        <v>3891</v>
      </c>
      <c r="F479" s="106" t="s">
        <v>2286</v>
      </c>
      <c r="G479" s="106" t="s">
        <v>270</v>
      </c>
      <c r="H479" s="106" t="s">
        <v>300</v>
      </c>
      <c r="I479" s="106">
        <v>159</v>
      </c>
      <c r="J479" s="106"/>
    </row>
    <row r="480" spans="1:10" x14ac:dyDescent="0.2">
      <c r="A480" s="106" t="s">
        <v>364</v>
      </c>
      <c r="B480" s="106" t="s">
        <v>327</v>
      </c>
      <c r="C480" s="106" t="s">
        <v>264</v>
      </c>
      <c r="D480" s="106" t="s">
        <v>269</v>
      </c>
      <c r="E480">
        <v>3908</v>
      </c>
      <c r="F480" s="106" t="s">
        <v>2287</v>
      </c>
      <c r="G480" s="106" t="s">
        <v>278</v>
      </c>
      <c r="H480" s="106" t="s">
        <v>277</v>
      </c>
      <c r="I480">
        <v>40</v>
      </c>
    </row>
    <row r="481" spans="1:10" x14ac:dyDescent="0.2">
      <c r="A481" s="106" t="s">
        <v>364</v>
      </c>
      <c r="B481" s="106" t="s">
        <v>327</v>
      </c>
      <c r="C481" s="106" t="s">
        <v>264</v>
      </c>
      <c r="D481" s="106" t="s">
        <v>265</v>
      </c>
      <c r="E481">
        <v>3932</v>
      </c>
      <c r="F481" s="106" t="s">
        <v>2288</v>
      </c>
      <c r="G481" s="106" t="s">
        <v>266</v>
      </c>
      <c r="H481" s="106" t="s">
        <v>277</v>
      </c>
      <c r="I481" s="106">
        <v>790</v>
      </c>
      <c r="J481" s="106"/>
    </row>
    <row r="482" spans="1:10" x14ac:dyDescent="0.2">
      <c r="A482" s="106" t="s">
        <v>364</v>
      </c>
      <c r="B482" s="106" t="s">
        <v>327</v>
      </c>
      <c r="C482" s="106" t="s">
        <v>264</v>
      </c>
      <c r="D482" s="106" t="s">
        <v>265</v>
      </c>
      <c r="E482">
        <v>3946</v>
      </c>
      <c r="F482" s="106" t="s">
        <v>2289</v>
      </c>
      <c r="G482" s="106" t="s">
        <v>266</v>
      </c>
      <c r="H482" s="106" t="s">
        <v>300</v>
      </c>
      <c r="I482" s="106">
        <v>355</v>
      </c>
      <c r="J482" s="106"/>
    </row>
    <row r="483" spans="1:10" x14ac:dyDescent="0.2">
      <c r="A483" s="106" t="s">
        <v>364</v>
      </c>
      <c r="B483" s="106" t="s">
        <v>327</v>
      </c>
      <c r="C483" s="106" t="s">
        <v>264</v>
      </c>
      <c r="D483" s="106" t="s">
        <v>269</v>
      </c>
      <c r="E483">
        <v>3956</v>
      </c>
      <c r="F483" s="106" t="s">
        <v>2290</v>
      </c>
      <c r="G483" s="106" t="s">
        <v>270</v>
      </c>
      <c r="H483" s="106" t="s">
        <v>300</v>
      </c>
      <c r="I483">
        <v>20</v>
      </c>
    </row>
    <row r="484" spans="1:10" x14ac:dyDescent="0.2">
      <c r="A484" s="106" t="s">
        <v>364</v>
      </c>
      <c r="B484" s="106" t="s">
        <v>327</v>
      </c>
      <c r="C484" s="106" t="s">
        <v>264</v>
      </c>
      <c r="D484" s="106" t="s">
        <v>265</v>
      </c>
      <c r="E484">
        <v>4005</v>
      </c>
      <c r="F484" s="106" t="s">
        <v>2291</v>
      </c>
      <c r="G484" s="106" t="s">
        <v>266</v>
      </c>
      <c r="H484" s="106" t="s">
        <v>279</v>
      </c>
      <c r="I484" t="s">
        <v>343</v>
      </c>
      <c r="J484" t="s">
        <v>4447</v>
      </c>
    </row>
    <row r="485" spans="1:10" x14ac:dyDescent="0.2">
      <c r="A485" s="106" t="s">
        <v>364</v>
      </c>
      <c r="B485" s="106" t="s">
        <v>327</v>
      </c>
      <c r="C485" s="106" t="s">
        <v>264</v>
      </c>
      <c r="D485" s="106" t="s">
        <v>265</v>
      </c>
      <c r="E485">
        <v>4220</v>
      </c>
      <c r="F485" s="106" t="s">
        <v>2292</v>
      </c>
      <c r="G485" s="106" t="s">
        <v>266</v>
      </c>
      <c r="H485" s="106" t="s">
        <v>279</v>
      </c>
      <c r="I485" s="106">
        <v>346</v>
      </c>
      <c r="J485" s="106"/>
    </row>
    <row r="486" spans="1:10" x14ac:dyDescent="0.2">
      <c r="A486" s="106" t="s">
        <v>364</v>
      </c>
      <c r="B486" s="106" t="s">
        <v>327</v>
      </c>
      <c r="C486" s="106" t="s">
        <v>273</v>
      </c>
      <c r="D486" s="106" t="s">
        <v>265</v>
      </c>
      <c r="E486">
        <v>4248</v>
      </c>
      <c r="F486" s="106" t="s">
        <v>2293</v>
      </c>
      <c r="G486" s="106" t="s">
        <v>266</v>
      </c>
      <c r="H486" s="106" t="s">
        <v>279</v>
      </c>
      <c r="I486" s="106">
        <v>119</v>
      </c>
      <c r="J486" s="106"/>
    </row>
    <row r="487" spans="1:10" x14ac:dyDescent="0.2">
      <c r="A487" s="106" t="s">
        <v>364</v>
      </c>
      <c r="B487" s="106" t="s">
        <v>327</v>
      </c>
      <c r="C487" s="106" t="s">
        <v>273</v>
      </c>
      <c r="D487" s="106" t="s">
        <v>265</v>
      </c>
      <c r="E487">
        <v>4284</v>
      </c>
      <c r="F487" s="106" t="s">
        <v>2294</v>
      </c>
      <c r="G487" s="106" t="s">
        <v>266</v>
      </c>
      <c r="H487" s="106" t="s">
        <v>277</v>
      </c>
      <c r="I487" s="106">
        <v>143</v>
      </c>
      <c r="J487" s="106"/>
    </row>
    <row r="488" spans="1:10" x14ac:dyDescent="0.2">
      <c r="A488" s="106" t="s">
        <v>364</v>
      </c>
      <c r="B488" s="106" t="s">
        <v>327</v>
      </c>
      <c r="C488" s="106" t="s">
        <v>264</v>
      </c>
      <c r="D488" s="106" t="s">
        <v>265</v>
      </c>
      <c r="E488">
        <v>4299</v>
      </c>
      <c r="F488" s="106" t="s">
        <v>2295</v>
      </c>
      <c r="G488" s="106" t="s">
        <v>266</v>
      </c>
      <c r="H488" s="106" t="s">
        <v>277</v>
      </c>
      <c r="I488" s="106">
        <v>129</v>
      </c>
      <c r="J488" s="106"/>
    </row>
    <row r="489" spans="1:10" x14ac:dyDescent="0.2">
      <c r="A489" s="106" t="s">
        <v>364</v>
      </c>
      <c r="B489" s="106" t="s">
        <v>327</v>
      </c>
      <c r="C489" s="106" t="s">
        <v>264</v>
      </c>
      <c r="D489" s="106" t="s">
        <v>265</v>
      </c>
      <c r="E489">
        <v>4318</v>
      </c>
      <c r="F489" s="106" t="s">
        <v>2296</v>
      </c>
      <c r="G489" s="106" t="s">
        <v>266</v>
      </c>
      <c r="H489" s="106" t="s">
        <v>271</v>
      </c>
      <c r="I489">
        <v>304</v>
      </c>
    </row>
    <row r="490" spans="1:10" x14ac:dyDescent="0.2">
      <c r="A490" s="106" t="s">
        <v>364</v>
      </c>
      <c r="B490" s="106" t="s">
        <v>327</v>
      </c>
      <c r="C490" s="106" t="s">
        <v>264</v>
      </c>
      <c r="D490" s="106" t="s">
        <v>265</v>
      </c>
      <c r="E490">
        <v>4345</v>
      </c>
      <c r="F490" s="106" t="s">
        <v>2297</v>
      </c>
      <c r="G490" s="106" t="s">
        <v>266</v>
      </c>
      <c r="H490" s="106" t="s">
        <v>271</v>
      </c>
      <c r="I490" s="106">
        <v>315</v>
      </c>
      <c r="J490" s="106"/>
    </row>
    <row r="491" spans="1:10" x14ac:dyDescent="0.2">
      <c r="A491" s="106" t="s">
        <v>364</v>
      </c>
      <c r="B491" s="106" t="s">
        <v>327</v>
      </c>
      <c r="C491" s="106" t="s">
        <v>264</v>
      </c>
      <c r="D491" s="106" t="s">
        <v>269</v>
      </c>
      <c r="E491">
        <v>4389</v>
      </c>
      <c r="F491" s="106" t="s">
        <v>2298</v>
      </c>
      <c r="G491" s="106" t="s">
        <v>278</v>
      </c>
      <c r="H491" s="106" t="s">
        <v>277</v>
      </c>
      <c r="I491">
        <v>75</v>
      </c>
    </row>
    <row r="492" spans="1:10" x14ac:dyDescent="0.2">
      <c r="A492" s="106" t="s">
        <v>364</v>
      </c>
      <c r="B492" s="106" t="s">
        <v>327</v>
      </c>
      <c r="C492" s="106" t="s">
        <v>268</v>
      </c>
      <c r="D492" s="106" t="s">
        <v>269</v>
      </c>
      <c r="E492">
        <v>4393</v>
      </c>
      <c r="F492" s="106" t="s">
        <v>468</v>
      </c>
      <c r="G492" s="106" t="s">
        <v>278</v>
      </c>
      <c r="H492" s="106" t="s">
        <v>277</v>
      </c>
      <c r="I492" s="106">
        <v>99</v>
      </c>
      <c r="J492" s="106"/>
    </row>
    <row r="493" spans="1:10" x14ac:dyDescent="0.2">
      <c r="A493" s="106" t="s">
        <v>364</v>
      </c>
      <c r="B493" s="106" t="s">
        <v>327</v>
      </c>
      <c r="C493" s="106" t="s">
        <v>264</v>
      </c>
      <c r="D493" s="106" t="s">
        <v>265</v>
      </c>
      <c r="E493">
        <v>4410</v>
      </c>
      <c r="F493" s="106" t="s">
        <v>1712</v>
      </c>
      <c r="G493" s="106" t="s">
        <v>266</v>
      </c>
      <c r="H493" s="106" t="s">
        <v>279</v>
      </c>
      <c r="I493" s="106">
        <v>309</v>
      </c>
      <c r="J493" s="106"/>
    </row>
    <row r="494" spans="1:10" x14ac:dyDescent="0.2">
      <c r="A494" s="106" t="s">
        <v>364</v>
      </c>
      <c r="B494" s="106" t="s">
        <v>327</v>
      </c>
      <c r="C494" s="106" t="s">
        <v>264</v>
      </c>
      <c r="D494" s="106" t="s">
        <v>265</v>
      </c>
      <c r="E494">
        <v>4539</v>
      </c>
      <c r="F494" s="106" t="s">
        <v>2299</v>
      </c>
      <c r="G494" s="106" t="s">
        <v>266</v>
      </c>
      <c r="H494" s="106" t="s">
        <v>311</v>
      </c>
      <c r="I494" s="106">
        <v>128</v>
      </c>
      <c r="J494" s="106"/>
    </row>
    <row r="495" spans="1:10" x14ac:dyDescent="0.2">
      <c r="A495" s="106" t="s">
        <v>364</v>
      </c>
      <c r="B495" s="106" t="s">
        <v>327</v>
      </c>
      <c r="C495" s="106" t="s">
        <v>264</v>
      </c>
      <c r="D495" s="106" t="s">
        <v>265</v>
      </c>
      <c r="E495">
        <v>4547</v>
      </c>
      <c r="F495" s="106" t="s">
        <v>2300</v>
      </c>
      <c r="G495" s="106" t="s">
        <v>266</v>
      </c>
      <c r="H495" s="106" t="s">
        <v>311</v>
      </c>
      <c r="I495" t="s">
        <v>297</v>
      </c>
      <c r="J495" t="s">
        <v>4923</v>
      </c>
    </row>
    <row r="496" spans="1:10" x14ac:dyDescent="0.2">
      <c r="A496" s="106" t="s">
        <v>364</v>
      </c>
      <c r="B496" s="106" t="s">
        <v>327</v>
      </c>
      <c r="C496" s="106" t="s">
        <v>273</v>
      </c>
      <c r="D496" s="106" t="s">
        <v>269</v>
      </c>
      <c r="E496">
        <v>4585</v>
      </c>
      <c r="F496" s="106" t="s">
        <v>2301</v>
      </c>
      <c r="G496" s="106" t="s">
        <v>278</v>
      </c>
      <c r="H496" s="106" t="s">
        <v>311</v>
      </c>
      <c r="I496" s="106">
        <v>95</v>
      </c>
      <c r="J496" s="106"/>
    </row>
    <row r="497" spans="1:10" x14ac:dyDescent="0.2">
      <c r="A497" s="106" t="s">
        <v>364</v>
      </c>
      <c r="B497" s="106" t="s">
        <v>327</v>
      </c>
      <c r="C497" s="106" t="s">
        <v>264</v>
      </c>
      <c r="D497" s="106" t="s">
        <v>265</v>
      </c>
      <c r="E497">
        <v>4644</v>
      </c>
      <c r="F497" s="106" t="s">
        <v>1721</v>
      </c>
      <c r="G497" s="106" t="s">
        <v>270</v>
      </c>
      <c r="H497" s="106" t="s">
        <v>277</v>
      </c>
      <c r="I497">
        <v>130</v>
      </c>
    </row>
    <row r="498" spans="1:10" x14ac:dyDescent="0.2">
      <c r="A498" s="106" t="s">
        <v>364</v>
      </c>
      <c r="B498" s="106" t="s">
        <v>327</v>
      </c>
      <c r="C498" s="106" t="s">
        <v>264</v>
      </c>
      <c r="D498" s="106" t="s">
        <v>265</v>
      </c>
      <c r="E498">
        <v>4659</v>
      </c>
      <c r="F498" s="106" t="s">
        <v>2302</v>
      </c>
      <c r="G498" s="106" t="s">
        <v>270</v>
      </c>
      <c r="H498" s="106" t="s">
        <v>271</v>
      </c>
      <c r="I498" s="106">
        <v>354</v>
      </c>
      <c r="J498" s="106"/>
    </row>
    <row r="499" spans="1:10" x14ac:dyDescent="0.2">
      <c r="A499" s="106" t="s">
        <v>364</v>
      </c>
      <c r="B499" s="106" t="s">
        <v>327</v>
      </c>
      <c r="C499" s="106" t="s">
        <v>264</v>
      </c>
      <c r="D499" s="106" t="s">
        <v>265</v>
      </c>
      <c r="E499">
        <v>4695</v>
      </c>
      <c r="F499" s="106" t="s">
        <v>2303</v>
      </c>
      <c r="G499" s="106" t="s">
        <v>274</v>
      </c>
      <c r="H499" s="106" t="s">
        <v>271</v>
      </c>
      <c r="I499" s="106">
        <v>104</v>
      </c>
      <c r="J499" s="106"/>
    </row>
    <row r="500" spans="1:10" x14ac:dyDescent="0.2">
      <c r="A500" s="106" t="s">
        <v>364</v>
      </c>
      <c r="B500" s="106" t="s">
        <v>327</v>
      </c>
      <c r="C500" s="106" t="s">
        <v>264</v>
      </c>
      <c r="D500" s="106" t="s">
        <v>265</v>
      </c>
      <c r="E500">
        <v>4718</v>
      </c>
      <c r="F500" s="106" t="s">
        <v>2304</v>
      </c>
      <c r="G500" s="106" t="s">
        <v>266</v>
      </c>
      <c r="H500" s="106" t="s">
        <v>271</v>
      </c>
      <c r="I500">
        <v>200</v>
      </c>
    </row>
    <row r="501" spans="1:10" x14ac:dyDescent="0.2">
      <c r="A501" s="106" t="s">
        <v>364</v>
      </c>
      <c r="B501" s="106" t="s">
        <v>327</v>
      </c>
      <c r="C501" s="106" t="s">
        <v>264</v>
      </c>
      <c r="D501" s="106" t="s">
        <v>265</v>
      </c>
      <c r="E501">
        <v>4816</v>
      </c>
      <c r="F501" s="106" t="s">
        <v>703</v>
      </c>
      <c r="G501" s="106" t="s">
        <v>270</v>
      </c>
      <c r="H501" s="106" t="s">
        <v>277</v>
      </c>
      <c r="I501" t="s">
        <v>289</v>
      </c>
      <c r="J501" t="s">
        <v>4924</v>
      </c>
    </row>
    <row r="502" spans="1:10" x14ac:dyDescent="0.2">
      <c r="A502" s="106" t="s">
        <v>364</v>
      </c>
      <c r="B502" s="106" t="s">
        <v>327</v>
      </c>
      <c r="C502" s="106" t="s">
        <v>264</v>
      </c>
      <c r="D502" s="106" t="s">
        <v>265</v>
      </c>
      <c r="E502">
        <v>4922</v>
      </c>
      <c r="F502" s="106" t="s">
        <v>2305</v>
      </c>
      <c r="G502" s="106" t="s">
        <v>266</v>
      </c>
      <c r="H502" s="106" t="s">
        <v>279</v>
      </c>
      <c r="I502" t="s">
        <v>407</v>
      </c>
      <c r="J502" t="s">
        <v>4925</v>
      </c>
    </row>
    <row r="503" spans="1:10" x14ac:dyDescent="0.2">
      <c r="A503" s="106" t="s">
        <v>364</v>
      </c>
      <c r="B503" s="106" t="s">
        <v>327</v>
      </c>
      <c r="C503" s="106" t="s">
        <v>264</v>
      </c>
      <c r="D503" s="106" t="s">
        <v>265</v>
      </c>
      <c r="E503">
        <v>4926</v>
      </c>
      <c r="F503" s="106" t="s">
        <v>2306</v>
      </c>
      <c r="G503" s="106" t="s">
        <v>266</v>
      </c>
      <c r="H503" s="106" t="s">
        <v>279</v>
      </c>
      <c r="I503" s="106">
        <v>108</v>
      </c>
      <c r="J503" s="106"/>
    </row>
    <row r="504" spans="1:10" x14ac:dyDescent="0.2">
      <c r="A504" s="106" t="s">
        <v>364</v>
      </c>
      <c r="B504" s="106" t="s">
        <v>327</v>
      </c>
      <c r="C504" s="106" t="s">
        <v>273</v>
      </c>
      <c r="D504" s="106" t="s">
        <v>265</v>
      </c>
      <c r="E504">
        <v>4967</v>
      </c>
      <c r="F504" s="106" t="s">
        <v>2307</v>
      </c>
      <c r="G504" s="106" t="s">
        <v>266</v>
      </c>
      <c r="H504" s="106" t="s">
        <v>279</v>
      </c>
      <c r="I504" s="106" t="s">
        <v>518</v>
      </c>
      <c r="J504" s="106" t="s">
        <v>4926</v>
      </c>
    </row>
    <row r="505" spans="1:10" x14ac:dyDescent="0.2">
      <c r="A505" s="106" t="s">
        <v>364</v>
      </c>
      <c r="B505" s="106" t="s">
        <v>327</v>
      </c>
      <c r="C505" s="106" t="s">
        <v>2036</v>
      </c>
      <c r="D505" s="106" t="s">
        <v>265</v>
      </c>
      <c r="E505">
        <v>5008</v>
      </c>
      <c r="F505" s="106" t="s">
        <v>2308</v>
      </c>
      <c r="G505" s="106" t="s">
        <v>274</v>
      </c>
      <c r="H505" s="106" t="s">
        <v>1442</v>
      </c>
      <c r="I505">
        <v>311</v>
      </c>
    </row>
    <row r="506" spans="1:10" x14ac:dyDescent="0.2">
      <c r="A506" s="106" t="s">
        <v>364</v>
      </c>
      <c r="B506" s="106" t="s">
        <v>327</v>
      </c>
      <c r="C506" s="106" t="s">
        <v>264</v>
      </c>
      <c r="D506" s="106" t="s">
        <v>265</v>
      </c>
      <c r="E506">
        <v>5261</v>
      </c>
      <c r="F506" s="106" t="s">
        <v>2309</v>
      </c>
      <c r="G506" s="106" t="s">
        <v>266</v>
      </c>
      <c r="H506" s="106" t="s">
        <v>271</v>
      </c>
      <c r="I506">
        <v>233</v>
      </c>
    </row>
    <row r="507" spans="1:10" x14ac:dyDescent="0.2">
      <c r="A507" s="106" t="s">
        <v>364</v>
      </c>
      <c r="B507" s="106" t="s">
        <v>327</v>
      </c>
      <c r="C507" s="106" t="s">
        <v>264</v>
      </c>
      <c r="D507" s="106" t="s">
        <v>269</v>
      </c>
      <c r="E507">
        <v>5287</v>
      </c>
      <c r="F507" s="106" t="s">
        <v>2310</v>
      </c>
      <c r="G507" s="106" t="s">
        <v>274</v>
      </c>
      <c r="H507" s="106" t="s">
        <v>308</v>
      </c>
      <c r="I507">
        <v>56</v>
      </c>
    </row>
    <row r="508" spans="1:10" x14ac:dyDescent="0.2">
      <c r="A508" s="106" t="s">
        <v>364</v>
      </c>
      <c r="B508" s="106" t="s">
        <v>327</v>
      </c>
      <c r="C508" s="106" t="s">
        <v>264</v>
      </c>
      <c r="D508" s="106" t="s">
        <v>265</v>
      </c>
      <c r="E508">
        <v>5332</v>
      </c>
      <c r="F508" s="106" t="s">
        <v>704</v>
      </c>
      <c r="G508" s="106" t="s">
        <v>266</v>
      </c>
      <c r="H508" s="106" t="s">
        <v>308</v>
      </c>
      <c r="I508" s="106" t="s">
        <v>343</v>
      </c>
      <c r="J508" s="106" t="s">
        <v>4611</v>
      </c>
    </row>
    <row r="509" spans="1:10" x14ac:dyDescent="0.2">
      <c r="A509" s="106" t="s">
        <v>364</v>
      </c>
      <c r="B509" s="106" t="s">
        <v>327</v>
      </c>
      <c r="C509" s="106" t="s">
        <v>264</v>
      </c>
      <c r="D509" s="106" t="s">
        <v>265</v>
      </c>
      <c r="E509">
        <v>5333</v>
      </c>
      <c r="F509" s="106" t="s">
        <v>2311</v>
      </c>
      <c r="G509" s="106" t="s">
        <v>266</v>
      </c>
      <c r="H509" s="106" t="s">
        <v>308</v>
      </c>
      <c r="I509" s="106" t="s">
        <v>325</v>
      </c>
      <c r="J509" s="106" t="s">
        <v>4678</v>
      </c>
    </row>
    <row r="510" spans="1:10" x14ac:dyDescent="0.2">
      <c r="A510" s="106" t="s">
        <v>364</v>
      </c>
      <c r="B510" s="106" t="s">
        <v>327</v>
      </c>
      <c r="C510" s="106" t="s">
        <v>264</v>
      </c>
      <c r="D510" s="106" t="s">
        <v>265</v>
      </c>
      <c r="E510">
        <v>5352</v>
      </c>
      <c r="F510" s="106" t="s">
        <v>2312</v>
      </c>
      <c r="G510" s="106" t="s">
        <v>266</v>
      </c>
      <c r="H510" s="106" t="s">
        <v>308</v>
      </c>
      <c r="I510" s="106">
        <v>588</v>
      </c>
      <c r="J510" s="106"/>
    </row>
    <row r="511" spans="1:10" x14ac:dyDescent="0.2">
      <c r="A511" s="106" t="s">
        <v>364</v>
      </c>
      <c r="B511" s="106" t="s">
        <v>327</v>
      </c>
      <c r="C511" s="106" t="s">
        <v>264</v>
      </c>
      <c r="D511" s="106" t="s">
        <v>265</v>
      </c>
      <c r="E511">
        <v>5471</v>
      </c>
      <c r="F511" s="106" t="s">
        <v>2313</v>
      </c>
      <c r="G511" s="106" t="s">
        <v>266</v>
      </c>
      <c r="H511" s="106" t="s">
        <v>726</v>
      </c>
      <c r="I511" s="106" t="s">
        <v>289</v>
      </c>
      <c r="J511" s="106" t="s">
        <v>4626</v>
      </c>
    </row>
    <row r="512" spans="1:10" x14ac:dyDescent="0.2">
      <c r="A512" s="106" t="s">
        <v>364</v>
      </c>
      <c r="B512" s="106" t="s">
        <v>327</v>
      </c>
      <c r="C512" s="106" t="s">
        <v>264</v>
      </c>
      <c r="D512" s="106" t="s">
        <v>265</v>
      </c>
      <c r="E512">
        <v>5481</v>
      </c>
      <c r="F512" s="106" t="s">
        <v>2314</v>
      </c>
      <c r="G512" s="106" t="s">
        <v>266</v>
      </c>
      <c r="H512" s="106" t="s">
        <v>726</v>
      </c>
      <c r="I512">
        <v>880</v>
      </c>
    </row>
    <row r="513" spans="1:10" x14ac:dyDescent="0.2">
      <c r="A513" s="106" t="s">
        <v>364</v>
      </c>
      <c r="B513" s="106" t="s">
        <v>327</v>
      </c>
      <c r="C513" s="106" t="s">
        <v>264</v>
      </c>
      <c r="D513" s="106" t="s">
        <v>265</v>
      </c>
      <c r="E513">
        <v>5658</v>
      </c>
      <c r="F513" s="106" t="s">
        <v>2315</v>
      </c>
      <c r="G513" s="106" t="s">
        <v>266</v>
      </c>
      <c r="H513" s="106" t="s">
        <v>726</v>
      </c>
      <c r="I513" s="106">
        <v>187</v>
      </c>
      <c r="J513" s="106"/>
    </row>
    <row r="514" spans="1:10" x14ac:dyDescent="0.2">
      <c r="A514" s="106" t="s">
        <v>364</v>
      </c>
      <c r="B514" s="106" t="s">
        <v>327</v>
      </c>
      <c r="C514" s="106" t="s">
        <v>264</v>
      </c>
      <c r="D514" s="106" t="s">
        <v>265</v>
      </c>
      <c r="E514">
        <v>5702</v>
      </c>
      <c r="F514" s="106" t="s">
        <v>2316</v>
      </c>
      <c r="G514" s="106" t="s">
        <v>266</v>
      </c>
      <c r="H514" s="106" t="s">
        <v>373</v>
      </c>
      <c r="I514" s="106">
        <v>329</v>
      </c>
      <c r="J514" s="106"/>
    </row>
    <row r="515" spans="1:10" x14ac:dyDescent="0.2">
      <c r="A515" s="106" t="s">
        <v>364</v>
      </c>
      <c r="B515" s="106" t="s">
        <v>327</v>
      </c>
      <c r="C515" s="106" t="s">
        <v>264</v>
      </c>
      <c r="D515" s="106" t="s">
        <v>269</v>
      </c>
      <c r="E515">
        <v>5726</v>
      </c>
      <c r="F515" s="106" t="s">
        <v>2317</v>
      </c>
      <c r="G515" s="106" t="s">
        <v>266</v>
      </c>
      <c r="H515" s="106" t="s">
        <v>373</v>
      </c>
      <c r="I515" s="106">
        <v>552</v>
      </c>
      <c r="J515" s="106"/>
    </row>
    <row r="516" spans="1:10" x14ac:dyDescent="0.2">
      <c r="A516" s="106" t="s">
        <v>364</v>
      </c>
      <c r="B516" s="106" t="s">
        <v>327</v>
      </c>
      <c r="C516" s="106" t="s">
        <v>264</v>
      </c>
      <c r="D516" s="106" t="s">
        <v>265</v>
      </c>
      <c r="E516">
        <v>5727</v>
      </c>
      <c r="F516" s="106" t="s">
        <v>372</v>
      </c>
      <c r="G516" s="106" t="s">
        <v>266</v>
      </c>
      <c r="H516" s="106" t="s">
        <v>373</v>
      </c>
      <c r="I516">
        <v>670</v>
      </c>
    </row>
    <row r="517" spans="1:10" x14ac:dyDescent="0.2">
      <c r="A517" s="106" t="s">
        <v>364</v>
      </c>
      <c r="B517" s="106" t="s">
        <v>327</v>
      </c>
      <c r="C517" s="106" t="s">
        <v>264</v>
      </c>
      <c r="D517" s="106" t="s">
        <v>265</v>
      </c>
      <c r="E517">
        <v>5807</v>
      </c>
      <c r="F517" s="106" t="s">
        <v>2318</v>
      </c>
      <c r="G517" s="106" t="s">
        <v>266</v>
      </c>
      <c r="H517" s="106" t="s">
        <v>373</v>
      </c>
      <c r="I517">
        <v>164</v>
      </c>
    </row>
    <row r="518" spans="1:10" x14ac:dyDescent="0.2">
      <c r="A518" s="106" t="s">
        <v>364</v>
      </c>
      <c r="B518" s="106" t="s">
        <v>327</v>
      </c>
      <c r="C518" s="106" t="s">
        <v>264</v>
      </c>
      <c r="D518" s="106" t="s">
        <v>265</v>
      </c>
      <c r="E518">
        <v>5857</v>
      </c>
      <c r="F518" s="106" t="s">
        <v>2319</v>
      </c>
      <c r="G518" s="106" t="s">
        <v>266</v>
      </c>
      <c r="H518" s="106" t="s">
        <v>373</v>
      </c>
      <c r="I518" t="s">
        <v>297</v>
      </c>
      <c r="J518" t="s">
        <v>4927</v>
      </c>
    </row>
    <row r="519" spans="1:10" x14ac:dyDescent="0.2">
      <c r="A519" s="106" t="s">
        <v>364</v>
      </c>
      <c r="B519" s="106" t="s">
        <v>327</v>
      </c>
      <c r="C519" s="106" t="s">
        <v>264</v>
      </c>
      <c r="D519" s="106" t="s">
        <v>265</v>
      </c>
      <c r="E519">
        <v>5905</v>
      </c>
      <c r="F519" s="106" t="s">
        <v>2320</v>
      </c>
      <c r="G519" s="106" t="s">
        <v>274</v>
      </c>
      <c r="H519" s="106" t="s">
        <v>281</v>
      </c>
      <c r="I519" s="106">
        <v>14</v>
      </c>
      <c r="J519" s="106"/>
    </row>
    <row r="520" spans="1:10" x14ac:dyDescent="0.2">
      <c r="A520" s="106" t="s">
        <v>364</v>
      </c>
      <c r="B520" s="106" t="s">
        <v>327</v>
      </c>
      <c r="C520" s="106" t="s">
        <v>264</v>
      </c>
      <c r="D520" s="106" t="s">
        <v>265</v>
      </c>
      <c r="E520">
        <v>5909</v>
      </c>
      <c r="F520" s="106" t="s">
        <v>2321</v>
      </c>
      <c r="G520" s="106" t="s">
        <v>266</v>
      </c>
      <c r="H520" s="106" t="s">
        <v>281</v>
      </c>
      <c r="I520" s="106">
        <v>310</v>
      </c>
      <c r="J520" s="106"/>
    </row>
    <row r="521" spans="1:10" x14ac:dyDescent="0.2">
      <c r="A521" s="106" t="s">
        <v>364</v>
      </c>
      <c r="B521" s="106" t="s">
        <v>327</v>
      </c>
      <c r="C521" s="106" t="s">
        <v>264</v>
      </c>
      <c r="D521" s="106" t="s">
        <v>265</v>
      </c>
      <c r="E521">
        <v>5955</v>
      </c>
      <c r="F521" s="106" t="s">
        <v>1629</v>
      </c>
      <c r="G521" s="106" t="s">
        <v>274</v>
      </c>
      <c r="H521" s="106" t="s">
        <v>281</v>
      </c>
      <c r="I521" s="106">
        <v>95</v>
      </c>
      <c r="J521" s="106"/>
    </row>
    <row r="522" spans="1:10" x14ac:dyDescent="0.2">
      <c r="A522" s="106" t="s">
        <v>364</v>
      </c>
      <c r="B522" s="106" t="s">
        <v>327</v>
      </c>
      <c r="C522" s="106" t="s">
        <v>275</v>
      </c>
      <c r="D522" s="106" t="s">
        <v>265</v>
      </c>
      <c r="E522">
        <v>6028</v>
      </c>
      <c r="F522" s="106" t="s">
        <v>641</v>
      </c>
      <c r="G522" s="106" t="s">
        <v>266</v>
      </c>
      <c r="H522" s="106" t="s">
        <v>271</v>
      </c>
      <c r="I522" s="106" t="s">
        <v>289</v>
      </c>
      <c r="J522" s="106" t="s">
        <v>4622</v>
      </c>
    </row>
    <row r="523" spans="1:10" x14ac:dyDescent="0.2">
      <c r="A523" s="106" t="s">
        <v>364</v>
      </c>
      <c r="B523" s="106" t="s">
        <v>327</v>
      </c>
      <c r="C523" s="106" t="s">
        <v>264</v>
      </c>
      <c r="D523" s="106" t="s">
        <v>265</v>
      </c>
      <c r="E523">
        <v>6042</v>
      </c>
      <c r="F523" s="106" t="s">
        <v>2322</v>
      </c>
      <c r="G523" s="106" t="s">
        <v>274</v>
      </c>
      <c r="H523" s="106" t="s">
        <v>296</v>
      </c>
      <c r="I523" s="106">
        <v>48</v>
      </c>
      <c r="J523" s="106"/>
    </row>
    <row r="524" spans="1:10" x14ac:dyDescent="0.2">
      <c r="A524" s="106" t="s">
        <v>364</v>
      </c>
      <c r="B524" s="106" t="s">
        <v>327</v>
      </c>
      <c r="C524" s="106" t="s">
        <v>264</v>
      </c>
      <c r="D524" s="106" t="s">
        <v>265</v>
      </c>
      <c r="E524">
        <v>6103</v>
      </c>
      <c r="F524" s="106" t="s">
        <v>2323</v>
      </c>
      <c r="G524" s="106" t="s">
        <v>266</v>
      </c>
      <c r="H524" s="106" t="s">
        <v>287</v>
      </c>
      <c r="I524" s="106" t="s">
        <v>297</v>
      </c>
      <c r="J524" s="106" t="s">
        <v>4666</v>
      </c>
    </row>
    <row r="525" spans="1:10" x14ac:dyDescent="0.2">
      <c r="A525" s="106" t="s">
        <v>364</v>
      </c>
      <c r="B525" s="106" t="s">
        <v>327</v>
      </c>
      <c r="C525" s="106" t="s">
        <v>264</v>
      </c>
      <c r="D525" s="106" t="s">
        <v>265</v>
      </c>
      <c r="E525">
        <v>6104</v>
      </c>
      <c r="F525" s="106" t="s">
        <v>2324</v>
      </c>
      <c r="G525" s="106" t="s">
        <v>266</v>
      </c>
      <c r="H525" s="106" t="s">
        <v>287</v>
      </c>
      <c r="I525" t="s">
        <v>297</v>
      </c>
      <c r="J525" t="s">
        <v>4928</v>
      </c>
    </row>
    <row r="526" spans="1:10" x14ac:dyDescent="0.2">
      <c r="A526" s="106" t="s">
        <v>364</v>
      </c>
      <c r="B526" s="106" t="s">
        <v>327</v>
      </c>
      <c r="C526" s="106" t="s">
        <v>264</v>
      </c>
      <c r="D526" s="106" t="s">
        <v>265</v>
      </c>
      <c r="E526">
        <v>6135</v>
      </c>
      <c r="F526" s="106" t="s">
        <v>1723</v>
      </c>
      <c r="G526" s="106" t="s">
        <v>266</v>
      </c>
      <c r="H526" s="106" t="s">
        <v>287</v>
      </c>
      <c r="I526" s="106" t="s">
        <v>297</v>
      </c>
      <c r="J526" s="106" t="s">
        <v>4929</v>
      </c>
    </row>
    <row r="527" spans="1:10" x14ac:dyDescent="0.2">
      <c r="A527" s="106" t="s">
        <v>364</v>
      </c>
      <c r="B527" s="106" t="s">
        <v>327</v>
      </c>
      <c r="C527" s="106" t="s">
        <v>264</v>
      </c>
      <c r="D527" s="106" t="s">
        <v>265</v>
      </c>
      <c r="E527">
        <v>6157</v>
      </c>
      <c r="F527" s="106" t="s">
        <v>1724</v>
      </c>
      <c r="G527" s="106" t="s">
        <v>266</v>
      </c>
      <c r="H527" s="106" t="s">
        <v>287</v>
      </c>
      <c r="I527" s="106">
        <v>373</v>
      </c>
      <c r="J527" s="106"/>
    </row>
    <row r="528" spans="1:10" x14ac:dyDescent="0.2">
      <c r="A528" s="106" t="s">
        <v>364</v>
      </c>
      <c r="B528" s="106" t="s">
        <v>327</v>
      </c>
      <c r="C528" s="106" t="s">
        <v>264</v>
      </c>
      <c r="D528" s="106" t="s">
        <v>265</v>
      </c>
      <c r="E528">
        <v>6185</v>
      </c>
      <c r="F528" s="106" t="s">
        <v>2325</v>
      </c>
      <c r="G528" s="106" t="s">
        <v>266</v>
      </c>
      <c r="H528" s="106" t="s">
        <v>271</v>
      </c>
      <c r="I528" s="106">
        <v>117</v>
      </c>
      <c r="J528" s="106"/>
    </row>
    <row r="529" spans="1:10" x14ac:dyDescent="0.2">
      <c r="A529" s="106" t="s">
        <v>364</v>
      </c>
      <c r="B529" s="106" t="s">
        <v>327</v>
      </c>
      <c r="C529" s="106" t="s">
        <v>264</v>
      </c>
      <c r="D529" s="106" t="s">
        <v>265</v>
      </c>
      <c r="E529">
        <v>6186</v>
      </c>
      <c r="F529" s="106" t="s">
        <v>2326</v>
      </c>
      <c r="G529" s="106" t="s">
        <v>266</v>
      </c>
      <c r="H529" s="106" t="s">
        <v>271</v>
      </c>
      <c r="I529" s="106">
        <v>46</v>
      </c>
      <c r="J529" s="106"/>
    </row>
    <row r="530" spans="1:10" x14ac:dyDescent="0.2">
      <c r="A530" s="106" t="s">
        <v>364</v>
      </c>
      <c r="B530" s="106" t="s">
        <v>327</v>
      </c>
      <c r="C530" s="106" t="s">
        <v>264</v>
      </c>
      <c r="D530" s="106" t="s">
        <v>265</v>
      </c>
      <c r="E530">
        <v>6222</v>
      </c>
      <c r="F530" s="106" t="s">
        <v>2327</v>
      </c>
      <c r="G530" s="106" t="s">
        <v>266</v>
      </c>
      <c r="H530" s="106" t="s">
        <v>287</v>
      </c>
      <c r="I530" s="106">
        <v>869</v>
      </c>
      <c r="J530" s="106"/>
    </row>
    <row r="531" spans="1:10" x14ac:dyDescent="0.2">
      <c r="A531" s="106" t="s">
        <v>364</v>
      </c>
      <c r="B531" s="106" t="s">
        <v>327</v>
      </c>
      <c r="C531" s="106" t="s">
        <v>264</v>
      </c>
      <c r="D531" s="106" t="s">
        <v>265</v>
      </c>
      <c r="E531">
        <v>6301</v>
      </c>
      <c r="F531" s="106" t="s">
        <v>476</v>
      </c>
      <c r="G531" s="106" t="s">
        <v>266</v>
      </c>
      <c r="H531" s="106" t="s">
        <v>287</v>
      </c>
      <c r="I531" t="s">
        <v>1604</v>
      </c>
      <c r="J531" t="s">
        <v>4317</v>
      </c>
    </row>
    <row r="532" spans="1:10" x14ac:dyDescent="0.2">
      <c r="A532" s="106" t="s">
        <v>364</v>
      </c>
      <c r="B532" s="106" t="s">
        <v>327</v>
      </c>
      <c r="C532" s="106" t="s">
        <v>264</v>
      </c>
      <c r="D532" s="106" t="s">
        <v>265</v>
      </c>
      <c r="E532">
        <v>6302</v>
      </c>
      <c r="F532" s="106" t="s">
        <v>2328</v>
      </c>
      <c r="G532" s="106" t="s">
        <v>266</v>
      </c>
      <c r="H532" s="106" t="s">
        <v>287</v>
      </c>
      <c r="I532" t="s">
        <v>333</v>
      </c>
      <c r="J532" t="s">
        <v>4861</v>
      </c>
    </row>
    <row r="533" spans="1:10" x14ac:dyDescent="0.2">
      <c r="A533" s="106" t="s">
        <v>364</v>
      </c>
      <c r="B533" s="106" t="s">
        <v>327</v>
      </c>
      <c r="C533" s="106" t="s">
        <v>264</v>
      </c>
      <c r="D533" s="106" t="s">
        <v>265</v>
      </c>
      <c r="E533">
        <v>6355</v>
      </c>
      <c r="F533" s="106" t="s">
        <v>2329</v>
      </c>
      <c r="G533" s="106" t="s">
        <v>266</v>
      </c>
      <c r="H533" s="106" t="s">
        <v>287</v>
      </c>
      <c r="I533">
        <v>175</v>
      </c>
    </row>
    <row r="534" spans="1:10" x14ac:dyDescent="0.2">
      <c r="A534" s="106" t="s">
        <v>364</v>
      </c>
      <c r="B534" s="106" t="s">
        <v>327</v>
      </c>
      <c r="C534" s="106" t="s">
        <v>264</v>
      </c>
      <c r="D534" s="106" t="s">
        <v>269</v>
      </c>
      <c r="E534">
        <v>6360</v>
      </c>
      <c r="F534" s="106" t="s">
        <v>2330</v>
      </c>
      <c r="G534" s="106" t="s">
        <v>274</v>
      </c>
      <c r="H534" s="106" t="s">
        <v>287</v>
      </c>
      <c r="I534">
        <v>23</v>
      </c>
    </row>
    <row r="535" spans="1:10" x14ac:dyDescent="0.2">
      <c r="A535" s="106" t="s">
        <v>364</v>
      </c>
      <c r="B535" s="106" t="s">
        <v>327</v>
      </c>
      <c r="C535" s="106" t="s">
        <v>264</v>
      </c>
      <c r="D535" s="106" t="s">
        <v>265</v>
      </c>
      <c r="E535">
        <v>6382</v>
      </c>
      <c r="F535" s="106" t="s">
        <v>1725</v>
      </c>
      <c r="G535" s="106" t="s">
        <v>274</v>
      </c>
      <c r="H535" s="106" t="s">
        <v>287</v>
      </c>
      <c r="I535">
        <v>179</v>
      </c>
    </row>
    <row r="536" spans="1:10" x14ac:dyDescent="0.2">
      <c r="A536" s="106" t="s">
        <v>364</v>
      </c>
      <c r="B536" s="106" t="s">
        <v>327</v>
      </c>
      <c r="C536" s="106" t="s">
        <v>264</v>
      </c>
      <c r="D536" s="106" t="s">
        <v>265</v>
      </c>
      <c r="E536">
        <v>6395</v>
      </c>
      <c r="F536" s="106" t="s">
        <v>477</v>
      </c>
      <c r="G536" s="106" t="s">
        <v>266</v>
      </c>
      <c r="H536" s="106" t="s">
        <v>287</v>
      </c>
      <c r="I536" s="106" t="s">
        <v>297</v>
      </c>
      <c r="J536" s="106" t="s">
        <v>3944</v>
      </c>
    </row>
    <row r="537" spans="1:10" x14ac:dyDescent="0.2">
      <c r="A537" s="106" t="s">
        <v>364</v>
      </c>
      <c r="B537" s="106" t="s">
        <v>327</v>
      </c>
      <c r="C537" s="106" t="s">
        <v>264</v>
      </c>
      <c r="D537" s="106" t="s">
        <v>265</v>
      </c>
      <c r="E537">
        <v>6436</v>
      </c>
      <c r="F537" s="106" t="s">
        <v>2331</v>
      </c>
      <c r="G537" s="106" t="s">
        <v>266</v>
      </c>
      <c r="H537" s="106" t="s">
        <v>287</v>
      </c>
      <c r="I537" s="106" t="s">
        <v>289</v>
      </c>
      <c r="J537" s="106" t="s">
        <v>4700</v>
      </c>
    </row>
    <row r="538" spans="1:10" x14ac:dyDescent="0.2">
      <c r="A538" s="106" t="s">
        <v>364</v>
      </c>
      <c r="B538" s="106" t="s">
        <v>327</v>
      </c>
      <c r="C538" s="106" t="s">
        <v>264</v>
      </c>
      <c r="D538" s="106" t="s">
        <v>265</v>
      </c>
      <c r="E538">
        <v>6455</v>
      </c>
      <c r="F538" s="106" t="s">
        <v>2332</v>
      </c>
      <c r="G538" s="106" t="s">
        <v>266</v>
      </c>
      <c r="H538" s="106" t="s">
        <v>296</v>
      </c>
      <c r="I538">
        <v>815</v>
      </c>
    </row>
    <row r="539" spans="1:10" x14ac:dyDescent="0.2">
      <c r="A539" s="106" t="s">
        <v>364</v>
      </c>
      <c r="B539" s="106" t="s">
        <v>327</v>
      </c>
      <c r="C539" s="106" t="s">
        <v>264</v>
      </c>
      <c r="D539" s="106" t="s">
        <v>265</v>
      </c>
      <c r="E539">
        <v>6484</v>
      </c>
      <c r="F539" s="106" t="s">
        <v>2333</v>
      </c>
      <c r="G539" s="106" t="s">
        <v>270</v>
      </c>
      <c r="H539" s="106" t="s">
        <v>287</v>
      </c>
      <c r="I539">
        <v>136</v>
      </c>
    </row>
    <row r="540" spans="1:10" x14ac:dyDescent="0.2">
      <c r="A540" s="106" t="s">
        <v>364</v>
      </c>
      <c r="B540" s="106" t="s">
        <v>327</v>
      </c>
      <c r="C540" s="106" t="s">
        <v>264</v>
      </c>
      <c r="D540" s="106" t="s">
        <v>265</v>
      </c>
      <c r="E540">
        <v>6488</v>
      </c>
      <c r="F540" s="106" t="s">
        <v>2334</v>
      </c>
      <c r="G540" s="106" t="s">
        <v>270</v>
      </c>
      <c r="H540" s="106" t="s">
        <v>287</v>
      </c>
      <c r="I540">
        <v>74</v>
      </c>
    </row>
    <row r="541" spans="1:10" x14ac:dyDescent="0.2">
      <c r="A541" s="106" t="s">
        <v>364</v>
      </c>
      <c r="B541" s="106" t="s">
        <v>327</v>
      </c>
      <c r="C541" s="106" t="s">
        <v>264</v>
      </c>
      <c r="D541" s="106" t="s">
        <v>265</v>
      </c>
      <c r="E541">
        <v>6501</v>
      </c>
      <c r="F541" s="106" t="s">
        <v>1727</v>
      </c>
      <c r="G541" s="106" t="s">
        <v>266</v>
      </c>
      <c r="H541" s="106" t="s">
        <v>291</v>
      </c>
      <c r="I541" t="s">
        <v>4651</v>
      </c>
      <c r="J541" t="s">
        <v>4304</v>
      </c>
    </row>
    <row r="542" spans="1:10" x14ac:dyDescent="0.2">
      <c r="A542" s="106" t="s">
        <v>364</v>
      </c>
      <c r="B542" s="106" t="s">
        <v>327</v>
      </c>
      <c r="C542" s="106" t="s">
        <v>264</v>
      </c>
      <c r="D542" s="106" t="s">
        <v>265</v>
      </c>
      <c r="E542">
        <v>6518</v>
      </c>
      <c r="F542" s="106" t="s">
        <v>2335</v>
      </c>
      <c r="G542" s="106" t="s">
        <v>270</v>
      </c>
      <c r="H542" s="106" t="s">
        <v>291</v>
      </c>
      <c r="I542">
        <v>41</v>
      </c>
    </row>
    <row r="543" spans="1:10" x14ac:dyDescent="0.2">
      <c r="A543" s="106" t="s">
        <v>364</v>
      </c>
      <c r="B543" s="106" t="s">
        <v>327</v>
      </c>
      <c r="C543" s="106" t="s">
        <v>275</v>
      </c>
      <c r="D543" s="106" t="s">
        <v>265</v>
      </c>
      <c r="E543">
        <v>6547</v>
      </c>
      <c r="F543" s="106" t="s">
        <v>1713</v>
      </c>
      <c r="G543" s="106" t="s">
        <v>266</v>
      </c>
      <c r="H543" s="106" t="s">
        <v>271</v>
      </c>
      <c r="I543">
        <v>134</v>
      </c>
    </row>
    <row r="544" spans="1:10" x14ac:dyDescent="0.2">
      <c r="A544" s="106" t="s">
        <v>364</v>
      </c>
      <c r="B544" s="106" t="s">
        <v>327</v>
      </c>
      <c r="C544" s="106" t="s">
        <v>264</v>
      </c>
      <c r="D544" s="106" t="s">
        <v>265</v>
      </c>
      <c r="E544">
        <v>6617</v>
      </c>
      <c r="F544" s="106" t="s">
        <v>2336</v>
      </c>
      <c r="G544" s="106" t="s">
        <v>266</v>
      </c>
      <c r="H544" s="106" t="s">
        <v>291</v>
      </c>
      <c r="I544">
        <v>195</v>
      </c>
    </row>
    <row r="545" spans="1:10" x14ac:dyDescent="0.2">
      <c r="A545" s="106" t="s">
        <v>364</v>
      </c>
      <c r="B545" s="106" t="s">
        <v>327</v>
      </c>
      <c r="C545" s="106" t="s">
        <v>264</v>
      </c>
      <c r="D545" s="106" t="s">
        <v>265</v>
      </c>
      <c r="E545">
        <v>6632</v>
      </c>
      <c r="F545" s="106" t="s">
        <v>2337</v>
      </c>
      <c r="G545" s="106" t="s">
        <v>266</v>
      </c>
      <c r="H545" s="106" t="s">
        <v>291</v>
      </c>
      <c r="I545">
        <v>443</v>
      </c>
    </row>
    <row r="546" spans="1:10" x14ac:dyDescent="0.2">
      <c r="A546" s="106" t="s">
        <v>364</v>
      </c>
      <c r="B546" s="106" t="s">
        <v>327</v>
      </c>
      <c r="C546" s="106" t="s">
        <v>264</v>
      </c>
      <c r="D546" s="106" t="s">
        <v>265</v>
      </c>
      <c r="E546">
        <v>6641</v>
      </c>
      <c r="F546" s="106" t="s">
        <v>2338</v>
      </c>
      <c r="G546" s="106" t="s">
        <v>266</v>
      </c>
      <c r="H546" s="106" t="s">
        <v>291</v>
      </c>
      <c r="I546" t="s">
        <v>297</v>
      </c>
      <c r="J546" t="s">
        <v>4261</v>
      </c>
    </row>
    <row r="547" spans="1:10" x14ac:dyDescent="0.2">
      <c r="A547" s="106" t="s">
        <v>364</v>
      </c>
      <c r="B547" s="106" t="s">
        <v>327</v>
      </c>
      <c r="C547" s="106" t="s">
        <v>264</v>
      </c>
      <c r="D547" s="106" t="s">
        <v>265</v>
      </c>
      <c r="E547">
        <v>6659</v>
      </c>
      <c r="F547" s="106" t="s">
        <v>375</v>
      </c>
      <c r="G547" s="106" t="s">
        <v>270</v>
      </c>
      <c r="H547" s="106" t="s">
        <v>291</v>
      </c>
      <c r="I547">
        <v>23</v>
      </c>
    </row>
    <row r="548" spans="1:10" x14ac:dyDescent="0.2">
      <c r="A548" s="106" t="s">
        <v>364</v>
      </c>
      <c r="B548" s="106" t="s">
        <v>327</v>
      </c>
      <c r="C548" s="106" t="s">
        <v>273</v>
      </c>
      <c r="D548" s="106" t="s">
        <v>265</v>
      </c>
      <c r="E548">
        <v>6663</v>
      </c>
      <c r="F548" s="106" t="s">
        <v>1630</v>
      </c>
      <c r="G548" s="106" t="s">
        <v>270</v>
      </c>
      <c r="H548" s="106" t="s">
        <v>291</v>
      </c>
      <c r="I548">
        <v>35</v>
      </c>
    </row>
    <row r="549" spans="1:10" x14ac:dyDescent="0.2">
      <c r="A549" s="106" t="s">
        <v>364</v>
      </c>
      <c r="B549" s="106" t="s">
        <v>327</v>
      </c>
      <c r="C549" s="106" t="s">
        <v>264</v>
      </c>
      <c r="D549" s="106" t="s">
        <v>265</v>
      </c>
      <c r="E549">
        <v>6724</v>
      </c>
      <c r="F549" s="106" t="s">
        <v>2339</v>
      </c>
      <c r="G549" s="106" t="s">
        <v>266</v>
      </c>
      <c r="H549" s="106" t="s">
        <v>291</v>
      </c>
      <c r="I549" t="s">
        <v>325</v>
      </c>
      <c r="J549" t="s">
        <v>4930</v>
      </c>
    </row>
    <row r="550" spans="1:10" x14ac:dyDescent="0.2">
      <c r="A550" s="106" t="s">
        <v>364</v>
      </c>
      <c r="B550" s="106" t="s">
        <v>327</v>
      </c>
      <c r="C550" s="106" t="s">
        <v>264</v>
      </c>
      <c r="D550" s="106" t="s">
        <v>265</v>
      </c>
      <c r="E550">
        <v>6727</v>
      </c>
      <c r="F550" s="106" t="s">
        <v>2340</v>
      </c>
      <c r="G550" s="106" t="s">
        <v>266</v>
      </c>
      <c r="H550" s="106" t="s">
        <v>291</v>
      </c>
      <c r="I550">
        <v>753</v>
      </c>
    </row>
    <row r="551" spans="1:10" x14ac:dyDescent="0.2">
      <c r="A551" s="106" t="s">
        <v>364</v>
      </c>
      <c r="B551" s="106" t="s">
        <v>327</v>
      </c>
      <c r="C551" s="106" t="s">
        <v>264</v>
      </c>
      <c r="D551" s="106" t="s">
        <v>265</v>
      </c>
      <c r="E551">
        <v>6762</v>
      </c>
      <c r="F551" s="106" t="s">
        <v>2341</v>
      </c>
      <c r="G551" s="106" t="s">
        <v>266</v>
      </c>
      <c r="H551" s="106" t="s">
        <v>291</v>
      </c>
      <c r="I551" t="s">
        <v>1856</v>
      </c>
      <c r="J551" t="s">
        <v>4931</v>
      </c>
    </row>
    <row r="552" spans="1:10" x14ac:dyDescent="0.2">
      <c r="A552" s="106" t="s">
        <v>364</v>
      </c>
      <c r="B552" s="106" t="s">
        <v>327</v>
      </c>
      <c r="C552" s="106" t="s">
        <v>264</v>
      </c>
      <c r="D552" s="106" t="s">
        <v>265</v>
      </c>
      <c r="E552">
        <v>6777</v>
      </c>
      <c r="F552" s="106" t="s">
        <v>2342</v>
      </c>
      <c r="G552" s="106" t="s">
        <v>270</v>
      </c>
      <c r="H552" s="106" t="s">
        <v>291</v>
      </c>
      <c r="I552">
        <v>283</v>
      </c>
    </row>
    <row r="553" spans="1:10" x14ac:dyDescent="0.2">
      <c r="A553" s="106" t="s">
        <v>364</v>
      </c>
      <c r="B553" s="106" t="s">
        <v>327</v>
      </c>
      <c r="C553" s="106" t="s">
        <v>264</v>
      </c>
      <c r="D553" s="106" t="s">
        <v>265</v>
      </c>
      <c r="E553">
        <v>6848</v>
      </c>
      <c r="F553" s="106" t="s">
        <v>1728</v>
      </c>
      <c r="G553" s="106" t="s">
        <v>266</v>
      </c>
      <c r="H553" s="106" t="s">
        <v>291</v>
      </c>
      <c r="I553">
        <v>200</v>
      </c>
    </row>
    <row r="554" spans="1:10" x14ac:dyDescent="0.2">
      <c r="A554" s="106" t="s">
        <v>364</v>
      </c>
      <c r="B554" s="106" t="s">
        <v>327</v>
      </c>
      <c r="C554" s="106" t="s">
        <v>264</v>
      </c>
      <c r="D554" s="106" t="s">
        <v>265</v>
      </c>
      <c r="E554">
        <v>6867</v>
      </c>
      <c r="F554" s="106" t="s">
        <v>2343</v>
      </c>
      <c r="G554" s="106" t="s">
        <v>270</v>
      </c>
      <c r="H554" s="106" t="s">
        <v>291</v>
      </c>
      <c r="I554">
        <v>68</v>
      </c>
    </row>
    <row r="555" spans="1:10" x14ac:dyDescent="0.2">
      <c r="A555" s="106" t="s">
        <v>364</v>
      </c>
      <c r="B555" s="106" t="s">
        <v>327</v>
      </c>
      <c r="C555" s="106" t="s">
        <v>264</v>
      </c>
      <c r="D555" s="106" t="s">
        <v>265</v>
      </c>
      <c r="E555">
        <v>6925</v>
      </c>
      <c r="F555" s="106" t="s">
        <v>376</v>
      </c>
      <c r="G555" s="106" t="s">
        <v>266</v>
      </c>
      <c r="H555" s="106" t="s">
        <v>291</v>
      </c>
      <c r="I555" t="s">
        <v>289</v>
      </c>
      <c r="J555" t="s">
        <v>4932</v>
      </c>
    </row>
    <row r="556" spans="1:10" x14ac:dyDescent="0.2">
      <c r="A556" s="106" t="s">
        <v>364</v>
      </c>
      <c r="B556" s="106" t="s">
        <v>327</v>
      </c>
      <c r="C556" s="106" t="s">
        <v>264</v>
      </c>
      <c r="D556" s="106" t="s">
        <v>265</v>
      </c>
      <c r="E556">
        <v>6928</v>
      </c>
      <c r="F556" s="106" t="s">
        <v>2344</v>
      </c>
      <c r="G556" s="106" t="s">
        <v>266</v>
      </c>
      <c r="H556" s="106" t="s">
        <v>291</v>
      </c>
      <c r="I556" s="106">
        <v>95</v>
      </c>
      <c r="J556" s="106"/>
    </row>
    <row r="557" spans="1:10" x14ac:dyDescent="0.2">
      <c r="A557" s="106" t="s">
        <v>364</v>
      </c>
      <c r="B557" s="106" t="s">
        <v>327</v>
      </c>
      <c r="C557" s="106" t="s">
        <v>264</v>
      </c>
      <c r="D557" s="106" t="s">
        <v>265</v>
      </c>
      <c r="E557">
        <v>6938</v>
      </c>
      <c r="F557" s="106" t="s">
        <v>2472</v>
      </c>
      <c r="G557" s="106" t="s">
        <v>266</v>
      </c>
      <c r="H557" s="106" t="s">
        <v>291</v>
      </c>
      <c r="I557" s="106">
        <v>78</v>
      </c>
      <c r="J557" s="106"/>
    </row>
    <row r="558" spans="1:10" x14ac:dyDescent="0.2">
      <c r="A558" s="106" t="s">
        <v>364</v>
      </c>
      <c r="B558" s="106" t="s">
        <v>327</v>
      </c>
      <c r="C558" s="106" t="s">
        <v>264</v>
      </c>
      <c r="D558" s="106" t="s">
        <v>265</v>
      </c>
      <c r="E558">
        <v>7150</v>
      </c>
      <c r="F558" s="106" t="s">
        <v>2345</v>
      </c>
      <c r="G558" s="106" t="s">
        <v>266</v>
      </c>
      <c r="H558" s="106" t="s">
        <v>484</v>
      </c>
      <c r="I558" s="106">
        <v>55</v>
      </c>
      <c r="J558" s="106"/>
    </row>
    <row r="559" spans="1:10" x14ac:dyDescent="0.2">
      <c r="A559" s="106" t="s">
        <v>364</v>
      </c>
      <c r="B559" s="106" t="s">
        <v>327</v>
      </c>
      <c r="C559" s="106" t="s">
        <v>264</v>
      </c>
      <c r="D559" s="106" t="s">
        <v>265</v>
      </c>
      <c r="E559">
        <v>7184</v>
      </c>
      <c r="F559" s="106" t="s">
        <v>2346</v>
      </c>
      <c r="G559" s="106" t="s">
        <v>266</v>
      </c>
      <c r="H559" s="106" t="s">
        <v>484</v>
      </c>
      <c r="I559">
        <v>224</v>
      </c>
    </row>
    <row r="560" spans="1:10" x14ac:dyDescent="0.2">
      <c r="A560" s="106" t="s">
        <v>364</v>
      </c>
      <c r="B560" s="106" t="s">
        <v>327</v>
      </c>
      <c r="C560" s="106" t="s">
        <v>264</v>
      </c>
      <c r="D560" s="106" t="s">
        <v>265</v>
      </c>
      <c r="E560">
        <v>7218</v>
      </c>
      <c r="F560" s="106" t="s">
        <v>2347</v>
      </c>
      <c r="G560" s="106" t="s">
        <v>270</v>
      </c>
      <c r="H560" s="106" t="s">
        <v>296</v>
      </c>
      <c r="I560">
        <v>85</v>
      </c>
    </row>
    <row r="561" spans="1:10" x14ac:dyDescent="0.2">
      <c r="A561" s="106" t="s">
        <v>364</v>
      </c>
      <c r="B561" s="106" t="s">
        <v>327</v>
      </c>
      <c r="C561" s="106" t="s">
        <v>264</v>
      </c>
      <c r="D561" s="106" t="s">
        <v>265</v>
      </c>
      <c r="E561">
        <v>7229</v>
      </c>
      <c r="F561" s="106" t="s">
        <v>4450</v>
      </c>
      <c r="G561" s="106" t="s">
        <v>270</v>
      </c>
      <c r="H561" s="106" t="s">
        <v>296</v>
      </c>
      <c r="I561">
        <v>320</v>
      </c>
    </row>
    <row r="562" spans="1:10" x14ac:dyDescent="0.2">
      <c r="A562" s="106" t="s">
        <v>364</v>
      </c>
      <c r="B562" s="106" t="s">
        <v>327</v>
      </c>
      <c r="C562" s="106" t="s">
        <v>264</v>
      </c>
      <c r="D562" s="106" t="s">
        <v>265</v>
      </c>
      <c r="E562">
        <v>7274</v>
      </c>
      <c r="F562" s="106" t="s">
        <v>4451</v>
      </c>
      <c r="G562" s="106" t="s">
        <v>266</v>
      </c>
      <c r="H562" s="106" t="s">
        <v>296</v>
      </c>
      <c r="I562" t="s">
        <v>297</v>
      </c>
      <c r="J562" t="s">
        <v>4545</v>
      </c>
    </row>
    <row r="563" spans="1:10" x14ac:dyDescent="0.2">
      <c r="A563" s="106" t="s">
        <v>364</v>
      </c>
      <c r="B563" s="106" t="s">
        <v>327</v>
      </c>
      <c r="C563" s="106" t="s">
        <v>264</v>
      </c>
      <c r="D563" s="106" t="s">
        <v>265</v>
      </c>
      <c r="E563">
        <v>7296</v>
      </c>
      <c r="F563" s="106" t="s">
        <v>2348</v>
      </c>
      <c r="G563" s="106" t="s">
        <v>266</v>
      </c>
      <c r="H563" s="106" t="s">
        <v>296</v>
      </c>
      <c r="I563" t="s">
        <v>297</v>
      </c>
      <c r="J563" t="s">
        <v>4690</v>
      </c>
    </row>
    <row r="564" spans="1:10" x14ac:dyDescent="0.2">
      <c r="A564" s="106" t="s">
        <v>364</v>
      </c>
      <c r="B564" s="106" t="s">
        <v>327</v>
      </c>
      <c r="C564" s="106" t="s">
        <v>264</v>
      </c>
      <c r="D564" s="106" t="s">
        <v>265</v>
      </c>
      <c r="E564">
        <v>7298</v>
      </c>
      <c r="F564" s="106" t="s">
        <v>2349</v>
      </c>
      <c r="G564" s="106" t="s">
        <v>270</v>
      </c>
      <c r="H564" s="106" t="s">
        <v>296</v>
      </c>
      <c r="I564">
        <v>171</v>
      </c>
    </row>
    <row r="565" spans="1:10" x14ac:dyDescent="0.2">
      <c r="A565" s="106" t="s">
        <v>364</v>
      </c>
      <c r="B565" s="106" t="s">
        <v>327</v>
      </c>
      <c r="C565" s="106" t="s">
        <v>264</v>
      </c>
      <c r="D565" s="106" t="s">
        <v>265</v>
      </c>
      <c r="E565">
        <v>7404</v>
      </c>
      <c r="F565" s="106" t="s">
        <v>2350</v>
      </c>
      <c r="G565" s="106" t="s">
        <v>274</v>
      </c>
      <c r="H565" s="106" t="s">
        <v>296</v>
      </c>
      <c r="I565">
        <v>854</v>
      </c>
    </row>
    <row r="566" spans="1:10" x14ac:dyDescent="0.2">
      <c r="A566" s="106" t="s">
        <v>364</v>
      </c>
      <c r="B566" s="106" t="s">
        <v>327</v>
      </c>
      <c r="C566" s="106" t="s">
        <v>264</v>
      </c>
      <c r="D566" s="106" t="s">
        <v>265</v>
      </c>
      <c r="E566">
        <v>7419</v>
      </c>
      <c r="F566" s="106" t="s">
        <v>393</v>
      </c>
      <c r="G566" s="106" t="s">
        <v>266</v>
      </c>
      <c r="H566" s="106" t="s">
        <v>276</v>
      </c>
      <c r="I566" t="s">
        <v>297</v>
      </c>
      <c r="J566" t="s">
        <v>4258</v>
      </c>
    </row>
    <row r="567" spans="1:10" x14ac:dyDescent="0.2">
      <c r="A567" s="106" t="s">
        <v>364</v>
      </c>
      <c r="B567" s="106" t="s">
        <v>327</v>
      </c>
      <c r="C567" s="106" t="s">
        <v>264</v>
      </c>
      <c r="D567" s="106" t="s">
        <v>265</v>
      </c>
      <c r="E567">
        <v>7421</v>
      </c>
      <c r="F567" s="106" t="s">
        <v>2351</v>
      </c>
      <c r="G567" s="106" t="s">
        <v>266</v>
      </c>
      <c r="H567" s="106" t="s">
        <v>276</v>
      </c>
      <c r="I567">
        <v>747</v>
      </c>
    </row>
    <row r="568" spans="1:10" x14ac:dyDescent="0.2">
      <c r="A568" s="106" t="s">
        <v>364</v>
      </c>
      <c r="B568" s="106" t="s">
        <v>327</v>
      </c>
      <c r="C568" s="106" t="s">
        <v>273</v>
      </c>
      <c r="D568" s="106" t="s">
        <v>269</v>
      </c>
      <c r="E568">
        <v>7422</v>
      </c>
      <c r="F568" s="106" t="s">
        <v>2352</v>
      </c>
      <c r="G568" s="106" t="s">
        <v>270</v>
      </c>
      <c r="H568" s="106" t="s">
        <v>272</v>
      </c>
      <c r="I568">
        <v>17</v>
      </c>
    </row>
    <row r="569" spans="1:10" x14ac:dyDescent="0.2">
      <c r="A569" s="106" t="s">
        <v>364</v>
      </c>
      <c r="B569" s="106" t="s">
        <v>327</v>
      </c>
      <c r="C569" s="106" t="s">
        <v>264</v>
      </c>
      <c r="D569" s="106" t="s">
        <v>265</v>
      </c>
      <c r="E569">
        <v>7459</v>
      </c>
      <c r="F569" s="106" t="s">
        <v>2353</v>
      </c>
      <c r="G569" s="106" t="s">
        <v>266</v>
      </c>
      <c r="H569" s="106" t="s">
        <v>272</v>
      </c>
      <c r="I569" s="106" t="s">
        <v>283</v>
      </c>
      <c r="J569" s="106" t="s">
        <v>4373</v>
      </c>
    </row>
    <row r="570" spans="1:10" x14ac:dyDescent="0.2">
      <c r="A570" s="106" t="s">
        <v>364</v>
      </c>
      <c r="B570" s="106" t="s">
        <v>327</v>
      </c>
      <c r="C570" s="106" t="s">
        <v>264</v>
      </c>
      <c r="D570" s="106" t="s">
        <v>265</v>
      </c>
      <c r="E570">
        <v>7483</v>
      </c>
      <c r="F570" s="106" t="s">
        <v>2354</v>
      </c>
      <c r="G570" s="106" t="s">
        <v>266</v>
      </c>
      <c r="H570" s="106" t="s">
        <v>272</v>
      </c>
      <c r="I570" s="106">
        <v>642</v>
      </c>
      <c r="J570" s="106"/>
    </row>
    <row r="571" spans="1:10" x14ac:dyDescent="0.2">
      <c r="A571" s="106" t="s">
        <v>364</v>
      </c>
      <c r="B571" s="106" t="s">
        <v>327</v>
      </c>
      <c r="C571" s="106" t="s">
        <v>264</v>
      </c>
      <c r="D571" s="106" t="s">
        <v>265</v>
      </c>
      <c r="E571">
        <v>7504</v>
      </c>
      <c r="F571" s="106" t="s">
        <v>2355</v>
      </c>
      <c r="G571" s="106" t="s">
        <v>266</v>
      </c>
      <c r="H571" s="106" t="s">
        <v>272</v>
      </c>
      <c r="I571">
        <v>262</v>
      </c>
    </row>
    <row r="572" spans="1:10" x14ac:dyDescent="0.2">
      <c r="A572" s="106" t="s">
        <v>364</v>
      </c>
      <c r="B572" s="106" t="s">
        <v>327</v>
      </c>
      <c r="C572" s="106" t="s">
        <v>264</v>
      </c>
      <c r="D572" s="106" t="s">
        <v>265</v>
      </c>
      <c r="E572">
        <v>7508</v>
      </c>
      <c r="F572" s="106" t="s">
        <v>2356</v>
      </c>
      <c r="G572" s="106" t="s">
        <v>266</v>
      </c>
      <c r="H572" s="106" t="s">
        <v>276</v>
      </c>
      <c r="I572" s="106">
        <v>683</v>
      </c>
      <c r="J572" s="106"/>
    </row>
    <row r="573" spans="1:10" x14ac:dyDescent="0.2">
      <c r="A573" s="106" t="s">
        <v>364</v>
      </c>
      <c r="B573" s="106" t="s">
        <v>327</v>
      </c>
      <c r="C573" s="106" t="s">
        <v>268</v>
      </c>
      <c r="D573" s="106" t="s">
        <v>265</v>
      </c>
      <c r="E573">
        <v>7527</v>
      </c>
      <c r="F573" s="106" t="s">
        <v>2357</v>
      </c>
      <c r="G573" s="106" t="s">
        <v>266</v>
      </c>
      <c r="H573" s="106" t="s">
        <v>277</v>
      </c>
      <c r="I573">
        <v>73</v>
      </c>
    </row>
    <row r="574" spans="1:10" x14ac:dyDescent="0.2">
      <c r="A574" s="106" t="s">
        <v>364</v>
      </c>
      <c r="B574" s="106" t="s">
        <v>327</v>
      </c>
      <c r="C574" s="106" t="s">
        <v>264</v>
      </c>
      <c r="D574" s="106" t="s">
        <v>265</v>
      </c>
      <c r="E574">
        <v>7575</v>
      </c>
      <c r="F574" s="106" t="s">
        <v>2358</v>
      </c>
      <c r="G574" s="106" t="s">
        <v>266</v>
      </c>
      <c r="H574" s="106" t="s">
        <v>272</v>
      </c>
      <c r="I574" s="106" t="s">
        <v>297</v>
      </c>
      <c r="J574" s="106" t="s">
        <v>4933</v>
      </c>
    </row>
    <row r="575" spans="1:10" x14ac:dyDescent="0.2">
      <c r="A575" s="106" t="s">
        <v>364</v>
      </c>
      <c r="B575" s="106" t="s">
        <v>327</v>
      </c>
      <c r="C575" s="106" t="s">
        <v>264</v>
      </c>
      <c r="D575" s="106" t="s">
        <v>265</v>
      </c>
      <c r="E575">
        <v>7591</v>
      </c>
      <c r="F575" s="106" t="s">
        <v>2359</v>
      </c>
      <c r="G575" s="106" t="s">
        <v>266</v>
      </c>
      <c r="H575" s="106" t="s">
        <v>272</v>
      </c>
      <c r="I575">
        <v>145</v>
      </c>
    </row>
    <row r="576" spans="1:10" x14ac:dyDescent="0.2">
      <c r="A576" s="106" t="s">
        <v>364</v>
      </c>
      <c r="B576" s="106" t="s">
        <v>327</v>
      </c>
      <c r="C576" s="106" t="s">
        <v>264</v>
      </c>
      <c r="D576" s="106" t="s">
        <v>265</v>
      </c>
      <c r="E576">
        <v>7595</v>
      </c>
      <c r="F576" s="106" t="s">
        <v>2360</v>
      </c>
      <c r="G576" s="106" t="s">
        <v>266</v>
      </c>
      <c r="H576" s="106" t="s">
        <v>277</v>
      </c>
      <c r="I576">
        <v>771</v>
      </c>
    </row>
    <row r="577" spans="1:10" x14ac:dyDescent="0.2">
      <c r="A577" s="106" t="s">
        <v>364</v>
      </c>
      <c r="B577" s="106" t="s">
        <v>327</v>
      </c>
      <c r="C577" s="106" t="s">
        <v>264</v>
      </c>
      <c r="D577" s="106" t="s">
        <v>265</v>
      </c>
      <c r="E577">
        <v>7596</v>
      </c>
      <c r="F577" s="106" t="s">
        <v>2361</v>
      </c>
      <c r="G577" s="106" t="s">
        <v>266</v>
      </c>
      <c r="H577" s="106" t="s">
        <v>276</v>
      </c>
      <c r="I577">
        <v>232</v>
      </c>
    </row>
    <row r="578" spans="1:10" x14ac:dyDescent="0.2">
      <c r="A578" s="106" t="s">
        <v>364</v>
      </c>
      <c r="B578" s="106" t="s">
        <v>327</v>
      </c>
      <c r="C578" s="106" t="s">
        <v>264</v>
      </c>
      <c r="D578" s="106" t="s">
        <v>265</v>
      </c>
      <c r="E578">
        <v>7600</v>
      </c>
      <c r="F578" s="106" t="s">
        <v>379</v>
      </c>
      <c r="G578" s="106" t="s">
        <v>266</v>
      </c>
      <c r="H578" s="106" t="s">
        <v>342</v>
      </c>
      <c r="I578">
        <v>670</v>
      </c>
    </row>
    <row r="579" spans="1:10" x14ac:dyDescent="0.2">
      <c r="A579" s="106" t="s">
        <v>364</v>
      </c>
      <c r="B579" s="106" t="s">
        <v>327</v>
      </c>
      <c r="C579" s="106" t="s">
        <v>268</v>
      </c>
      <c r="D579" s="106" t="s">
        <v>269</v>
      </c>
      <c r="E579">
        <v>7646</v>
      </c>
      <c r="F579" s="106" t="s">
        <v>2362</v>
      </c>
      <c r="G579" s="106" t="s">
        <v>266</v>
      </c>
      <c r="H579" s="106" t="s">
        <v>276</v>
      </c>
      <c r="I579">
        <v>49</v>
      </c>
    </row>
    <row r="580" spans="1:10" x14ac:dyDescent="0.2">
      <c r="A580" s="106" t="s">
        <v>364</v>
      </c>
      <c r="B580" s="106" t="s">
        <v>327</v>
      </c>
      <c r="C580" s="106" t="s">
        <v>275</v>
      </c>
      <c r="D580" s="106" t="s">
        <v>265</v>
      </c>
      <c r="E580">
        <v>7671</v>
      </c>
      <c r="F580" s="106" t="s">
        <v>2363</v>
      </c>
      <c r="G580" s="106" t="s">
        <v>278</v>
      </c>
      <c r="H580" s="106" t="s">
        <v>276</v>
      </c>
      <c r="I580">
        <v>21</v>
      </c>
    </row>
    <row r="581" spans="1:10" x14ac:dyDescent="0.2">
      <c r="A581" s="106" t="s">
        <v>364</v>
      </c>
      <c r="B581" s="106" t="s">
        <v>327</v>
      </c>
      <c r="C581" s="106" t="s">
        <v>264</v>
      </c>
      <c r="D581" s="106" t="s">
        <v>265</v>
      </c>
      <c r="E581">
        <v>7709</v>
      </c>
      <c r="F581" s="106" t="s">
        <v>2364</v>
      </c>
      <c r="G581" s="106" t="s">
        <v>266</v>
      </c>
      <c r="H581" s="106" t="s">
        <v>342</v>
      </c>
      <c r="I581">
        <v>55</v>
      </c>
    </row>
    <row r="582" spans="1:10" x14ac:dyDescent="0.2">
      <c r="A582" s="106" t="s">
        <v>364</v>
      </c>
      <c r="B582" s="106" t="s">
        <v>327</v>
      </c>
      <c r="C582" s="106" t="s">
        <v>264</v>
      </c>
      <c r="D582" s="106" t="s">
        <v>265</v>
      </c>
      <c r="E582">
        <v>7732</v>
      </c>
      <c r="F582" s="106" t="s">
        <v>2365</v>
      </c>
      <c r="G582" s="106" t="s">
        <v>266</v>
      </c>
      <c r="H582" s="106" t="s">
        <v>342</v>
      </c>
      <c r="I582" t="s">
        <v>297</v>
      </c>
      <c r="J582" t="s">
        <v>4934</v>
      </c>
    </row>
    <row r="583" spans="1:10" x14ac:dyDescent="0.2">
      <c r="A583" s="106" t="s">
        <v>364</v>
      </c>
      <c r="B583" s="106" t="s">
        <v>327</v>
      </c>
      <c r="C583" s="106" t="s">
        <v>264</v>
      </c>
      <c r="D583" s="106" t="s">
        <v>269</v>
      </c>
      <c r="E583">
        <v>7775</v>
      </c>
      <c r="F583" s="106" t="s">
        <v>2366</v>
      </c>
      <c r="G583" s="106" t="s">
        <v>266</v>
      </c>
      <c r="H583" s="106" t="s">
        <v>342</v>
      </c>
      <c r="I583">
        <v>226</v>
      </c>
    </row>
    <row r="584" spans="1:10" x14ac:dyDescent="0.2">
      <c r="A584" s="106" t="s">
        <v>364</v>
      </c>
      <c r="B584" s="106" t="s">
        <v>327</v>
      </c>
      <c r="C584" s="106" t="s">
        <v>264</v>
      </c>
      <c r="D584" s="106" t="s">
        <v>265</v>
      </c>
      <c r="E584">
        <v>7837</v>
      </c>
      <c r="F584" s="106" t="s">
        <v>2367</v>
      </c>
      <c r="G584" s="106" t="s">
        <v>270</v>
      </c>
      <c r="H584" s="106" t="s">
        <v>288</v>
      </c>
      <c r="I584">
        <v>46</v>
      </c>
    </row>
    <row r="585" spans="1:10" x14ac:dyDescent="0.2">
      <c r="A585" s="106" t="s">
        <v>364</v>
      </c>
      <c r="B585" s="106" t="s">
        <v>327</v>
      </c>
      <c r="C585" s="106" t="s">
        <v>264</v>
      </c>
      <c r="D585" s="106" t="s">
        <v>265</v>
      </c>
      <c r="E585">
        <v>7838</v>
      </c>
      <c r="F585" s="106" t="s">
        <v>380</v>
      </c>
      <c r="G585" s="106" t="s">
        <v>266</v>
      </c>
      <c r="H585" s="106" t="s">
        <v>288</v>
      </c>
      <c r="I585">
        <v>83</v>
      </c>
    </row>
    <row r="586" spans="1:10" x14ac:dyDescent="0.2">
      <c r="A586" s="106" t="s">
        <v>364</v>
      </c>
      <c r="B586" s="106" t="s">
        <v>327</v>
      </c>
      <c r="C586" s="106" t="s">
        <v>264</v>
      </c>
      <c r="D586" s="106" t="s">
        <v>265</v>
      </c>
      <c r="E586">
        <v>7840</v>
      </c>
      <c r="F586" s="106" t="s">
        <v>1459</v>
      </c>
      <c r="G586" s="106" t="s">
        <v>266</v>
      </c>
      <c r="H586" s="106" t="s">
        <v>288</v>
      </c>
      <c r="I586" s="106">
        <v>407</v>
      </c>
      <c r="J586" s="106"/>
    </row>
    <row r="587" spans="1:10" x14ac:dyDescent="0.2">
      <c r="A587" s="106" t="s">
        <v>364</v>
      </c>
      <c r="B587" s="106" t="s">
        <v>327</v>
      </c>
      <c r="C587" s="106" t="s">
        <v>264</v>
      </c>
      <c r="D587" s="106" t="s">
        <v>265</v>
      </c>
      <c r="E587">
        <v>7893</v>
      </c>
      <c r="F587" s="106" t="s">
        <v>2368</v>
      </c>
      <c r="G587" s="106" t="s">
        <v>266</v>
      </c>
      <c r="H587" s="106" t="s">
        <v>288</v>
      </c>
      <c r="I587">
        <v>384</v>
      </c>
    </row>
    <row r="588" spans="1:10" x14ac:dyDescent="0.2">
      <c r="A588" s="106" t="s">
        <v>364</v>
      </c>
      <c r="B588" s="106" t="s">
        <v>327</v>
      </c>
      <c r="C588" s="106" t="s">
        <v>264</v>
      </c>
      <c r="D588" s="106" t="s">
        <v>265</v>
      </c>
      <c r="E588">
        <v>7919</v>
      </c>
      <c r="F588" s="106" t="s">
        <v>2369</v>
      </c>
      <c r="G588" s="106" t="s">
        <v>274</v>
      </c>
      <c r="H588" s="106" t="s">
        <v>288</v>
      </c>
      <c r="I588" s="106">
        <v>41</v>
      </c>
      <c r="J588" s="106"/>
    </row>
    <row r="589" spans="1:10" x14ac:dyDescent="0.2">
      <c r="A589" s="106" t="s">
        <v>364</v>
      </c>
      <c r="B589" s="106" t="s">
        <v>327</v>
      </c>
      <c r="C589" s="106" t="s">
        <v>264</v>
      </c>
      <c r="D589" s="106" t="s">
        <v>265</v>
      </c>
      <c r="E589">
        <v>7923</v>
      </c>
      <c r="F589" s="106" t="s">
        <v>2370</v>
      </c>
      <c r="G589" s="106" t="s">
        <v>270</v>
      </c>
      <c r="H589" s="106" t="s">
        <v>288</v>
      </c>
      <c r="I589" s="106">
        <v>32</v>
      </c>
      <c r="J589" s="106"/>
    </row>
    <row r="590" spans="1:10" x14ac:dyDescent="0.2">
      <c r="A590" s="106" t="s">
        <v>364</v>
      </c>
      <c r="B590" s="106" t="s">
        <v>327</v>
      </c>
      <c r="C590" s="106" t="s">
        <v>264</v>
      </c>
      <c r="D590" s="106" t="s">
        <v>269</v>
      </c>
      <c r="E590">
        <v>7939</v>
      </c>
      <c r="F590" s="106" t="s">
        <v>2371</v>
      </c>
      <c r="G590" s="106" t="s">
        <v>270</v>
      </c>
      <c r="H590" s="106" t="s">
        <v>288</v>
      </c>
      <c r="I590" s="106">
        <v>17</v>
      </c>
      <c r="J590" s="106"/>
    </row>
    <row r="591" spans="1:10" x14ac:dyDescent="0.2">
      <c r="A591" s="106" t="s">
        <v>364</v>
      </c>
      <c r="B591" s="106" t="s">
        <v>327</v>
      </c>
      <c r="C591" s="106" t="s">
        <v>264</v>
      </c>
      <c r="D591" s="106" t="s">
        <v>265</v>
      </c>
      <c r="E591">
        <v>7940</v>
      </c>
      <c r="F591" s="106" t="s">
        <v>1859</v>
      </c>
      <c r="G591" s="106" t="s">
        <v>266</v>
      </c>
      <c r="H591" s="106" t="s">
        <v>279</v>
      </c>
      <c r="I591" s="106">
        <v>91</v>
      </c>
      <c r="J591" s="106"/>
    </row>
    <row r="592" spans="1:10" x14ac:dyDescent="0.2">
      <c r="A592" s="106" t="s">
        <v>364</v>
      </c>
      <c r="B592" s="106" t="s">
        <v>327</v>
      </c>
      <c r="C592" s="106" t="s">
        <v>264</v>
      </c>
      <c r="D592" s="106" t="s">
        <v>265</v>
      </c>
      <c r="E592">
        <v>7942</v>
      </c>
      <c r="F592" s="106" t="s">
        <v>2372</v>
      </c>
      <c r="G592" s="106" t="s">
        <v>266</v>
      </c>
      <c r="H592" s="106" t="s">
        <v>279</v>
      </c>
      <c r="I592" s="106">
        <v>617</v>
      </c>
      <c r="J592" s="106"/>
    </row>
    <row r="593" spans="1:10" x14ac:dyDescent="0.2">
      <c r="A593" s="106" t="s">
        <v>364</v>
      </c>
      <c r="B593" s="106" t="s">
        <v>327</v>
      </c>
      <c r="C593" s="106" t="s">
        <v>264</v>
      </c>
      <c r="D593" s="106" t="s">
        <v>265</v>
      </c>
      <c r="E593">
        <v>7947</v>
      </c>
      <c r="F593" s="106" t="s">
        <v>2373</v>
      </c>
      <c r="G593" s="106" t="s">
        <v>266</v>
      </c>
      <c r="H593" s="106" t="s">
        <v>279</v>
      </c>
      <c r="I593" s="106" t="s">
        <v>289</v>
      </c>
      <c r="J593" s="106" t="s">
        <v>4935</v>
      </c>
    </row>
    <row r="594" spans="1:10" x14ac:dyDescent="0.2">
      <c r="A594" s="106" t="s">
        <v>364</v>
      </c>
      <c r="B594" s="106" t="s">
        <v>327</v>
      </c>
      <c r="C594" s="106" t="s">
        <v>264</v>
      </c>
      <c r="D594" s="106" t="s">
        <v>265</v>
      </c>
      <c r="E594">
        <v>7961</v>
      </c>
      <c r="F594" s="106" t="s">
        <v>2374</v>
      </c>
      <c r="G594" s="106" t="s">
        <v>266</v>
      </c>
      <c r="H594" s="106" t="s">
        <v>288</v>
      </c>
      <c r="I594" s="106">
        <v>76</v>
      </c>
      <c r="J594" s="106"/>
    </row>
    <row r="595" spans="1:10" x14ac:dyDescent="0.2">
      <c r="A595" s="106" t="s">
        <v>364</v>
      </c>
      <c r="B595" s="106" t="s">
        <v>327</v>
      </c>
      <c r="C595" s="106" t="s">
        <v>264</v>
      </c>
      <c r="D595" s="106" t="s">
        <v>265</v>
      </c>
      <c r="E595">
        <v>8005</v>
      </c>
      <c r="F595" s="106" t="s">
        <v>2375</v>
      </c>
      <c r="G595" s="106" t="s">
        <v>266</v>
      </c>
      <c r="H595" s="106" t="s">
        <v>276</v>
      </c>
      <c r="I595" s="106">
        <v>136</v>
      </c>
      <c r="J595" s="106"/>
    </row>
    <row r="596" spans="1:10" x14ac:dyDescent="0.2">
      <c r="A596" s="106" t="s">
        <v>364</v>
      </c>
      <c r="B596" s="106" t="s">
        <v>327</v>
      </c>
      <c r="C596" s="106" t="s">
        <v>264</v>
      </c>
      <c r="D596" s="106" t="s">
        <v>265</v>
      </c>
      <c r="E596">
        <v>8018</v>
      </c>
      <c r="F596" s="106" t="s">
        <v>2376</v>
      </c>
      <c r="G596" s="106" t="s">
        <v>266</v>
      </c>
      <c r="H596" s="106" t="s">
        <v>272</v>
      </c>
      <c r="I596">
        <v>358</v>
      </c>
    </row>
    <row r="597" spans="1:10" x14ac:dyDescent="0.2">
      <c r="A597" s="106" t="s">
        <v>364</v>
      </c>
      <c r="B597" s="106" t="s">
        <v>327</v>
      </c>
      <c r="C597" s="106" t="s">
        <v>264</v>
      </c>
      <c r="D597" s="106" t="s">
        <v>265</v>
      </c>
      <c r="E597">
        <v>8046</v>
      </c>
      <c r="F597" s="106" t="s">
        <v>2377</v>
      </c>
      <c r="G597" s="106" t="s">
        <v>274</v>
      </c>
      <c r="H597" s="106" t="s">
        <v>272</v>
      </c>
      <c r="I597">
        <v>93</v>
      </c>
    </row>
    <row r="598" spans="1:10" x14ac:dyDescent="0.2">
      <c r="A598" s="106" t="s">
        <v>364</v>
      </c>
      <c r="B598" s="106" t="s">
        <v>327</v>
      </c>
      <c r="C598" s="106" t="s">
        <v>264</v>
      </c>
      <c r="D598" s="106" t="s">
        <v>265</v>
      </c>
      <c r="E598">
        <v>8141</v>
      </c>
      <c r="F598" s="106" t="s">
        <v>2378</v>
      </c>
      <c r="G598" s="106" t="s">
        <v>266</v>
      </c>
      <c r="H598" s="106" t="s">
        <v>272</v>
      </c>
      <c r="I598">
        <v>450</v>
      </c>
    </row>
    <row r="599" spans="1:10" x14ac:dyDescent="0.2">
      <c r="A599" s="106" t="s">
        <v>364</v>
      </c>
      <c r="B599" s="106" t="s">
        <v>327</v>
      </c>
      <c r="C599" s="106" t="s">
        <v>264</v>
      </c>
      <c r="D599" s="106" t="s">
        <v>265</v>
      </c>
      <c r="E599">
        <v>8355</v>
      </c>
      <c r="F599" s="106" t="s">
        <v>2379</v>
      </c>
      <c r="G599" s="106" t="s">
        <v>266</v>
      </c>
      <c r="H599" s="106" t="s">
        <v>484</v>
      </c>
      <c r="I599" t="s">
        <v>316</v>
      </c>
      <c r="J599" t="s">
        <v>4936</v>
      </c>
    </row>
    <row r="600" spans="1:10" x14ac:dyDescent="0.2">
      <c r="A600" s="106" t="s">
        <v>364</v>
      </c>
      <c r="B600" s="106" t="s">
        <v>327</v>
      </c>
      <c r="C600" s="106" t="s">
        <v>264</v>
      </c>
      <c r="D600" s="106" t="s">
        <v>265</v>
      </c>
      <c r="E600">
        <v>8359</v>
      </c>
      <c r="F600" s="106" t="s">
        <v>2380</v>
      </c>
      <c r="G600" s="106" t="s">
        <v>266</v>
      </c>
      <c r="H600" s="106" t="s">
        <v>484</v>
      </c>
      <c r="I600" t="s">
        <v>289</v>
      </c>
      <c r="J600" t="s">
        <v>4937</v>
      </c>
    </row>
    <row r="601" spans="1:10" x14ac:dyDescent="0.2">
      <c r="A601" s="106" t="s">
        <v>364</v>
      </c>
      <c r="B601" s="106" t="s">
        <v>327</v>
      </c>
      <c r="C601" s="106" t="s">
        <v>264</v>
      </c>
      <c r="D601" s="106" t="s">
        <v>265</v>
      </c>
      <c r="E601">
        <v>8364</v>
      </c>
      <c r="F601" s="106" t="s">
        <v>2381</v>
      </c>
      <c r="G601" s="106" t="s">
        <v>266</v>
      </c>
      <c r="H601" s="106" t="s">
        <v>484</v>
      </c>
      <c r="I601">
        <v>247</v>
      </c>
    </row>
    <row r="602" spans="1:10" x14ac:dyDescent="0.2">
      <c r="A602" s="106" t="s">
        <v>364</v>
      </c>
      <c r="B602" s="106" t="s">
        <v>327</v>
      </c>
      <c r="C602" s="106" t="s">
        <v>264</v>
      </c>
      <c r="D602" s="106" t="s">
        <v>265</v>
      </c>
      <c r="E602">
        <v>8369</v>
      </c>
      <c r="F602" s="106" t="s">
        <v>2382</v>
      </c>
      <c r="G602" s="106" t="s">
        <v>266</v>
      </c>
      <c r="H602" s="106" t="s">
        <v>484</v>
      </c>
      <c r="I602" t="s">
        <v>333</v>
      </c>
      <c r="J602" t="s">
        <v>4872</v>
      </c>
    </row>
    <row r="603" spans="1:10" x14ac:dyDescent="0.2">
      <c r="A603" s="106" t="s">
        <v>364</v>
      </c>
      <c r="B603" s="106" t="s">
        <v>327</v>
      </c>
      <c r="C603" s="106" t="s">
        <v>264</v>
      </c>
      <c r="D603" s="106" t="s">
        <v>265</v>
      </c>
      <c r="E603">
        <v>8544</v>
      </c>
      <c r="F603" s="106" t="s">
        <v>2383</v>
      </c>
      <c r="G603" s="106" t="s">
        <v>266</v>
      </c>
      <c r="H603" s="106" t="s">
        <v>484</v>
      </c>
      <c r="I603">
        <v>838</v>
      </c>
    </row>
    <row r="604" spans="1:10" x14ac:dyDescent="0.2">
      <c r="A604" s="106" t="s">
        <v>364</v>
      </c>
      <c r="B604" s="106" t="s">
        <v>327</v>
      </c>
      <c r="C604" s="106" t="s">
        <v>264</v>
      </c>
      <c r="D604" s="106" t="s">
        <v>265</v>
      </c>
      <c r="E604">
        <v>8550</v>
      </c>
      <c r="F604" s="106" t="s">
        <v>2384</v>
      </c>
      <c r="G604" s="106" t="s">
        <v>266</v>
      </c>
      <c r="H604" s="106" t="s">
        <v>484</v>
      </c>
      <c r="I604" s="106">
        <v>238</v>
      </c>
      <c r="J604" s="106"/>
    </row>
    <row r="605" spans="1:10" x14ac:dyDescent="0.2">
      <c r="A605" s="106" t="s">
        <v>364</v>
      </c>
      <c r="B605" s="106" t="s">
        <v>327</v>
      </c>
      <c r="C605" s="106" t="s">
        <v>264</v>
      </c>
      <c r="D605" s="106" t="s">
        <v>265</v>
      </c>
      <c r="E605">
        <v>8551</v>
      </c>
      <c r="F605" s="106" t="s">
        <v>2385</v>
      </c>
      <c r="G605" s="106" t="s">
        <v>266</v>
      </c>
      <c r="H605" s="106" t="s">
        <v>484</v>
      </c>
      <c r="I605" s="106">
        <v>193</v>
      </c>
      <c r="J605" s="106"/>
    </row>
    <row r="606" spans="1:10" x14ac:dyDescent="0.2">
      <c r="A606" s="106" t="s">
        <v>364</v>
      </c>
      <c r="B606" s="106" t="s">
        <v>327</v>
      </c>
      <c r="C606" s="106" t="s">
        <v>264</v>
      </c>
      <c r="D606" s="106" t="s">
        <v>265</v>
      </c>
      <c r="E606">
        <v>8585</v>
      </c>
      <c r="F606" s="106" t="s">
        <v>2386</v>
      </c>
      <c r="G606" s="106" t="s">
        <v>266</v>
      </c>
      <c r="H606" s="106" t="s">
        <v>302</v>
      </c>
      <c r="I606" t="s">
        <v>333</v>
      </c>
      <c r="J606" t="s">
        <v>4516</v>
      </c>
    </row>
    <row r="607" spans="1:10" x14ac:dyDescent="0.2">
      <c r="A607" s="106" t="s">
        <v>364</v>
      </c>
      <c r="B607" s="106" t="s">
        <v>327</v>
      </c>
      <c r="C607" s="106" t="s">
        <v>264</v>
      </c>
      <c r="D607" s="106" t="s">
        <v>265</v>
      </c>
      <c r="E607">
        <v>8709</v>
      </c>
      <c r="F607" s="106" t="s">
        <v>2387</v>
      </c>
      <c r="G607" s="106" t="s">
        <v>270</v>
      </c>
      <c r="H607" s="106" t="s">
        <v>1448</v>
      </c>
      <c r="I607">
        <v>48</v>
      </c>
    </row>
    <row r="608" spans="1:10" x14ac:dyDescent="0.2">
      <c r="A608" s="106" t="s">
        <v>364</v>
      </c>
      <c r="B608" s="106" t="s">
        <v>327</v>
      </c>
      <c r="C608" s="106" t="s">
        <v>264</v>
      </c>
      <c r="D608" s="106" t="s">
        <v>265</v>
      </c>
      <c r="E608">
        <v>9009</v>
      </c>
      <c r="F608" s="106" t="s">
        <v>2388</v>
      </c>
      <c r="G608" s="106" t="s">
        <v>266</v>
      </c>
      <c r="H608" s="106" t="s">
        <v>356</v>
      </c>
      <c r="I608" t="s">
        <v>518</v>
      </c>
      <c r="J608" t="s">
        <v>4938</v>
      </c>
    </row>
    <row r="609" spans="1:10" x14ac:dyDescent="0.2">
      <c r="A609" s="106" t="s">
        <v>364</v>
      </c>
      <c r="B609" s="106" t="s">
        <v>327</v>
      </c>
      <c r="C609" s="106" t="s">
        <v>264</v>
      </c>
      <c r="D609" s="106" t="s">
        <v>265</v>
      </c>
      <c r="E609">
        <v>9021</v>
      </c>
      <c r="F609" s="106" t="s">
        <v>2389</v>
      </c>
      <c r="G609" s="106" t="s">
        <v>266</v>
      </c>
      <c r="H609" s="106" t="s">
        <v>356</v>
      </c>
      <c r="I609" s="106" t="s">
        <v>1652</v>
      </c>
      <c r="J609" s="106" t="s">
        <v>4939</v>
      </c>
    </row>
    <row r="610" spans="1:10" x14ac:dyDescent="0.2">
      <c r="A610" s="106" t="s">
        <v>364</v>
      </c>
      <c r="B610" s="106" t="s">
        <v>327</v>
      </c>
      <c r="C610" s="106" t="s">
        <v>264</v>
      </c>
      <c r="D610" s="106" t="s">
        <v>265</v>
      </c>
      <c r="E610">
        <v>9059</v>
      </c>
      <c r="F610" s="106" t="s">
        <v>1732</v>
      </c>
      <c r="G610" s="106" t="s">
        <v>274</v>
      </c>
      <c r="H610" s="106" t="s">
        <v>356</v>
      </c>
      <c r="I610" s="106">
        <v>107</v>
      </c>
      <c r="J610" s="106"/>
    </row>
    <row r="611" spans="1:10" x14ac:dyDescent="0.2">
      <c r="A611" s="106" t="s">
        <v>364</v>
      </c>
      <c r="B611" s="106" t="s">
        <v>327</v>
      </c>
      <c r="C611" s="106" t="s">
        <v>264</v>
      </c>
      <c r="D611" s="106" t="s">
        <v>265</v>
      </c>
      <c r="E611">
        <v>9086</v>
      </c>
      <c r="F611" s="106" t="s">
        <v>1714</v>
      </c>
      <c r="G611" s="106" t="s">
        <v>266</v>
      </c>
      <c r="H611" s="106" t="s">
        <v>356</v>
      </c>
      <c r="I611" t="s">
        <v>333</v>
      </c>
      <c r="J611" t="s">
        <v>4940</v>
      </c>
    </row>
    <row r="612" spans="1:10" x14ac:dyDescent="0.2">
      <c r="A612" s="106" t="s">
        <v>364</v>
      </c>
      <c r="B612" s="106" t="s">
        <v>327</v>
      </c>
      <c r="C612" s="106" t="s">
        <v>264</v>
      </c>
      <c r="D612" s="106" t="s">
        <v>265</v>
      </c>
      <c r="E612">
        <v>9143</v>
      </c>
      <c r="F612" s="106" t="s">
        <v>2390</v>
      </c>
      <c r="G612" s="106" t="s">
        <v>266</v>
      </c>
      <c r="H612" s="106" t="s">
        <v>356</v>
      </c>
      <c r="I612" s="106" t="s">
        <v>518</v>
      </c>
      <c r="J612" s="106" t="s">
        <v>4886</v>
      </c>
    </row>
    <row r="613" spans="1:10" x14ac:dyDescent="0.2">
      <c r="A613" s="106" t="s">
        <v>364</v>
      </c>
      <c r="B613" s="106" t="s">
        <v>327</v>
      </c>
      <c r="C613" s="106" t="s">
        <v>264</v>
      </c>
      <c r="D613" s="106" t="s">
        <v>265</v>
      </c>
      <c r="E613">
        <v>9201</v>
      </c>
      <c r="F613" s="106" t="s">
        <v>1733</v>
      </c>
      <c r="G613" s="106" t="s">
        <v>266</v>
      </c>
      <c r="H613" s="106" t="s">
        <v>486</v>
      </c>
      <c r="I613" t="s">
        <v>490</v>
      </c>
      <c r="J613" t="s">
        <v>4697</v>
      </c>
    </row>
    <row r="614" spans="1:10" x14ac:dyDescent="0.2">
      <c r="A614" s="106" t="s">
        <v>364</v>
      </c>
      <c r="B614" s="106" t="s">
        <v>327</v>
      </c>
      <c r="C614" s="106" t="s">
        <v>264</v>
      </c>
      <c r="D614" s="106" t="s">
        <v>269</v>
      </c>
      <c r="E614">
        <v>9206</v>
      </c>
      <c r="F614" s="106" t="s">
        <v>2391</v>
      </c>
      <c r="G614" s="106" t="s">
        <v>274</v>
      </c>
      <c r="H614" s="106" t="s">
        <v>486</v>
      </c>
      <c r="I614">
        <v>118</v>
      </c>
    </row>
    <row r="615" spans="1:10" x14ac:dyDescent="0.2">
      <c r="A615" s="106" t="s">
        <v>364</v>
      </c>
      <c r="B615" s="106" t="s">
        <v>327</v>
      </c>
      <c r="C615" s="106" t="s">
        <v>264</v>
      </c>
      <c r="D615" s="106" t="s">
        <v>265</v>
      </c>
      <c r="E615">
        <v>9358</v>
      </c>
      <c r="F615" s="106" t="s">
        <v>2392</v>
      </c>
      <c r="G615" s="106" t="s">
        <v>266</v>
      </c>
      <c r="H615" s="106" t="s">
        <v>556</v>
      </c>
      <c r="I615">
        <v>263</v>
      </c>
    </row>
    <row r="616" spans="1:10" x14ac:dyDescent="0.2">
      <c r="A616" s="106" t="s">
        <v>364</v>
      </c>
      <c r="B616" s="106" t="s">
        <v>327</v>
      </c>
      <c r="C616" s="106" t="s">
        <v>264</v>
      </c>
      <c r="D616" s="106" t="s">
        <v>265</v>
      </c>
      <c r="E616">
        <v>9368</v>
      </c>
      <c r="F616" s="106" t="s">
        <v>2393</v>
      </c>
      <c r="G616" s="106" t="s">
        <v>266</v>
      </c>
      <c r="H616" s="106" t="s">
        <v>556</v>
      </c>
      <c r="I616">
        <v>138</v>
      </c>
    </row>
    <row r="617" spans="1:10" x14ac:dyDescent="0.2">
      <c r="A617" s="106" t="s">
        <v>364</v>
      </c>
      <c r="B617" s="106" t="s">
        <v>327</v>
      </c>
      <c r="C617" s="106" t="s">
        <v>264</v>
      </c>
      <c r="D617" s="106" t="s">
        <v>265</v>
      </c>
      <c r="E617">
        <v>9433</v>
      </c>
      <c r="F617" s="106" t="s">
        <v>349</v>
      </c>
      <c r="G617" s="106" t="s">
        <v>266</v>
      </c>
      <c r="H617" s="106" t="s">
        <v>277</v>
      </c>
      <c r="I617" t="s">
        <v>4941</v>
      </c>
      <c r="J617" t="s">
        <v>4942</v>
      </c>
    </row>
    <row r="618" spans="1:10" x14ac:dyDescent="0.2">
      <c r="A618" s="106" t="s">
        <v>364</v>
      </c>
      <c r="B618" s="106" t="s">
        <v>327</v>
      </c>
      <c r="C618" s="106" t="s">
        <v>264</v>
      </c>
      <c r="D618" s="106" t="s">
        <v>265</v>
      </c>
      <c r="E618">
        <v>9502</v>
      </c>
      <c r="F618" s="106" t="s">
        <v>488</v>
      </c>
      <c r="G618" s="106" t="s">
        <v>266</v>
      </c>
      <c r="H618" s="106" t="s">
        <v>489</v>
      </c>
      <c r="I618" t="s">
        <v>490</v>
      </c>
      <c r="J618" t="s">
        <v>4426</v>
      </c>
    </row>
    <row r="619" spans="1:10" x14ac:dyDescent="0.2">
      <c r="A619" s="106" t="s">
        <v>364</v>
      </c>
      <c r="B619" s="106" t="s">
        <v>327</v>
      </c>
      <c r="C619" s="106" t="s">
        <v>264</v>
      </c>
      <c r="D619" s="106" t="s">
        <v>265</v>
      </c>
      <c r="E619">
        <v>9503</v>
      </c>
      <c r="F619" s="106" t="s">
        <v>2394</v>
      </c>
      <c r="G619" s="106" t="s">
        <v>266</v>
      </c>
      <c r="H619" s="106" t="s">
        <v>489</v>
      </c>
      <c r="I619" s="106" t="s">
        <v>490</v>
      </c>
      <c r="J619" s="106" t="s">
        <v>4675</v>
      </c>
    </row>
    <row r="620" spans="1:10" x14ac:dyDescent="0.2">
      <c r="A620" s="106" t="s">
        <v>364</v>
      </c>
      <c r="B620" s="106" t="s">
        <v>327</v>
      </c>
      <c r="C620" s="106" t="s">
        <v>264</v>
      </c>
      <c r="D620" s="106" t="s">
        <v>265</v>
      </c>
      <c r="E620">
        <v>9505</v>
      </c>
      <c r="F620" s="106" t="s">
        <v>2395</v>
      </c>
      <c r="G620" s="106" t="s">
        <v>266</v>
      </c>
      <c r="H620" s="106" t="s">
        <v>489</v>
      </c>
      <c r="I620" s="106" t="s">
        <v>297</v>
      </c>
      <c r="J620" s="106" t="s">
        <v>4487</v>
      </c>
    </row>
    <row r="621" spans="1:10" x14ac:dyDescent="0.2">
      <c r="A621" s="106" t="s">
        <v>364</v>
      </c>
      <c r="B621" s="106" t="s">
        <v>327</v>
      </c>
      <c r="C621" s="106" t="s">
        <v>264</v>
      </c>
      <c r="D621" s="106" t="s">
        <v>265</v>
      </c>
      <c r="E621">
        <v>9508</v>
      </c>
      <c r="F621" s="106" t="s">
        <v>2396</v>
      </c>
      <c r="G621" s="106" t="s">
        <v>266</v>
      </c>
      <c r="H621" s="106" t="s">
        <v>489</v>
      </c>
      <c r="I621" t="s">
        <v>316</v>
      </c>
      <c r="J621" t="s">
        <v>4943</v>
      </c>
    </row>
    <row r="622" spans="1:10" x14ac:dyDescent="0.2">
      <c r="A622" s="106" t="s">
        <v>364</v>
      </c>
      <c r="B622" s="106" t="s">
        <v>327</v>
      </c>
      <c r="C622" s="106" t="s">
        <v>264</v>
      </c>
      <c r="D622" s="106" t="s">
        <v>265</v>
      </c>
      <c r="E622">
        <v>9509</v>
      </c>
      <c r="F622" s="106" t="s">
        <v>2397</v>
      </c>
      <c r="G622" s="106" t="s">
        <v>266</v>
      </c>
      <c r="H622" s="106" t="s">
        <v>489</v>
      </c>
      <c r="I622" s="106" t="s">
        <v>297</v>
      </c>
      <c r="J622" s="106" t="s">
        <v>4911</v>
      </c>
    </row>
    <row r="623" spans="1:10" x14ac:dyDescent="0.2">
      <c r="A623" s="106" t="s">
        <v>364</v>
      </c>
      <c r="B623" s="106" t="s">
        <v>327</v>
      </c>
      <c r="C623" s="106" t="s">
        <v>264</v>
      </c>
      <c r="D623" s="106" t="s">
        <v>265</v>
      </c>
      <c r="E623">
        <v>9511</v>
      </c>
      <c r="F623" s="106" t="s">
        <v>1460</v>
      </c>
      <c r="G623" s="106" t="s">
        <v>266</v>
      </c>
      <c r="H623" s="106" t="s">
        <v>489</v>
      </c>
      <c r="I623" s="106" t="s">
        <v>297</v>
      </c>
      <c r="J623" s="106" t="s">
        <v>4610</v>
      </c>
    </row>
    <row r="624" spans="1:10" x14ac:dyDescent="0.2">
      <c r="A624" s="106" t="s">
        <v>364</v>
      </c>
      <c r="B624" s="106" t="s">
        <v>327</v>
      </c>
      <c r="C624" s="106" t="s">
        <v>264</v>
      </c>
      <c r="D624" s="106" t="s">
        <v>265</v>
      </c>
      <c r="E624">
        <v>9687</v>
      </c>
      <c r="F624" s="106" t="s">
        <v>2398</v>
      </c>
      <c r="G624" s="106" t="s">
        <v>270</v>
      </c>
      <c r="H624" s="106" t="s">
        <v>277</v>
      </c>
      <c r="I624" s="106">
        <v>147</v>
      </c>
      <c r="J624" s="106"/>
    </row>
    <row r="625" spans="1:10" x14ac:dyDescent="0.2">
      <c r="A625" s="106" t="s">
        <v>364</v>
      </c>
      <c r="B625" s="106" t="s">
        <v>327</v>
      </c>
      <c r="C625" s="106" t="s">
        <v>264</v>
      </c>
      <c r="D625" s="106" t="s">
        <v>265</v>
      </c>
      <c r="E625">
        <v>9715</v>
      </c>
      <c r="F625" s="106" t="s">
        <v>2399</v>
      </c>
      <c r="G625" s="106" t="s">
        <v>266</v>
      </c>
      <c r="H625" s="106" t="s">
        <v>271</v>
      </c>
      <c r="I625" s="106" t="s">
        <v>297</v>
      </c>
      <c r="J625" s="106" t="s">
        <v>4478</v>
      </c>
    </row>
    <row r="626" spans="1:10" x14ac:dyDescent="0.2">
      <c r="A626" s="106" t="s">
        <v>364</v>
      </c>
      <c r="B626" s="106" t="s">
        <v>327</v>
      </c>
      <c r="C626" s="106" t="s">
        <v>264</v>
      </c>
      <c r="D626" s="106" t="s">
        <v>265</v>
      </c>
      <c r="E626">
        <v>9719</v>
      </c>
      <c r="F626" s="106" t="s">
        <v>493</v>
      </c>
      <c r="G626" s="106" t="s">
        <v>266</v>
      </c>
      <c r="H626" s="106" t="s">
        <v>277</v>
      </c>
      <c r="I626" t="s">
        <v>325</v>
      </c>
      <c r="J626" t="s">
        <v>4421</v>
      </c>
    </row>
    <row r="627" spans="1:10" x14ac:dyDescent="0.2">
      <c r="A627" s="106" t="s">
        <v>364</v>
      </c>
      <c r="B627" s="106" t="s">
        <v>327</v>
      </c>
      <c r="C627" s="106" t="s">
        <v>264</v>
      </c>
      <c r="D627" s="106" t="s">
        <v>265</v>
      </c>
      <c r="E627">
        <v>9739</v>
      </c>
      <c r="F627" s="106" t="s">
        <v>2400</v>
      </c>
      <c r="G627" s="106" t="s">
        <v>266</v>
      </c>
      <c r="H627" s="106" t="s">
        <v>277</v>
      </c>
      <c r="I627" s="106">
        <v>406</v>
      </c>
      <c r="J627" s="106"/>
    </row>
    <row r="628" spans="1:10" x14ac:dyDescent="0.2">
      <c r="A628" s="106" t="s">
        <v>364</v>
      </c>
      <c r="B628" s="106" t="s">
        <v>327</v>
      </c>
      <c r="C628" s="106" t="s">
        <v>264</v>
      </c>
      <c r="D628" s="106" t="s">
        <v>269</v>
      </c>
      <c r="E628">
        <v>9753</v>
      </c>
      <c r="F628" s="106" t="s">
        <v>2401</v>
      </c>
      <c r="G628" s="106" t="s">
        <v>270</v>
      </c>
      <c r="H628" s="106" t="s">
        <v>277</v>
      </c>
      <c r="I628">
        <v>98</v>
      </c>
    </row>
    <row r="629" spans="1:10" x14ac:dyDescent="0.2">
      <c r="A629" s="106" t="s">
        <v>364</v>
      </c>
      <c r="B629" s="106" t="s">
        <v>327</v>
      </c>
      <c r="C629" s="106" t="s">
        <v>264</v>
      </c>
      <c r="D629" s="106" t="s">
        <v>265</v>
      </c>
      <c r="E629">
        <v>9759</v>
      </c>
      <c r="F629" s="106" t="s">
        <v>1461</v>
      </c>
      <c r="G629" s="106" t="s">
        <v>266</v>
      </c>
      <c r="H629" s="106" t="s">
        <v>277</v>
      </c>
      <c r="I629" t="s">
        <v>297</v>
      </c>
      <c r="J629" t="s">
        <v>4712</v>
      </c>
    </row>
    <row r="630" spans="1:10" x14ac:dyDescent="0.2">
      <c r="A630" s="106" t="s">
        <v>364</v>
      </c>
      <c r="B630" s="106" t="s">
        <v>327</v>
      </c>
      <c r="C630" s="106" t="s">
        <v>264</v>
      </c>
      <c r="D630" s="106" t="s">
        <v>265</v>
      </c>
      <c r="E630">
        <v>9761</v>
      </c>
      <c r="F630" s="106" t="s">
        <v>2402</v>
      </c>
      <c r="G630" s="106" t="s">
        <v>274</v>
      </c>
      <c r="H630" s="106" t="s">
        <v>271</v>
      </c>
      <c r="I630">
        <v>58</v>
      </c>
    </row>
    <row r="631" spans="1:10" x14ac:dyDescent="0.2">
      <c r="A631" s="106" t="s">
        <v>364</v>
      </c>
      <c r="B631" s="106" t="s">
        <v>327</v>
      </c>
      <c r="C631" s="106" t="s">
        <v>264</v>
      </c>
      <c r="D631" s="106" t="s">
        <v>265</v>
      </c>
      <c r="E631">
        <v>9832</v>
      </c>
      <c r="F631" s="106" t="s">
        <v>2403</v>
      </c>
      <c r="G631" s="106" t="s">
        <v>266</v>
      </c>
      <c r="H631" s="106" t="s">
        <v>272</v>
      </c>
      <c r="I631" s="106" t="s">
        <v>297</v>
      </c>
      <c r="J631" s="106" t="s">
        <v>4617</v>
      </c>
    </row>
    <row r="632" spans="1:10" x14ac:dyDescent="0.2">
      <c r="A632" s="106" t="s">
        <v>364</v>
      </c>
      <c r="B632" s="106" t="s">
        <v>327</v>
      </c>
      <c r="C632" s="106" t="s">
        <v>264</v>
      </c>
      <c r="D632" s="106" t="s">
        <v>269</v>
      </c>
      <c r="E632">
        <v>9878</v>
      </c>
      <c r="F632" s="106" t="s">
        <v>2404</v>
      </c>
      <c r="G632" s="106" t="s">
        <v>274</v>
      </c>
      <c r="H632" s="106" t="s">
        <v>276</v>
      </c>
      <c r="I632" s="106">
        <v>11</v>
      </c>
      <c r="J632" s="106"/>
    </row>
    <row r="633" spans="1:10" x14ac:dyDescent="0.2">
      <c r="A633" s="106" t="s">
        <v>364</v>
      </c>
      <c r="B633" s="106" t="s">
        <v>327</v>
      </c>
      <c r="C633" s="106" t="s">
        <v>264</v>
      </c>
      <c r="D633" s="106" t="s">
        <v>265</v>
      </c>
      <c r="E633">
        <v>9959</v>
      </c>
      <c r="F633" s="106" t="s">
        <v>2405</v>
      </c>
      <c r="G633" s="106" t="s">
        <v>274</v>
      </c>
      <c r="H633" s="106" t="s">
        <v>276</v>
      </c>
      <c r="I633" s="106">
        <v>81</v>
      </c>
      <c r="J633" s="106"/>
    </row>
    <row r="634" spans="1:10" x14ac:dyDescent="0.2">
      <c r="A634" s="106" t="s">
        <v>364</v>
      </c>
      <c r="B634" s="106" t="s">
        <v>327</v>
      </c>
      <c r="C634" s="106" t="s">
        <v>264</v>
      </c>
      <c r="D634" s="106" t="s">
        <v>265</v>
      </c>
      <c r="E634">
        <v>9960</v>
      </c>
      <c r="F634" s="106" t="s">
        <v>2406</v>
      </c>
      <c r="G634" s="106" t="s">
        <v>266</v>
      </c>
      <c r="H634" s="106" t="s">
        <v>272</v>
      </c>
      <c r="I634">
        <v>391</v>
      </c>
    </row>
    <row r="635" spans="1:10" x14ac:dyDescent="0.2">
      <c r="A635" s="106" t="s">
        <v>364</v>
      </c>
      <c r="B635" s="106" t="s">
        <v>1435</v>
      </c>
      <c r="C635" s="106" t="s">
        <v>273</v>
      </c>
      <c r="D635" s="106" t="s">
        <v>265</v>
      </c>
      <c r="E635">
        <v>3630</v>
      </c>
      <c r="F635" s="106" t="s">
        <v>1715</v>
      </c>
      <c r="G635" s="106" t="s">
        <v>266</v>
      </c>
      <c r="H635" s="106" t="s">
        <v>277</v>
      </c>
      <c r="I635" s="106">
        <v>307</v>
      </c>
      <c r="J635" s="106"/>
    </row>
    <row r="636" spans="1:10" x14ac:dyDescent="0.2">
      <c r="A636" s="106" t="s">
        <v>364</v>
      </c>
      <c r="B636" s="106" t="s">
        <v>1689</v>
      </c>
      <c r="C636" s="106" t="s">
        <v>264</v>
      </c>
      <c r="D636" s="106" t="s">
        <v>265</v>
      </c>
      <c r="E636">
        <v>1352</v>
      </c>
      <c r="F636" s="106" t="s">
        <v>2407</v>
      </c>
      <c r="G636" s="106" t="s">
        <v>266</v>
      </c>
      <c r="H636" s="106" t="s">
        <v>272</v>
      </c>
      <c r="I636" s="106">
        <v>75</v>
      </c>
      <c r="J636" s="106"/>
    </row>
    <row r="637" spans="1:10" x14ac:dyDescent="0.2">
      <c r="A637" s="106" t="s">
        <v>364</v>
      </c>
      <c r="B637" s="106" t="s">
        <v>1689</v>
      </c>
      <c r="C637" s="106" t="s">
        <v>264</v>
      </c>
      <c r="D637" s="106" t="s">
        <v>265</v>
      </c>
      <c r="E637">
        <v>1939</v>
      </c>
      <c r="F637" s="106" t="s">
        <v>2408</v>
      </c>
      <c r="G637" s="106" t="s">
        <v>266</v>
      </c>
      <c r="H637" s="106" t="s">
        <v>293</v>
      </c>
      <c r="I637" s="106">
        <v>237</v>
      </c>
      <c r="J637" s="106"/>
    </row>
    <row r="638" spans="1:10" x14ac:dyDescent="0.2">
      <c r="A638" s="106" t="s">
        <v>364</v>
      </c>
      <c r="B638" s="106" t="s">
        <v>1689</v>
      </c>
      <c r="C638" s="106" t="s">
        <v>264</v>
      </c>
      <c r="D638" s="106" t="s">
        <v>265</v>
      </c>
      <c r="E638">
        <v>1948</v>
      </c>
      <c r="F638" s="106" t="s">
        <v>2409</v>
      </c>
      <c r="G638" s="106" t="s">
        <v>274</v>
      </c>
      <c r="H638" s="106" t="s">
        <v>293</v>
      </c>
      <c r="I638" s="106">
        <v>105</v>
      </c>
      <c r="J638" s="106"/>
    </row>
    <row r="639" spans="1:10" x14ac:dyDescent="0.2">
      <c r="A639" s="106" t="s">
        <v>364</v>
      </c>
      <c r="B639" s="106" t="s">
        <v>1689</v>
      </c>
      <c r="C639" s="106" t="s">
        <v>264</v>
      </c>
      <c r="D639" s="106" t="s">
        <v>269</v>
      </c>
      <c r="E639">
        <v>2139</v>
      </c>
      <c r="F639" s="106" t="s">
        <v>2410</v>
      </c>
      <c r="G639" s="106" t="s">
        <v>266</v>
      </c>
      <c r="H639" s="106" t="s">
        <v>271</v>
      </c>
      <c r="I639" s="106">
        <v>38</v>
      </c>
      <c r="J639" s="106"/>
    </row>
    <row r="640" spans="1:10" x14ac:dyDescent="0.2">
      <c r="A640" s="106" t="s">
        <v>364</v>
      </c>
      <c r="B640" s="106" t="s">
        <v>1689</v>
      </c>
      <c r="C640" s="106" t="s">
        <v>264</v>
      </c>
      <c r="D640" s="106" t="s">
        <v>269</v>
      </c>
      <c r="E640">
        <v>2152</v>
      </c>
      <c r="F640" s="106" t="s">
        <v>2411</v>
      </c>
      <c r="G640" s="106" t="s">
        <v>270</v>
      </c>
      <c r="H640" s="106" t="s">
        <v>271</v>
      </c>
      <c r="I640" s="106">
        <v>123</v>
      </c>
      <c r="J640" s="106"/>
    </row>
    <row r="641" spans="1:10" x14ac:dyDescent="0.2">
      <c r="A641" s="106" t="s">
        <v>364</v>
      </c>
      <c r="B641" s="106" t="s">
        <v>1689</v>
      </c>
      <c r="C641" s="106" t="s">
        <v>264</v>
      </c>
      <c r="D641" s="106" t="s">
        <v>265</v>
      </c>
      <c r="E641">
        <v>2326</v>
      </c>
      <c r="F641" s="106" t="s">
        <v>659</v>
      </c>
      <c r="G641" s="106" t="s">
        <v>266</v>
      </c>
      <c r="H641" s="106" t="s">
        <v>277</v>
      </c>
      <c r="I641" s="106">
        <v>840</v>
      </c>
      <c r="J641" s="106"/>
    </row>
    <row r="642" spans="1:10" x14ac:dyDescent="0.2">
      <c r="A642" s="106" t="s">
        <v>364</v>
      </c>
      <c r="B642" s="106" t="s">
        <v>1689</v>
      </c>
      <c r="C642" s="106" t="s">
        <v>268</v>
      </c>
      <c r="D642" s="106" t="s">
        <v>265</v>
      </c>
      <c r="E642">
        <v>2410</v>
      </c>
      <c r="F642" s="106" t="s">
        <v>2412</v>
      </c>
      <c r="G642" s="106" t="s">
        <v>266</v>
      </c>
      <c r="H642" s="106" t="s">
        <v>271</v>
      </c>
      <c r="I642">
        <v>99</v>
      </c>
    </row>
    <row r="643" spans="1:10" x14ac:dyDescent="0.2">
      <c r="A643" s="106" t="s">
        <v>364</v>
      </c>
      <c r="B643" s="106" t="s">
        <v>1689</v>
      </c>
      <c r="C643" s="106" t="s">
        <v>264</v>
      </c>
      <c r="D643" s="106" t="s">
        <v>269</v>
      </c>
      <c r="E643">
        <v>2892</v>
      </c>
      <c r="F643" s="106" t="s">
        <v>366</v>
      </c>
      <c r="G643" s="106" t="s">
        <v>274</v>
      </c>
      <c r="H643" s="106" t="s">
        <v>267</v>
      </c>
      <c r="I643">
        <v>89</v>
      </c>
    </row>
    <row r="644" spans="1:10" x14ac:dyDescent="0.2">
      <c r="A644" s="106" t="s">
        <v>364</v>
      </c>
      <c r="B644" s="106" t="s">
        <v>1689</v>
      </c>
      <c r="C644" s="106" t="s">
        <v>264</v>
      </c>
      <c r="D644" s="106" t="s">
        <v>265</v>
      </c>
      <c r="E644">
        <v>3591</v>
      </c>
      <c r="F644" s="106" t="s">
        <v>701</v>
      </c>
      <c r="G644" s="106" t="s">
        <v>266</v>
      </c>
      <c r="H644" s="106" t="s">
        <v>299</v>
      </c>
      <c r="I644" t="s">
        <v>289</v>
      </c>
      <c r="J644" t="s">
        <v>4378</v>
      </c>
    </row>
    <row r="645" spans="1:10" x14ac:dyDescent="0.2">
      <c r="A645" s="106" t="s">
        <v>364</v>
      </c>
      <c r="B645" s="106" t="s">
        <v>1689</v>
      </c>
      <c r="C645" s="106" t="s">
        <v>264</v>
      </c>
      <c r="D645" s="106" t="s">
        <v>265</v>
      </c>
      <c r="E645">
        <v>3666</v>
      </c>
      <c r="F645" s="106" t="s">
        <v>702</v>
      </c>
      <c r="G645" s="106" t="s">
        <v>266</v>
      </c>
      <c r="H645" s="106" t="s">
        <v>277</v>
      </c>
      <c r="I645">
        <v>103</v>
      </c>
    </row>
    <row r="646" spans="1:10" x14ac:dyDescent="0.2">
      <c r="A646" s="106" t="s">
        <v>364</v>
      </c>
      <c r="B646" s="106" t="s">
        <v>1689</v>
      </c>
      <c r="C646" s="106" t="s">
        <v>264</v>
      </c>
      <c r="D646" s="106" t="s">
        <v>265</v>
      </c>
      <c r="E646">
        <v>3835</v>
      </c>
      <c r="F646" s="106" t="s">
        <v>2413</v>
      </c>
      <c r="G646" s="106" t="s">
        <v>266</v>
      </c>
      <c r="H646" s="106" t="s">
        <v>277</v>
      </c>
      <c r="I646">
        <v>342</v>
      </c>
    </row>
    <row r="647" spans="1:10" x14ac:dyDescent="0.2">
      <c r="A647" s="106" t="s">
        <v>364</v>
      </c>
      <c r="B647" s="106" t="s">
        <v>1689</v>
      </c>
      <c r="C647" s="106" t="s">
        <v>264</v>
      </c>
      <c r="D647" s="106" t="s">
        <v>265</v>
      </c>
      <c r="E647">
        <v>3945</v>
      </c>
      <c r="F647" s="106" t="s">
        <v>2414</v>
      </c>
      <c r="G647" s="106" t="s">
        <v>274</v>
      </c>
      <c r="H647" s="106" t="s">
        <v>300</v>
      </c>
      <c r="I647" s="106">
        <v>28</v>
      </c>
      <c r="J647" s="106"/>
    </row>
    <row r="648" spans="1:10" x14ac:dyDescent="0.2">
      <c r="A648" s="106" t="s">
        <v>364</v>
      </c>
      <c r="B648" s="106" t="s">
        <v>1689</v>
      </c>
      <c r="C648" s="106" t="s">
        <v>264</v>
      </c>
      <c r="D648" s="106" t="s">
        <v>265</v>
      </c>
      <c r="E648">
        <v>4216</v>
      </c>
      <c r="F648" s="106" t="s">
        <v>2415</v>
      </c>
      <c r="G648" s="106" t="s">
        <v>266</v>
      </c>
      <c r="H648" s="106" t="s">
        <v>279</v>
      </c>
      <c r="I648" s="106">
        <v>350</v>
      </c>
      <c r="J648" s="106"/>
    </row>
    <row r="649" spans="1:10" x14ac:dyDescent="0.2">
      <c r="A649" s="106" t="s">
        <v>364</v>
      </c>
      <c r="B649" s="106" t="s">
        <v>1689</v>
      </c>
      <c r="C649" s="106" t="s">
        <v>264</v>
      </c>
      <c r="D649" s="106" t="s">
        <v>265</v>
      </c>
      <c r="E649">
        <v>4272</v>
      </c>
      <c r="F649" s="106" t="s">
        <v>2416</v>
      </c>
      <c r="G649" s="106" t="s">
        <v>266</v>
      </c>
      <c r="H649" s="106" t="s">
        <v>279</v>
      </c>
      <c r="I649" s="106" t="s">
        <v>289</v>
      </c>
      <c r="J649" s="106" t="s">
        <v>4944</v>
      </c>
    </row>
    <row r="650" spans="1:10" x14ac:dyDescent="0.2">
      <c r="A650" s="106" t="s">
        <v>364</v>
      </c>
      <c r="B650" s="106" t="s">
        <v>1689</v>
      </c>
      <c r="C650" s="106" t="s">
        <v>264</v>
      </c>
      <c r="D650" s="106" t="s">
        <v>265</v>
      </c>
      <c r="E650">
        <v>4368</v>
      </c>
      <c r="F650" s="106" t="s">
        <v>371</v>
      </c>
      <c r="G650" s="106" t="s">
        <v>266</v>
      </c>
      <c r="H650" s="106" t="s">
        <v>279</v>
      </c>
      <c r="I650" s="106" t="s">
        <v>297</v>
      </c>
      <c r="J650" s="106" t="s">
        <v>4349</v>
      </c>
    </row>
    <row r="651" spans="1:10" x14ac:dyDescent="0.2">
      <c r="A651" s="106" t="s">
        <v>364</v>
      </c>
      <c r="B651" s="106" t="s">
        <v>1689</v>
      </c>
      <c r="C651" s="106" t="s">
        <v>275</v>
      </c>
      <c r="D651" s="106" t="s">
        <v>265</v>
      </c>
      <c r="E651">
        <v>4657</v>
      </c>
      <c r="F651" s="106" t="s">
        <v>2418</v>
      </c>
      <c r="G651" s="106" t="s">
        <v>270</v>
      </c>
      <c r="H651" s="106" t="s">
        <v>271</v>
      </c>
      <c r="I651" s="106">
        <v>32</v>
      </c>
      <c r="J651" s="106"/>
    </row>
    <row r="652" spans="1:10" x14ac:dyDescent="0.2">
      <c r="A652" s="106" t="s">
        <v>364</v>
      </c>
      <c r="B652" s="106" t="s">
        <v>1689</v>
      </c>
      <c r="C652" s="106" t="s">
        <v>264</v>
      </c>
      <c r="D652" s="106" t="s">
        <v>265</v>
      </c>
      <c r="E652">
        <v>4658</v>
      </c>
      <c r="F652" s="106" t="s">
        <v>2419</v>
      </c>
      <c r="G652" s="106" t="s">
        <v>266</v>
      </c>
      <c r="H652" s="106" t="s">
        <v>271</v>
      </c>
      <c r="I652">
        <v>289</v>
      </c>
    </row>
    <row r="653" spans="1:10" x14ac:dyDescent="0.2">
      <c r="A653" s="106" t="s">
        <v>364</v>
      </c>
      <c r="B653" s="106" t="s">
        <v>1689</v>
      </c>
      <c r="C653" s="106" t="s">
        <v>264</v>
      </c>
      <c r="D653" s="106" t="s">
        <v>265</v>
      </c>
      <c r="E653">
        <v>4743</v>
      </c>
      <c r="F653" s="106" t="s">
        <v>2420</v>
      </c>
      <c r="G653" s="106" t="s">
        <v>266</v>
      </c>
      <c r="H653" s="106" t="s">
        <v>277</v>
      </c>
      <c r="I653">
        <v>277</v>
      </c>
    </row>
    <row r="654" spans="1:10" x14ac:dyDescent="0.2">
      <c r="A654" s="106" t="s">
        <v>364</v>
      </c>
      <c r="B654" s="106" t="s">
        <v>1689</v>
      </c>
      <c r="C654" s="106" t="s">
        <v>264</v>
      </c>
      <c r="D654" s="106" t="s">
        <v>265</v>
      </c>
      <c r="E654">
        <v>4771</v>
      </c>
      <c r="F654" s="106" t="s">
        <v>2421</v>
      </c>
      <c r="G654" s="106" t="s">
        <v>270</v>
      </c>
      <c r="H654" s="106" t="s">
        <v>271</v>
      </c>
      <c r="I654">
        <v>195</v>
      </c>
    </row>
    <row r="655" spans="1:10" x14ac:dyDescent="0.2">
      <c r="A655" s="106" t="s">
        <v>364</v>
      </c>
      <c r="B655" s="106" t="s">
        <v>1689</v>
      </c>
      <c r="C655" s="106" t="s">
        <v>264</v>
      </c>
      <c r="D655" s="106" t="s">
        <v>265</v>
      </c>
      <c r="E655">
        <v>5185</v>
      </c>
      <c r="F655" s="106" t="s">
        <v>2422</v>
      </c>
      <c r="G655" s="106" t="s">
        <v>266</v>
      </c>
      <c r="H655" s="106" t="s">
        <v>535</v>
      </c>
      <c r="I655">
        <v>129</v>
      </c>
    </row>
    <row r="656" spans="1:10" x14ac:dyDescent="0.2">
      <c r="A656" s="106" t="s">
        <v>364</v>
      </c>
      <c r="B656" s="106" t="s">
        <v>1689</v>
      </c>
      <c r="C656" s="106" t="s">
        <v>264</v>
      </c>
      <c r="D656" s="106" t="s">
        <v>269</v>
      </c>
      <c r="E656">
        <v>5386</v>
      </c>
      <c r="F656" s="106" t="s">
        <v>2423</v>
      </c>
      <c r="G656" s="106" t="s">
        <v>274</v>
      </c>
      <c r="H656" s="106" t="s">
        <v>308</v>
      </c>
      <c r="I656">
        <v>35</v>
      </c>
    </row>
    <row r="657" spans="1:10" x14ac:dyDescent="0.2">
      <c r="A657" s="106" t="s">
        <v>364</v>
      </c>
      <c r="B657" s="106" t="s">
        <v>1689</v>
      </c>
      <c r="C657" s="106" t="s">
        <v>264</v>
      </c>
      <c r="D657" s="106" t="s">
        <v>265</v>
      </c>
      <c r="E657">
        <v>5820</v>
      </c>
      <c r="F657" s="106" t="s">
        <v>2424</v>
      </c>
      <c r="G657" s="106" t="s">
        <v>270</v>
      </c>
      <c r="H657" s="106" t="s">
        <v>373</v>
      </c>
      <c r="I657">
        <v>19</v>
      </c>
    </row>
    <row r="658" spans="1:10" x14ac:dyDescent="0.2">
      <c r="A658" s="106" t="s">
        <v>364</v>
      </c>
      <c r="B658" s="106" t="s">
        <v>1689</v>
      </c>
      <c r="C658" s="106" t="s">
        <v>264</v>
      </c>
      <c r="D658" s="106" t="s">
        <v>269</v>
      </c>
      <c r="E658">
        <v>5928</v>
      </c>
      <c r="F658" s="106" t="s">
        <v>2425</v>
      </c>
      <c r="G658" s="106" t="s">
        <v>274</v>
      </c>
      <c r="H658" s="106" t="s">
        <v>281</v>
      </c>
      <c r="I658">
        <v>40</v>
      </c>
    </row>
    <row r="659" spans="1:10" x14ac:dyDescent="0.2">
      <c r="A659" s="106" t="s">
        <v>364</v>
      </c>
      <c r="B659" s="106" t="s">
        <v>1689</v>
      </c>
      <c r="C659" s="106" t="s">
        <v>264</v>
      </c>
      <c r="D659" s="106" t="s">
        <v>269</v>
      </c>
      <c r="E659">
        <v>5951</v>
      </c>
      <c r="F659" s="106" t="s">
        <v>2426</v>
      </c>
      <c r="G659" s="106" t="s">
        <v>266</v>
      </c>
      <c r="H659" s="106" t="s">
        <v>281</v>
      </c>
      <c r="I659">
        <v>132</v>
      </c>
    </row>
    <row r="660" spans="1:10" x14ac:dyDescent="0.2">
      <c r="A660" s="106" t="s">
        <v>364</v>
      </c>
      <c r="B660" s="106" t="s">
        <v>1689</v>
      </c>
      <c r="C660" s="106" t="s">
        <v>264</v>
      </c>
      <c r="D660" s="106" t="s">
        <v>265</v>
      </c>
      <c r="E660">
        <v>6023</v>
      </c>
      <c r="F660" s="106" t="s">
        <v>1857</v>
      </c>
      <c r="G660" s="106" t="s">
        <v>274</v>
      </c>
      <c r="H660" s="106" t="s">
        <v>296</v>
      </c>
      <c r="I660">
        <v>220</v>
      </c>
    </row>
    <row r="661" spans="1:10" x14ac:dyDescent="0.2">
      <c r="A661" s="106" t="s">
        <v>364</v>
      </c>
      <c r="B661" s="106" t="s">
        <v>1689</v>
      </c>
      <c r="C661" s="106" t="s">
        <v>264</v>
      </c>
      <c r="D661" s="106" t="s">
        <v>265</v>
      </c>
      <c r="E661">
        <v>6322</v>
      </c>
      <c r="F661" s="106" t="s">
        <v>374</v>
      </c>
      <c r="G661" s="106" t="s">
        <v>274</v>
      </c>
      <c r="H661" s="106" t="s">
        <v>287</v>
      </c>
      <c r="I661" s="106">
        <v>128</v>
      </c>
      <c r="J661" s="106"/>
    </row>
    <row r="662" spans="1:10" x14ac:dyDescent="0.2">
      <c r="A662" s="106" t="s">
        <v>364</v>
      </c>
      <c r="B662" s="106" t="s">
        <v>1689</v>
      </c>
      <c r="C662" s="106" t="s">
        <v>264</v>
      </c>
      <c r="D662" s="106" t="s">
        <v>265</v>
      </c>
      <c r="E662">
        <v>6331</v>
      </c>
      <c r="F662" s="106" t="s">
        <v>2427</v>
      </c>
      <c r="G662" s="106" t="s">
        <v>266</v>
      </c>
      <c r="H662" s="106" t="s">
        <v>287</v>
      </c>
      <c r="I662">
        <v>151</v>
      </c>
    </row>
    <row r="663" spans="1:10" x14ac:dyDescent="0.2">
      <c r="A663" s="106" t="s">
        <v>364</v>
      </c>
      <c r="B663" s="106" t="s">
        <v>1689</v>
      </c>
      <c r="C663" s="106" t="s">
        <v>264</v>
      </c>
      <c r="D663" s="106" t="s">
        <v>265</v>
      </c>
      <c r="E663">
        <v>6373</v>
      </c>
      <c r="F663" s="106" t="s">
        <v>2428</v>
      </c>
      <c r="G663" s="106" t="s">
        <v>266</v>
      </c>
      <c r="H663" s="106" t="s">
        <v>287</v>
      </c>
      <c r="I663">
        <v>90</v>
      </c>
    </row>
    <row r="664" spans="1:10" x14ac:dyDescent="0.2">
      <c r="A664" s="106" t="s">
        <v>364</v>
      </c>
      <c r="B664" s="106" t="s">
        <v>1689</v>
      </c>
      <c r="C664" s="106" t="s">
        <v>264</v>
      </c>
      <c r="D664" s="106" t="s">
        <v>265</v>
      </c>
      <c r="E664">
        <v>6413</v>
      </c>
      <c r="F664" s="106" t="s">
        <v>1726</v>
      </c>
      <c r="G664" s="106" t="s">
        <v>266</v>
      </c>
      <c r="H664" s="106" t="s">
        <v>287</v>
      </c>
      <c r="I664">
        <v>923</v>
      </c>
    </row>
    <row r="665" spans="1:10" x14ac:dyDescent="0.2">
      <c r="A665" s="106" t="s">
        <v>364</v>
      </c>
      <c r="B665" s="106" t="s">
        <v>1689</v>
      </c>
      <c r="C665" s="106" t="s">
        <v>264</v>
      </c>
      <c r="D665" s="106" t="s">
        <v>265</v>
      </c>
      <c r="E665">
        <v>6419</v>
      </c>
      <c r="F665" s="106" t="s">
        <v>2429</v>
      </c>
      <c r="G665" s="106" t="s">
        <v>266</v>
      </c>
      <c r="H665" s="106" t="s">
        <v>287</v>
      </c>
      <c r="I665">
        <v>472</v>
      </c>
    </row>
    <row r="666" spans="1:10" x14ac:dyDescent="0.2">
      <c r="A666" s="106" t="s">
        <v>364</v>
      </c>
      <c r="B666" s="106" t="s">
        <v>1689</v>
      </c>
      <c r="C666" s="106" t="s">
        <v>264</v>
      </c>
      <c r="D666" s="106" t="s">
        <v>265</v>
      </c>
      <c r="E666">
        <v>6493</v>
      </c>
      <c r="F666" s="106" t="s">
        <v>2430</v>
      </c>
      <c r="G666" s="106" t="s">
        <v>274</v>
      </c>
      <c r="H666" s="106" t="s">
        <v>296</v>
      </c>
      <c r="I666">
        <v>80</v>
      </c>
    </row>
    <row r="667" spans="1:10" x14ac:dyDescent="0.2">
      <c r="A667" s="106" t="s">
        <v>364</v>
      </c>
      <c r="B667" s="106" t="s">
        <v>1689</v>
      </c>
      <c r="C667" s="106" t="s">
        <v>264</v>
      </c>
      <c r="D667" s="106" t="s">
        <v>269</v>
      </c>
      <c r="E667">
        <v>6565</v>
      </c>
      <c r="F667" s="106" t="s">
        <v>2431</v>
      </c>
      <c r="G667" s="106" t="s">
        <v>270</v>
      </c>
      <c r="H667" s="106" t="s">
        <v>271</v>
      </c>
      <c r="I667" s="106">
        <v>276</v>
      </c>
      <c r="J667" s="106"/>
    </row>
    <row r="668" spans="1:10" x14ac:dyDescent="0.2">
      <c r="A668" s="106" t="s">
        <v>364</v>
      </c>
      <c r="B668" s="106" t="s">
        <v>1689</v>
      </c>
      <c r="C668" s="106" t="s">
        <v>264</v>
      </c>
      <c r="D668" s="106" t="s">
        <v>265</v>
      </c>
      <c r="E668">
        <v>6629</v>
      </c>
      <c r="F668" s="106" t="s">
        <v>2432</v>
      </c>
      <c r="G668" s="106" t="s">
        <v>270</v>
      </c>
      <c r="H668" s="106" t="s">
        <v>291</v>
      </c>
      <c r="I668" s="106">
        <v>187</v>
      </c>
      <c r="J668" s="106"/>
    </row>
    <row r="669" spans="1:10" x14ac:dyDescent="0.2">
      <c r="A669" s="106" t="s">
        <v>364</v>
      </c>
      <c r="B669" s="106" t="s">
        <v>1689</v>
      </c>
      <c r="C669" s="106" t="s">
        <v>264</v>
      </c>
      <c r="D669" s="106" t="s">
        <v>265</v>
      </c>
      <c r="E669">
        <v>6737</v>
      </c>
      <c r="F669" s="106" t="s">
        <v>2433</v>
      </c>
      <c r="G669" s="106" t="s">
        <v>266</v>
      </c>
      <c r="H669" s="106" t="s">
        <v>291</v>
      </c>
      <c r="I669">
        <v>868</v>
      </c>
    </row>
    <row r="670" spans="1:10" x14ac:dyDescent="0.2">
      <c r="A670" s="106" t="s">
        <v>364</v>
      </c>
      <c r="B670" s="106" t="s">
        <v>1689</v>
      </c>
      <c r="C670" s="106" t="s">
        <v>264</v>
      </c>
      <c r="D670" s="106" t="s">
        <v>265</v>
      </c>
      <c r="E670">
        <v>6837</v>
      </c>
      <c r="F670" s="106" t="s">
        <v>1458</v>
      </c>
      <c r="G670" s="106" t="s">
        <v>270</v>
      </c>
      <c r="H670" s="106" t="s">
        <v>291</v>
      </c>
      <c r="I670">
        <v>68</v>
      </c>
    </row>
    <row r="671" spans="1:10" x14ac:dyDescent="0.2">
      <c r="A671" s="106" t="s">
        <v>364</v>
      </c>
      <c r="B671" s="106" t="s">
        <v>1689</v>
      </c>
      <c r="C671" s="106" t="s">
        <v>264</v>
      </c>
      <c r="D671" s="106" t="s">
        <v>265</v>
      </c>
      <c r="E671">
        <v>6861</v>
      </c>
      <c r="F671" s="106" t="s">
        <v>2434</v>
      </c>
      <c r="G671" s="106" t="s">
        <v>266</v>
      </c>
      <c r="H671" s="106" t="s">
        <v>291</v>
      </c>
      <c r="I671" t="s">
        <v>4945</v>
      </c>
      <c r="J671" t="s">
        <v>4921</v>
      </c>
    </row>
    <row r="672" spans="1:10" x14ac:dyDescent="0.2">
      <c r="A672" s="106" t="s">
        <v>364</v>
      </c>
      <c r="B672" s="106" t="s">
        <v>1689</v>
      </c>
      <c r="C672" s="106" t="s">
        <v>264</v>
      </c>
      <c r="D672" s="106" t="s">
        <v>265</v>
      </c>
      <c r="E672">
        <v>6932</v>
      </c>
      <c r="F672" s="106" t="s">
        <v>2435</v>
      </c>
      <c r="G672" s="106" t="s">
        <v>266</v>
      </c>
      <c r="H672" s="106" t="s">
        <v>291</v>
      </c>
      <c r="I672">
        <v>106</v>
      </c>
    </row>
    <row r="673" spans="1:10" x14ac:dyDescent="0.2">
      <c r="A673" s="106" t="s">
        <v>364</v>
      </c>
      <c r="B673" s="106" t="s">
        <v>1689</v>
      </c>
      <c r="C673" s="106" t="s">
        <v>268</v>
      </c>
      <c r="D673" s="106" t="s">
        <v>265</v>
      </c>
      <c r="E673">
        <v>7148</v>
      </c>
      <c r="F673" s="106" t="s">
        <v>2436</v>
      </c>
      <c r="G673" s="106" t="s">
        <v>266</v>
      </c>
      <c r="H673" s="106" t="s">
        <v>1448</v>
      </c>
      <c r="I673">
        <v>917</v>
      </c>
    </row>
    <row r="674" spans="1:10" x14ac:dyDescent="0.2">
      <c r="A674" s="106" t="s">
        <v>364</v>
      </c>
      <c r="B674" s="106" t="s">
        <v>1689</v>
      </c>
      <c r="C674" s="106" t="s">
        <v>264</v>
      </c>
      <c r="D674" s="106" t="s">
        <v>265</v>
      </c>
      <c r="E674">
        <v>7224</v>
      </c>
      <c r="F674" s="106" t="s">
        <v>2437</v>
      </c>
      <c r="G674" s="106" t="s">
        <v>266</v>
      </c>
      <c r="H674" s="106" t="s">
        <v>296</v>
      </c>
      <c r="I674" t="s">
        <v>297</v>
      </c>
      <c r="J674" t="s">
        <v>4375</v>
      </c>
    </row>
    <row r="675" spans="1:10" x14ac:dyDescent="0.2">
      <c r="A675" s="106" t="s">
        <v>364</v>
      </c>
      <c r="B675" s="106" t="s">
        <v>1689</v>
      </c>
      <c r="C675" s="106" t="s">
        <v>264</v>
      </c>
      <c r="D675" s="106" t="s">
        <v>265</v>
      </c>
      <c r="E675">
        <v>7321</v>
      </c>
      <c r="F675" s="106" t="s">
        <v>2438</v>
      </c>
      <c r="G675" s="106" t="s">
        <v>266</v>
      </c>
      <c r="H675" s="106" t="s">
        <v>484</v>
      </c>
      <c r="I675" s="106" t="s">
        <v>289</v>
      </c>
      <c r="J675" s="106" t="s">
        <v>4477</v>
      </c>
    </row>
    <row r="676" spans="1:10" x14ac:dyDescent="0.2">
      <c r="A676" s="106" t="s">
        <v>364</v>
      </c>
      <c r="B676" s="106" t="s">
        <v>1689</v>
      </c>
      <c r="C676" s="106" t="s">
        <v>264</v>
      </c>
      <c r="D676" s="106" t="s">
        <v>265</v>
      </c>
      <c r="E676">
        <v>7442</v>
      </c>
      <c r="F676" s="106" t="s">
        <v>1517</v>
      </c>
      <c r="G676" s="106" t="s">
        <v>266</v>
      </c>
      <c r="H676" s="106" t="s">
        <v>272</v>
      </c>
      <c r="I676">
        <v>114</v>
      </c>
    </row>
    <row r="677" spans="1:10" x14ac:dyDescent="0.2">
      <c r="A677" s="106" t="s">
        <v>364</v>
      </c>
      <c r="B677" s="106" t="s">
        <v>1689</v>
      </c>
      <c r="C677" s="106" t="s">
        <v>264</v>
      </c>
      <c r="D677" s="106" t="s">
        <v>265</v>
      </c>
      <c r="E677">
        <v>7476</v>
      </c>
      <c r="F677" s="106" t="s">
        <v>2439</v>
      </c>
      <c r="G677" s="106" t="s">
        <v>266</v>
      </c>
      <c r="H677" s="106" t="s">
        <v>272</v>
      </c>
      <c r="I677" t="s">
        <v>289</v>
      </c>
      <c r="J677" t="s">
        <v>4648</v>
      </c>
    </row>
    <row r="678" spans="1:10" x14ac:dyDescent="0.2">
      <c r="A678" s="106" t="s">
        <v>364</v>
      </c>
      <c r="B678" s="106" t="s">
        <v>1689</v>
      </c>
      <c r="C678" s="106" t="s">
        <v>264</v>
      </c>
      <c r="D678" s="106" t="s">
        <v>265</v>
      </c>
      <c r="E678">
        <v>7537</v>
      </c>
      <c r="F678" s="106" t="s">
        <v>2440</v>
      </c>
      <c r="G678" s="106" t="s">
        <v>266</v>
      </c>
      <c r="H678" s="106" t="s">
        <v>272</v>
      </c>
      <c r="I678">
        <v>176</v>
      </c>
    </row>
    <row r="679" spans="1:10" x14ac:dyDescent="0.2">
      <c r="A679" s="106" t="s">
        <v>364</v>
      </c>
      <c r="B679" s="106" t="s">
        <v>1689</v>
      </c>
      <c r="C679" s="106" t="s">
        <v>264</v>
      </c>
      <c r="D679" s="106" t="s">
        <v>265</v>
      </c>
      <c r="E679">
        <v>7862</v>
      </c>
      <c r="F679" s="106" t="s">
        <v>2441</v>
      </c>
      <c r="G679" s="106" t="s">
        <v>266</v>
      </c>
      <c r="H679" s="106" t="s">
        <v>288</v>
      </c>
      <c r="I679" t="s">
        <v>297</v>
      </c>
      <c r="J679" t="s">
        <v>4946</v>
      </c>
    </row>
    <row r="680" spans="1:10" x14ac:dyDescent="0.2">
      <c r="A680" s="106" t="s">
        <v>364</v>
      </c>
      <c r="B680" s="106" t="s">
        <v>1689</v>
      </c>
      <c r="C680" s="106" t="s">
        <v>264</v>
      </c>
      <c r="D680" s="106" t="s">
        <v>269</v>
      </c>
      <c r="E680">
        <v>7896</v>
      </c>
      <c r="F680" s="106" t="s">
        <v>2442</v>
      </c>
      <c r="G680" s="106" t="s">
        <v>274</v>
      </c>
      <c r="H680" s="106" t="s">
        <v>288</v>
      </c>
      <c r="I680" s="106">
        <v>24</v>
      </c>
      <c r="J680" s="106"/>
    </row>
    <row r="681" spans="1:10" x14ac:dyDescent="0.2">
      <c r="A681" s="106" t="s">
        <v>364</v>
      </c>
      <c r="B681" s="106" t="s">
        <v>1689</v>
      </c>
      <c r="C681" s="106" t="s">
        <v>264</v>
      </c>
      <c r="D681" s="106" t="s">
        <v>269</v>
      </c>
      <c r="E681">
        <v>7897</v>
      </c>
      <c r="F681" s="106" t="s">
        <v>2443</v>
      </c>
      <c r="G681" s="106" t="s">
        <v>266</v>
      </c>
      <c r="H681" s="106" t="s">
        <v>288</v>
      </c>
      <c r="I681">
        <v>46</v>
      </c>
    </row>
    <row r="682" spans="1:10" x14ac:dyDescent="0.2">
      <c r="A682" s="106" t="s">
        <v>364</v>
      </c>
      <c r="B682" s="106" t="s">
        <v>1689</v>
      </c>
      <c r="C682" s="106" t="s">
        <v>264</v>
      </c>
      <c r="D682" s="106" t="s">
        <v>265</v>
      </c>
      <c r="E682">
        <v>7925</v>
      </c>
      <c r="F682" s="106" t="s">
        <v>381</v>
      </c>
      <c r="G682" s="106" t="s">
        <v>266</v>
      </c>
      <c r="H682" s="106" t="s">
        <v>279</v>
      </c>
      <c r="I682">
        <v>189</v>
      </c>
    </row>
    <row r="683" spans="1:10" x14ac:dyDescent="0.2">
      <c r="A683" s="106" t="s">
        <v>364</v>
      </c>
      <c r="B683" s="106" t="s">
        <v>1689</v>
      </c>
      <c r="C683" s="106" t="s">
        <v>275</v>
      </c>
      <c r="D683" s="106" t="s">
        <v>265</v>
      </c>
      <c r="E683">
        <v>7962</v>
      </c>
      <c r="F683" s="106" t="s">
        <v>2444</v>
      </c>
      <c r="G683" s="106" t="s">
        <v>266</v>
      </c>
      <c r="H683" s="106" t="s">
        <v>288</v>
      </c>
      <c r="I683">
        <v>282</v>
      </c>
    </row>
    <row r="684" spans="1:10" x14ac:dyDescent="0.2">
      <c r="A684" s="106" t="s">
        <v>364</v>
      </c>
      <c r="B684" s="106" t="s">
        <v>1689</v>
      </c>
      <c r="C684" s="106" t="s">
        <v>264</v>
      </c>
      <c r="D684" s="106" t="s">
        <v>265</v>
      </c>
      <c r="E684">
        <v>8015</v>
      </c>
      <c r="F684" s="106" t="s">
        <v>1860</v>
      </c>
      <c r="G684" s="106" t="s">
        <v>266</v>
      </c>
      <c r="H684" s="106" t="s">
        <v>272</v>
      </c>
      <c r="I684" t="s">
        <v>446</v>
      </c>
      <c r="J684" t="s">
        <v>4730</v>
      </c>
    </row>
    <row r="685" spans="1:10" x14ac:dyDescent="0.2">
      <c r="A685" s="106" t="s">
        <v>364</v>
      </c>
      <c r="B685" s="106" t="s">
        <v>1689</v>
      </c>
      <c r="C685" s="106" t="s">
        <v>264</v>
      </c>
      <c r="D685" s="106" t="s">
        <v>265</v>
      </c>
      <c r="E685">
        <v>8052</v>
      </c>
      <c r="F685" s="106" t="s">
        <v>2445</v>
      </c>
      <c r="G685" s="106" t="s">
        <v>266</v>
      </c>
      <c r="H685" s="106" t="s">
        <v>272</v>
      </c>
      <c r="I685">
        <v>275</v>
      </c>
    </row>
    <row r="686" spans="1:10" x14ac:dyDescent="0.2">
      <c r="A686" s="106" t="s">
        <v>364</v>
      </c>
      <c r="B686" s="106" t="s">
        <v>1689</v>
      </c>
      <c r="C686" s="106" t="s">
        <v>264</v>
      </c>
      <c r="D686" s="106" t="s">
        <v>269</v>
      </c>
      <c r="E686">
        <v>8070</v>
      </c>
      <c r="F686" s="106" t="s">
        <v>2446</v>
      </c>
      <c r="G686" s="106" t="s">
        <v>266</v>
      </c>
      <c r="H686" s="106" t="s">
        <v>272</v>
      </c>
      <c r="I686">
        <v>199</v>
      </c>
    </row>
    <row r="687" spans="1:10" x14ac:dyDescent="0.2">
      <c r="A687" s="106" t="s">
        <v>364</v>
      </c>
      <c r="B687" s="106" t="s">
        <v>1689</v>
      </c>
      <c r="C687" s="106" t="s">
        <v>264</v>
      </c>
      <c r="D687" s="106" t="s">
        <v>265</v>
      </c>
      <c r="E687">
        <v>8157</v>
      </c>
      <c r="F687" s="106" t="s">
        <v>2447</v>
      </c>
      <c r="G687" s="106" t="s">
        <v>274</v>
      </c>
      <c r="H687" s="106" t="s">
        <v>277</v>
      </c>
      <c r="I687">
        <v>309</v>
      </c>
    </row>
    <row r="688" spans="1:10" x14ac:dyDescent="0.2">
      <c r="A688" s="106" t="s">
        <v>364</v>
      </c>
      <c r="B688" s="106" t="s">
        <v>1689</v>
      </c>
      <c r="C688" s="106" t="s">
        <v>264</v>
      </c>
      <c r="D688" s="106" t="s">
        <v>265</v>
      </c>
      <c r="E688">
        <v>8308</v>
      </c>
      <c r="F688" s="106" t="s">
        <v>2448</v>
      </c>
      <c r="G688" s="106" t="s">
        <v>266</v>
      </c>
      <c r="H688" s="106" t="s">
        <v>484</v>
      </c>
      <c r="I688" t="s">
        <v>359</v>
      </c>
      <c r="J688" t="s">
        <v>4658</v>
      </c>
    </row>
    <row r="689" spans="1:10" x14ac:dyDescent="0.2">
      <c r="A689" s="106" t="s">
        <v>364</v>
      </c>
      <c r="B689" s="106" t="s">
        <v>1689</v>
      </c>
      <c r="C689" s="106" t="s">
        <v>264</v>
      </c>
      <c r="D689" s="106" t="s">
        <v>265</v>
      </c>
      <c r="E689">
        <v>8411</v>
      </c>
      <c r="F689" s="106" t="s">
        <v>2449</v>
      </c>
      <c r="G689" s="106" t="s">
        <v>266</v>
      </c>
      <c r="H689" s="106" t="s">
        <v>484</v>
      </c>
      <c r="I689" t="s">
        <v>4420</v>
      </c>
      <c r="J689" t="s">
        <v>4947</v>
      </c>
    </row>
    <row r="690" spans="1:10" x14ac:dyDescent="0.2">
      <c r="A690" s="106" t="s">
        <v>364</v>
      </c>
      <c r="B690" s="106" t="s">
        <v>1689</v>
      </c>
      <c r="C690" s="106" t="s">
        <v>264</v>
      </c>
      <c r="D690" s="106" t="s">
        <v>265</v>
      </c>
      <c r="E690">
        <v>8714</v>
      </c>
      <c r="F690" s="106" t="s">
        <v>2450</v>
      </c>
      <c r="G690" s="106" t="s">
        <v>266</v>
      </c>
      <c r="H690" s="106" t="s">
        <v>484</v>
      </c>
      <c r="I690">
        <v>576</v>
      </c>
    </row>
    <row r="691" spans="1:10" x14ac:dyDescent="0.2">
      <c r="A691" s="106" t="s">
        <v>364</v>
      </c>
      <c r="B691" s="106" t="s">
        <v>1689</v>
      </c>
      <c r="C691" s="106" t="s">
        <v>264</v>
      </c>
      <c r="D691" s="106" t="s">
        <v>265</v>
      </c>
      <c r="E691">
        <v>8920</v>
      </c>
      <c r="F691" s="106" t="s">
        <v>2451</v>
      </c>
      <c r="G691" s="106" t="s">
        <v>266</v>
      </c>
      <c r="H691" s="106" t="s">
        <v>271</v>
      </c>
      <c r="I691">
        <v>880</v>
      </c>
    </row>
    <row r="692" spans="1:10" x14ac:dyDescent="0.2">
      <c r="A692" s="106" t="s">
        <v>364</v>
      </c>
      <c r="B692" s="106" t="s">
        <v>1689</v>
      </c>
      <c r="C692" s="106" t="s">
        <v>264</v>
      </c>
      <c r="D692" s="106" t="s">
        <v>265</v>
      </c>
      <c r="E692">
        <v>9366</v>
      </c>
      <c r="F692" s="106" t="s">
        <v>2452</v>
      </c>
      <c r="G692" s="106" t="s">
        <v>266</v>
      </c>
      <c r="H692" s="106" t="s">
        <v>556</v>
      </c>
      <c r="I692" s="106">
        <v>45</v>
      </c>
      <c r="J692" s="106"/>
    </row>
    <row r="693" spans="1:10" x14ac:dyDescent="0.2">
      <c r="A693" s="106" t="s">
        <v>364</v>
      </c>
      <c r="B693" s="106" t="s">
        <v>1689</v>
      </c>
      <c r="C693" s="106" t="s">
        <v>268</v>
      </c>
      <c r="D693" s="106" t="s">
        <v>265</v>
      </c>
      <c r="E693">
        <v>9376</v>
      </c>
      <c r="F693" s="106" t="s">
        <v>2453</v>
      </c>
      <c r="G693" s="106" t="s">
        <v>270</v>
      </c>
      <c r="H693" s="106" t="s">
        <v>271</v>
      </c>
      <c r="I693" s="106">
        <v>19</v>
      </c>
      <c r="J693" s="106"/>
    </row>
    <row r="694" spans="1:10" x14ac:dyDescent="0.2">
      <c r="A694" s="106" t="s">
        <v>364</v>
      </c>
      <c r="B694" s="106" t="s">
        <v>1689</v>
      </c>
      <c r="C694" s="106" t="s">
        <v>264</v>
      </c>
      <c r="D694" s="106" t="s">
        <v>265</v>
      </c>
      <c r="E694">
        <v>9513</v>
      </c>
      <c r="F694" s="106" t="s">
        <v>2454</v>
      </c>
      <c r="G694" s="106" t="s">
        <v>266</v>
      </c>
      <c r="H694" s="106" t="s">
        <v>489</v>
      </c>
      <c r="I694" s="106" t="s">
        <v>316</v>
      </c>
      <c r="J694" s="106" t="s">
        <v>4948</v>
      </c>
    </row>
    <row r="695" spans="1:10" x14ac:dyDescent="0.2">
      <c r="A695" s="106" t="s">
        <v>364</v>
      </c>
      <c r="B695" s="106" t="s">
        <v>1689</v>
      </c>
      <c r="C695" s="106" t="s">
        <v>264</v>
      </c>
      <c r="D695" s="106" t="s">
        <v>265</v>
      </c>
      <c r="E695">
        <v>9658</v>
      </c>
      <c r="F695" s="106" t="s">
        <v>2455</v>
      </c>
      <c r="G695" s="106" t="s">
        <v>266</v>
      </c>
      <c r="H695" s="106" t="s">
        <v>277</v>
      </c>
      <c r="I695">
        <v>207</v>
      </c>
    </row>
    <row r="696" spans="1:10" x14ac:dyDescent="0.2">
      <c r="A696" s="106" t="s">
        <v>364</v>
      </c>
      <c r="B696" s="106" t="s">
        <v>1689</v>
      </c>
      <c r="C696" s="106" t="s">
        <v>268</v>
      </c>
      <c r="D696" s="106" t="s">
        <v>269</v>
      </c>
      <c r="E696">
        <v>9679</v>
      </c>
      <c r="F696" s="106" t="s">
        <v>2456</v>
      </c>
      <c r="G696" s="106" t="s">
        <v>270</v>
      </c>
      <c r="H696" s="106" t="s">
        <v>271</v>
      </c>
      <c r="I696">
        <v>41</v>
      </c>
    </row>
    <row r="697" spans="1:10" x14ac:dyDescent="0.2">
      <c r="A697" s="106" t="s">
        <v>364</v>
      </c>
      <c r="B697" s="106" t="s">
        <v>1689</v>
      </c>
      <c r="C697" s="106" t="s">
        <v>264</v>
      </c>
      <c r="D697" s="106" t="s">
        <v>265</v>
      </c>
      <c r="E697">
        <v>9828</v>
      </c>
      <c r="F697" s="106" t="s">
        <v>2457</v>
      </c>
      <c r="G697" s="106" t="s">
        <v>266</v>
      </c>
      <c r="H697" s="106" t="s">
        <v>276</v>
      </c>
      <c r="I697">
        <v>283</v>
      </c>
    </row>
    <row r="698" spans="1:10" x14ac:dyDescent="0.2">
      <c r="A698" s="106" t="s">
        <v>364</v>
      </c>
      <c r="B698" s="106" t="s">
        <v>4362</v>
      </c>
      <c r="C698" s="106" t="s">
        <v>275</v>
      </c>
      <c r="D698" s="106" t="s">
        <v>265</v>
      </c>
      <c r="E698">
        <v>3439</v>
      </c>
      <c r="F698" s="106" t="s">
        <v>2282</v>
      </c>
      <c r="G698" s="106" t="s">
        <v>270</v>
      </c>
      <c r="H698" s="106" t="s">
        <v>281</v>
      </c>
      <c r="I698">
        <v>58</v>
      </c>
    </row>
    <row r="699" spans="1:10" x14ac:dyDescent="0.2">
      <c r="A699" s="106" t="s">
        <v>364</v>
      </c>
      <c r="B699" s="106" t="s">
        <v>1931</v>
      </c>
      <c r="C699" s="106" t="s">
        <v>264</v>
      </c>
      <c r="D699" s="106" t="s">
        <v>265</v>
      </c>
      <c r="E699">
        <v>4112</v>
      </c>
      <c r="F699" s="106" t="s">
        <v>1720</v>
      </c>
      <c r="G699" s="106" t="s">
        <v>266</v>
      </c>
      <c r="H699" s="106" t="s">
        <v>279</v>
      </c>
      <c r="I699">
        <v>342</v>
      </c>
    </row>
    <row r="700" spans="1:10" x14ac:dyDescent="0.2">
      <c r="A700" s="106" t="s">
        <v>364</v>
      </c>
      <c r="B700" s="106" t="s">
        <v>1931</v>
      </c>
      <c r="C700" s="106" t="s">
        <v>264</v>
      </c>
      <c r="D700" s="106" t="s">
        <v>265</v>
      </c>
      <c r="E700">
        <v>4685</v>
      </c>
      <c r="F700" s="106" t="s">
        <v>2458</v>
      </c>
      <c r="G700" s="106" t="s">
        <v>270</v>
      </c>
      <c r="H700" s="106" t="s">
        <v>277</v>
      </c>
      <c r="I700">
        <v>117</v>
      </c>
    </row>
    <row r="701" spans="1:10" x14ac:dyDescent="0.2">
      <c r="A701" s="106" t="s">
        <v>364</v>
      </c>
      <c r="B701" s="106" t="s">
        <v>263</v>
      </c>
      <c r="C701" s="106" t="s">
        <v>264</v>
      </c>
      <c r="D701" s="106" t="s">
        <v>265</v>
      </c>
      <c r="E701">
        <v>2053</v>
      </c>
      <c r="F701" s="106" t="s">
        <v>2459</v>
      </c>
      <c r="G701" s="106" t="s">
        <v>266</v>
      </c>
      <c r="H701" s="106" t="s">
        <v>267</v>
      </c>
      <c r="I701">
        <v>498</v>
      </c>
    </row>
    <row r="702" spans="1:10" x14ac:dyDescent="0.2">
      <c r="A702" s="106" t="s">
        <v>364</v>
      </c>
      <c r="B702" s="106" t="s">
        <v>263</v>
      </c>
      <c r="C702" s="106" t="s">
        <v>264</v>
      </c>
      <c r="D702" s="106" t="s">
        <v>269</v>
      </c>
      <c r="E702">
        <v>2332</v>
      </c>
      <c r="F702" s="106" t="s">
        <v>464</v>
      </c>
      <c r="G702" s="106" t="s">
        <v>270</v>
      </c>
      <c r="H702" s="106" t="s">
        <v>277</v>
      </c>
      <c r="I702">
        <v>70</v>
      </c>
    </row>
    <row r="703" spans="1:10" x14ac:dyDescent="0.2">
      <c r="A703" s="106" t="s">
        <v>364</v>
      </c>
      <c r="B703" s="106" t="s">
        <v>263</v>
      </c>
      <c r="C703" s="106" t="s">
        <v>264</v>
      </c>
      <c r="D703" s="106" t="s">
        <v>265</v>
      </c>
      <c r="E703">
        <v>2479</v>
      </c>
      <c r="F703" s="106" t="s">
        <v>2460</v>
      </c>
      <c r="G703" s="106" t="s">
        <v>270</v>
      </c>
      <c r="H703" s="106" t="s">
        <v>271</v>
      </c>
      <c r="I703" s="106">
        <v>19</v>
      </c>
      <c r="J703" s="106"/>
    </row>
    <row r="704" spans="1:10" x14ac:dyDescent="0.2">
      <c r="A704" s="106" t="s">
        <v>364</v>
      </c>
      <c r="B704" s="106" t="s">
        <v>263</v>
      </c>
      <c r="C704" s="106" t="s">
        <v>264</v>
      </c>
      <c r="D704" s="106" t="s">
        <v>269</v>
      </c>
      <c r="E704">
        <v>3079</v>
      </c>
      <c r="F704" s="106" t="s">
        <v>1717</v>
      </c>
      <c r="G704" s="106" t="s">
        <v>266</v>
      </c>
      <c r="H704" s="106" t="s">
        <v>272</v>
      </c>
      <c r="I704">
        <v>106</v>
      </c>
    </row>
    <row r="705" spans="1:10" x14ac:dyDescent="0.2">
      <c r="A705" s="106" t="s">
        <v>364</v>
      </c>
      <c r="B705" s="106" t="s">
        <v>263</v>
      </c>
      <c r="C705" s="106" t="s">
        <v>264</v>
      </c>
      <c r="D705" s="106" t="s">
        <v>265</v>
      </c>
      <c r="E705">
        <v>3092</v>
      </c>
      <c r="F705" s="106" t="s">
        <v>697</v>
      </c>
      <c r="G705" s="106" t="s">
        <v>266</v>
      </c>
      <c r="H705" s="106" t="s">
        <v>276</v>
      </c>
      <c r="I705" s="106" t="s">
        <v>283</v>
      </c>
      <c r="J705" s="106" t="s">
        <v>4949</v>
      </c>
    </row>
    <row r="706" spans="1:10" x14ac:dyDescent="0.2">
      <c r="A706" s="106" t="s">
        <v>364</v>
      </c>
      <c r="B706" s="106" t="s">
        <v>263</v>
      </c>
      <c r="C706" s="106" t="s">
        <v>264</v>
      </c>
      <c r="D706" s="106" t="s">
        <v>269</v>
      </c>
      <c r="E706">
        <v>3190</v>
      </c>
      <c r="F706" s="106" t="s">
        <v>2461</v>
      </c>
      <c r="G706" s="106" t="s">
        <v>270</v>
      </c>
      <c r="H706" s="106" t="s">
        <v>276</v>
      </c>
      <c r="I706" s="106">
        <v>44</v>
      </c>
      <c r="J706" s="106"/>
    </row>
    <row r="707" spans="1:10" x14ac:dyDescent="0.2">
      <c r="A707" s="106" t="s">
        <v>364</v>
      </c>
      <c r="B707" s="106" t="s">
        <v>263</v>
      </c>
      <c r="C707" s="106" t="s">
        <v>268</v>
      </c>
      <c r="D707" s="106" t="s">
        <v>265</v>
      </c>
      <c r="E707">
        <v>3264</v>
      </c>
      <c r="F707" s="106" t="s">
        <v>2462</v>
      </c>
      <c r="G707" s="106" t="s">
        <v>270</v>
      </c>
      <c r="H707" s="106" t="s">
        <v>292</v>
      </c>
      <c r="I707">
        <v>111</v>
      </c>
    </row>
    <row r="708" spans="1:10" x14ac:dyDescent="0.2">
      <c r="A708" s="106" t="s">
        <v>364</v>
      </c>
      <c r="B708" s="106" t="s">
        <v>263</v>
      </c>
      <c r="C708" s="106" t="s">
        <v>264</v>
      </c>
      <c r="D708" s="106" t="s">
        <v>269</v>
      </c>
      <c r="E708">
        <v>3542</v>
      </c>
      <c r="F708" s="106" t="s">
        <v>2463</v>
      </c>
      <c r="G708" s="106" t="s">
        <v>278</v>
      </c>
      <c r="H708" s="106" t="s">
        <v>276</v>
      </c>
      <c r="I708">
        <v>63</v>
      </c>
    </row>
    <row r="709" spans="1:10" x14ac:dyDescent="0.2">
      <c r="A709" s="106" t="s">
        <v>364</v>
      </c>
      <c r="B709" s="106" t="s">
        <v>263</v>
      </c>
      <c r="C709" s="106" t="s">
        <v>275</v>
      </c>
      <c r="D709" s="106" t="s">
        <v>265</v>
      </c>
      <c r="E709">
        <v>3836</v>
      </c>
      <c r="F709" s="106" t="s">
        <v>2464</v>
      </c>
      <c r="G709" s="106" t="s">
        <v>266</v>
      </c>
      <c r="H709" s="106" t="s">
        <v>277</v>
      </c>
      <c r="I709">
        <v>439</v>
      </c>
    </row>
    <row r="710" spans="1:10" x14ac:dyDescent="0.2">
      <c r="A710" s="106" t="s">
        <v>364</v>
      </c>
      <c r="B710" s="106" t="s">
        <v>263</v>
      </c>
      <c r="C710" s="106" t="s">
        <v>264</v>
      </c>
      <c r="D710" s="106" t="s">
        <v>265</v>
      </c>
      <c r="E710">
        <v>4310</v>
      </c>
      <c r="F710" s="106" t="s">
        <v>370</v>
      </c>
      <c r="G710" s="106" t="s">
        <v>266</v>
      </c>
      <c r="H710" s="106" t="s">
        <v>271</v>
      </c>
      <c r="I710">
        <v>163</v>
      </c>
    </row>
    <row r="711" spans="1:10" x14ac:dyDescent="0.2">
      <c r="A711" s="106" t="s">
        <v>364</v>
      </c>
      <c r="B711" s="106" t="s">
        <v>263</v>
      </c>
      <c r="C711" s="106" t="s">
        <v>264</v>
      </c>
      <c r="D711" s="106" t="s">
        <v>265</v>
      </c>
      <c r="E711">
        <v>4838</v>
      </c>
      <c r="F711" s="106" t="s">
        <v>2465</v>
      </c>
      <c r="G711" s="106" t="s">
        <v>270</v>
      </c>
      <c r="H711" s="106" t="s">
        <v>277</v>
      </c>
      <c r="I711">
        <v>65</v>
      </c>
    </row>
    <row r="712" spans="1:10" x14ac:dyDescent="0.2">
      <c r="A712" s="106" t="s">
        <v>364</v>
      </c>
      <c r="B712" s="106" t="s">
        <v>263</v>
      </c>
      <c r="C712" s="106" t="s">
        <v>264</v>
      </c>
      <c r="D712" s="106" t="s">
        <v>265</v>
      </c>
      <c r="E712">
        <v>5280</v>
      </c>
      <c r="F712" s="106" t="s">
        <v>2466</v>
      </c>
      <c r="G712" s="106" t="s">
        <v>270</v>
      </c>
      <c r="H712" s="106" t="s">
        <v>292</v>
      </c>
      <c r="I712" s="106">
        <v>98</v>
      </c>
      <c r="J712" s="106"/>
    </row>
    <row r="713" spans="1:10" x14ac:dyDescent="0.2">
      <c r="A713" s="106" t="s">
        <v>364</v>
      </c>
      <c r="B713" s="106" t="s">
        <v>263</v>
      </c>
      <c r="C713" s="106" t="s">
        <v>264</v>
      </c>
      <c r="D713" s="106" t="s">
        <v>265</v>
      </c>
      <c r="E713">
        <v>5410</v>
      </c>
      <c r="F713" s="106" t="s">
        <v>2467</v>
      </c>
      <c r="G713" s="106" t="s">
        <v>266</v>
      </c>
      <c r="H713" s="106" t="s">
        <v>726</v>
      </c>
      <c r="I713">
        <v>462</v>
      </c>
    </row>
    <row r="714" spans="1:10" x14ac:dyDescent="0.2">
      <c r="A714" s="106" t="s">
        <v>364</v>
      </c>
      <c r="B714" s="106" t="s">
        <v>263</v>
      </c>
      <c r="C714" s="106" t="s">
        <v>264</v>
      </c>
      <c r="D714" s="106" t="s">
        <v>265</v>
      </c>
      <c r="E714">
        <v>6144</v>
      </c>
      <c r="F714" s="106" t="s">
        <v>2468</v>
      </c>
      <c r="G714" s="106" t="s">
        <v>274</v>
      </c>
      <c r="H714" s="106" t="s">
        <v>287</v>
      </c>
      <c r="I714">
        <v>164</v>
      </c>
    </row>
    <row r="715" spans="1:10" x14ac:dyDescent="0.2">
      <c r="A715" s="106" t="s">
        <v>364</v>
      </c>
      <c r="B715" s="106" t="s">
        <v>263</v>
      </c>
      <c r="C715" s="106" t="s">
        <v>268</v>
      </c>
      <c r="D715" s="106" t="s">
        <v>265</v>
      </c>
      <c r="E715">
        <v>6189</v>
      </c>
      <c r="F715" s="106" t="s">
        <v>2469</v>
      </c>
      <c r="G715" s="106" t="s">
        <v>266</v>
      </c>
      <c r="H715" s="106" t="s">
        <v>271</v>
      </c>
      <c r="I715">
        <v>71</v>
      </c>
    </row>
    <row r="716" spans="1:10" x14ac:dyDescent="0.2">
      <c r="A716" s="106" t="s">
        <v>364</v>
      </c>
      <c r="B716" s="106" t="s">
        <v>263</v>
      </c>
      <c r="C716" s="106" t="s">
        <v>264</v>
      </c>
      <c r="D716" s="106" t="s">
        <v>269</v>
      </c>
      <c r="E716">
        <v>6391</v>
      </c>
      <c r="F716" s="106" t="s">
        <v>2470</v>
      </c>
      <c r="G716" s="106" t="s">
        <v>274</v>
      </c>
      <c r="H716" s="106" t="s">
        <v>287</v>
      </c>
      <c r="I716">
        <v>47</v>
      </c>
    </row>
    <row r="717" spans="1:10" x14ac:dyDescent="0.2">
      <c r="A717" s="106" t="s">
        <v>364</v>
      </c>
      <c r="B717" s="106" t="s">
        <v>263</v>
      </c>
      <c r="C717" s="106" t="s">
        <v>275</v>
      </c>
      <c r="D717" s="106" t="s">
        <v>265</v>
      </c>
      <c r="E717">
        <v>6888</v>
      </c>
      <c r="F717" s="106" t="s">
        <v>2471</v>
      </c>
      <c r="G717" s="106" t="s">
        <v>270</v>
      </c>
      <c r="H717" s="106" t="s">
        <v>277</v>
      </c>
      <c r="I717">
        <v>40</v>
      </c>
    </row>
    <row r="718" spans="1:10" x14ac:dyDescent="0.2">
      <c r="A718" s="106" t="s">
        <v>364</v>
      </c>
      <c r="B718" s="106" t="s">
        <v>263</v>
      </c>
      <c r="C718" s="106" t="s">
        <v>264</v>
      </c>
      <c r="D718" s="106" t="s">
        <v>265</v>
      </c>
      <c r="E718">
        <v>7022</v>
      </c>
      <c r="F718" s="106" t="s">
        <v>2473</v>
      </c>
      <c r="G718" s="106" t="s">
        <v>266</v>
      </c>
      <c r="H718" s="106" t="s">
        <v>296</v>
      </c>
      <c r="I718">
        <v>59</v>
      </c>
    </row>
    <row r="719" spans="1:10" x14ac:dyDescent="0.2">
      <c r="A719" s="106" t="s">
        <v>364</v>
      </c>
      <c r="B719" s="106" t="s">
        <v>263</v>
      </c>
      <c r="C719" s="106" t="s">
        <v>264</v>
      </c>
      <c r="D719" s="106" t="s">
        <v>269</v>
      </c>
      <c r="E719">
        <v>7046</v>
      </c>
      <c r="F719" s="106" t="s">
        <v>2474</v>
      </c>
      <c r="G719" s="106" t="s">
        <v>278</v>
      </c>
      <c r="H719" s="106" t="s">
        <v>271</v>
      </c>
      <c r="I719">
        <v>85</v>
      </c>
    </row>
    <row r="720" spans="1:10" x14ac:dyDescent="0.2">
      <c r="A720" s="106" t="s">
        <v>364</v>
      </c>
      <c r="B720" s="106" t="s">
        <v>263</v>
      </c>
      <c r="C720" s="106" t="s">
        <v>264</v>
      </c>
      <c r="D720" s="106" t="s">
        <v>265</v>
      </c>
      <c r="E720">
        <v>7162</v>
      </c>
      <c r="F720" s="106" t="s">
        <v>2475</v>
      </c>
      <c r="G720" s="106" t="s">
        <v>270</v>
      </c>
      <c r="H720" s="106" t="s">
        <v>1448</v>
      </c>
      <c r="I720">
        <v>41</v>
      </c>
    </row>
    <row r="721" spans="1:10" x14ac:dyDescent="0.2">
      <c r="A721" s="106" t="s">
        <v>364</v>
      </c>
      <c r="B721" s="106" t="s">
        <v>263</v>
      </c>
      <c r="C721" s="106" t="s">
        <v>264</v>
      </c>
      <c r="D721" s="106" t="s">
        <v>265</v>
      </c>
      <c r="E721">
        <v>7211</v>
      </c>
      <c r="F721" s="106" t="s">
        <v>1729</v>
      </c>
      <c r="G721" s="106" t="s">
        <v>266</v>
      </c>
      <c r="H721" s="106" t="s">
        <v>296</v>
      </c>
      <c r="I721" s="106" t="s">
        <v>325</v>
      </c>
      <c r="J721" s="106" t="s">
        <v>4639</v>
      </c>
    </row>
    <row r="722" spans="1:10" x14ac:dyDescent="0.2">
      <c r="A722" s="106" t="s">
        <v>364</v>
      </c>
      <c r="B722" s="106" t="s">
        <v>263</v>
      </c>
      <c r="C722" s="106" t="s">
        <v>264</v>
      </c>
      <c r="D722" s="106" t="s">
        <v>269</v>
      </c>
      <c r="E722">
        <v>7323</v>
      </c>
      <c r="F722" s="106" t="s">
        <v>2476</v>
      </c>
      <c r="G722" s="106" t="s">
        <v>278</v>
      </c>
      <c r="H722" s="106" t="s">
        <v>665</v>
      </c>
      <c r="I722">
        <v>212</v>
      </c>
    </row>
    <row r="723" spans="1:10" x14ac:dyDescent="0.2">
      <c r="A723" s="106" t="s">
        <v>364</v>
      </c>
      <c r="B723" s="106" t="s">
        <v>263</v>
      </c>
      <c r="C723" s="106" t="s">
        <v>275</v>
      </c>
      <c r="D723" s="106" t="s">
        <v>269</v>
      </c>
      <c r="E723">
        <v>7500</v>
      </c>
      <c r="F723" s="106" t="s">
        <v>745</v>
      </c>
      <c r="G723" s="106" t="s">
        <v>270</v>
      </c>
      <c r="H723" s="106" t="s">
        <v>272</v>
      </c>
      <c r="I723">
        <v>172</v>
      </c>
    </row>
    <row r="724" spans="1:10" x14ac:dyDescent="0.2">
      <c r="A724" s="106" t="s">
        <v>364</v>
      </c>
      <c r="B724" s="106" t="s">
        <v>263</v>
      </c>
      <c r="C724" s="106" t="s">
        <v>264</v>
      </c>
      <c r="D724" s="106" t="s">
        <v>265</v>
      </c>
      <c r="E724">
        <v>7510</v>
      </c>
      <c r="F724" s="106" t="s">
        <v>378</v>
      </c>
      <c r="G724" s="106" t="s">
        <v>266</v>
      </c>
      <c r="H724" s="106" t="s">
        <v>272</v>
      </c>
      <c r="I724">
        <v>222</v>
      </c>
    </row>
    <row r="725" spans="1:10" x14ac:dyDescent="0.2">
      <c r="A725" s="106" t="s">
        <v>364</v>
      </c>
      <c r="B725" s="106" t="s">
        <v>263</v>
      </c>
      <c r="C725" s="106" t="s">
        <v>264</v>
      </c>
      <c r="D725" s="106" t="s">
        <v>265</v>
      </c>
      <c r="E725">
        <v>7844</v>
      </c>
      <c r="F725" s="106" t="s">
        <v>1730</v>
      </c>
      <c r="G725" s="106" t="s">
        <v>266</v>
      </c>
      <c r="H725" s="106" t="s">
        <v>277</v>
      </c>
      <c r="I725">
        <v>391</v>
      </c>
    </row>
    <row r="726" spans="1:10" x14ac:dyDescent="0.2">
      <c r="A726" s="106" t="s">
        <v>364</v>
      </c>
      <c r="B726" s="106" t="s">
        <v>263</v>
      </c>
      <c r="C726" s="106" t="s">
        <v>264</v>
      </c>
      <c r="D726" s="106" t="s">
        <v>265</v>
      </c>
      <c r="E726">
        <v>8256</v>
      </c>
      <c r="F726" s="106" t="s">
        <v>2477</v>
      </c>
      <c r="G726" s="106" t="s">
        <v>270</v>
      </c>
      <c r="H726" s="106" t="s">
        <v>272</v>
      </c>
      <c r="I726">
        <v>32</v>
      </c>
    </row>
    <row r="727" spans="1:10" x14ac:dyDescent="0.2">
      <c r="A727" s="106" t="s">
        <v>364</v>
      </c>
      <c r="B727" s="106" t="s">
        <v>263</v>
      </c>
      <c r="C727" s="106" t="s">
        <v>264</v>
      </c>
      <c r="D727" s="106" t="s">
        <v>265</v>
      </c>
      <c r="E727">
        <v>8381</v>
      </c>
      <c r="F727" s="106" t="s">
        <v>2478</v>
      </c>
      <c r="G727" s="106" t="s">
        <v>266</v>
      </c>
      <c r="H727" s="106" t="s">
        <v>484</v>
      </c>
      <c r="I727">
        <v>981</v>
      </c>
    </row>
    <row r="728" spans="1:10" x14ac:dyDescent="0.2">
      <c r="A728" s="106" t="s">
        <v>364</v>
      </c>
      <c r="B728" s="106" t="s">
        <v>263</v>
      </c>
      <c r="C728" s="106" t="s">
        <v>264</v>
      </c>
      <c r="D728" s="106" t="s">
        <v>265</v>
      </c>
      <c r="E728">
        <v>8473</v>
      </c>
      <c r="F728" s="106" t="s">
        <v>1731</v>
      </c>
      <c r="G728" s="106" t="s">
        <v>266</v>
      </c>
      <c r="H728" s="106" t="s">
        <v>1448</v>
      </c>
      <c r="I728" t="s">
        <v>283</v>
      </c>
      <c r="J728" t="s">
        <v>4950</v>
      </c>
    </row>
    <row r="729" spans="1:10" x14ac:dyDescent="0.2">
      <c r="A729" s="106" t="s">
        <v>364</v>
      </c>
      <c r="B729" s="106" t="s">
        <v>263</v>
      </c>
      <c r="C729" s="106" t="s">
        <v>264</v>
      </c>
      <c r="D729" s="106" t="s">
        <v>265</v>
      </c>
      <c r="E729">
        <v>8739</v>
      </c>
      <c r="F729" s="106" t="s">
        <v>2479</v>
      </c>
      <c r="G729" s="106" t="s">
        <v>266</v>
      </c>
      <c r="H729" s="106" t="s">
        <v>1448</v>
      </c>
      <c r="I729">
        <v>574</v>
      </c>
    </row>
    <row r="730" spans="1:10" x14ac:dyDescent="0.2">
      <c r="A730" s="106" t="s">
        <v>364</v>
      </c>
      <c r="B730" s="106" t="s">
        <v>263</v>
      </c>
      <c r="C730" s="106" t="s">
        <v>264</v>
      </c>
      <c r="D730" s="106" t="s">
        <v>265</v>
      </c>
      <c r="E730">
        <v>8806</v>
      </c>
      <c r="F730" s="106" t="s">
        <v>382</v>
      </c>
      <c r="G730" s="106" t="s">
        <v>266</v>
      </c>
      <c r="H730" s="106" t="s">
        <v>292</v>
      </c>
      <c r="I730" t="s">
        <v>297</v>
      </c>
      <c r="J730" t="s">
        <v>4951</v>
      </c>
    </row>
    <row r="731" spans="1:10" x14ac:dyDescent="0.2">
      <c r="A731" s="106" t="s">
        <v>364</v>
      </c>
      <c r="B731" s="106" t="s">
        <v>263</v>
      </c>
      <c r="C731" s="106" t="s">
        <v>268</v>
      </c>
      <c r="D731" s="106" t="s">
        <v>265</v>
      </c>
      <c r="E731">
        <v>8889</v>
      </c>
      <c r="F731" s="106" t="s">
        <v>2480</v>
      </c>
      <c r="G731" s="106" t="s">
        <v>270</v>
      </c>
      <c r="H731" s="106" t="s">
        <v>292</v>
      </c>
      <c r="I731">
        <v>157</v>
      </c>
    </row>
    <row r="732" spans="1:10" x14ac:dyDescent="0.2">
      <c r="A732" s="106" t="s">
        <v>364</v>
      </c>
      <c r="B732" s="106" t="s">
        <v>263</v>
      </c>
      <c r="C732" s="106" t="s">
        <v>264</v>
      </c>
      <c r="D732" s="106" t="s">
        <v>265</v>
      </c>
      <c r="E732">
        <v>8938</v>
      </c>
      <c r="F732" s="106" t="s">
        <v>2481</v>
      </c>
      <c r="G732" s="106" t="s">
        <v>270</v>
      </c>
      <c r="H732" s="106" t="s">
        <v>292</v>
      </c>
      <c r="I732">
        <v>67</v>
      </c>
    </row>
    <row r="733" spans="1:10" x14ac:dyDescent="0.2">
      <c r="A733" s="106" t="s">
        <v>364</v>
      </c>
      <c r="B733" s="106" t="s">
        <v>263</v>
      </c>
      <c r="C733" s="106" t="s">
        <v>264</v>
      </c>
      <c r="D733" s="106" t="s">
        <v>265</v>
      </c>
      <c r="E733">
        <v>9110</v>
      </c>
      <c r="F733" s="106" t="s">
        <v>2482</v>
      </c>
      <c r="G733" s="106" t="s">
        <v>266</v>
      </c>
      <c r="H733" s="106" t="s">
        <v>2193</v>
      </c>
      <c r="I733">
        <v>519</v>
      </c>
    </row>
    <row r="734" spans="1:10" x14ac:dyDescent="0.2">
      <c r="A734" s="106" t="s">
        <v>364</v>
      </c>
      <c r="B734" s="106" t="s">
        <v>263</v>
      </c>
      <c r="C734" s="106" t="s">
        <v>264</v>
      </c>
      <c r="D734" s="106" t="s">
        <v>265</v>
      </c>
      <c r="E734">
        <v>9466</v>
      </c>
      <c r="F734" s="106" t="s">
        <v>2483</v>
      </c>
      <c r="G734" s="106" t="s">
        <v>266</v>
      </c>
      <c r="H734" s="106" t="s">
        <v>277</v>
      </c>
      <c r="I734">
        <v>94</v>
      </c>
    </row>
    <row r="735" spans="1:10" x14ac:dyDescent="0.2">
      <c r="A735" s="106" t="s">
        <v>364</v>
      </c>
      <c r="B735" s="106" t="s">
        <v>263</v>
      </c>
      <c r="C735" s="106" t="s">
        <v>264</v>
      </c>
      <c r="D735" s="106" t="s">
        <v>265</v>
      </c>
      <c r="E735">
        <v>9534</v>
      </c>
      <c r="F735" s="106" t="s">
        <v>4458</v>
      </c>
      <c r="G735" s="106" t="s">
        <v>266</v>
      </c>
      <c r="H735" s="106" t="s">
        <v>489</v>
      </c>
      <c r="I735">
        <v>297</v>
      </c>
    </row>
    <row r="736" spans="1:10" x14ac:dyDescent="0.2">
      <c r="A736" s="106" t="s">
        <v>364</v>
      </c>
      <c r="B736" s="106" t="s">
        <v>263</v>
      </c>
      <c r="C736" s="106" t="s">
        <v>264</v>
      </c>
      <c r="D736" s="106" t="s">
        <v>265</v>
      </c>
      <c r="E736">
        <v>9826</v>
      </c>
      <c r="F736" s="106" t="s">
        <v>2484</v>
      </c>
      <c r="G736" s="106" t="s">
        <v>274</v>
      </c>
      <c r="H736" s="106" t="s">
        <v>276</v>
      </c>
      <c r="I736">
        <v>10</v>
      </c>
    </row>
    <row r="737" spans="1:10" x14ac:dyDescent="0.2">
      <c r="A737" s="106" t="s">
        <v>364</v>
      </c>
      <c r="B737" s="106" t="s">
        <v>263</v>
      </c>
      <c r="C737" s="106" t="s">
        <v>264</v>
      </c>
      <c r="D737" s="106" t="s">
        <v>265</v>
      </c>
      <c r="E737">
        <v>9882</v>
      </c>
      <c r="F737" s="106" t="s">
        <v>2485</v>
      </c>
      <c r="G737" s="106" t="s">
        <v>266</v>
      </c>
      <c r="H737" s="106" t="s">
        <v>272</v>
      </c>
      <c r="I737">
        <v>919</v>
      </c>
    </row>
    <row r="738" spans="1:10" x14ac:dyDescent="0.2">
      <c r="A738" s="106" t="s">
        <v>383</v>
      </c>
      <c r="B738" s="106" t="s">
        <v>1915</v>
      </c>
      <c r="C738" s="106" t="s">
        <v>264</v>
      </c>
      <c r="D738" s="106" t="s">
        <v>265</v>
      </c>
      <c r="E738">
        <v>4228</v>
      </c>
      <c r="F738" s="106" t="s">
        <v>2486</v>
      </c>
      <c r="G738" s="106" t="s">
        <v>266</v>
      </c>
      <c r="H738" s="106" t="s">
        <v>279</v>
      </c>
      <c r="I738">
        <v>376</v>
      </c>
    </row>
    <row r="739" spans="1:10" x14ac:dyDescent="0.2">
      <c r="A739" s="106" t="s">
        <v>383</v>
      </c>
      <c r="B739" s="106" t="s">
        <v>1481</v>
      </c>
      <c r="C739" s="106" t="s">
        <v>264</v>
      </c>
      <c r="D739" s="106" t="s">
        <v>265</v>
      </c>
      <c r="E739">
        <v>1515</v>
      </c>
      <c r="F739" s="106" t="s">
        <v>1462</v>
      </c>
      <c r="G739" s="106" t="s">
        <v>266</v>
      </c>
      <c r="H739" s="106" t="s">
        <v>565</v>
      </c>
      <c r="I739">
        <v>415</v>
      </c>
    </row>
    <row r="740" spans="1:10" x14ac:dyDescent="0.2">
      <c r="A740" s="106" t="s">
        <v>383</v>
      </c>
      <c r="B740" s="106" t="s">
        <v>1481</v>
      </c>
      <c r="C740" s="106" t="s">
        <v>264</v>
      </c>
      <c r="D740" s="106" t="s">
        <v>265</v>
      </c>
      <c r="E740">
        <v>4042</v>
      </c>
      <c r="F740" s="106" t="s">
        <v>2487</v>
      </c>
      <c r="G740" s="106" t="s">
        <v>266</v>
      </c>
      <c r="H740" s="106" t="s">
        <v>279</v>
      </c>
      <c r="I740" t="s">
        <v>283</v>
      </c>
      <c r="J740" t="s">
        <v>4647</v>
      </c>
    </row>
    <row r="741" spans="1:10" x14ac:dyDescent="0.2">
      <c r="A741" s="106" t="s">
        <v>383</v>
      </c>
      <c r="B741" s="106" t="s">
        <v>1481</v>
      </c>
      <c r="C741" s="106" t="s">
        <v>264</v>
      </c>
      <c r="D741" s="106" t="s">
        <v>265</v>
      </c>
      <c r="E741">
        <v>4507</v>
      </c>
      <c r="F741" s="106" t="s">
        <v>2488</v>
      </c>
      <c r="G741" s="106" t="s">
        <v>266</v>
      </c>
      <c r="H741" s="106" t="s">
        <v>311</v>
      </c>
      <c r="I741" t="s">
        <v>1783</v>
      </c>
      <c r="J741" t="s">
        <v>4691</v>
      </c>
    </row>
    <row r="742" spans="1:10" x14ac:dyDescent="0.2">
      <c r="A742" s="106" t="s">
        <v>383</v>
      </c>
      <c r="B742" s="106" t="s">
        <v>1481</v>
      </c>
      <c r="C742" s="106" t="s">
        <v>264</v>
      </c>
      <c r="D742" s="106" t="s">
        <v>265</v>
      </c>
      <c r="E742">
        <v>4521</v>
      </c>
      <c r="F742" s="106" t="s">
        <v>708</v>
      </c>
      <c r="G742" s="106" t="s">
        <v>266</v>
      </c>
      <c r="H742" s="106" t="s">
        <v>311</v>
      </c>
      <c r="I742" t="s">
        <v>289</v>
      </c>
      <c r="J742" t="s">
        <v>4661</v>
      </c>
    </row>
    <row r="743" spans="1:10" x14ac:dyDescent="0.2">
      <c r="A743" s="106" t="s">
        <v>383</v>
      </c>
      <c r="B743" s="106" t="s">
        <v>1481</v>
      </c>
      <c r="C743" s="106" t="s">
        <v>264</v>
      </c>
      <c r="D743" s="106" t="s">
        <v>265</v>
      </c>
      <c r="E743">
        <v>5444</v>
      </c>
      <c r="F743" s="106" t="s">
        <v>2489</v>
      </c>
      <c r="G743" s="106" t="s">
        <v>266</v>
      </c>
      <c r="H743" s="106" t="s">
        <v>726</v>
      </c>
      <c r="I743" s="106" t="s">
        <v>297</v>
      </c>
      <c r="J743" s="106" t="s">
        <v>4952</v>
      </c>
    </row>
    <row r="744" spans="1:10" x14ac:dyDescent="0.2">
      <c r="A744" s="106" t="s">
        <v>383</v>
      </c>
      <c r="B744" s="106" t="s">
        <v>1481</v>
      </c>
      <c r="C744" s="106" t="s">
        <v>264</v>
      </c>
      <c r="D744" s="106" t="s">
        <v>265</v>
      </c>
      <c r="E744">
        <v>6503</v>
      </c>
      <c r="F744" s="106" t="s">
        <v>2490</v>
      </c>
      <c r="G744" s="106" t="s">
        <v>266</v>
      </c>
      <c r="H744" s="106" t="s">
        <v>291</v>
      </c>
      <c r="I744" t="s">
        <v>4662</v>
      </c>
      <c r="J744" t="s">
        <v>4953</v>
      </c>
    </row>
    <row r="745" spans="1:10" x14ac:dyDescent="0.2">
      <c r="A745" s="106" t="s">
        <v>383</v>
      </c>
      <c r="B745" s="106" t="s">
        <v>1481</v>
      </c>
      <c r="C745" s="106" t="s">
        <v>264</v>
      </c>
      <c r="D745" s="106" t="s">
        <v>265</v>
      </c>
      <c r="E745">
        <v>7988</v>
      </c>
      <c r="F745" s="106" t="s">
        <v>2491</v>
      </c>
      <c r="G745" s="106" t="s">
        <v>266</v>
      </c>
      <c r="H745" s="106" t="s">
        <v>279</v>
      </c>
      <c r="I745" t="s">
        <v>333</v>
      </c>
      <c r="J745" t="s">
        <v>4606</v>
      </c>
    </row>
    <row r="746" spans="1:10" x14ac:dyDescent="0.2">
      <c r="A746" s="106" t="s">
        <v>383</v>
      </c>
      <c r="B746" s="106" t="s">
        <v>1481</v>
      </c>
      <c r="C746" s="106" t="s">
        <v>264</v>
      </c>
      <c r="D746" s="106" t="s">
        <v>265</v>
      </c>
      <c r="E746">
        <v>8130</v>
      </c>
      <c r="F746" s="106" t="s">
        <v>2492</v>
      </c>
      <c r="G746" s="106" t="s">
        <v>266</v>
      </c>
      <c r="H746" s="106" t="s">
        <v>272</v>
      </c>
      <c r="I746" t="s">
        <v>297</v>
      </c>
      <c r="J746" t="s">
        <v>4954</v>
      </c>
    </row>
    <row r="747" spans="1:10" x14ac:dyDescent="0.2">
      <c r="A747" s="106" t="s">
        <v>383</v>
      </c>
      <c r="B747" s="106" t="s">
        <v>1481</v>
      </c>
      <c r="C747" s="106" t="s">
        <v>264</v>
      </c>
      <c r="D747" s="106" t="s">
        <v>265</v>
      </c>
      <c r="E747">
        <v>8541</v>
      </c>
      <c r="F747" s="106" t="s">
        <v>2493</v>
      </c>
      <c r="G747" s="106" t="s">
        <v>266</v>
      </c>
      <c r="H747" s="106" t="s">
        <v>484</v>
      </c>
      <c r="I747">
        <v>451</v>
      </c>
    </row>
    <row r="748" spans="1:10" x14ac:dyDescent="0.2">
      <c r="A748" s="106" t="s">
        <v>383</v>
      </c>
      <c r="B748" s="106" t="s">
        <v>686</v>
      </c>
      <c r="C748" s="106" t="s">
        <v>264</v>
      </c>
      <c r="D748" s="106" t="s">
        <v>269</v>
      </c>
      <c r="E748">
        <v>1730</v>
      </c>
      <c r="F748" s="106" t="s">
        <v>2494</v>
      </c>
      <c r="G748" s="106" t="s">
        <v>270</v>
      </c>
      <c r="H748" s="106" t="s">
        <v>293</v>
      </c>
      <c r="I748">
        <v>19</v>
      </c>
    </row>
    <row r="749" spans="1:10" x14ac:dyDescent="0.2">
      <c r="A749" s="106" t="s">
        <v>383</v>
      </c>
      <c r="B749" s="106" t="s">
        <v>686</v>
      </c>
      <c r="C749" s="106" t="s">
        <v>264</v>
      </c>
      <c r="D749" s="106" t="s">
        <v>265</v>
      </c>
      <c r="E749">
        <v>2281</v>
      </c>
      <c r="F749" s="106" t="s">
        <v>2495</v>
      </c>
      <c r="G749" s="106" t="s">
        <v>266</v>
      </c>
      <c r="H749" s="106" t="s">
        <v>267</v>
      </c>
      <c r="I749" t="s">
        <v>297</v>
      </c>
      <c r="J749" t="s">
        <v>4955</v>
      </c>
    </row>
    <row r="750" spans="1:10" x14ac:dyDescent="0.2">
      <c r="A750" s="106" t="s">
        <v>383</v>
      </c>
      <c r="B750" s="106" t="s">
        <v>686</v>
      </c>
      <c r="C750" s="106" t="s">
        <v>264</v>
      </c>
      <c r="D750" s="106" t="s">
        <v>265</v>
      </c>
      <c r="E750">
        <v>3151</v>
      </c>
      <c r="F750" s="106" t="s">
        <v>2496</v>
      </c>
      <c r="G750" s="106" t="s">
        <v>266</v>
      </c>
      <c r="H750" s="106" t="s">
        <v>272</v>
      </c>
      <c r="I750">
        <v>658</v>
      </c>
    </row>
    <row r="751" spans="1:10" x14ac:dyDescent="0.2">
      <c r="A751" s="106" t="s">
        <v>383</v>
      </c>
      <c r="B751" s="106" t="s">
        <v>686</v>
      </c>
      <c r="C751" s="106" t="s">
        <v>264</v>
      </c>
      <c r="D751" s="106" t="s">
        <v>265</v>
      </c>
      <c r="E751">
        <v>4275</v>
      </c>
      <c r="F751" s="106" t="s">
        <v>2497</v>
      </c>
      <c r="G751" s="106" t="s">
        <v>266</v>
      </c>
      <c r="H751" s="106" t="s">
        <v>279</v>
      </c>
      <c r="I751">
        <v>149</v>
      </c>
    </row>
    <row r="752" spans="1:10" x14ac:dyDescent="0.2">
      <c r="A752" s="106" t="s">
        <v>383</v>
      </c>
      <c r="B752" s="106" t="s">
        <v>686</v>
      </c>
      <c r="C752" s="106" t="s">
        <v>264</v>
      </c>
      <c r="D752" s="106" t="s">
        <v>269</v>
      </c>
      <c r="E752">
        <v>7506</v>
      </c>
      <c r="F752" s="106" t="s">
        <v>387</v>
      </c>
      <c r="G752" s="106" t="s">
        <v>266</v>
      </c>
      <c r="H752" s="106" t="s">
        <v>276</v>
      </c>
      <c r="I752">
        <v>80</v>
      </c>
    </row>
    <row r="753" spans="1:10" x14ac:dyDescent="0.2">
      <c r="A753" s="106" t="s">
        <v>383</v>
      </c>
      <c r="B753" s="106" t="s">
        <v>686</v>
      </c>
      <c r="C753" s="106" t="s">
        <v>268</v>
      </c>
      <c r="D753" s="106" t="s">
        <v>269</v>
      </c>
      <c r="E753">
        <v>7643</v>
      </c>
      <c r="F753" s="106" t="s">
        <v>2498</v>
      </c>
      <c r="G753" s="106" t="s">
        <v>270</v>
      </c>
      <c r="H753" s="106" t="s">
        <v>276</v>
      </c>
      <c r="I753">
        <v>78</v>
      </c>
    </row>
    <row r="754" spans="1:10" x14ac:dyDescent="0.2">
      <c r="A754" s="106" t="s">
        <v>383</v>
      </c>
      <c r="B754" s="106" t="s">
        <v>686</v>
      </c>
      <c r="C754" s="106" t="s">
        <v>264</v>
      </c>
      <c r="D754" s="106" t="s">
        <v>265</v>
      </c>
      <c r="E754">
        <v>8006</v>
      </c>
      <c r="F754" s="106" t="s">
        <v>2499</v>
      </c>
      <c r="G754" s="106" t="s">
        <v>274</v>
      </c>
      <c r="H754" s="106" t="s">
        <v>272</v>
      </c>
      <c r="I754">
        <v>182</v>
      </c>
    </row>
    <row r="755" spans="1:10" x14ac:dyDescent="0.2">
      <c r="A755" s="106" t="s">
        <v>383</v>
      </c>
      <c r="B755" s="106" t="s">
        <v>686</v>
      </c>
      <c r="C755" s="106" t="s">
        <v>264</v>
      </c>
      <c r="D755" s="106" t="s">
        <v>265</v>
      </c>
      <c r="E755">
        <v>8087</v>
      </c>
      <c r="F755" s="106" t="s">
        <v>2500</v>
      </c>
      <c r="G755" s="106" t="s">
        <v>266</v>
      </c>
      <c r="H755" s="106" t="s">
        <v>272</v>
      </c>
      <c r="I755">
        <v>255</v>
      </c>
    </row>
    <row r="756" spans="1:10" x14ac:dyDescent="0.2">
      <c r="A756" s="106" t="s">
        <v>383</v>
      </c>
      <c r="B756" s="106" t="s">
        <v>686</v>
      </c>
      <c r="C756" s="106" t="s">
        <v>264</v>
      </c>
      <c r="D756" s="106" t="s">
        <v>265</v>
      </c>
      <c r="E756">
        <v>8138</v>
      </c>
      <c r="F756" s="106" t="s">
        <v>550</v>
      </c>
      <c r="G756" s="106" t="s">
        <v>274</v>
      </c>
      <c r="H756" s="106" t="s">
        <v>272</v>
      </c>
      <c r="I756">
        <v>43</v>
      </c>
    </row>
    <row r="757" spans="1:10" x14ac:dyDescent="0.2">
      <c r="A757" s="106" t="s">
        <v>383</v>
      </c>
      <c r="B757" s="106" t="s">
        <v>686</v>
      </c>
      <c r="C757" s="106" t="s">
        <v>268</v>
      </c>
      <c r="D757" s="106" t="s">
        <v>265</v>
      </c>
      <c r="E757">
        <v>8151</v>
      </c>
      <c r="F757" s="106" t="s">
        <v>2501</v>
      </c>
      <c r="G757" s="106" t="s">
        <v>266</v>
      </c>
      <c r="H757" s="106" t="s">
        <v>272</v>
      </c>
      <c r="I757">
        <v>345</v>
      </c>
    </row>
    <row r="758" spans="1:10" x14ac:dyDescent="0.2">
      <c r="A758" s="106" t="s">
        <v>383</v>
      </c>
      <c r="B758" s="106" t="s">
        <v>686</v>
      </c>
      <c r="C758" s="106" t="s">
        <v>264</v>
      </c>
      <c r="D758" s="106" t="s">
        <v>265</v>
      </c>
      <c r="E758">
        <v>8370</v>
      </c>
      <c r="F758" s="106" t="s">
        <v>2502</v>
      </c>
      <c r="G758" s="106" t="s">
        <v>266</v>
      </c>
      <c r="H758" s="106" t="s">
        <v>484</v>
      </c>
      <c r="I758" t="s">
        <v>297</v>
      </c>
      <c r="J758" t="s">
        <v>4720</v>
      </c>
    </row>
    <row r="759" spans="1:10" x14ac:dyDescent="0.2">
      <c r="A759" s="106" t="s">
        <v>383</v>
      </c>
      <c r="B759" s="106" t="s">
        <v>686</v>
      </c>
      <c r="C759" s="106" t="s">
        <v>264</v>
      </c>
      <c r="D759" s="106" t="s">
        <v>265</v>
      </c>
      <c r="E759">
        <v>9887</v>
      </c>
      <c r="F759" s="106" t="s">
        <v>559</v>
      </c>
      <c r="G759" s="106" t="s">
        <v>266</v>
      </c>
      <c r="H759" s="106" t="s">
        <v>276</v>
      </c>
      <c r="I759">
        <v>952</v>
      </c>
    </row>
    <row r="760" spans="1:10" x14ac:dyDescent="0.2">
      <c r="A760" s="106" t="s">
        <v>383</v>
      </c>
      <c r="B760" s="106" t="s">
        <v>327</v>
      </c>
      <c r="C760" s="106" t="s">
        <v>264</v>
      </c>
      <c r="D760" s="106" t="s">
        <v>265</v>
      </c>
      <c r="E760">
        <v>1333</v>
      </c>
      <c r="F760" s="106" t="s">
        <v>2503</v>
      </c>
      <c r="G760" s="106" t="s">
        <v>266</v>
      </c>
      <c r="H760" s="106" t="s">
        <v>314</v>
      </c>
      <c r="I760" t="s">
        <v>297</v>
      </c>
      <c r="J760" t="s">
        <v>4312</v>
      </c>
    </row>
    <row r="761" spans="1:10" x14ac:dyDescent="0.2">
      <c r="A761" s="106" t="s">
        <v>383</v>
      </c>
      <c r="B761" s="106" t="s">
        <v>327</v>
      </c>
      <c r="C761" s="106" t="s">
        <v>264</v>
      </c>
      <c r="D761" s="106" t="s">
        <v>269</v>
      </c>
      <c r="E761">
        <v>1379</v>
      </c>
      <c r="F761" s="106" t="s">
        <v>384</v>
      </c>
      <c r="G761" s="106" t="s">
        <v>266</v>
      </c>
      <c r="H761" s="106" t="s">
        <v>314</v>
      </c>
      <c r="I761">
        <v>650</v>
      </c>
    </row>
    <row r="762" spans="1:10" x14ac:dyDescent="0.2">
      <c r="A762" s="106" t="s">
        <v>383</v>
      </c>
      <c r="B762" s="106" t="s">
        <v>327</v>
      </c>
      <c r="C762" s="106" t="s">
        <v>264</v>
      </c>
      <c r="D762" s="106" t="s">
        <v>265</v>
      </c>
      <c r="E762">
        <v>1728</v>
      </c>
      <c r="F762" s="106" t="s">
        <v>2504</v>
      </c>
      <c r="G762" s="106" t="s">
        <v>270</v>
      </c>
      <c r="H762" s="106" t="s">
        <v>293</v>
      </c>
      <c r="I762">
        <v>41</v>
      </c>
    </row>
    <row r="763" spans="1:10" x14ac:dyDescent="0.2">
      <c r="A763" s="106" t="s">
        <v>383</v>
      </c>
      <c r="B763" s="106" t="s">
        <v>327</v>
      </c>
      <c r="C763" s="106" t="s">
        <v>264</v>
      </c>
      <c r="D763" s="106" t="s">
        <v>265</v>
      </c>
      <c r="E763">
        <v>2222</v>
      </c>
      <c r="F763" s="106" t="s">
        <v>2505</v>
      </c>
      <c r="G763" s="106" t="s">
        <v>266</v>
      </c>
      <c r="H763" s="106" t="s">
        <v>267</v>
      </c>
      <c r="I763" t="s">
        <v>289</v>
      </c>
      <c r="J763" t="s">
        <v>4956</v>
      </c>
    </row>
    <row r="764" spans="1:10" x14ac:dyDescent="0.2">
      <c r="A764" s="106" t="s">
        <v>383</v>
      </c>
      <c r="B764" s="106" t="s">
        <v>327</v>
      </c>
      <c r="C764" s="106" t="s">
        <v>268</v>
      </c>
      <c r="D764" s="106" t="s">
        <v>265</v>
      </c>
      <c r="E764">
        <v>2309</v>
      </c>
      <c r="F764" s="106" t="s">
        <v>2506</v>
      </c>
      <c r="G764" s="106" t="s">
        <v>266</v>
      </c>
      <c r="H764" s="106" t="s">
        <v>271</v>
      </c>
      <c r="I764">
        <v>349</v>
      </c>
    </row>
    <row r="765" spans="1:10" x14ac:dyDescent="0.2">
      <c r="A765" s="106" t="s">
        <v>383</v>
      </c>
      <c r="B765" s="106" t="s">
        <v>327</v>
      </c>
      <c r="C765" s="106" t="s">
        <v>275</v>
      </c>
      <c r="D765" s="106" t="s">
        <v>269</v>
      </c>
      <c r="E765">
        <v>2477</v>
      </c>
      <c r="F765" s="106" t="s">
        <v>2507</v>
      </c>
      <c r="G765" s="106" t="s">
        <v>278</v>
      </c>
      <c r="H765" s="106" t="s">
        <v>271</v>
      </c>
      <c r="I765">
        <v>417</v>
      </c>
    </row>
    <row r="766" spans="1:10" x14ac:dyDescent="0.2">
      <c r="A766" s="106" t="s">
        <v>383</v>
      </c>
      <c r="B766" s="106" t="s">
        <v>327</v>
      </c>
      <c r="C766" s="106" t="s">
        <v>275</v>
      </c>
      <c r="D766" s="106" t="s">
        <v>265</v>
      </c>
      <c r="E766">
        <v>2689</v>
      </c>
      <c r="F766" s="106" t="s">
        <v>1463</v>
      </c>
      <c r="G766" s="106" t="s">
        <v>274</v>
      </c>
      <c r="H766" s="106" t="s">
        <v>272</v>
      </c>
      <c r="I766">
        <v>89</v>
      </c>
    </row>
    <row r="767" spans="1:10" x14ac:dyDescent="0.2">
      <c r="A767" s="106" t="s">
        <v>383</v>
      </c>
      <c r="B767" s="106" t="s">
        <v>327</v>
      </c>
      <c r="C767" s="106" t="s">
        <v>264</v>
      </c>
      <c r="D767" s="106" t="s">
        <v>265</v>
      </c>
      <c r="E767">
        <v>2907</v>
      </c>
      <c r="F767" s="106" t="s">
        <v>385</v>
      </c>
      <c r="G767" s="106" t="s">
        <v>274</v>
      </c>
      <c r="H767" s="106" t="s">
        <v>267</v>
      </c>
      <c r="I767">
        <v>65</v>
      </c>
    </row>
    <row r="768" spans="1:10" x14ac:dyDescent="0.2">
      <c r="A768" s="106" t="s">
        <v>383</v>
      </c>
      <c r="B768" s="106" t="s">
        <v>327</v>
      </c>
      <c r="C768" s="106" t="s">
        <v>264</v>
      </c>
      <c r="D768" s="106" t="s">
        <v>265</v>
      </c>
      <c r="E768">
        <v>3024</v>
      </c>
      <c r="F768" s="106" t="s">
        <v>706</v>
      </c>
      <c r="G768" s="106" t="s">
        <v>270</v>
      </c>
      <c r="H768" s="106" t="s">
        <v>272</v>
      </c>
      <c r="I768">
        <v>30</v>
      </c>
    </row>
    <row r="769" spans="1:10" x14ac:dyDescent="0.2">
      <c r="A769" s="106" t="s">
        <v>383</v>
      </c>
      <c r="B769" s="106" t="s">
        <v>327</v>
      </c>
      <c r="C769" s="106" t="s">
        <v>273</v>
      </c>
      <c r="D769" s="106" t="s">
        <v>265</v>
      </c>
      <c r="E769">
        <v>3064</v>
      </c>
      <c r="F769" s="106" t="s">
        <v>1632</v>
      </c>
      <c r="G769" s="106" t="s">
        <v>266</v>
      </c>
      <c r="H769" s="106" t="s">
        <v>276</v>
      </c>
      <c r="I769" t="s">
        <v>325</v>
      </c>
      <c r="J769" t="s">
        <v>4618</v>
      </c>
    </row>
    <row r="770" spans="1:10" x14ac:dyDescent="0.2">
      <c r="A770" s="106" t="s">
        <v>383</v>
      </c>
      <c r="B770" s="106" t="s">
        <v>327</v>
      </c>
      <c r="C770" s="106" t="s">
        <v>275</v>
      </c>
      <c r="D770" s="106" t="s">
        <v>265</v>
      </c>
      <c r="E770">
        <v>3191</v>
      </c>
      <c r="F770" s="106" t="s">
        <v>2508</v>
      </c>
      <c r="G770" s="106" t="s">
        <v>266</v>
      </c>
      <c r="H770" s="106" t="s">
        <v>276</v>
      </c>
      <c r="I770" t="s">
        <v>297</v>
      </c>
      <c r="J770" t="s">
        <v>4609</v>
      </c>
    </row>
    <row r="771" spans="1:10" x14ac:dyDescent="0.2">
      <c r="A771" s="106" t="s">
        <v>383</v>
      </c>
      <c r="B771" s="106" t="s">
        <v>327</v>
      </c>
      <c r="C771" s="106" t="s">
        <v>264</v>
      </c>
      <c r="D771" s="106" t="s">
        <v>269</v>
      </c>
      <c r="E771">
        <v>3467</v>
      </c>
      <c r="F771" s="106" t="s">
        <v>528</v>
      </c>
      <c r="G771" s="106" t="s">
        <v>266</v>
      </c>
      <c r="H771" s="106" t="s">
        <v>292</v>
      </c>
      <c r="I771">
        <v>34</v>
      </c>
    </row>
    <row r="772" spans="1:10" x14ac:dyDescent="0.2">
      <c r="A772" s="106" t="s">
        <v>383</v>
      </c>
      <c r="B772" s="106" t="s">
        <v>327</v>
      </c>
      <c r="C772" s="106" t="s">
        <v>264</v>
      </c>
      <c r="D772" s="106" t="s">
        <v>269</v>
      </c>
      <c r="E772">
        <v>3484</v>
      </c>
      <c r="F772" s="106" t="s">
        <v>707</v>
      </c>
      <c r="G772" s="106" t="s">
        <v>266</v>
      </c>
      <c r="H772" s="106" t="s">
        <v>292</v>
      </c>
      <c r="I772">
        <v>168</v>
      </c>
    </row>
    <row r="773" spans="1:10" x14ac:dyDescent="0.2">
      <c r="A773" s="106" t="s">
        <v>383</v>
      </c>
      <c r="B773" s="106" t="s">
        <v>327</v>
      </c>
      <c r="C773" s="106" t="s">
        <v>264</v>
      </c>
      <c r="D773" s="106" t="s">
        <v>265</v>
      </c>
      <c r="E773">
        <v>3612</v>
      </c>
      <c r="F773" s="106" t="s">
        <v>386</v>
      </c>
      <c r="G773" s="106" t="s">
        <v>266</v>
      </c>
      <c r="H773" s="106" t="s">
        <v>299</v>
      </c>
      <c r="I773">
        <v>899</v>
      </c>
    </row>
    <row r="774" spans="1:10" x14ac:dyDescent="0.2">
      <c r="A774" s="106" t="s">
        <v>383</v>
      </c>
      <c r="B774" s="106" t="s">
        <v>327</v>
      </c>
      <c r="C774" s="106" t="s">
        <v>275</v>
      </c>
      <c r="D774" s="106" t="s">
        <v>265</v>
      </c>
      <c r="E774">
        <v>3632</v>
      </c>
      <c r="F774" s="106" t="s">
        <v>2509</v>
      </c>
      <c r="G774" s="106" t="s">
        <v>266</v>
      </c>
      <c r="H774" s="106" t="s">
        <v>277</v>
      </c>
      <c r="I774" t="s">
        <v>297</v>
      </c>
      <c r="J774" t="s">
        <v>4350</v>
      </c>
    </row>
    <row r="775" spans="1:10" x14ac:dyDescent="0.2">
      <c r="A775" s="106" t="s">
        <v>383</v>
      </c>
      <c r="B775" s="106" t="s">
        <v>327</v>
      </c>
      <c r="C775" s="106" t="s">
        <v>264</v>
      </c>
      <c r="D775" s="106" t="s">
        <v>265</v>
      </c>
      <c r="E775">
        <v>3750</v>
      </c>
      <c r="F775" s="106" t="s">
        <v>4461</v>
      </c>
      <c r="G775" s="106" t="s">
        <v>274</v>
      </c>
      <c r="H775" s="106" t="s">
        <v>277</v>
      </c>
      <c r="I775">
        <v>77</v>
      </c>
    </row>
    <row r="776" spans="1:10" x14ac:dyDescent="0.2">
      <c r="A776" s="106" t="s">
        <v>383</v>
      </c>
      <c r="B776" s="106" t="s">
        <v>327</v>
      </c>
      <c r="C776" s="106" t="s">
        <v>268</v>
      </c>
      <c r="D776" s="106" t="s">
        <v>265</v>
      </c>
      <c r="E776">
        <v>4320</v>
      </c>
      <c r="F776" s="106" t="s">
        <v>2510</v>
      </c>
      <c r="G776" s="106" t="s">
        <v>266</v>
      </c>
      <c r="H776" s="106" t="s">
        <v>277</v>
      </c>
      <c r="I776" s="106">
        <v>77</v>
      </c>
      <c r="J776" s="106"/>
    </row>
    <row r="777" spans="1:10" x14ac:dyDescent="0.2">
      <c r="A777" s="106" t="s">
        <v>383</v>
      </c>
      <c r="B777" s="106" t="s">
        <v>327</v>
      </c>
      <c r="C777" s="106" t="s">
        <v>273</v>
      </c>
      <c r="D777" s="106" t="s">
        <v>265</v>
      </c>
      <c r="E777">
        <v>4563</v>
      </c>
      <c r="F777" s="106" t="s">
        <v>2511</v>
      </c>
      <c r="G777" s="106" t="s">
        <v>278</v>
      </c>
      <c r="H777" s="106" t="s">
        <v>311</v>
      </c>
      <c r="I777">
        <v>657</v>
      </c>
    </row>
    <row r="778" spans="1:10" x14ac:dyDescent="0.2">
      <c r="A778" s="106" t="s">
        <v>383</v>
      </c>
      <c r="B778" s="106" t="s">
        <v>327</v>
      </c>
      <c r="C778" s="106" t="s">
        <v>273</v>
      </c>
      <c r="D778" s="106" t="s">
        <v>265</v>
      </c>
      <c r="E778">
        <v>4746</v>
      </c>
      <c r="F778" s="106" t="s">
        <v>2512</v>
      </c>
      <c r="G778" s="106" t="s">
        <v>266</v>
      </c>
      <c r="H778" s="106" t="s">
        <v>277</v>
      </c>
      <c r="I778">
        <v>343</v>
      </c>
    </row>
    <row r="779" spans="1:10" x14ac:dyDescent="0.2">
      <c r="A779" s="106" t="s">
        <v>383</v>
      </c>
      <c r="B779" s="106" t="s">
        <v>327</v>
      </c>
      <c r="C779" s="106" t="s">
        <v>273</v>
      </c>
      <c r="D779" s="106" t="s">
        <v>265</v>
      </c>
      <c r="E779">
        <v>4768</v>
      </c>
      <c r="F779" s="106" t="s">
        <v>1861</v>
      </c>
      <c r="G779" s="106" t="s">
        <v>266</v>
      </c>
      <c r="H779" s="106" t="s">
        <v>277</v>
      </c>
      <c r="I779" t="s">
        <v>343</v>
      </c>
      <c r="J779" t="s">
        <v>4471</v>
      </c>
    </row>
    <row r="780" spans="1:10" x14ac:dyDescent="0.2">
      <c r="A780" s="106" t="s">
        <v>383</v>
      </c>
      <c r="B780" s="106" t="s">
        <v>327</v>
      </c>
      <c r="C780" s="106" t="s">
        <v>264</v>
      </c>
      <c r="D780" s="106" t="s">
        <v>265</v>
      </c>
      <c r="E780">
        <v>4783</v>
      </c>
      <c r="F780" s="106" t="s">
        <v>2513</v>
      </c>
      <c r="G780" s="106" t="s">
        <v>270</v>
      </c>
      <c r="H780" s="106" t="s">
        <v>277</v>
      </c>
      <c r="I780">
        <v>78</v>
      </c>
    </row>
    <row r="781" spans="1:10" x14ac:dyDescent="0.2">
      <c r="A781" s="106" t="s">
        <v>383</v>
      </c>
      <c r="B781" s="106" t="s">
        <v>327</v>
      </c>
      <c r="C781" s="106" t="s">
        <v>264</v>
      </c>
      <c r="D781" s="106" t="s">
        <v>265</v>
      </c>
      <c r="E781">
        <v>4800</v>
      </c>
      <c r="F781" s="106" t="s">
        <v>2514</v>
      </c>
      <c r="G781" s="106" t="s">
        <v>270</v>
      </c>
      <c r="H781" s="106" t="s">
        <v>277</v>
      </c>
      <c r="I781">
        <v>242</v>
      </c>
    </row>
    <row r="782" spans="1:10" x14ac:dyDescent="0.2">
      <c r="A782" s="106" t="s">
        <v>383</v>
      </c>
      <c r="B782" s="106" t="s">
        <v>327</v>
      </c>
      <c r="C782" s="106" t="s">
        <v>264</v>
      </c>
      <c r="D782" s="106" t="s">
        <v>265</v>
      </c>
      <c r="E782">
        <v>4902</v>
      </c>
      <c r="F782" s="106" t="s">
        <v>2515</v>
      </c>
      <c r="G782" s="106" t="s">
        <v>266</v>
      </c>
      <c r="H782" s="106" t="s">
        <v>291</v>
      </c>
      <c r="I782" s="106" t="s">
        <v>333</v>
      </c>
      <c r="J782" s="106" t="s">
        <v>4724</v>
      </c>
    </row>
    <row r="783" spans="1:10" x14ac:dyDescent="0.2">
      <c r="A783" s="106" t="s">
        <v>383</v>
      </c>
      <c r="B783" s="106" t="s">
        <v>327</v>
      </c>
      <c r="C783" s="106" t="s">
        <v>264</v>
      </c>
      <c r="D783" s="106" t="s">
        <v>265</v>
      </c>
      <c r="E783">
        <v>4968</v>
      </c>
      <c r="F783" s="106" t="s">
        <v>1735</v>
      </c>
      <c r="G783" s="106" t="s">
        <v>266</v>
      </c>
      <c r="H783" s="106" t="s">
        <v>279</v>
      </c>
      <c r="I783">
        <v>328</v>
      </c>
    </row>
    <row r="784" spans="1:10" x14ac:dyDescent="0.2">
      <c r="A784" s="106" t="s">
        <v>383</v>
      </c>
      <c r="B784" s="106" t="s">
        <v>327</v>
      </c>
      <c r="C784" s="106" t="s">
        <v>264</v>
      </c>
      <c r="D784" s="106" t="s">
        <v>265</v>
      </c>
      <c r="E784">
        <v>4975</v>
      </c>
      <c r="F784" s="106" t="s">
        <v>2516</v>
      </c>
      <c r="G784" s="106" t="s">
        <v>266</v>
      </c>
      <c r="H784" s="106" t="s">
        <v>279</v>
      </c>
      <c r="I784">
        <v>929</v>
      </c>
    </row>
    <row r="785" spans="1:10" x14ac:dyDescent="0.2">
      <c r="A785" s="106" t="s">
        <v>383</v>
      </c>
      <c r="B785" s="106" t="s">
        <v>327</v>
      </c>
      <c r="C785" s="106" t="s">
        <v>264</v>
      </c>
      <c r="D785" s="106" t="s">
        <v>269</v>
      </c>
      <c r="E785">
        <v>5367</v>
      </c>
      <c r="F785" s="106" t="s">
        <v>4462</v>
      </c>
      <c r="G785" s="106" t="s">
        <v>266</v>
      </c>
      <c r="H785" s="106" t="s">
        <v>308</v>
      </c>
      <c r="I785">
        <v>91</v>
      </c>
    </row>
    <row r="786" spans="1:10" x14ac:dyDescent="0.2">
      <c r="A786" s="106" t="s">
        <v>383</v>
      </c>
      <c r="B786" s="106" t="s">
        <v>327</v>
      </c>
      <c r="C786" s="106" t="s">
        <v>264</v>
      </c>
      <c r="D786" s="106" t="s">
        <v>265</v>
      </c>
      <c r="E786">
        <v>5805</v>
      </c>
      <c r="F786" s="106" t="s">
        <v>2517</v>
      </c>
      <c r="G786" s="106" t="s">
        <v>266</v>
      </c>
      <c r="H786" s="106" t="s">
        <v>373</v>
      </c>
      <c r="I786">
        <v>451</v>
      </c>
    </row>
    <row r="787" spans="1:10" x14ac:dyDescent="0.2">
      <c r="A787" s="106" t="s">
        <v>383</v>
      </c>
      <c r="B787" s="106" t="s">
        <v>327</v>
      </c>
      <c r="C787" s="106" t="s">
        <v>264</v>
      </c>
      <c r="D787" s="106" t="s">
        <v>265</v>
      </c>
      <c r="E787">
        <v>5933</v>
      </c>
      <c r="F787" s="106" t="s">
        <v>2518</v>
      </c>
      <c r="G787" s="106" t="s">
        <v>266</v>
      </c>
      <c r="H787" s="106" t="s">
        <v>281</v>
      </c>
      <c r="I787">
        <v>268</v>
      </c>
    </row>
    <row r="788" spans="1:10" x14ac:dyDescent="0.2">
      <c r="A788" s="106" t="s">
        <v>383</v>
      </c>
      <c r="B788" s="106" t="s">
        <v>327</v>
      </c>
      <c r="C788" s="106" t="s">
        <v>264</v>
      </c>
      <c r="D788" s="106" t="s">
        <v>265</v>
      </c>
      <c r="E788">
        <v>6005</v>
      </c>
      <c r="F788" s="106" t="s">
        <v>1465</v>
      </c>
      <c r="G788" s="106" t="s">
        <v>266</v>
      </c>
      <c r="H788" s="106" t="s">
        <v>287</v>
      </c>
      <c r="I788" t="s">
        <v>316</v>
      </c>
      <c r="J788" t="s">
        <v>4650</v>
      </c>
    </row>
    <row r="789" spans="1:10" x14ac:dyDescent="0.2">
      <c r="A789" s="106" t="s">
        <v>383</v>
      </c>
      <c r="B789" s="106" t="s">
        <v>327</v>
      </c>
      <c r="C789" s="106" t="s">
        <v>264</v>
      </c>
      <c r="D789" s="106" t="s">
        <v>269</v>
      </c>
      <c r="E789">
        <v>6018</v>
      </c>
      <c r="F789" s="106" t="s">
        <v>1736</v>
      </c>
      <c r="G789" s="106" t="s">
        <v>274</v>
      </c>
      <c r="H789" s="106" t="s">
        <v>296</v>
      </c>
      <c r="I789">
        <v>73</v>
      </c>
    </row>
    <row r="790" spans="1:10" x14ac:dyDescent="0.2">
      <c r="A790" s="106" t="s">
        <v>383</v>
      </c>
      <c r="B790" s="106" t="s">
        <v>327</v>
      </c>
      <c r="C790" s="106" t="s">
        <v>264</v>
      </c>
      <c r="D790" s="106" t="s">
        <v>265</v>
      </c>
      <c r="E790">
        <v>6032</v>
      </c>
      <c r="F790" s="106" t="s">
        <v>2519</v>
      </c>
      <c r="G790" s="106" t="s">
        <v>266</v>
      </c>
      <c r="H790" s="106" t="s">
        <v>271</v>
      </c>
      <c r="I790">
        <v>55</v>
      </c>
    </row>
    <row r="791" spans="1:10" x14ac:dyDescent="0.2">
      <c r="A791" s="106" t="s">
        <v>383</v>
      </c>
      <c r="B791" s="106" t="s">
        <v>327</v>
      </c>
      <c r="C791" s="106" t="s">
        <v>268</v>
      </c>
      <c r="D791" s="106" t="s">
        <v>265</v>
      </c>
      <c r="E791">
        <v>6050</v>
      </c>
      <c r="F791" s="106" t="s">
        <v>2520</v>
      </c>
      <c r="G791" s="106" t="s">
        <v>266</v>
      </c>
      <c r="H791" s="106" t="s">
        <v>271</v>
      </c>
      <c r="I791">
        <v>217</v>
      </c>
    </row>
    <row r="792" spans="1:10" x14ac:dyDescent="0.2">
      <c r="A792" s="106" t="s">
        <v>383</v>
      </c>
      <c r="B792" s="106" t="s">
        <v>327</v>
      </c>
      <c r="C792" s="106" t="s">
        <v>264</v>
      </c>
      <c r="D792" s="106" t="s">
        <v>265</v>
      </c>
      <c r="E792">
        <v>6467</v>
      </c>
      <c r="F792" s="106" t="s">
        <v>2521</v>
      </c>
      <c r="G792" s="106" t="s">
        <v>270</v>
      </c>
      <c r="H792" s="106" t="s">
        <v>287</v>
      </c>
      <c r="I792" s="106">
        <v>72</v>
      </c>
      <c r="J792" s="106"/>
    </row>
    <row r="793" spans="1:10" x14ac:dyDescent="0.2">
      <c r="A793" s="106" t="s">
        <v>383</v>
      </c>
      <c r="B793" s="106" t="s">
        <v>327</v>
      </c>
      <c r="C793" s="106" t="s">
        <v>264</v>
      </c>
      <c r="D793" s="106" t="s">
        <v>265</v>
      </c>
      <c r="E793">
        <v>6486</v>
      </c>
      <c r="F793" s="106" t="s">
        <v>2522</v>
      </c>
      <c r="G793" s="106" t="s">
        <v>266</v>
      </c>
      <c r="H793" s="106" t="s">
        <v>287</v>
      </c>
      <c r="I793" s="106">
        <v>519</v>
      </c>
      <c r="J793" s="106"/>
    </row>
    <row r="794" spans="1:10" x14ac:dyDescent="0.2">
      <c r="A794" s="106" t="s">
        <v>383</v>
      </c>
      <c r="B794" s="106" t="s">
        <v>327</v>
      </c>
      <c r="C794" s="106" t="s">
        <v>264</v>
      </c>
      <c r="D794" s="106" t="s">
        <v>265</v>
      </c>
      <c r="E794">
        <v>6652</v>
      </c>
      <c r="F794" s="106" t="s">
        <v>2523</v>
      </c>
      <c r="G794" s="106" t="s">
        <v>266</v>
      </c>
      <c r="H794" s="106" t="s">
        <v>291</v>
      </c>
      <c r="I794">
        <v>730</v>
      </c>
    </row>
    <row r="795" spans="1:10" x14ac:dyDescent="0.2">
      <c r="A795" s="106" t="s">
        <v>383</v>
      </c>
      <c r="B795" s="106" t="s">
        <v>327</v>
      </c>
      <c r="C795" s="106" t="s">
        <v>264</v>
      </c>
      <c r="D795" s="106" t="s">
        <v>265</v>
      </c>
      <c r="E795">
        <v>6752</v>
      </c>
      <c r="F795" s="106" t="s">
        <v>2524</v>
      </c>
      <c r="G795" s="106" t="s">
        <v>266</v>
      </c>
      <c r="H795" s="106" t="s">
        <v>291</v>
      </c>
      <c r="I795" t="s">
        <v>3951</v>
      </c>
      <c r="J795" t="s">
        <v>4732</v>
      </c>
    </row>
    <row r="796" spans="1:10" x14ac:dyDescent="0.2">
      <c r="A796" t="s">
        <v>383</v>
      </c>
      <c r="B796" t="s">
        <v>327</v>
      </c>
      <c r="C796" t="s">
        <v>264</v>
      </c>
      <c r="D796" t="s">
        <v>265</v>
      </c>
      <c r="E796">
        <v>6809</v>
      </c>
      <c r="F796" t="s">
        <v>2525</v>
      </c>
      <c r="G796" t="s">
        <v>266</v>
      </c>
      <c r="H796" t="s">
        <v>291</v>
      </c>
      <c r="I796">
        <v>408</v>
      </c>
    </row>
    <row r="797" spans="1:10" x14ac:dyDescent="0.2">
      <c r="A797" t="s">
        <v>383</v>
      </c>
      <c r="B797" t="s">
        <v>327</v>
      </c>
      <c r="C797" t="s">
        <v>264</v>
      </c>
      <c r="D797" t="s">
        <v>265</v>
      </c>
      <c r="E797">
        <v>6849</v>
      </c>
      <c r="F797" t="s">
        <v>2526</v>
      </c>
      <c r="G797" t="s">
        <v>266</v>
      </c>
      <c r="H797" t="s">
        <v>291</v>
      </c>
      <c r="I797" t="s">
        <v>289</v>
      </c>
      <c r="J797" t="s">
        <v>4957</v>
      </c>
    </row>
    <row r="798" spans="1:10" x14ac:dyDescent="0.2">
      <c r="A798" t="s">
        <v>383</v>
      </c>
      <c r="B798" t="s">
        <v>327</v>
      </c>
      <c r="C798" t="s">
        <v>264</v>
      </c>
      <c r="D798" t="s">
        <v>265</v>
      </c>
      <c r="E798">
        <v>6924</v>
      </c>
      <c r="F798" t="s">
        <v>2527</v>
      </c>
      <c r="G798" t="s">
        <v>266</v>
      </c>
      <c r="H798" t="s">
        <v>291</v>
      </c>
      <c r="I798">
        <v>117</v>
      </c>
    </row>
    <row r="799" spans="1:10" x14ac:dyDescent="0.2">
      <c r="A799" t="s">
        <v>383</v>
      </c>
      <c r="B799" t="s">
        <v>327</v>
      </c>
      <c r="C799" t="s">
        <v>264</v>
      </c>
      <c r="D799" t="s">
        <v>265</v>
      </c>
      <c r="E799">
        <v>6930</v>
      </c>
      <c r="F799" t="s">
        <v>2528</v>
      </c>
      <c r="G799" t="s">
        <v>270</v>
      </c>
      <c r="H799" t="s">
        <v>291</v>
      </c>
      <c r="I799">
        <v>172</v>
      </c>
    </row>
    <row r="800" spans="1:10" x14ac:dyDescent="0.2">
      <c r="A800" t="s">
        <v>383</v>
      </c>
      <c r="B800" t="s">
        <v>327</v>
      </c>
      <c r="C800" t="s">
        <v>264</v>
      </c>
      <c r="D800" t="s">
        <v>265</v>
      </c>
      <c r="E800">
        <v>6941</v>
      </c>
      <c r="F800" t="s">
        <v>4463</v>
      </c>
      <c r="G800" t="s">
        <v>266</v>
      </c>
      <c r="H800" t="s">
        <v>291</v>
      </c>
      <c r="I800">
        <v>396</v>
      </c>
    </row>
    <row r="801" spans="1:10" x14ac:dyDescent="0.2">
      <c r="A801" t="s">
        <v>383</v>
      </c>
      <c r="B801" t="s">
        <v>327</v>
      </c>
      <c r="C801" t="s">
        <v>264</v>
      </c>
      <c r="D801" t="s">
        <v>265</v>
      </c>
      <c r="E801">
        <v>6981</v>
      </c>
      <c r="F801" t="s">
        <v>2529</v>
      </c>
      <c r="G801" t="s">
        <v>266</v>
      </c>
      <c r="H801" t="s">
        <v>291</v>
      </c>
      <c r="I801" t="s">
        <v>1692</v>
      </c>
      <c r="J801" t="s">
        <v>4958</v>
      </c>
    </row>
    <row r="802" spans="1:10" x14ac:dyDescent="0.2">
      <c r="A802" t="s">
        <v>383</v>
      </c>
      <c r="B802" t="s">
        <v>327</v>
      </c>
      <c r="C802" t="s">
        <v>264</v>
      </c>
      <c r="D802" t="s">
        <v>265</v>
      </c>
      <c r="E802">
        <v>7004</v>
      </c>
      <c r="F802" t="s">
        <v>2530</v>
      </c>
      <c r="G802" t="s">
        <v>266</v>
      </c>
      <c r="H802" t="s">
        <v>287</v>
      </c>
      <c r="I802">
        <v>715</v>
      </c>
    </row>
    <row r="803" spans="1:10" x14ac:dyDescent="0.2">
      <c r="A803" t="s">
        <v>383</v>
      </c>
      <c r="B803" t="s">
        <v>327</v>
      </c>
      <c r="C803" t="s">
        <v>264</v>
      </c>
      <c r="D803" t="s">
        <v>265</v>
      </c>
      <c r="E803">
        <v>7018</v>
      </c>
      <c r="F803" t="s">
        <v>2531</v>
      </c>
      <c r="G803" t="s">
        <v>274</v>
      </c>
      <c r="H803" t="s">
        <v>296</v>
      </c>
      <c r="I803">
        <v>31</v>
      </c>
    </row>
    <row r="804" spans="1:10" x14ac:dyDescent="0.2">
      <c r="A804" t="s">
        <v>383</v>
      </c>
      <c r="B804" t="s">
        <v>327</v>
      </c>
      <c r="C804" t="s">
        <v>264</v>
      </c>
      <c r="D804" t="s">
        <v>265</v>
      </c>
      <c r="E804">
        <v>7214</v>
      </c>
      <c r="F804" t="s">
        <v>2532</v>
      </c>
      <c r="G804" t="s">
        <v>266</v>
      </c>
      <c r="H804" t="s">
        <v>296</v>
      </c>
      <c r="I804">
        <v>43</v>
      </c>
    </row>
    <row r="805" spans="1:10" x14ac:dyDescent="0.2">
      <c r="A805" t="s">
        <v>383</v>
      </c>
      <c r="B805" t="s">
        <v>327</v>
      </c>
      <c r="C805" t="s">
        <v>264</v>
      </c>
      <c r="D805" t="s">
        <v>265</v>
      </c>
      <c r="E805">
        <v>7236</v>
      </c>
      <c r="F805" t="s">
        <v>2533</v>
      </c>
      <c r="G805" t="s">
        <v>266</v>
      </c>
      <c r="H805" t="s">
        <v>296</v>
      </c>
      <c r="I805">
        <v>163</v>
      </c>
    </row>
    <row r="806" spans="1:10" x14ac:dyDescent="0.2">
      <c r="A806" t="s">
        <v>383</v>
      </c>
      <c r="B806" t="s">
        <v>327</v>
      </c>
      <c r="C806" t="s">
        <v>264</v>
      </c>
      <c r="D806" t="s">
        <v>265</v>
      </c>
      <c r="E806">
        <v>7240</v>
      </c>
      <c r="F806" t="s">
        <v>2534</v>
      </c>
      <c r="G806" t="s">
        <v>266</v>
      </c>
      <c r="H806" t="s">
        <v>296</v>
      </c>
      <c r="I806" t="s">
        <v>289</v>
      </c>
      <c r="J806" t="s">
        <v>4959</v>
      </c>
    </row>
    <row r="807" spans="1:10" x14ac:dyDescent="0.2">
      <c r="A807" t="s">
        <v>383</v>
      </c>
      <c r="B807" t="s">
        <v>327</v>
      </c>
      <c r="C807" t="s">
        <v>268</v>
      </c>
      <c r="D807" t="s">
        <v>265</v>
      </c>
      <c r="E807">
        <v>7446</v>
      </c>
      <c r="F807" t="s">
        <v>2535</v>
      </c>
      <c r="G807" t="s">
        <v>270</v>
      </c>
      <c r="H807" t="s">
        <v>272</v>
      </c>
      <c r="I807">
        <v>33</v>
      </c>
    </row>
    <row r="808" spans="1:10" x14ac:dyDescent="0.2">
      <c r="A808" t="s">
        <v>383</v>
      </c>
      <c r="B808" t="s">
        <v>327</v>
      </c>
      <c r="C808" t="s">
        <v>264</v>
      </c>
      <c r="D808" t="s">
        <v>265</v>
      </c>
      <c r="E808">
        <v>7482</v>
      </c>
      <c r="F808" t="s">
        <v>2536</v>
      </c>
      <c r="G808" t="s">
        <v>266</v>
      </c>
      <c r="H808" t="s">
        <v>272</v>
      </c>
      <c r="I808">
        <v>288</v>
      </c>
    </row>
    <row r="809" spans="1:10" x14ac:dyDescent="0.2">
      <c r="A809" t="s">
        <v>383</v>
      </c>
      <c r="B809" t="s">
        <v>327</v>
      </c>
      <c r="C809" t="s">
        <v>264</v>
      </c>
      <c r="D809" t="s">
        <v>265</v>
      </c>
      <c r="E809">
        <v>7615</v>
      </c>
      <c r="F809" t="s">
        <v>2537</v>
      </c>
      <c r="G809" t="s">
        <v>266</v>
      </c>
      <c r="H809" t="s">
        <v>276</v>
      </c>
      <c r="I809">
        <v>53</v>
      </c>
    </row>
    <row r="810" spans="1:10" x14ac:dyDescent="0.2">
      <c r="A810" t="s">
        <v>383</v>
      </c>
      <c r="B810" t="s">
        <v>327</v>
      </c>
      <c r="C810" t="s">
        <v>264</v>
      </c>
      <c r="D810" t="s">
        <v>265</v>
      </c>
      <c r="E810">
        <v>7859</v>
      </c>
      <c r="F810" t="s">
        <v>388</v>
      </c>
      <c r="G810" t="s">
        <v>274</v>
      </c>
      <c r="H810" t="s">
        <v>288</v>
      </c>
      <c r="I810">
        <v>37</v>
      </c>
    </row>
    <row r="811" spans="1:10" x14ac:dyDescent="0.2">
      <c r="A811" t="s">
        <v>383</v>
      </c>
      <c r="B811" t="s">
        <v>327</v>
      </c>
      <c r="C811" t="s">
        <v>264</v>
      </c>
      <c r="D811" t="s">
        <v>265</v>
      </c>
      <c r="E811">
        <v>7938</v>
      </c>
      <c r="F811" t="s">
        <v>2538</v>
      </c>
      <c r="G811" t="s">
        <v>270</v>
      </c>
      <c r="H811" t="s">
        <v>288</v>
      </c>
      <c r="I811">
        <v>88</v>
      </c>
    </row>
    <row r="812" spans="1:10" x14ac:dyDescent="0.2">
      <c r="A812" t="s">
        <v>383</v>
      </c>
      <c r="B812" t="s">
        <v>327</v>
      </c>
      <c r="C812" t="s">
        <v>264</v>
      </c>
      <c r="D812" t="s">
        <v>265</v>
      </c>
      <c r="E812">
        <v>8101</v>
      </c>
      <c r="F812" t="s">
        <v>2539</v>
      </c>
      <c r="G812" t="s">
        <v>266</v>
      </c>
      <c r="H812" t="s">
        <v>272</v>
      </c>
      <c r="I812">
        <v>88</v>
      </c>
    </row>
    <row r="813" spans="1:10" x14ac:dyDescent="0.2">
      <c r="A813" t="s">
        <v>383</v>
      </c>
      <c r="B813" t="s">
        <v>327</v>
      </c>
      <c r="C813" t="s">
        <v>264</v>
      </c>
      <c r="D813" t="s">
        <v>265</v>
      </c>
      <c r="E813">
        <v>8118</v>
      </c>
      <c r="F813" t="s">
        <v>4464</v>
      </c>
      <c r="G813" t="s">
        <v>266</v>
      </c>
      <c r="H813" t="s">
        <v>299</v>
      </c>
      <c r="I813">
        <v>141</v>
      </c>
    </row>
    <row r="814" spans="1:10" x14ac:dyDescent="0.2">
      <c r="A814" t="s">
        <v>383</v>
      </c>
      <c r="B814" t="s">
        <v>327</v>
      </c>
      <c r="C814" t="s">
        <v>264</v>
      </c>
      <c r="D814" t="s">
        <v>265</v>
      </c>
      <c r="E814">
        <v>8129</v>
      </c>
      <c r="F814" t="s">
        <v>2540</v>
      </c>
      <c r="G814" t="s">
        <v>266</v>
      </c>
      <c r="H814" t="s">
        <v>272</v>
      </c>
      <c r="I814" t="s">
        <v>297</v>
      </c>
      <c r="J814" t="s">
        <v>4960</v>
      </c>
    </row>
    <row r="815" spans="1:10" x14ac:dyDescent="0.2">
      <c r="A815" t="s">
        <v>383</v>
      </c>
      <c r="B815" t="s">
        <v>327</v>
      </c>
      <c r="C815" t="s">
        <v>264</v>
      </c>
      <c r="D815" t="s">
        <v>265</v>
      </c>
      <c r="E815">
        <v>8344</v>
      </c>
      <c r="F815" t="s">
        <v>2541</v>
      </c>
      <c r="G815" t="s">
        <v>266</v>
      </c>
      <c r="H815" t="s">
        <v>484</v>
      </c>
      <c r="I815">
        <v>513</v>
      </c>
    </row>
    <row r="816" spans="1:10" x14ac:dyDescent="0.2">
      <c r="A816" t="s">
        <v>383</v>
      </c>
      <c r="B816" t="s">
        <v>327</v>
      </c>
      <c r="C816" t="s">
        <v>264</v>
      </c>
      <c r="D816" t="s">
        <v>265</v>
      </c>
      <c r="E816">
        <v>8362</v>
      </c>
      <c r="F816" t="s">
        <v>2542</v>
      </c>
      <c r="G816" t="s">
        <v>266</v>
      </c>
      <c r="H816" t="s">
        <v>484</v>
      </c>
      <c r="I816">
        <v>418</v>
      </c>
    </row>
    <row r="817" spans="1:10" x14ac:dyDescent="0.2">
      <c r="A817" t="s">
        <v>383</v>
      </c>
      <c r="B817" t="s">
        <v>327</v>
      </c>
      <c r="C817" t="s">
        <v>264</v>
      </c>
      <c r="D817" t="s">
        <v>265</v>
      </c>
      <c r="E817">
        <v>8386</v>
      </c>
      <c r="F817" t="s">
        <v>2543</v>
      </c>
      <c r="G817" t="s">
        <v>266</v>
      </c>
      <c r="H817" t="s">
        <v>484</v>
      </c>
      <c r="I817">
        <v>602</v>
      </c>
    </row>
    <row r="818" spans="1:10" x14ac:dyDescent="0.2">
      <c r="A818" t="s">
        <v>383</v>
      </c>
      <c r="B818" t="s">
        <v>327</v>
      </c>
      <c r="C818" t="s">
        <v>264</v>
      </c>
      <c r="D818" t="s">
        <v>265</v>
      </c>
      <c r="E818">
        <v>8591</v>
      </c>
      <c r="F818" t="s">
        <v>2544</v>
      </c>
      <c r="G818" t="s">
        <v>266</v>
      </c>
      <c r="H818" t="s">
        <v>302</v>
      </c>
      <c r="I818" t="s">
        <v>2200</v>
      </c>
      <c r="J818" t="s">
        <v>4961</v>
      </c>
    </row>
    <row r="819" spans="1:10" x14ac:dyDescent="0.2">
      <c r="A819" t="s">
        <v>383</v>
      </c>
      <c r="B819" t="s">
        <v>327</v>
      </c>
      <c r="C819" t="s">
        <v>264</v>
      </c>
      <c r="D819" t="s">
        <v>265</v>
      </c>
      <c r="E819">
        <v>8881</v>
      </c>
      <c r="F819" t="s">
        <v>2545</v>
      </c>
      <c r="G819" t="s">
        <v>266</v>
      </c>
      <c r="H819" t="s">
        <v>292</v>
      </c>
      <c r="I819">
        <v>262</v>
      </c>
    </row>
    <row r="820" spans="1:10" x14ac:dyDescent="0.2">
      <c r="A820" t="s">
        <v>383</v>
      </c>
      <c r="B820" t="s">
        <v>327</v>
      </c>
      <c r="C820" t="s">
        <v>264</v>
      </c>
      <c r="D820" t="s">
        <v>265</v>
      </c>
      <c r="E820">
        <v>9008</v>
      </c>
      <c r="F820" t="s">
        <v>709</v>
      </c>
      <c r="G820" t="s">
        <v>266</v>
      </c>
      <c r="H820" t="s">
        <v>356</v>
      </c>
      <c r="I820" t="s">
        <v>343</v>
      </c>
      <c r="J820" t="s">
        <v>4962</v>
      </c>
    </row>
    <row r="821" spans="1:10" x14ac:dyDescent="0.2">
      <c r="A821" t="s">
        <v>383</v>
      </c>
      <c r="B821" t="s">
        <v>327</v>
      </c>
      <c r="C821" t="s">
        <v>264</v>
      </c>
      <c r="D821" t="s">
        <v>265</v>
      </c>
      <c r="E821">
        <v>9046</v>
      </c>
      <c r="F821" t="s">
        <v>2546</v>
      </c>
      <c r="G821" t="s">
        <v>266</v>
      </c>
      <c r="H821" t="s">
        <v>356</v>
      </c>
      <c r="I821">
        <v>320</v>
      </c>
    </row>
    <row r="822" spans="1:10" x14ac:dyDescent="0.2">
      <c r="A822" t="s">
        <v>383</v>
      </c>
      <c r="B822" t="s">
        <v>327</v>
      </c>
      <c r="C822" t="s">
        <v>268</v>
      </c>
      <c r="D822" t="s">
        <v>265</v>
      </c>
      <c r="E822">
        <v>9438</v>
      </c>
      <c r="F822" t="s">
        <v>2547</v>
      </c>
      <c r="G822" t="s">
        <v>266</v>
      </c>
      <c r="H822" t="s">
        <v>277</v>
      </c>
      <c r="I822">
        <v>444</v>
      </c>
    </row>
    <row r="823" spans="1:10" x14ac:dyDescent="0.2">
      <c r="A823" t="s">
        <v>383</v>
      </c>
      <c r="B823" t="s">
        <v>327</v>
      </c>
      <c r="C823" t="s">
        <v>264</v>
      </c>
      <c r="D823" t="s">
        <v>265</v>
      </c>
      <c r="E823">
        <v>9639</v>
      </c>
      <c r="F823" t="s">
        <v>2548</v>
      </c>
      <c r="G823" t="s">
        <v>270</v>
      </c>
      <c r="H823" t="s">
        <v>271</v>
      </c>
      <c r="I823">
        <v>537</v>
      </c>
    </row>
    <row r="824" spans="1:10" x14ac:dyDescent="0.2">
      <c r="A824" t="s">
        <v>383</v>
      </c>
      <c r="B824" t="s">
        <v>327</v>
      </c>
      <c r="C824" t="s">
        <v>264</v>
      </c>
      <c r="D824" t="s">
        <v>265</v>
      </c>
      <c r="E824">
        <v>9682</v>
      </c>
      <c r="F824" t="s">
        <v>2549</v>
      </c>
      <c r="G824" t="s">
        <v>266</v>
      </c>
      <c r="H824" t="s">
        <v>277</v>
      </c>
      <c r="I824" t="s">
        <v>297</v>
      </c>
      <c r="J824" t="s">
        <v>4963</v>
      </c>
    </row>
    <row r="825" spans="1:10" x14ac:dyDescent="0.2">
      <c r="A825" t="s">
        <v>383</v>
      </c>
      <c r="B825" t="s">
        <v>327</v>
      </c>
      <c r="C825" t="s">
        <v>264</v>
      </c>
      <c r="D825" t="s">
        <v>265</v>
      </c>
      <c r="E825">
        <v>9902</v>
      </c>
      <c r="F825" t="s">
        <v>2550</v>
      </c>
      <c r="G825" t="s">
        <v>266</v>
      </c>
      <c r="H825" t="s">
        <v>272</v>
      </c>
      <c r="I825">
        <v>663</v>
      </c>
    </row>
    <row r="826" spans="1:10" x14ac:dyDescent="0.2">
      <c r="A826" t="s">
        <v>383</v>
      </c>
      <c r="B826" t="s">
        <v>327</v>
      </c>
      <c r="C826" t="s">
        <v>264</v>
      </c>
      <c r="D826" t="s">
        <v>265</v>
      </c>
      <c r="E826">
        <v>9955</v>
      </c>
      <c r="F826" t="s">
        <v>2551</v>
      </c>
      <c r="G826" t="s">
        <v>270</v>
      </c>
      <c r="H826" t="s">
        <v>272</v>
      </c>
      <c r="I826">
        <v>207</v>
      </c>
    </row>
    <row r="827" spans="1:10" x14ac:dyDescent="0.2">
      <c r="A827" t="s">
        <v>383</v>
      </c>
      <c r="B827" t="s">
        <v>1689</v>
      </c>
      <c r="C827" t="s">
        <v>264</v>
      </c>
      <c r="D827" t="s">
        <v>265</v>
      </c>
      <c r="E827">
        <v>2676</v>
      </c>
      <c r="F827" t="s">
        <v>705</v>
      </c>
      <c r="G827" t="s">
        <v>266</v>
      </c>
      <c r="H827" t="s">
        <v>272</v>
      </c>
      <c r="I827">
        <v>124</v>
      </c>
    </row>
    <row r="828" spans="1:10" x14ac:dyDescent="0.2">
      <c r="A828" t="s">
        <v>383</v>
      </c>
      <c r="B828" t="s">
        <v>1689</v>
      </c>
      <c r="C828" t="s">
        <v>264</v>
      </c>
      <c r="D828" t="s">
        <v>265</v>
      </c>
      <c r="E828">
        <v>4044</v>
      </c>
      <c r="F828" t="s">
        <v>1464</v>
      </c>
      <c r="G828" t="s">
        <v>266</v>
      </c>
      <c r="H828" t="s">
        <v>279</v>
      </c>
      <c r="I828" t="s">
        <v>297</v>
      </c>
      <c r="J828" t="s">
        <v>4269</v>
      </c>
    </row>
    <row r="829" spans="1:10" x14ac:dyDescent="0.2">
      <c r="A829" t="s">
        <v>383</v>
      </c>
      <c r="B829" t="s">
        <v>1689</v>
      </c>
      <c r="C829" t="s">
        <v>264</v>
      </c>
      <c r="D829" t="s">
        <v>269</v>
      </c>
      <c r="E829">
        <v>4736</v>
      </c>
      <c r="F829" t="s">
        <v>2552</v>
      </c>
      <c r="G829" t="s">
        <v>270</v>
      </c>
      <c r="H829" t="s">
        <v>277</v>
      </c>
      <c r="I829">
        <v>41</v>
      </c>
    </row>
    <row r="830" spans="1:10" x14ac:dyDescent="0.2">
      <c r="A830" t="s">
        <v>383</v>
      </c>
      <c r="B830" t="s">
        <v>1689</v>
      </c>
      <c r="C830" t="s">
        <v>264</v>
      </c>
      <c r="D830" t="s">
        <v>265</v>
      </c>
      <c r="E830">
        <v>6088</v>
      </c>
      <c r="F830" t="s">
        <v>2553</v>
      </c>
      <c r="G830" t="s">
        <v>266</v>
      </c>
      <c r="H830" t="s">
        <v>271</v>
      </c>
      <c r="I830">
        <v>472</v>
      </c>
    </row>
    <row r="831" spans="1:10" x14ac:dyDescent="0.2">
      <c r="A831" t="s">
        <v>383</v>
      </c>
      <c r="B831" t="s">
        <v>1689</v>
      </c>
      <c r="C831" t="s">
        <v>275</v>
      </c>
      <c r="D831" t="s">
        <v>265</v>
      </c>
      <c r="E831">
        <v>6920</v>
      </c>
      <c r="F831" t="s">
        <v>642</v>
      </c>
      <c r="G831" t="s">
        <v>266</v>
      </c>
      <c r="H831" t="s">
        <v>291</v>
      </c>
      <c r="I831" t="s">
        <v>283</v>
      </c>
      <c r="J831" t="s">
        <v>4964</v>
      </c>
    </row>
    <row r="832" spans="1:10" x14ac:dyDescent="0.2">
      <c r="A832" t="s">
        <v>383</v>
      </c>
      <c r="B832" t="s">
        <v>1689</v>
      </c>
      <c r="C832" t="s">
        <v>264</v>
      </c>
      <c r="D832" t="s">
        <v>265</v>
      </c>
      <c r="E832">
        <v>8935</v>
      </c>
      <c r="F832" t="s">
        <v>2554</v>
      </c>
      <c r="G832" t="s">
        <v>266</v>
      </c>
      <c r="H832" t="s">
        <v>292</v>
      </c>
      <c r="I832">
        <v>404</v>
      </c>
    </row>
    <row r="833" spans="1:10" x14ac:dyDescent="0.2">
      <c r="A833" t="s">
        <v>383</v>
      </c>
      <c r="B833" t="s">
        <v>1689</v>
      </c>
      <c r="C833" t="s">
        <v>273</v>
      </c>
      <c r="D833" t="s">
        <v>265</v>
      </c>
      <c r="E833">
        <v>9768</v>
      </c>
      <c r="F833" t="s">
        <v>2555</v>
      </c>
      <c r="G833" t="s">
        <v>266</v>
      </c>
      <c r="H833" t="s">
        <v>271</v>
      </c>
      <c r="I833">
        <v>224</v>
      </c>
    </row>
    <row r="834" spans="1:10" x14ac:dyDescent="0.2">
      <c r="A834" t="s">
        <v>383</v>
      </c>
      <c r="B834" t="s">
        <v>1931</v>
      </c>
      <c r="C834" t="s">
        <v>264</v>
      </c>
      <c r="D834" t="s">
        <v>265</v>
      </c>
      <c r="E834">
        <v>4550</v>
      </c>
      <c r="F834" t="s">
        <v>2556</v>
      </c>
      <c r="G834" t="s">
        <v>266</v>
      </c>
      <c r="H834" t="s">
        <v>311</v>
      </c>
      <c r="I834">
        <v>299</v>
      </c>
    </row>
    <row r="835" spans="1:10" x14ac:dyDescent="0.2">
      <c r="A835" t="s">
        <v>383</v>
      </c>
      <c r="B835" t="s">
        <v>1931</v>
      </c>
      <c r="C835" t="s">
        <v>264</v>
      </c>
      <c r="D835" t="s">
        <v>265</v>
      </c>
      <c r="E835">
        <v>4636</v>
      </c>
      <c r="F835" t="s">
        <v>2557</v>
      </c>
      <c r="G835" t="s">
        <v>266</v>
      </c>
      <c r="H835" t="s">
        <v>279</v>
      </c>
      <c r="I835">
        <v>257</v>
      </c>
    </row>
    <row r="836" spans="1:10" x14ac:dyDescent="0.2">
      <c r="A836" t="s">
        <v>383</v>
      </c>
      <c r="B836" t="s">
        <v>1931</v>
      </c>
      <c r="C836" t="s">
        <v>264</v>
      </c>
      <c r="D836" t="s">
        <v>265</v>
      </c>
      <c r="E836">
        <v>9709</v>
      </c>
      <c r="F836" t="s">
        <v>2558</v>
      </c>
      <c r="G836" t="s">
        <v>274</v>
      </c>
      <c r="H836" t="s">
        <v>277</v>
      </c>
      <c r="I836">
        <v>135</v>
      </c>
    </row>
    <row r="837" spans="1:10" x14ac:dyDescent="0.2">
      <c r="A837" t="s">
        <v>383</v>
      </c>
      <c r="B837" t="s">
        <v>263</v>
      </c>
      <c r="C837" t="s">
        <v>275</v>
      </c>
      <c r="D837" t="s">
        <v>269</v>
      </c>
      <c r="E837">
        <v>2428</v>
      </c>
      <c r="F837" t="s">
        <v>711</v>
      </c>
      <c r="G837" t="s">
        <v>266</v>
      </c>
      <c r="H837" t="s">
        <v>271</v>
      </c>
      <c r="I837">
        <v>138</v>
      </c>
    </row>
    <row r="838" spans="1:10" x14ac:dyDescent="0.2">
      <c r="A838" t="s">
        <v>383</v>
      </c>
      <c r="B838" t="s">
        <v>263</v>
      </c>
      <c r="C838" t="s">
        <v>264</v>
      </c>
      <c r="D838" t="s">
        <v>265</v>
      </c>
      <c r="E838">
        <v>7981</v>
      </c>
      <c r="F838" t="s">
        <v>2559</v>
      </c>
      <c r="G838" t="s">
        <v>266</v>
      </c>
      <c r="H838" t="s">
        <v>288</v>
      </c>
      <c r="I838" t="s">
        <v>297</v>
      </c>
      <c r="J838" t="s">
        <v>4430</v>
      </c>
    </row>
    <row r="839" spans="1:10" x14ac:dyDescent="0.2">
      <c r="A839" t="s">
        <v>389</v>
      </c>
      <c r="B839" t="s">
        <v>1915</v>
      </c>
      <c r="C839" t="s">
        <v>264</v>
      </c>
      <c r="D839" t="s">
        <v>265</v>
      </c>
      <c r="E839">
        <v>2801</v>
      </c>
      <c r="F839" t="s">
        <v>1466</v>
      </c>
      <c r="G839" t="s">
        <v>266</v>
      </c>
      <c r="H839" t="s">
        <v>267</v>
      </c>
      <c r="I839" t="s">
        <v>359</v>
      </c>
      <c r="J839" t="s">
        <v>4631</v>
      </c>
    </row>
    <row r="840" spans="1:10" x14ac:dyDescent="0.2">
      <c r="A840" t="s">
        <v>389</v>
      </c>
      <c r="B840" t="s">
        <v>1915</v>
      </c>
      <c r="C840" t="s">
        <v>264</v>
      </c>
      <c r="D840" t="s">
        <v>265</v>
      </c>
      <c r="E840">
        <v>3125</v>
      </c>
      <c r="F840" t="s">
        <v>2560</v>
      </c>
      <c r="G840" t="s">
        <v>274</v>
      </c>
      <c r="H840" t="s">
        <v>299</v>
      </c>
      <c r="I840">
        <v>14</v>
      </c>
    </row>
    <row r="841" spans="1:10" x14ac:dyDescent="0.2">
      <c r="A841" t="s">
        <v>389</v>
      </c>
      <c r="B841" t="s">
        <v>1915</v>
      </c>
      <c r="C841" t="s">
        <v>264</v>
      </c>
      <c r="D841" t="s">
        <v>265</v>
      </c>
      <c r="E841">
        <v>3166</v>
      </c>
      <c r="F841" t="s">
        <v>2561</v>
      </c>
      <c r="G841" t="s">
        <v>266</v>
      </c>
      <c r="H841" t="s">
        <v>272</v>
      </c>
      <c r="I841">
        <v>203</v>
      </c>
    </row>
    <row r="842" spans="1:10" x14ac:dyDescent="0.2">
      <c r="A842" t="s">
        <v>389</v>
      </c>
      <c r="B842" t="s">
        <v>1915</v>
      </c>
      <c r="C842" t="s">
        <v>264</v>
      </c>
      <c r="D842" t="s">
        <v>265</v>
      </c>
      <c r="E842">
        <v>9810</v>
      </c>
      <c r="F842" t="s">
        <v>1744</v>
      </c>
      <c r="G842" t="s">
        <v>266</v>
      </c>
      <c r="H842" t="s">
        <v>272</v>
      </c>
      <c r="I842" t="s">
        <v>297</v>
      </c>
      <c r="J842" t="s">
        <v>4882</v>
      </c>
    </row>
    <row r="843" spans="1:10" x14ac:dyDescent="0.2">
      <c r="A843" t="s">
        <v>389</v>
      </c>
      <c r="B843" t="s">
        <v>684</v>
      </c>
      <c r="C843" t="s">
        <v>264</v>
      </c>
      <c r="D843" t="s">
        <v>265</v>
      </c>
      <c r="E843">
        <v>4581</v>
      </c>
      <c r="F843" t="s">
        <v>2562</v>
      </c>
      <c r="G843" t="s">
        <v>266</v>
      </c>
      <c r="H843" t="s">
        <v>311</v>
      </c>
      <c r="I843" t="s">
        <v>325</v>
      </c>
      <c r="J843" t="s">
        <v>4965</v>
      </c>
    </row>
    <row r="844" spans="1:10" x14ac:dyDescent="0.2">
      <c r="A844" t="s">
        <v>389</v>
      </c>
      <c r="B844" t="s">
        <v>684</v>
      </c>
      <c r="C844" t="s">
        <v>264</v>
      </c>
      <c r="D844" t="s">
        <v>265</v>
      </c>
      <c r="E844">
        <v>6366</v>
      </c>
      <c r="F844" t="s">
        <v>2563</v>
      </c>
      <c r="G844" t="s">
        <v>274</v>
      </c>
      <c r="H844" t="s">
        <v>293</v>
      </c>
      <c r="I844">
        <v>703</v>
      </c>
    </row>
    <row r="845" spans="1:10" x14ac:dyDescent="0.2">
      <c r="A845" t="s">
        <v>389</v>
      </c>
      <c r="B845" t="s">
        <v>1481</v>
      </c>
      <c r="C845" t="s">
        <v>264</v>
      </c>
      <c r="D845" t="s">
        <v>265</v>
      </c>
      <c r="E845">
        <v>2117</v>
      </c>
      <c r="F845" t="s">
        <v>643</v>
      </c>
      <c r="G845" t="s">
        <v>266</v>
      </c>
      <c r="H845" t="s">
        <v>267</v>
      </c>
      <c r="I845">
        <v>460</v>
      </c>
    </row>
    <row r="846" spans="1:10" x14ac:dyDescent="0.2">
      <c r="A846" t="s">
        <v>389</v>
      </c>
      <c r="B846" t="s">
        <v>1481</v>
      </c>
      <c r="C846" t="s">
        <v>264</v>
      </c>
      <c r="D846" t="s">
        <v>265</v>
      </c>
      <c r="E846">
        <v>4739</v>
      </c>
      <c r="F846" t="s">
        <v>2564</v>
      </c>
      <c r="G846" t="s">
        <v>266</v>
      </c>
      <c r="H846" t="s">
        <v>277</v>
      </c>
      <c r="I846" t="s">
        <v>518</v>
      </c>
      <c r="J846" t="s">
        <v>4966</v>
      </c>
    </row>
    <row r="847" spans="1:10" x14ac:dyDescent="0.2">
      <c r="A847" t="s">
        <v>389</v>
      </c>
      <c r="B847" t="s">
        <v>1481</v>
      </c>
      <c r="C847" t="s">
        <v>264</v>
      </c>
      <c r="D847" t="s">
        <v>265</v>
      </c>
      <c r="E847">
        <v>7231</v>
      </c>
      <c r="F847" t="s">
        <v>2565</v>
      </c>
      <c r="G847" t="s">
        <v>266</v>
      </c>
      <c r="H847" t="s">
        <v>296</v>
      </c>
      <c r="I847">
        <v>462</v>
      </c>
    </row>
    <row r="848" spans="1:10" x14ac:dyDescent="0.2">
      <c r="A848" t="s">
        <v>389</v>
      </c>
      <c r="B848" t="s">
        <v>1481</v>
      </c>
      <c r="C848" t="s">
        <v>264</v>
      </c>
      <c r="D848" t="s">
        <v>265</v>
      </c>
      <c r="E848">
        <v>7741</v>
      </c>
      <c r="F848" t="s">
        <v>2566</v>
      </c>
      <c r="G848" t="s">
        <v>266</v>
      </c>
      <c r="H848" t="s">
        <v>342</v>
      </c>
      <c r="I848" t="s">
        <v>1746</v>
      </c>
      <c r="J848" t="s">
        <v>4967</v>
      </c>
    </row>
    <row r="849" spans="1:10" x14ac:dyDescent="0.2">
      <c r="A849" t="s">
        <v>389</v>
      </c>
      <c r="B849" t="s">
        <v>1481</v>
      </c>
      <c r="C849" t="s">
        <v>264</v>
      </c>
      <c r="D849" t="s">
        <v>265</v>
      </c>
      <c r="E849">
        <v>8065</v>
      </c>
      <c r="F849" t="s">
        <v>2567</v>
      </c>
      <c r="G849" t="s">
        <v>266</v>
      </c>
      <c r="H849" t="s">
        <v>272</v>
      </c>
      <c r="I849">
        <v>219</v>
      </c>
    </row>
    <row r="850" spans="1:10" x14ac:dyDescent="0.2">
      <c r="A850" t="s">
        <v>389</v>
      </c>
      <c r="B850" t="s">
        <v>1481</v>
      </c>
      <c r="C850" t="s">
        <v>264</v>
      </c>
      <c r="D850" t="s">
        <v>265</v>
      </c>
      <c r="E850">
        <v>9302</v>
      </c>
      <c r="F850" t="s">
        <v>2568</v>
      </c>
      <c r="G850" t="s">
        <v>266</v>
      </c>
      <c r="H850" t="s">
        <v>556</v>
      </c>
      <c r="I850">
        <v>484</v>
      </c>
    </row>
    <row r="851" spans="1:10" x14ac:dyDescent="0.2">
      <c r="A851" t="s">
        <v>389</v>
      </c>
      <c r="B851" t="s">
        <v>686</v>
      </c>
      <c r="C851" t="s">
        <v>264</v>
      </c>
      <c r="D851" t="s">
        <v>265</v>
      </c>
      <c r="E851">
        <v>4215</v>
      </c>
      <c r="F851" t="s">
        <v>2569</v>
      </c>
      <c r="G851" t="s">
        <v>266</v>
      </c>
      <c r="H851" t="s">
        <v>279</v>
      </c>
      <c r="I851">
        <v>706</v>
      </c>
    </row>
    <row r="852" spans="1:10" x14ac:dyDescent="0.2">
      <c r="A852" t="s">
        <v>389</v>
      </c>
      <c r="B852" t="s">
        <v>686</v>
      </c>
      <c r="C852" t="s">
        <v>264</v>
      </c>
      <c r="D852" t="s">
        <v>265</v>
      </c>
      <c r="E852">
        <v>5217</v>
      </c>
      <c r="F852" t="s">
        <v>2570</v>
      </c>
      <c r="G852" t="s">
        <v>270</v>
      </c>
      <c r="H852" t="s">
        <v>308</v>
      </c>
      <c r="I852">
        <v>91</v>
      </c>
    </row>
    <row r="853" spans="1:10" x14ac:dyDescent="0.2">
      <c r="A853" t="s">
        <v>389</v>
      </c>
      <c r="B853" t="s">
        <v>686</v>
      </c>
      <c r="C853" t="s">
        <v>264</v>
      </c>
      <c r="D853" t="s">
        <v>265</v>
      </c>
      <c r="E853">
        <v>5697</v>
      </c>
      <c r="F853" t="s">
        <v>2571</v>
      </c>
      <c r="G853" t="s">
        <v>274</v>
      </c>
      <c r="H853" t="s">
        <v>726</v>
      </c>
      <c r="I853">
        <v>30</v>
      </c>
    </row>
    <row r="854" spans="1:10" x14ac:dyDescent="0.2">
      <c r="A854" t="s">
        <v>389</v>
      </c>
      <c r="B854" t="s">
        <v>686</v>
      </c>
      <c r="C854" t="s">
        <v>264</v>
      </c>
      <c r="D854" t="s">
        <v>265</v>
      </c>
      <c r="E854">
        <v>6151</v>
      </c>
      <c r="F854" t="s">
        <v>392</v>
      </c>
      <c r="G854" t="s">
        <v>266</v>
      </c>
      <c r="H854" t="s">
        <v>287</v>
      </c>
      <c r="I854">
        <v>514</v>
      </c>
    </row>
    <row r="855" spans="1:10" x14ac:dyDescent="0.2">
      <c r="A855" t="s">
        <v>389</v>
      </c>
      <c r="B855" t="s">
        <v>686</v>
      </c>
      <c r="C855" t="s">
        <v>264</v>
      </c>
      <c r="D855" t="s">
        <v>265</v>
      </c>
      <c r="E855">
        <v>6644</v>
      </c>
      <c r="F855" t="s">
        <v>2572</v>
      </c>
      <c r="G855" t="s">
        <v>266</v>
      </c>
      <c r="H855" t="s">
        <v>291</v>
      </c>
      <c r="I855">
        <v>337</v>
      </c>
    </row>
    <row r="856" spans="1:10" x14ac:dyDescent="0.2">
      <c r="A856" t="s">
        <v>389</v>
      </c>
      <c r="B856" t="s">
        <v>686</v>
      </c>
      <c r="C856" t="s">
        <v>264</v>
      </c>
      <c r="D856" t="s">
        <v>265</v>
      </c>
      <c r="E856">
        <v>7538</v>
      </c>
      <c r="F856" t="s">
        <v>2573</v>
      </c>
      <c r="G856" t="s">
        <v>274</v>
      </c>
      <c r="H856" t="s">
        <v>272</v>
      </c>
      <c r="I856">
        <v>35</v>
      </c>
    </row>
    <row r="857" spans="1:10" x14ac:dyDescent="0.2">
      <c r="A857" t="s">
        <v>389</v>
      </c>
      <c r="B857" t="s">
        <v>686</v>
      </c>
      <c r="C857" t="s">
        <v>264</v>
      </c>
      <c r="D857" t="s">
        <v>265</v>
      </c>
      <c r="E857">
        <v>7705</v>
      </c>
      <c r="F857" t="s">
        <v>2574</v>
      </c>
      <c r="G857" t="s">
        <v>274</v>
      </c>
      <c r="H857" t="s">
        <v>342</v>
      </c>
      <c r="I857">
        <v>187</v>
      </c>
    </row>
    <row r="858" spans="1:10" x14ac:dyDescent="0.2">
      <c r="A858" t="s">
        <v>389</v>
      </c>
      <c r="B858" t="s">
        <v>686</v>
      </c>
      <c r="C858" t="s">
        <v>264</v>
      </c>
      <c r="D858" t="s">
        <v>265</v>
      </c>
      <c r="E858">
        <v>7971</v>
      </c>
      <c r="F858" t="s">
        <v>1526</v>
      </c>
      <c r="G858" t="s">
        <v>266</v>
      </c>
      <c r="H858" t="s">
        <v>279</v>
      </c>
      <c r="I858">
        <v>202</v>
      </c>
    </row>
    <row r="859" spans="1:10" x14ac:dyDescent="0.2">
      <c r="A859" t="s">
        <v>389</v>
      </c>
      <c r="B859" t="s">
        <v>686</v>
      </c>
      <c r="C859" t="s">
        <v>264</v>
      </c>
      <c r="D859" t="s">
        <v>265</v>
      </c>
      <c r="E859">
        <v>8031</v>
      </c>
      <c r="F859" t="s">
        <v>2575</v>
      </c>
      <c r="G859" t="s">
        <v>266</v>
      </c>
      <c r="H859" t="s">
        <v>272</v>
      </c>
      <c r="I859" t="s">
        <v>2576</v>
      </c>
      <c r="J859" t="s">
        <v>4968</v>
      </c>
    </row>
    <row r="860" spans="1:10" x14ac:dyDescent="0.2">
      <c r="A860" t="s">
        <v>389</v>
      </c>
      <c r="B860" t="s">
        <v>686</v>
      </c>
      <c r="C860" t="s">
        <v>264</v>
      </c>
      <c r="D860" t="s">
        <v>265</v>
      </c>
      <c r="E860">
        <v>8059</v>
      </c>
      <c r="F860" t="s">
        <v>2577</v>
      </c>
      <c r="G860" t="s">
        <v>266</v>
      </c>
      <c r="H860" t="s">
        <v>272</v>
      </c>
      <c r="I860">
        <v>407</v>
      </c>
    </row>
    <row r="861" spans="1:10" x14ac:dyDescent="0.2">
      <c r="A861" t="s">
        <v>389</v>
      </c>
      <c r="B861" t="s">
        <v>686</v>
      </c>
      <c r="C861" t="s">
        <v>264</v>
      </c>
      <c r="D861" t="s">
        <v>265</v>
      </c>
      <c r="E861">
        <v>8074</v>
      </c>
      <c r="F861" t="s">
        <v>2578</v>
      </c>
      <c r="G861" t="s">
        <v>266</v>
      </c>
      <c r="H861" t="s">
        <v>272</v>
      </c>
      <c r="I861">
        <v>844</v>
      </c>
    </row>
    <row r="862" spans="1:10" x14ac:dyDescent="0.2">
      <c r="A862" t="s">
        <v>389</v>
      </c>
      <c r="B862" t="s">
        <v>686</v>
      </c>
      <c r="C862" t="s">
        <v>264</v>
      </c>
      <c r="D862" t="s">
        <v>265</v>
      </c>
      <c r="E862">
        <v>8182</v>
      </c>
      <c r="F862" t="s">
        <v>2579</v>
      </c>
      <c r="G862" t="s">
        <v>266</v>
      </c>
      <c r="H862" t="s">
        <v>276</v>
      </c>
      <c r="I862">
        <v>774</v>
      </c>
    </row>
    <row r="863" spans="1:10" x14ac:dyDescent="0.2">
      <c r="A863" t="s">
        <v>389</v>
      </c>
      <c r="B863" t="s">
        <v>686</v>
      </c>
      <c r="C863" t="s">
        <v>264</v>
      </c>
      <c r="D863" t="s">
        <v>265</v>
      </c>
      <c r="E863">
        <v>8346</v>
      </c>
      <c r="F863" t="s">
        <v>2580</v>
      </c>
      <c r="G863" t="s">
        <v>266</v>
      </c>
      <c r="H863" t="s">
        <v>484</v>
      </c>
      <c r="I863">
        <v>651</v>
      </c>
    </row>
    <row r="864" spans="1:10" x14ac:dyDescent="0.2">
      <c r="A864" t="s">
        <v>389</v>
      </c>
      <c r="B864" t="s">
        <v>686</v>
      </c>
      <c r="C864" t="s">
        <v>264</v>
      </c>
      <c r="D864" t="s">
        <v>265</v>
      </c>
      <c r="E864">
        <v>8424</v>
      </c>
      <c r="F864" t="s">
        <v>1741</v>
      </c>
      <c r="G864" t="s">
        <v>266</v>
      </c>
      <c r="H864" t="s">
        <v>302</v>
      </c>
      <c r="I864" t="s">
        <v>289</v>
      </c>
      <c r="J864" t="s">
        <v>4355</v>
      </c>
    </row>
    <row r="865" spans="1:10" x14ac:dyDescent="0.2">
      <c r="A865" t="s">
        <v>389</v>
      </c>
      <c r="B865" t="s">
        <v>686</v>
      </c>
      <c r="C865" t="s">
        <v>264</v>
      </c>
      <c r="D865" t="s">
        <v>265</v>
      </c>
      <c r="E865">
        <v>8542</v>
      </c>
      <c r="F865" t="s">
        <v>2581</v>
      </c>
      <c r="G865" t="s">
        <v>266</v>
      </c>
      <c r="H865" t="s">
        <v>484</v>
      </c>
      <c r="I865">
        <v>125</v>
      </c>
    </row>
    <row r="866" spans="1:10" x14ac:dyDescent="0.2">
      <c r="A866" t="s">
        <v>389</v>
      </c>
      <c r="B866" t="s">
        <v>686</v>
      </c>
      <c r="C866" t="s">
        <v>264</v>
      </c>
      <c r="D866" t="s">
        <v>265</v>
      </c>
      <c r="E866">
        <v>9001</v>
      </c>
      <c r="F866" t="s">
        <v>554</v>
      </c>
      <c r="G866" t="s">
        <v>266</v>
      </c>
      <c r="H866" t="s">
        <v>356</v>
      </c>
      <c r="I866" t="s">
        <v>343</v>
      </c>
      <c r="J866" t="s">
        <v>4442</v>
      </c>
    </row>
    <row r="867" spans="1:10" x14ac:dyDescent="0.2">
      <c r="A867" t="s">
        <v>389</v>
      </c>
      <c r="B867" t="s">
        <v>686</v>
      </c>
      <c r="C867" t="s">
        <v>264</v>
      </c>
      <c r="D867" t="s">
        <v>265</v>
      </c>
      <c r="E867">
        <v>9003</v>
      </c>
      <c r="F867" t="s">
        <v>2582</v>
      </c>
      <c r="G867" t="s">
        <v>266</v>
      </c>
      <c r="H867" t="s">
        <v>356</v>
      </c>
      <c r="I867" t="s">
        <v>289</v>
      </c>
      <c r="J867" t="s">
        <v>4449</v>
      </c>
    </row>
    <row r="868" spans="1:10" x14ac:dyDescent="0.2">
      <c r="A868" t="s">
        <v>389</v>
      </c>
      <c r="B868" t="s">
        <v>686</v>
      </c>
      <c r="C868" t="s">
        <v>264</v>
      </c>
      <c r="D868" t="s">
        <v>265</v>
      </c>
      <c r="E868">
        <v>9728</v>
      </c>
      <c r="F868" t="s">
        <v>2583</v>
      </c>
      <c r="G868" t="s">
        <v>266</v>
      </c>
      <c r="H868" t="s">
        <v>271</v>
      </c>
      <c r="I868">
        <v>813</v>
      </c>
    </row>
    <row r="869" spans="1:10" x14ac:dyDescent="0.2">
      <c r="A869" t="s">
        <v>389</v>
      </c>
      <c r="B869" t="s">
        <v>686</v>
      </c>
      <c r="C869" t="s">
        <v>264</v>
      </c>
      <c r="D869" t="s">
        <v>265</v>
      </c>
      <c r="E869">
        <v>9857</v>
      </c>
      <c r="F869" t="s">
        <v>2584</v>
      </c>
      <c r="G869" t="s">
        <v>274</v>
      </c>
      <c r="H869" t="s">
        <v>272</v>
      </c>
      <c r="I869">
        <v>92</v>
      </c>
    </row>
    <row r="870" spans="1:10" x14ac:dyDescent="0.2">
      <c r="A870" t="s">
        <v>389</v>
      </c>
      <c r="B870" t="s">
        <v>327</v>
      </c>
      <c r="C870" t="s">
        <v>264</v>
      </c>
      <c r="D870" t="s">
        <v>269</v>
      </c>
      <c r="E870">
        <v>1799</v>
      </c>
      <c r="F870" t="s">
        <v>2585</v>
      </c>
      <c r="G870" t="s">
        <v>270</v>
      </c>
      <c r="H870" t="s">
        <v>293</v>
      </c>
      <c r="I870">
        <v>368</v>
      </c>
    </row>
    <row r="871" spans="1:10" x14ac:dyDescent="0.2">
      <c r="A871" t="s">
        <v>389</v>
      </c>
      <c r="B871" t="s">
        <v>327</v>
      </c>
      <c r="C871" t="s">
        <v>264</v>
      </c>
      <c r="D871" t="s">
        <v>265</v>
      </c>
      <c r="E871">
        <v>2107</v>
      </c>
      <c r="F871" t="s">
        <v>2586</v>
      </c>
      <c r="G871" t="s">
        <v>266</v>
      </c>
      <c r="H871" t="s">
        <v>267</v>
      </c>
      <c r="I871">
        <v>66</v>
      </c>
    </row>
    <row r="872" spans="1:10" x14ac:dyDescent="0.2">
      <c r="A872" t="s">
        <v>389</v>
      </c>
      <c r="B872" t="s">
        <v>327</v>
      </c>
      <c r="C872" t="s">
        <v>264</v>
      </c>
      <c r="D872" t="s">
        <v>265</v>
      </c>
      <c r="E872">
        <v>2489</v>
      </c>
      <c r="F872" t="s">
        <v>2587</v>
      </c>
      <c r="G872" t="s">
        <v>278</v>
      </c>
      <c r="H872" t="s">
        <v>271</v>
      </c>
      <c r="I872">
        <v>144</v>
      </c>
    </row>
    <row r="873" spans="1:10" x14ac:dyDescent="0.2">
      <c r="A873" t="s">
        <v>389</v>
      </c>
      <c r="B873" t="s">
        <v>327</v>
      </c>
      <c r="C873" t="s">
        <v>264</v>
      </c>
      <c r="D873" t="s">
        <v>265</v>
      </c>
      <c r="E873">
        <v>2607</v>
      </c>
      <c r="F873" t="s">
        <v>710</v>
      </c>
      <c r="G873" t="s">
        <v>266</v>
      </c>
      <c r="H873" t="s">
        <v>267</v>
      </c>
      <c r="I873" t="s">
        <v>289</v>
      </c>
      <c r="J873" t="s">
        <v>4511</v>
      </c>
    </row>
    <row r="874" spans="1:10" x14ac:dyDescent="0.2">
      <c r="A874" t="s">
        <v>389</v>
      </c>
      <c r="B874" t="s">
        <v>327</v>
      </c>
      <c r="C874" t="s">
        <v>264</v>
      </c>
      <c r="D874" t="s">
        <v>265</v>
      </c>
      <c r="E874">
        <v>2730</v>
      </c>
      <c r="F874" t="s">
        <v>2588</v>
      </c>
      <c r="G874" t="s">
        <v>266</v>
      </c>
      <c r="H874" t="s">
        <v>276</v>
      </c>
      <c r="I874" t="s">
        <v>297</v>
      </c>
      <c r="J874" t="s">
        <v>4969</v>
      </c>
    </row>
    <row r="875" spans="1:10" x14ac:dyDescent="0.2">
      <c r="A875" t="s">
        <v>389</v>
      </c>
      <c r="B875" t="s">
        <v>327</v>
      </c>
      <c r="C875" t="s">
        <v>264</v>
      </c>
      <c r="D875" t="s">
        <v>265</v>
      </c>
      <c r="E875">
        <v>2773</v>
      </c>
      <c r="F875" t="s">
        <v>2589</v>
      </c>
      <c r="G875" t="s">
        <v>270</v>
      </c>
      <c r="H875" t="s">
        <v>287</v>
      </c>
      <c r="I875">
        <v>69</v>
      </c>
    </row>
    <row r="876" spans="1:10" x14ac:dyDescent="0.2">
      <c r="A876" t="s">
        <v>389</v>
      </c>
      <c r="B876" t="s">
        <v>327</v>
      </c>
      <c r="C876" t="s">
        <v>264</v>
      </c>
      <c r="D876" t="s">
        <v>269</v>
      </c>
      <c r="E876">
        <v>2816</v>
      </c>
      <c r="F876" t="s">
        <v>2590</v>
      </c>
      <c r="G876" t="s">
        <v>274</v>
      </c>
      <c r="H876" t="s">
        <v>267</v>
      </c>
      <c r="I876">
        <v>120</v>
      </c>
    </row>
    <row r="877" spans="1:10" x14ac:dyDescent="0.2">
      <c r="A877" t="s">
        <v>389</v>
      </c>
      <c r="B877" t="s">
        <v>327</v>
      </c>
      <c r="C877" t="s">
        <v>264</v>
      </c>
      <c r="D877" t="s">
        <v>265</v>
      </c>
      <c r="E877">
        <v>2871</v>
      </c>
      <c r="F877" t="s">
        <v>712</v>
      </c>
      <c r="G877" t="s">
        <v>266</v>
      </c>
      <c r="H877" t="s">
        <v>267</v>
      </c>
      <c r="I877" t="s">
        <v>333</v>
      </c>
      <c r="J877" t="s">
        <v>4712</v>
      </c>
    </row>
    <row r="878" spans="1:10" x14ac:dyDescent="0.2">
      <c r="A878" t="s">
        <v>389</v>
      </c>
      <c r="B878" t="s">
        <v>327</v>
      </c>
      <c r="C878" t="s">
        <v>264</v>
      </c>
      <c r="D878" t="s">
        <v>269</v>
      </c>
      <c r="E878">
        <v>3424</v>
      </c>
      <c r="F878" t="s">
        <v>2591</v>
      </c>
      <c r="G878" t="s">
        <v>270</v>
      </c>
      <c r="H878" t="s">
        <v>281</v>
      </c>
      <c r="I878">
        <v>42</v>
      </c>
    </row>
    <row r="879" spans="1:10" x14ac:dyDescent="0.2">
      <c r="A879" t="s">
        <v>389</v>
      </c>
      <c r="B879" t="s">
        <v>327</v>
      </c>
      <c r="C879" t="s">
        <v>264</v>
      </c>
      <c r="D879" t="s">
        <v>265</v>
      </c>
      <c r="E879">
        <v>3569</v>
      </c>
      <c r="F879" t="s">
        <v>2592</v>
      </c>
      <c r="G879" t="s">
        <v>266</v>
      </c>
      <c r="H879" t="s">
        <v>299</v>
      </c>
      <c r="I879">
        <v>973</v>
      </c>
    </row>
    <row r="880" spans="1:10" x14ac:dyDescent="0.2">
      <c r="A880" t="s">
        <v>389</v>
      </c>
      <c r="B880" t="s">
        <v>327</v>
      </c>
      <c r="C880" t="s">
        <v>264</v>
      </c>
      <c r="D880" t="s">
        <v>265</v>
      </c>
      <c r="E880">
        <v>3580</v>
      </c>
      <c r="F880" t="s">
        <v>2593</v>
      </c>
      <c r="G880" t="s">
        <v>266</v>
      </c>
      <c r="H880" t="s">
        <v>299</v>
      </c>
      <c r="I880">
        <v>342</v>
      </c>
    </row>
    <row r="881" spans="1:10" x14ac:dyDescent="0.2">
      <c r="A881" t="s">
        <v>389</v>
      </c>
      <c r="B881" t="s">
        <v>327</v>
      </c>
      <c r="C881" t="s">
        <v>264</v>
      </c>
      <c r="D881" t="s">
        <v>265</v>
      </c>
      <c r="E881">
        <v>3768</v>
      </c>
      <c r="F881" t="s">
        <v>2594</v>
      </c>
      <c r="G881" t="s">
        <v>274</v>
      </c>
      <c r="H881" t="s">
        <v>277</v>
      </c>
      <c r="I881">
        <v>67</v>
      </c>
    </row>
    <row r="882" spans="1:10" x14ac:dyDescent="0.2">
      <c r="A882" t="s">
        <v>389</v>
      </c>
      <c r="B882" t="s">
        <v>327</v>
      </c>
      <c r="C882" t="s">
        <v>264</v>
      </c>
      <c r="D882" t="s">
        <v>265</v>
      </c>
      <c r="E882">
        <v>3895</v>
      </c>
      <c r="F882" t="s">
        <v>2595</v>
      </c>
      <c r="G882" t="s">
        <v>270</v>
      </c>
      <c r="H882" t="s">
        <v>300</v>
      </c>
      <c r="I882">
        <v>66</v>
      </c>
    </row>
    <row r="883" spans="1:10" x14ac:dyDescent="0.2">
      <c r="A883" t="s">
        <v>389</v>
      </c>
      <c r="B883" t="s">
        <v>327</v>
      </c>
      <c r="C883" t="s">
        <v>264</v>
      </c>
      <c r="D883" t="s">
        <v>265</v>
      </c>
      <c r="E883">
        <v>3910</v>
      </c>
      <c r="F883" t="s">
        <v>2596</v>
      </c>
      <c r="G883" t="s">
        <v>270</v>
      </c>
      <c r="H883" t="s">
        <v>277</v>
      </c>
      <c r="I883">
        <v>95</v>
      </c>
    </row>
    <row r="884" spans="1:10" x14ac:dyDescent="0.2">
      <c r="A884" t="s">
        <v>389</v>
      </c>
      <c r="B884" t="s">
        <v>327</v>
      </c>
      <c r="C884" t="s">
        <v>264</v>
      </c>
      <c r="D884" t="s">
        <v>265</v>
      </c>
      <c r="E884">
        <v>4041</v>
      </c>
      <c r="F884" t="s">
        <v>2597</v>
      </c>
      <c r="G884" t="s">
        <v>266</v>
      </c>
      <c r="H884" t="s">
        <v>279</v>
      </c>
      <c r="I884">
        <v>965</v>
      </c>
    </row>
    <row r="885" spans="1:10" x14ac:dyDescent="0.2">
      <c r="A885" t="s">
        <v>389</v>
      </c>
      <c r="B885" t="s">
        <v>327</v>
      </c>
      <c r="C885" t="s">
        <v>273</v>
      </c>
      <c r="D885" t="s">
        <v>265</v>
      </c>
      <c r="E885">
        <v>4107</v>
      </c>
      <c r="F885" t="s">
        <v>2598</v>
      </c>
      <c r="G885" t="s">
        <v>274</v>
      </c>
      <c r="H885" t="s">
        <v>279</v>
      </c>
      <c r="I885">
        <v>198</v>
      </c>
    </row>
    <row r="886" spans="1:10" x14ac:dyDescent="0.2">
      <c r="A886" t="s">
        <v>389</v>
      </c>
      <c r="B886" t="s">
        <v>327</v>
      </c>
      <c r="C886" t="s">
        <v>264</v>
      </c>
      <c r="D886" t="s">
        <v>265</v>
      </c>
      <c r="E886">
        <v>4114</v>
      </c>
      <c r="F886" t="s">
        <v>1737</v>
      </c>
      <c r="G886" t="s">
        <v>266</v>
      </c>
      <c r="H886" t="s">
        <v>279</v>
      </c>
      <c r="I886" t="s">
        <v>289</v>
      </c>
      <c r="J886" t="s">
        <v>4970</v>
      </c>
    </row>
    <row r="887" spans="1:10" x14ac:dyDescent="0.2">
      <c r="A887" t="s">
        <v>389</v>
      </c>
      <c r="B887" t="s">
        <v>327</v>
      </c>
      <c r="C887" t="s">
        <v>264</v>
      </c>
      <c r="D887" t="s">
        <v>265</v>
      </c>
      <c r="E887">
        <v>4208</v>
      </c>
      <c r="F887" t="s">
        <v>2599</v>
      </c>
      <c r="G887" t="s">
        <v>266</v>
      </c>
      <c r="H887" t="s">
        <v>279</v>
      </c>
      <c r="I887" t="s">
        <v>289</v>
      </c>
      <c r="J887" t="s">
        <v>4310</v>
      </c>
    </row>
    <row r="888" spans="1:10" x14ac:dyDescent="0.2">
      <c r="A888" t="s">
        <v>389</v>
      </c>
      <c r="B888" t="s">
        <v>327</v>
      </c>
      <c r="C888" t="s">
        <v>268</v>
      </c>
      <c r="D888" t="s">
        <v>265</v>
      </c>
      <c r="E888">
        <v>4293</v>
      </c>
      <c r="F888" t="s">
        <v>2600</v>
      </c>
      <c r="G888" t="s">
        <v>270</v>
      </c>
      <c r="H888" t="s">
        <v>271</v>
      </c>
      <c r="I888">
        <v>404</v>
      </c>
    </row>
    <row r="889" spans="1:10" x14ac:dyDescent="0.2">
      <c r="A889" t="s">
        <v>389</v>
      </c>
      <c r="B889" t="s">
        <v>327</v>
      </c>
      <c r="C889" t="s">
        <v>264</v>
      </c>
      <c r="D889" t="s">
        <v>265</v>
      </c>
      <c r="E889">
        <v>4316</v>
      </c>
      <c r="F889" t="s">
        <v>2601</v>
      </c>
      <c r="G889" t="s">
        <v>270</v>
      </c>
      <c r="H889" t="s">
        <v>277</v>
      </c>
      <c r="I889">
        <v>34</v>
      </c>
    </row>
    <row r="890" spans="1:10" x14ac:dyDescent="0.2">
      <c r="A890" t="s">
        <v>389</v>
      </c>
      <c r="B890" t="s">
        <v>327</v>
      </c>
      <c r="C890" t="s">
        <v>273</v>
      </c>
      <c r="D890" t="s">
        <v>265</v>
      </c>
      <c r="E890">
        <v>4452</v>
      </c>
      <c r="F890" t="s">
        <v>1633</v>
      </c>
      <c r="G890" t="s">
        <v>266</v>
      </c>
      <c r="H890" t="s">
        <v>279</v>
      </c>
      <c r="I890" t="s">
        <v>4270</v>
      </c>
      <c r="J890" t="s">
        <v>4714</v>
      </c>
    </row>
    <row r="891" spans="1:10" x14ac:dyDescent="0.2">
      <c r="A891" t="s">
        <v>389</v>
      </c>
      <c r="B891" t="s">
        <v>327</v>
      </c>
      <c r="C891" t="s">
        <v>264</v>
      </c>
      <c r="D891" t="s">
        <v>265</v>
      </c>
      <c r="E891">
        <v>4464</v>
      </c>
      <c r="F891" t="s">
        <v>2602</v>
      </c>
      <c r="G891" t="s">
        <v>274</v>
      </c>
      <c r="H891" t="s">
        <v>279</v>
      </c>
      <c r="I891">
        <v>237</v>
      </c>
    </row>
    <row r="892" spans="1:10" x14ac:dyDescent="0.2">
      <c r="A892" t="s">
        <v>389</v>
      </c>
      <c r="B892" t="s">
        <v>327</v>
      </c>
      <c r="C892" t="s">
        <v>264</v>
      </c>
      <c r="D892" t="s">
        <v>265</v>
      </c>
      <c r="E892">
        <v>4502</v>
      </c>
      <c r="F892" t="s">
        <v>390</v>
      </c>
      <c r="G892" t="s">
        <v>266</v>
      </c>
      <c r="H892" t="s">
        <v>311</v>
      </c>
      <c r="I892" t="s">
        <v>2603</v>
      </c>
      <c r="J892" t="s">
        <v>4713</v>
      </c>
    </row>
    <row r="893" spans="1:10" x14ac:dyDescent="0.2">
      <c r="A893" t="s">
        <v>389</v>
      </c>
      <c r="B893" t="s">
        <v>327</v>
      </c>
      <c r="C893" t="s">
        <v>264</v>
      </c>
      <c r="D893" t="s">
        <v>269</v>
      </c>
      <c r="E893">
        <v>4512</v>
      </c>
      <c r="F893" t="s">
        <v>2604</v>
      </c>
      <c r="G893" t="s">
        <v>266</v>
      </c>
      <c r="H893" t="s">
        <v>311</v>
      </c>
      <c r="I893">
        <v>93</v>
      </c>
    </row>
    <row r="894" spans="1:10" x14ac:dyDescent="0.2">
      <c r="A894" t="s">
        <v>389</v>
      </c>
      <c r="B894" t="s">
        <v>327</v>
      </c>
      <c r="C894" t="s">
        <v>264</v>
      </c>
      <c r="D894" t="s">
        <v>265</v>
      </c>
      <c r="E894">
        <v>4536</v>
      </c>
      <c r="F894" t="s">
        <v>2605</v>
      </c>
      <c r="G894" t="s">
        <v>266</v>
      </c>
      <c r="H894" t="s">
        <v>311</v>
      </c>
      <c r="I894" t="s">
        <v>343</v>
      </c>
      <c r="J894" t="s">
        <v>4312</v>
      </c>
    </row>
    <row r="895" spans="1:10" x14ac:dyDescent="0.2">
      <c r="A895" t="s">
        <v>389</v>
      </c>
      <c r="B895" t="s">
        <v>327</v>
      </c>
      <c r="C895" t="s">
        <v>264</v>
      </c>
      <c r="D895" t="s">
        <v>265</v>
      </c>
      <c r="E895">
        <v>4548</v>
      </c>
      <c r="F895" t="s">
        <v>533</v>
      </c>
      <c r="G895" t="s">
        <v>266</v>
      </c>
      <c r="H895" t="s">
        <v>311</v>
      </c>
      <c r="I895">
        <v>698</v>
      </c>
    </row>
    <row r="896" spans="1:10" x14ac:dyDescent="0.2">
      <c r="A896" t="s">
        <v>389</v>
      </c>
      <c r="B896" t="s">
        <v>327</v>
      </c>
      <c r="C896" t="s">
        <v>264</v>
      </c>
      <c r="D896" t="s">
        <v>265</v>
      </c>
      <c r="E896">
        <v>4584</v>
      </c>
      <c r="F896" t="s">
        <v>2606</v>
      </c>
      <c r="G896" t="s">
        <v>278</v>
      </c>
      <c r="H896" t="s">
        <v>311</v>
      </c>
      <c r="I896">
        <v>267</v>
      </c>
    </row>
    <row r="897" spans="1:10" x14ac:dyDescent="0.2">
      <c r="A897" t="s">
        <v>389</v>
      </c>
      <c r="B897" t="s">
        <v>327</v>
      </c>
      <c r="C897" t="s">
        <v>264</v>
      </c>
      <c r="D897" t="s">
        <v>265</v>
      </c>
      <c r="E897">
        <v>5408</v>
      </c>
      <c r="F897" t="s">
        <v>2607</v>
      </c>
      <c r="G897" t="s">
        <v>266</v>
      </c>
      <c r="H897" t="s">
        <v>726</v>
      </c>
      <c r="I897">
        <v>333</v>
      </c>
    </row>
    <row r="898" spans="1:10" x14ac:dyDescent="0.2">
      <c r="A898" t="s">
        <v>389</v>
      </c>
      <c r="B898" t="s">
        <v>327</v>
      </c>
      <c r="C898" t="s">
        <v>264</v>
      </c>
      <c r="D898" t="s">
        <v>265</v>
      </c>
      <c r="E898">
        <v>5476</v>
      </c>
      <c r="F898" t="s">
        <v>2608</v>
      </c>
      <c r="G898" t="s">
        <v>266</v>
      </c>
      <c r="H898" t="s">
        <v>726</v>
      </c>
      <c r="I898">
        <v>62</v>
      </c>
    </row>
    <row r="899" spans="1:10" x14ac:dyDescent="0.2">
      <c r="A899" t="s">
        <v>389</v>
      </c>
      <c r="B899" t="s">
        <v>327</v>
      </c>
      <c r="C899" t="s">
        <v>264</v>
      </c>
      <c r="D899" t="s">
        <v>265</v>
      </c>
      <c r="E899">
        <v>6448</v>
      </c>
      <c r="F899" t="s">
        <v>2609</v>
      </c>
      <c r="G899" t="s">
        <v>266</v>
      </c>
      <c r="H899" t="s">
        <v>291</v>
      </c>
      <c r="I899" t="s">
        <v>325</v>
      </c>
      <c r="J899" t="s">
        <v>4971</v>
      </c>
    </row>
    <row r="900" spans="1:10" x14ac:dyDescent="0.2">
      <c r="A900" t="s">
        <v>389</v>
      </c>
      <c r="B900" t="s">
        <v>327</v>
      </c>
      <c r="C900" t="s">
        <v>264</v>
      </c>
      <c r="D900" t="s">
        <v>265</v>
      </c>
      <c r="E900">
        <v>6718</v>
      </c>
      <c r="F900" t="s">
        <v>2610</v>
      </c>
      <c r="G900" t="s">
        <v>266</v>
      </c>
      <c r="H900" t="s">
        <v>291</v>
      </c>
      <c r="I900">
        <v>316</v>
      </c>
    </row>
    <row r="901" spans="1:10" x14ac:dyDescent="0.2">
      <c r="A901" t="s">
        <v>389</v>
      </c>
      <c r="B901" t="s">
        <v>327</v>
      </c>
      <c r="C901" t="s">
        <v>264</v>
      </c>
      <c r="D901" t="s">
        <v>265</v>
      </c>
      <c r="E901">
        <v>6753</v>
      </c>
      <c r="F901" t="s">
        <v>4469</v>
      </c>
      <c r="G901" t="s">
        <v>266</v>
      </c>
      <c r="H901" t="s">
        <v>291</v>
      </c>
      <c r="I901" t="s">
        <v>343</v>
      </c>
      <c r="J901" t="s">
        <v>4715</v>
      </c>
    </row>
    <row r="902" spans="1:10" x14ac:dyDescent="0.2">
      <c r="A902" t="s">
        <v>389</v>
      </c>
      <c r="B902" t="s">
        <v>327</v>
      </c>
      <c r="C902" t="s">
        <v>264</v>
      </c>
      <c r="D902" t="s">
        <v>265</v>
      </c>
      <c r="E902">
        <v>6758</v>
      </c>
      <c r="F902" t="s">
        <v>2611</v>
      </c>
      <c r="G902" t="s">
        <v>266</v>
      </c>
      <c r="H902" t="s">
        <v>291</v>
      </c>
      <c r="I902" t="s">
        <v>4374</v>
      </c>
      <c r="J902" t="s">
        <v>4972</v>
      </c>
    </row>
    <row r="903" spans="1:10" x14ac:dyDescent="0.2">
      <c r="A903" t="s">
        <v>389</v>
      </c>
      <c r="B903" t="s">
        <v>327</v>
      </c>
      <c r="C903" t="s">
        <v>264</v>
      </c>
      <c r="D903" t="s">
        <v>265</v>
      </c>
      <c r="E903">
        <v>6841</v>
      </c>
      <c r="F903" t="s">
        <v>2612</v>
      </c>
      <c r="G903" t="s">
        <v>266</v>
      </c>
      <c r="H903" t="s">
        <v>291</v>
      </c>
      <c r="I903" t="s">
        <v>283</v>
      </c>
      <c r="J903" t="s">
        <v>4973</v>
      </c>
    </row>
    <row r="904" spans="1:10" x14ac:dyDescent="0.2">
      <c r="A904" t="s">
        <v>389</v>
      </c>
      <c r="B904" t="s">
        <v>327</v>
      </c>
      <c r="C904" t="s">
        <v>264</v>
      </c>
      <c r="D904" t="s">
        <v>265</v>
      </c>
      <c r="E904">
        <v>6963</v>
      </c>
      <c r="F904" t="s">
        <v>2613</v>
      </c>
      <c r="G904" t="s">
        <v>266</v>
      </c>
      <c r="H904" t="s">
        <v>291</v>
      </c>
      <c r="I904" t="s">
        <v>407</v>
      </c>
      <c r="J904" t="s">
        <v>4974</v>
      </c>
    </row>
    <row r="905" spans="1:10" x14ac:dyDescent="0.2">
      <c r="A905" t="s">
        <v>389</v>
      </c>
      <c r="B905" t="s">
        <v>327</v>
      </c>
      <c r="C905" t="s">
        <v>273</v>
      </c>
      <c r="D905" t="s">
        <v>265</v>
      </c>
      <c r="E905">
        <v>7177</v>
      </c>
      <c r="F905" t="s">
        <v>2614</v>
      </c>
      <c r="G905" t="s">
        <v>270</v>
      </c>
      <c r="H905" t="s">
        <v>1448</v>
      </c>
      <c r="I905">
        <v>701</v>
      </c>
    </row>
    <row r="906" spans="1:10" x14ac:dyDescent="0.2">
      <c r="A906" t="s">
        <v>389</v>
      </c>
      <c r="B906" t="s">
        <v>327</v>
      </c>
      <c r="C906" t="s">
        <v>264</v>
      </c>
      <c r="D906" t="s">
        <v>265</v>
      </c>
      <c r="E906">
        <v>7230</v>
      </c>
      <c r="F906" t="s">
        <v>543</v>
      </c>
      <c r="G906" t="s">
        <v>266</v>
      </c>
      <c r="H906" t="s">
        <v>296</v>
      </c>
      <c r="I906" t="s">
        <v>297</v>
      </c>
      <c r="J906" t="s">
        <v>4674</v>
      </c>
    </row>
    <row r="907" spans="1:10" x14ac:dyDescent="0.2">
      <c r="A907" t="s">
        <v>389</v>
      </c>
      <c r="B907" t="s">
        <v>327</v>
      </c>
      <c r="C907" t="s">
        <v>264</v>
      </c>
      <c r="D907" t="s">
        <v>265</v>
      </c>
      <c r="E907">
        <v>7268</v>
      </c>
      <c r="F907" t="s">
        <v>2615</v>
      </c>
      <c r="G907" t="s">
        <v>270</v>
      </c>
      <c r="H907" t="s">
        <v>296</v>
      </c>
      <c r="I907">
        <v>27</v>
      </c>
    </row>
    <row r="908" spans="1:10" x14ac:dyDescent="0.2">
      <c r="A908" t="s">
        <v>389</v>
      </c>
      <c r="B908" t="s">
        <v>327</v>
      </c>
      <c r="C908" t="s">
        <v>264</v>
      </c>
      <c r="D908" t="s">
        <v>265</v>
      </c>
      <c r="E908">
        <v>7521</v>
      </c>
      <c r="F908" t="s">
        <v>2616</v>
      </c>
      <c r="G908" t="s">
        <v>270</v>
      </c>
      <c r="H908" t="s">
        <v>272</v>
      </c>
      <c r="I908">
        <v>158</v>
      </c>
    </row>
    <row r="909" spans="1:10" x14ac:dyDescent="0.2">
      <c r="A909" t="s">
        <v>389</v>
      </c>
      <c r="B909" t="s">
        <v>327</v>
      </c>
      <c r="C909" t="s">
        <v>264</v>
      </c>
      <c r="D909" t="s">
        <v>269</v>
      </c>
      <c r="E909">
        <v>7564</v>
      </c>
      <c r="F909" t="s">
        <v>2617</v>
      </c>
      <c r="G909" t="s">
        <v>270</v>
      </c>
      <c r="H909" t="s">
        <v>276</v>
      </c>
      <c r="I909" t="s">
        <v>518</v>
      </c>
      <c r="J909" t="s">
        <v>4975</v>
      </c>
    </row>
    <row r="910" spans="1:10" x14ac:dyDescent="0.2">
      <c r="A910" t="s">
        <v>389</v>
      </c>
      <c r="B910" t="s">
        <v>327</v>
      </c>
      <c r="C910" t="s">
        <v>264</v>
      </c>
      <c r="D910" t="s">
        <v>265</v>
      </c>
      <c r="E910">
        <v>7883</v>
      </c>
      <c r="F910" t="s">
        <v>2618</v>
      </c>
      <c r="G910" t="s">
        <v>270</v>
      </c>
      <c r="H910" t="s">
        <v>288</v>
      </c>
      <c r="I910">
        <v>76</v>
      </c>
    </row>
    <row r="911" spans="1:10" x14ac:dyDescent="0.2">
      <c r="A911" t="s">
        <v>389</v>
      </c>
      <c r="B911" t="s">
        <v>327</v>
      </c>
      <c r="C911" t="s">
        <v>264</v>
      </c>
      <c r="D911" t="s">
        <v>265</v>
      </c>
      <c r="E911">
        <v>7979</v>
      </c>
      <c r="F911" t="s">
        <v>2619</v>
      </c>
      <c r="G911" t="s">
        <v>266</v>
      </c>
      <c r="H911" t="s">
        <v>342</v>
      </c>
      <c r="I911">
        <v>303</v>
      </c>
    </row>
    <row r="912" spans="1:10" x14ac:dyDescent="0.2">
      <c r="A912" t="s">
        <v>389</v>
      </c>
      <c r="B912" t="s">
        <v>327</v>
      </c>
      <c r="C912" t="s">
        <v>264</v>
      </c>
      <c r="D912" t="s">
        <v>265</v>
      </c>
      <c r="E912">
        <v>8043</v>
      </c>
      <c r="F912" t="s">
        <v>2620</v>
      </c>
      <c r="G912" t="s">
        <v>266</v>
      </c>
      <c r="H912" t="s">
        <v>272</v>
      </c>
      <c r="I912">
        <v>423</v>
      </c>
    </row>
    <row r="913" spans="1:10" x14ac:dyDescent="0.2">
      <c r="A913" t="s">
        <v>389</v>
      </c>
      <c r="B913" t="s">
        <v>327</v>
      </c>
      <c r="C913" t="s">
        <v>264</v>
      </c>
      <c r="D913" t="s">
        <v>265</v>
      </c>
      <c r="E913">
        <v>8056</v>
      </c>
      <c r="F913" t="s">
        <v>2621</v>
      </c>
      <c r="G913" t="s">
        <v>266</v>
      </c>
      <c r="H913" t="s">
        <v>277</v>
      </c>
      <c r="I913" t="s">
        <v>333</v>
      </c>
      <c r="J913" t="s">
        <v>4965</v>
      </c>
    </row>
    <row r="914" spans="1:10" x14ac:dyDescent="0.2">
      <c r="A914" t="s">
        <v>389</v>
      </c>
      <c r="B914" t="s">
        <v>327</v>
      </c>
      <c r="C914" t="s">
        <v>264</v>
      </c>
      <c r="D914" t="s">
        <v>265</v>
      </c>
      <c r="E914">
        <v>8085</v>
      </c>
      <c r="F914" t="s">
        <v>2622</v>
      </c>
      <c r="G914" t="s">
        <v>274</v>
      </c>
      <c r="H914" t="s">
        <v>272</v>
      </c>
      <c r="I914">
        <v>107</v>
      </c>
    </row>
    <row r="915" spans="1:10" x14ac:dyDescent="0.2">
      <c r="A915" t="s">
        <v>389</v>
      </c>
      <c r="B915" t="s">
        <v>327</v>
      </c>
      <c r="C915" t="s">
        <v>264</v>
      </c>
      <c r="D915" t="s">
        <v>265</v>
      </c>
      <c r="E915">
        <v>8334</v>
      </c>
      <c r="F915" t="s">
        <v>2623</v>
      </c>
      <c r="G915" t="s">
        <v>266</v>
      </c>
      <c r="H915" t="s">
        <v>484</v>
      </c>
      <c r="I915" t="s">
        <v>297</v>
      </c>
      <c r="J915" t="s">
        <v>4976</v>
      </c>
    </row>
    <row r="916" spans="1:10" x14ac:dyDescent="0.2">
      <c r="A916" t="s">
        <v>389</v>
      </c>
      <c r="B916" t="s">
        <v>327</v>
      </c>
      <c r="C916" t="s">
        <v>264</v>
      </c>
      <c r="D916" t="s">
        <v>265</v>
      </c>
      <c r="E916">
        <v>8379</v>
      </c>
      <c r="F916" t="s">
        <v>2624</v>
      </c>
      <c r="G916" t="s">
        <v>266</v>
      </c>
      <c r="H916" t="s">
        <v>484</v>
      </c>
      <c r="I916" t="s">
        <v>297</v>
      </c>
      <c r="J916" t="s">
        <v>4346</v>
      </c>
    </row>
    <row r="917" spans="1:10" x14ac:dyDescent="0.2">
      <c r="A917" t="s">
        <v>389</v>
      </c>
      <c r="B917" t="s">
        <v>327</v>
      </c>
      <c r="C917" t="s">
        <v>264</v>
      </c>
      <c r="D917" t="s">
        <v>265</v>
      </c>
      <c r="E917">
        <v>8530</v>
      </c>
      <c r="F917" t="s">
        <v>2625</v>
      </c>
      <c r="G917" t="s">
        <v>266</v>
      </c>
      <c r="H917" t="s">
        <v>484</v>
      </c>
      <c r="I917">
        <v>483</v>
      </c>
    </row>
    <row r="918" spans="1:10" x14ac:dyDescent="0.2">
      <c r="A918" t="s">
        <v>389</v>
      </c>
      <c r="B918" t="s">
        <v>327</v>
      </c>
      <c r="C918" t="s">
        <v>273</v>
      </c>
      <c r="D918" t="s">
        <v>265</v>
      </c>
      <c r="E918">
        <v>8929</v>
      </c>
      <c r="F918" t="s">
        <v>2626</v>
      </c>
      <c r="G918" t="s">
        <v>274</v>
      </c>
      <c r="H918" t="s">
        <v>292</v>
      </c>
      <c r="I918">
        <v>197</v>
      </c>
    </row>
    <row r="919" spans="1:10" x14ac:dyDescent="0.2">
      <c r="A919" t="s">
        <v>389</v>
      </c>
      <c r="B919" t="s">
        <v>327</v>
      </c>
      <c r="C919" t="s">
        <v>275</v>
      </c>
      <c r="D919" t="s">
        <v>265</v>
      </c>
      <c r="E919">
        <v>8945</v>
      </c>
      <c r="F919" t="s">
        <v>644</v>
      </c>
      <c r="G919" t="s">
        <v>266</v>
      </c>
      <c r="H919" t="s">
        <v>292</v>
      </c>
      <c r="I919">
        <v>122</v>
      </c>
    </row>
    <row r="920" spans="1:10" x14ac:dyDescent="0.2">
      <c r="A920" t="s">
        <v>389</v>
      </c>
      <c r="B920" t="s">
        <v>327</v>
      </c>
      <c r="C920" t="s">
        <v>264</v>
      </c>
      <c r="D920" t="s">
        <v>265</v>
      </c>
      <c r="E920">
        <v>9042</v>
      </c>
      <c r="F920" t="s">
        <v>1742</v>
      </c>
      <c r="G920" t="s">
        <v>266</v>
      </c>
      <c r="H920" t="s">
        <v>356</v>
      </c>
      <c r="I920" t="s">
        <v>490</v>
      </c>
      <c r="J920" t="s">
        <v>4431</v>
      </c>
    </row>
    <row r="921" spans="1:10" x14ac:dyDescent="0.2">
      <c r="A921" t="s">
        <v>389</v>
      </c>
      <c r="B921" t="s">
        <v>327</v>
      </c>
      <c r="C921" t="s">
        <v>264</v>
      </c>
      <c r="D921" t="s">
        <v>265</v>
      </c>
      <c r="E921">
        <v>9428</v>
      </c>
      <c r="F921" t="s">
        <v>2627</v>
      </c>
      <c r="G921" t="s">
        <v>266</v>
      </c>
      <c r="H921" t="s">
        <v>277</v>
      </c>
      <c r="I921">
        <v>74</v>
      </c>
    </row>
    <row r="922" spans="1:10" x14ac:dyDescent="0.2">
      <c r="A922" t="s">
        <v>389</v>
      </c>
      <c r="B922" t="s">
        <v>327</v>
      </c>
      <c r="C922" t="s">
        <v>264</v>
      </c>
      <c r="D922" t="s">
        <v>265</v>
      </c>
      <c r="E922">
        <v>9613</v>
      </c>
      <c r="F922" t="s">
        <v>557</v>
      </c>
      <c r="G922" t="s">
        <v>266</v>
      </c>
      <c r="H922" t="s">
        <v>277</v>
      </c>
      <c r="I922" t="s">
        <v>475</v>
      </c>
      <c r="J922" t="s">
        <v>4358</v>
      </c>
    </row>
    <row r="923" spans="1:10" x14ac:dyDescent="0.2">
      <c r="A923" t="s">
        <v>389</v>
      </c>
      <c r="B923" t="s">
        <v>327</v>
      </c>
      <c r="C923" t="s">
        <v>264</v>
      </c>
      <c r="D923" t="s">
        <v>265</v>
      </c>
      <c r="E923">
        <v>9697</v>
      </c>
      <c r="F923" t="s">
        <v>1743</v>
      </c>
      <c r="G923" t="s">
        <v>266</v>
      </c>
      <c r="H923" t="s">
        <v>277</v>
      </c>
      <c r="I923" t="s">
        <v>333</v>
      </c>
      <c r="J923" t="s">
        <v>4295</v>
      </c>
    </row>
    <row r="924" spans="1:10" x14ac:dyDescent="0.2">
      <c r="A924" t="s">
        <v>389</v>
      </c>
      <c r="B924" t="s">
        <v>327</v>
      </c>
      <c r="C924" t="s">
        <v>264</v>
      </c>
      <c r="D924" t="s">
        <v>265</v>
      </c>
      <c r="E924">
        <v>9849</v>
      </c>
      <c r="F924" t="s">
        <v>4472</v>
      </c>
      <c r="G924" t="s">
        <v>270</v>
      </c>
      <c r="H924" t="s">
        <v>272</v>
      </c>
      <c r="I924">
        <v>33</v>
      </c>
    </row>
    <row r="925" spans="1:10" x14ac:dyDescent="0.2">
      <c r="A925" t="s">
        <v>389</v>
      </c>
      <c r="B925" t="s">
        <v>327</v>
      </c>
      <c r="C925" t="s">
        <v>264</v>
      </c>
      <c r="D925" t="s">
        <v>265</v>
      </c>
      <c r="E925">
        <v>9888</v>
      </c>
      <c r="F925" t="s">
        <v>2628</v>
      </c>
      <c r="G925" t="s">
        <v>270</v>
      </c>
      <c r="H925" t="s">
        <v>272</v>
      </c>
      <c r="I925">
        <v>65</v>
      </c>
    </row>
    <row r="926" spans="1:10" x14ac:dyDescent="0.2">
      <c r="A926" t="s">
        <v>389</v>
      </c>
      <c r="B926" t="s">
        <v>327</v>
      </c>
      <c r="C926" t="s">
        <v>264</v>
      </c>
      <c r="D926" t="s">
        <v>265</v>
      </c>
      <c r="E926">
        <v>9890</v>
      </c>
      <c r="F926" t="s">
        <v>2629</v>
      </c>
      <c r="G926" t="s">
        <v>270</v>
      </c>
      <c r="H926" t="s">
        <v>276</v>
      </c>
      <c r="I926">
        <v>77</v>
      </c>
    </row>
    <row r="927" spans="1:10" x14ac:dyDescent="0.2">
      <c r="A927" t="s">
        <v>389</v>
      </c>
      <c r="B927" t="s">
        <v>1738</v>
      </c>
      <c r="C927" t="s">
        <v>273</v>
      </c>
      <c r="D927" t="s">
        <v>265</v>
      </c>
      <c r="E927">
        <v>2811</v>
      </c>
      <c r="F927" t="s">
        <v>1739</v>
      </c>
      <c r="G927" t="s">
        <v>266</v>
      </c>
      <c r="H927" t="s">
        <v>267</v>
      </c>
      <c r="I927" t="s">
        <v>289</v>
      </c>
      <c r="J927" t="s">
        <v>4455</v>
      </c>
    </row>
    <row r="928" spans="1:10" x14ac:dyDescent="0.2">
      <c r="A928" t="s">
        <v>389</v>
      </c>
      <c r="B928" t="s">
        <v>1689</v>
      </c>
      <c r="C928" t="s">
        <v>264</v>
      </c>
      <c r="D928" t="s">
        <v>265</v>
      </c>
      <c r="E928">
        <v>1417</v>
      </c>
      <c r="F928" t="s">
        <v>2630</v>
      </c>
      <c r="G928" t="s">
        <v>266</v>
      </c>
      <c r="H928" t="s">
        <v>293</v>
      </c>
      <c r="I928" t="s">
        <v>297</v>
      </c>
      <c r="J928" t="s">
        <v>4977</v>
      </c>
    </row>
    <row r="929" spans="1:10" x14ac:dyDescent="0.2">
      <c r="A929" t="s">
        <v>389</v>
      </c>
      <c r="B929" t="s">
        <v>1689</v>
      </c>
      <c r="C929" t="s">
        <v>264</v>
      </c>
      <c r="D929" t="s">
        <v>265</v>
      </c>
      <c r="E929">
        <v>1814</v>
      </c>
      <c r="F929" t="s">
        <v>2631</v>
      </c>
      <c r="G929" t="s">
        <v>266</v>
      </c>
      <c r="H929" t="s">
        <v>293</v>
      </c>
      <c r="I929">
        <v>107</v>
      </c>
    </row>
    <row r="930" spans="1:10" x14ac:dyDescent="0.2">
      <c r="A930" t="s">
        <v>389</v>
      </c>
      <c r="B930" t="s">
        <v>1689</v>
      </c>
      <c r="C930" t="s">
        <v>264</v>
      </c>
      <c r="D930" t="s">
        <v>265</v>
      </c>
      <c r="E930">
        <v>1945</v>
      </c>
      <c r="F930" t="s">
        <v>2632</v>
      </c>
      <c r="G930" t="s">
        <v>266</v>
      </c>
      <c r="H930" t="s">
        <v>293</v>
      </c>
      <c r="I930">
        <v>339</v>
      </c>
    </row>
    <row r="931" spans="1:10" x14ac:dyDescent="0.2">
      <c r="A931" t="s">
        <v>389</v>
      </c>
      <c r="B931" t="s">
        <v>1689</v>
      </c>
      <c r="C931" t="s">
        <v>264</v>
      </c>
      <c r="D931" t="s">
        <v>265</v>
      </c>
      <c r="E931">
        <v>2112</v>
      </c>
      <c r="F931" t="s">
        <v>2633</v>
      </c>
      <c r="G931" t="s">
        <v>266</v>
      </c>
      <c r="H931" t="s">
        <v>267</v>
      </c>
      <c r="I931">
        <v>80</v>
      </c>
    </row>
    <row r="932" spans="1:10" x14ac:dyDescent="0.2">
      <c r="A932" t="s">
        <v>389</v>
      </c>
      <c r="B932" t="s">
        <v>1689</v>
      </c>
      <c r="C932" t="s">
        <v>264</v>
      </c>
      <c r="D932" t="s">
        <v>265</v>
      </c>
      <c r="E932">
        <v>2317</v>
      </c>
      <c r="F932" t="s">
        <v>2634</v>
      </c>
      <c r="G932" t="s">
        <v>266</v>
      </c>
      <c r="H932" t="s">
        <v>277</v>
      </c>
      <c r="I932" t="s">
        <v>289</v>
      </c>
      <c r="J932" t="s">
        <v>4501</v>
      </c>
    </row>
    <row r="933" spans="1:10" x14ac:dyDescent="0.2">
      <c r="A933" t="s">
        <v>389</v>
      </c>
      <c r="B933" t="s">
        <v>1689</v>
      </c>
      <c r="C933" t="s">
        <v>264</v>
      </c>
      <c r="D933" t="s">
        <v>265</v>
      </c>
      <c r="E933">
        <v>4231</v>
      </c>
      <c r="F933" t="s">
        <v>2635</v>
      </c>
      <c r="G933" t="s">
        <v>266</v>
      </c>
      <c r="H933" t="s">
        <v>279</v>
      </c>
      <c r="I933">
        <v>122</v>
      </c>
    </row>
    <row r="934" spans="1:10" x14ac:dyDescent="0.2">
      <c r="A934" t="s">
        <v>389</v>
      </c>
      <c r="B934" t="s">
        <v>1689</v>
      </c>
      <c r="C934" t="s">
        <v>268</v>
      </c>
      <c r="D934" t="s">
        <v>265</v>
      </c>
      <c r="E934">
        <v>4282</v>
      </c>
      <c r="F934" t="s">
        <v>2636</v>
      </c>
      <c r="G934" t="s">
        <v>266</v>
      </c>
      <c r="H934" t="s">
        <v>271</v>
      </c>
      <c r="I934">
        <v>646</v>
      </c>
    </row>
    <row r="935" spans="1:10" x14ac:dyDescent="0.2">
      <c r="A935" t="s">
        <v>389</v>
      </c>
      <c r="B935" t="s">
        <v>1689</v>
      </c>
      <c r="C935" t="s">
        <v>264</v>
      </c>
      <c r="D935" t="s">
        <v>265</v>
      </c>
      <c r="E935">
        <v>4319</v>
      </c>
      <c r="F935" t="s">
        <v>2637</v>
      </c>
      <c r="G935" t="s">
        <v>266</v>
      </c>
      <c r="H935" t="s">
        <v>271</v>
      </c>
      <c r="I935">
        <v>42</v>
      </c>
    </row>
    <row r="936" spans="1:10" x14ac:dyDescent="0.2">
      <c r="A936" t="s">
        <v>389</v>
      </c>
      <c r="B936" t="s">
        <v>1689</v>
      </c>
      <c r="C936" t="s">
        <v>264</v>
      </c>
      <c r="D936" t="s">
        <v>265</v>
      </c>
      <c r="E936">
        <v>4471</v>
      </c>
      <c r="F936" t="s">
        <v>2638</v>
      </c>
      <c r="G936" t="s">
        <v>266</v>
      </c>
      <c r="H936" t="s">
        <v>279</v>
      </c>
      <c r="I936" t="s">
        <v>297</v>
      </c>
      <c r="J936" t="s">
        <v>4685</v>
      </c>
    </row>
    <row r="937" spans="1:10" x14ac:dyDescent="0.2">
      <c r="A937" t="s">
        <v>389</v>
      </c>
      <c r="B937" t="s">
        <v>1689</v>
      </c>
      <c r="C937" t="s">
        <v>264</v>
      </c>
      <c r="D937" t="s">
        <v>265</v>
      </c>
      <c r="E937">
        <v>4508</v>
      </c>
      <c r="F937" t="s">
        <v>2639</v>
      </c>
      <c r="G937" t="s">
        <v>266</v>
      </c>
      <c r="H937" t="s">
        <v>311</v>
      </c>
      <c r="I937" t="s">
        <v>490</v>
      </c>
      <c r="J937" t="s">
        <v>4421</v>
      </c>
    </row>
    <row r="938" spans="1:10" x14ac:dyDescent="0.2">
      <c r="A938" t="s">
        <v>389</v>
      </c>
      <c r="B938" t="s">
        <v>1689</v>
      </c>
      <c r="C938" t="s">
        <v>264</v>
      </c>
      <c r="D938" t="s">
        <v>265</v>
      </c>
      <c r="E938">
        <v>4559</v>
      </c>
      <c r="F938" t="s">
        <v>2640</v>
      </c>
      <c r="G938" t="s">
        <v>266</v>
      </c>
      <c r="H938" t="s">
        <v>311</v>
      </c>
      <c r="I938" t="s">
        <v>297</v>
      </c>
      <c r="J938" t="s">
        <v>4911</v>
      </c>
    </row>
    <row r="939" spans="1:10" x14ac:dyDescent="0.2">
      <c r="A939" t="s">
        <v>389</v>
      </c>
      <c r="B939" t="s">
        <v>1689</v>
      </c>
      <c r="C939" t="s">
        <v>264</v>
      </c>
      <c r="D939" t="s">
        <v>265</v>
      </c>
      <c r="E939">
        <v>4674</v>
      </c>
      <c r="F939" t="s">
        <v>2641</v>
      </c>
      <c r="G939" t="s">
        <v>266</v>
      </c>
      <c r="H939" t="s">
        <v>277</v>
      </c>
      <c r="I939">
        <v>478</v>
      </c>
    </row>
    <row r="940" spans="1:10" x14ac:dyDescent="0.2">
      <c r="A940" t="s">
        <v>389</v>
      </c>
      <c r="B940" t="s">
        <v>1689</v>
      </c>
      <c r="C940" t="s">
        <v>264</v>
      </c>
      <c r="D940" t="s">
        <v>265</v>
      </c>
      <c r="E940">
        <v>4687</v>
      </c>
      <c r="F940" t="s">
        <v>2642</v>
      </c>
      <c r="G940" t="s">
        <v>266</v>
      </c>
      <c r="H940" t="s">
        <v>277</v>
      </c>
      <c r="I940">
        <v>288</v>
      </c>
    </row>
    <row r="941" spans="1:10" x14ac:dyDescent="0.2">
      <c r="A941" t="s">
        <v>389</v>
      </c>
      <c r="B941" t="s">
        <v>1689</v>
      </c>
      <c r="C941" t="s">
        <v>264</v>
      </c>
      <c r="D941" t="s">
        <v>265</v>
      </c>
      <c r="E941">
        <v>5451</v>
      </c>
      <c r="F941" t="s">
        <v>1740</v>
      </c>
      <c r="G941" t="s">
        <v>266</v>
      </c>
      <c r="H941" t="s">
        <v>726</v>
      </c>
      <c r="I941">
        <v>709</v>
      </c>
    </row>
    <row r="942" spans="1:10" x14ac:dyDescent="0.2">
      <c r="A942" t="s">
        <v>389</v>
      </c>
      <c r="B942" t="s">
        <v>1689</v>
      </c>
      <c r="C942" t="s">
        <v>264</v>
      </c>
      <c r="D942" t="s">
        <v>265</v>
      </c>
      <c r="E942">
        <v>5989</v>
      </c>
      <c r="F942" t="s">
        <v>537</v>
      </c>
      <c r="G942" t="s">
        <v>266</v>
      </c>
      <c r="H942" t="s">
        <v>281</v>
      </c>
      <c r="I942">
        <v>227</v>
      </c>
    </row>
    <row r="943" spans="1:10" x14ac:dyDescent="0.2">
      <c r="A943" t="s">
        <v>389</v>
      </c>
      <c r="B943" t="s">
        <v>1689</v>
      </c>
      <c r="C943" t="s">
        <v>264</v>
      </c>
      <c r="D943" t="s">
        <v>265</v>
      </c>
      <c r="E943">
        <v>6889</v>
      </c>
      <c r="F943" t="s">
        <v>2643</v>
      </c>
      <c r="G943" t="s">
        <v>270</v>
      </c>
      <c r="H943" t="s">
        <v>291</v>
      </c>
      <c r="I943">
        <v>287</v>
      </c>
    </row>
    <row r="944" spans="1:10" x14ac:dyDescent="0.2">
      <c r="A944" t="s">
        <v>389</v>
      </c>
      <c r="B944" t="s">
        <v>1689</v>
      </c>
      <c r="C944" t="s">
        <v>264</v>
      </c>
      <c r="D944" t="s">
        <v>265</v>
      </c>
      <c r="E944">
        <v>6908</v>
      </c>
      <c r="F944" t="s">
        <v>2644</v>
      </c>
      <c r="G944" t="s">
        <v>266</v>
      </c>
      <c r="H944" t="s">
        <v>291</v>
      </c>
      <c r="I944" t="s">
        <v>297</v>
      </c>
      <c r="J944" t="s">
        <v>4387</v>
      </c>
    </row>
    <row r="945" spans="1:10" x14ac:dyDescent="0.2">
      <c r="A945" t="s">
        <v>389</v>
      </c>
      <c r="B945" t="s">
        <v>1689</v>
      </c>
      <c r="C945" t="s">
        <v>264</v>
      </c>
      <c r="D945" t="s">
        <v>265</v>
      </c>
      <c r="E945">
        <v>6943</v>
      </c>
      <c r="F945" t="s">
        <v>2645</v>
      </c>
      <c r="G945" t="s">
        <v>270</v>
      </c>
      <c r="H945" t="s">
        <v>291</v>
      </c>
      <c r="I945">
        <v>40</v>
      </c>
    </row>
    <row r="946" spans="1:10" x14ac:dyDescent="0.2">
      <c r="A946" t="s">
        <v>389</v>
      </c>
      <c r="B946" t="s">
        <v>1689</v>
      </c>
      <c r="C946" t="s">
        <v>264</v>
      </c>
      <c r="D946" t="s">
        <v>265</v>
      </c>
      <c r="E946">
        <v>8174</v>
      </c>
      <c r="F946" t="s">
        <v>2646</v>
      </c>
      <c r="G946" t="s">
        <v>266</v>
      </c>
      <c r="H946" t="s">
        <v>276</v>
      </c>
      <c r="I946" t="s">
        <v>297</v>
      </c>
      <c r="J946" t="s">
        <v>4978</v>
      </c>
    </row>
    <row r="947" spans="1:10" x14ac:dyDescent="0.2">
      <c r="A947" t="s">
        <v>389</v>
      </c>
      <c r="B947" t="s">
        <v>1689</v>
      </c>
      <c r="C947" t="s">
        <v>264</v>
      </c>
      <c r="D947" t="s">
        <v>265</v>
      </c>
      <c r="E947">
        <v>8306</v>
      </c>
      <c r="F947" t="s">
        <v>2647</v>
      </c>
      <c r="G947" t="s">
        <v>266</v>
      </c>
      <c r="H947" t="s">
        <v>484</v>
      </c>
      <c r="I947" t="s">
        <v>4474</v>
      </c>
      <c r="J947" t="s">
        <v>4979</v>
      </c>
    </row>
    <row r="948" spans="1:10" x14ac:dyDescent="0.2">
      <c r="A948" t="s">
        <v>389</v>
      </c>
      <c r="B948" t="s">
        <v>1931</v>
      </c>
      <c r="C948" t="s">
        <v>264</v>
      </c>
      <c r="D948" t="s">
        <v>265</v>
      </c>
      <c r="E948">
        <v>9351</v>
      </c>
      <c r="F948" t="s">
        <v>4475</v>
      </c>
      <c r="G948" t="s">
        <v>266</v>
      </c>
      <c r="H948" t="s">
        <v>556</v>
      </c>
      <c r="I948">
        <v>110</v>
      </c>
    </row>
    <row r="949" spans="1:10" x14ac:dyDescent="0.2">
      <c r="A949" t="s">
        <v>389</v>
      </c>
      <c r="B949" t="s">
        <v>263</v>
      </c>
      <c r="C949" t="s">
        <v>273</v>
      </c>
      <c r="D949" t="s">
        <v>269</v>
      </c>
      <c r="E949">
        <v>2268</v>
      </c>
      <c r="F949" t="s">
        <v>391</v>
      </c>
      <c r="G949" t="s">
        <v>270</v>
      </c>
      <c r="H949" t="s">
        <v>267</v>
      </c>
      <c r="I949">
        <v>386</v>
      </c>
    </row>
    <row r="950" spans="1:10" x14ac:dyDescent="0.2">
      <c r="A950" t="s">
        <v>389</v>
      </c>
      <c r="B950" t="s">
        <v>263</v>
      </c>
      <c r="C950" t="s">
        <v>264</v>
      </c>
      <c r="D950" t="s">
        <v>265</v>
      </c>
      <c r="E950">
        <v>2371</v>
      </c>
      <c r="F950" t="s">
        <v>2648</v>
      </c>
      <c r="G950" t="s">
        <v>266</v>
      </c>
      <c r="H950" t="s">
        <v>271</v>
      </c>
      <c r="I950" t="s">
        <v>325</v>
      </c>
      <c r="J950" t="s">
        <v>2417</v>
      </c>
    </row>
    <row r="951" spans="1:10" x14ac:dyDescent="0.2">
      <c r="A951" t="s">
        <v>389</v>
      </c>
      <c r="B951" t="s">
        <v>263</v>
      </c>
      <c r="C951" t="s">
        <v>264</v>
      </c>
      <c r="D951" t="s">
        <v>265</v>
      </c>
      <c r="E951">
        <v>5384</v>
      </c>
      <c r="F951" t="s">
        <v>2649</v>
      </c>
      <c r="G951" t="s">
        <v>266</v>
      </c>
      <c r="H951" t="s">
        <v>308</v>
      </c>
      <c r="I951">
        <v>891</v>
      </c>
    </row>
    <row r="952" spans="1:10" x14ac:dyDescent="0.2">
      <c r="A952" t="s">
        <v>389</v>
      </c>
      <c r="B952" t="s">
        <v>263</v>
      </c>
      <c r="C952" t="s">
        <v>264</v>
      </c>
      <c r="D952" t="s">
        <v>265</v>
      </c>
      <c r="E952">
        <v>5446</v>
      </c>
      <c r="F952" t="s">
        <v>2650</v>
      </c>
      <c r="G952" t="s">
        <v>274</v>
      </c>
      <c r="H952" t="s">
        <v>726</v>
      </c>
      <c r="I952">
        <v>50</v>
      </c>
    </row>
    <row r="953" spans="1:10" x14ac:dyDescent="0.2">
      <c r="A953" t="s">
        <v>389</v>
      </c>
      <c r="B953" t="s">
        <v>263</v>
      </c>
      <c r="C953" t="s">
        <v>264</v>
      </c>
      <c r="D953" t="s">
        <v>265</v>
      </c>
      <c r="E953">
        <v>7187</v>
      </c>
      <c r="F953" t="s">
        <v>2651</v>
      </c>
      <c r="G953" t="s">
        <v>266</v>
      </c>
      <c r="H953" t="s">
        <v>302</v>
      </c>
      <c r="I953">
        <v>38</v>
      </c>
    </row>
    <row r="954" spans="1:10" x14ac:dyDescent="0.2">
      <c r="A954" t="s">
        <v>389</v>
      </c>
      <c r="B954" t="s">
        <v>263</v>
      </c>
      <c r="C954" t="s">
        <v>264</v>
      </c>
      <c r="D954" t="s">
        <v>265</v>
      </c>
      <c r="E954">
        <v>7251</v>
      </c>
      <c r="F954" t="s">
        <v>2652</v>
      </c>
      <c r="G954" t="s">
        <v>266</v>
      </c>
      <c r="H954" t="s">
        <v>296</v>
      </c>
      <c r="I954" t="s">
        <v>297</v>
      </c>
      <c r="J954" t="s">
        <v>4903</v>
      </c>
    </row>
    <row r="955" spans="1:10" x14ac:dyDescent="0.2">
      <c r="A955" t="s">
        <v>389</v>
      </c>
      <c r="B955" t="s">
        <v>263</v>
      </c>
      <c r="C955" t="s">
        <v>264</v>
      </c>
      <c r="D955" t="s">
        <v>265</v>
      </c>
      <c r="E955">
        <v>8255</v>
      </c>
      <c r="F955" t="s">
        <v>2653</v>
      </c>
      <c r="G955" t="s">
        <v>266</v>
      </c>
      <c r="H955" t="s">
        <v>276</v>
      </c>
      <c r="I955">
        <v>862</v>
      </c>
    </row>
    <row r="956" spans="1:10" x14ac:dyDescent="0.2">
      <c r="A956" t="s">
        <v>394</v>
      </c>
      <c r="B956" t="s">
        <v>1915</v>
      </c>
      <c r="C956" t="s">
        <v>264</v>
      </c>
      <c r="D956" t="s">
        <v>265</v>
      </c>
      <c r="E956">
        <v>3401</v>
      </c>
      <c r="F956" t="s">
        <v>755</v>
      </c>
      <c r="G956" t="s">
        <v>266</v>
      </c>
      <c r="H956" t="s">
        <v>299</v>
      </c>
      <c r="I956" t="s">
        <v>316</v>
      </c>
      <c r="J956" t="s">
        <v>4865</v>
      </c>
    </row>
    <row r="957" spans="1:10" x14ac:dyDescent="0.2">
      <c r="A957" t="s">
        <v>394</v>
      </c>
      <c r="B957" t="s">
        <v>1915</v>
      </c>
      <c r="C957" t="s">
        <v>264</v>
      </c>
      <c r="D957" t="s">
        <v>265</v>
      </c>
      <c r="E957">
        <v>7873</v>
      </c>
      <c r="F957" t="s">
        <v>2654</v>
      </c>
      <c r="G957" t="s">
        <v>266</v>
      </c>
      <c r="H957" t="s">
        <v>288</v>
      </c>
      <c r="I957">
        <v>393</v>
      </c>
    </row>
    <row r="958" spans="1:10" x14ac:dyDescent="0.2">
      <c r="A958" t="s">
        <v>394</v>
      </c>
      <c r="B958" t="s">
        <v>1915</v>
      </c>
      <c r="C958" t="s">
        <v>264</v>
      </c>
      <c r="D958" t="s">
        <v>265</v>
      </c>
      <c r="E958">
        <v>8002</v>
      </c>
      <c r="F958" t="s">
        <v>2655</v>
      </c>
      <c r="G958" t="s">
        <v>266</v>
      </c>
      <c r="H958" t="s">
        <v>272</v>
      </c>
      <c r="I958" t="s">
        <v>471</v>
      </c>
      <c r="J958" t="s">
        <v>4901</v>
      </c>
    </row>
    <row r="959" spans="1:10" x14ac:dyDescent="0.2">
      <c r="A959" t="s">
        <v>394</v>
      </c>
      <c r="B959" t="s">
        <v>684</v>
      </c>
      <c r="C959" t="s">
        <v>264</v>
      </c>
      <c r="D959" t="s">
        <v>265</v>
      </c>
      <c r="E959">
        <v>2768</v>
      </c>
      <c r="F959" t="s">
        <v>749</v>
      </c>
      <c r="G959" t="s">
        <v>266</v>
      </c>
      <c r="H959" t="s">
        <v>272</v>
      </c>
      <c r="I959" t="s">
        <v>316</v>
      </c>
      <c r="J959" t="s">
        <v>4635</v>
      </c>
    </row>
    <row r="960" spans="1:10" x14ac:dyDescent="0.2">
      <c r="A960" t="s">
        <v>394</v>
      </c>
      <c r="B960" t="s">
        <v>684</v>
      </c>
      <c r="C960" t="s">
        <v>264</v>
      </c>
      <c r="D960" t="s">
        <v>265</v>
      </c>
      <c r="E960">
        <v>6460</v>
      </c>
      <c r="F960" t="s">
        <v>2656</v>
      </c>
      <c r="G960" t="s">
        <v>266</v>
      </c>
      <c r="H960" t="s">
        <v>287</v>
      </c>
      <c r="I960" t="s">
        <v>316</v>
      </c>
      <c r="J960" t="s">
        <v>4413</v>
      </c>
    </row>
    <row r="961" spans="1:10" x14ac:dyDescent="0.2">
      <c r="A961" t="s">
        <v>394</v>
      </c>
      <c r="B961" t="s">
        <v>1481</v>
      </c>
      <c r="C961" t="s">
        <v>264</v>
      </c>
      <c r="D961" t="s">
        <v>265</v>
      </c>
      <c r="E961">
        <v>1332</v>
      </c>
      <c r="F961" t="s">
        <v>2657</v>
      </c>
      <c r="G961" t="s">
        <v>266</v>
      </c>
      <c r="H961" t="s">
        <v>314</v>
      </c>
      <c r="I961" t="s">
        <v>297</v>
      </c>
      <c r="J961" t="s">
        <v>4903</v>
      </c>
    </row>
    <row r="962" spans="1:10" x14ac:dyDescent="0.2">
      <c r="A962" t="s">
        <v>394</v>
      </c>
      <c r="B962" t="s">
        <v>1481</v>
      </c>
      <c r="C962" t="s">
        <v>264</v>
      </c>
      <c r="D962" t="s">
        <v>265</v>
      </c>
      <c r="E962">
        <v>2599</v>
      </c>
      <c r="F962" t="s">
        <v>2658</v>
      </c>
      <c r="G962" t="s">
        <v>266</v>
      </c>
      <c r="H962" t="s">
        <v>267</v>
      </c>
      <c r="I962">
        <v>66</v>
      </c>
    </row>
    <row r="963" spans="1:10" x14ac:dyDescent="0.2">
      <c r="A963" t="s">
        <v>394</v>
      </c>
      <c r="B963" t="s">
        <v>1481</v>
      </c>
      <c r="C963" t="s">
        <v>264</v>
      </c>
      <c r="D963" t="s">
        <v>265</v>
      </c>
      <c r="E963">
        <v>3941</v>
      </c>
      <c r="F963" t="s">
        <v>2659</v>
      </c>
      <c r="G963" t="s">
        <v>266</v>
      </c>
      <c r="H963" t="s">
        <v>300</v>
      </c>
      <c r="I963" t="s">
        <v>289</v>
      </c>
      <c r="J963" t="s">
        <v>4932</v>
      </c>
    </row>
    <row r="964" spans="1:10" x14ac:dyDescent="0.2">
      <c r="A964" t="s">
        <v>394</v>
      </c>
      <c r="B964" t="s">
        <v>1481</v>
      </c>
      <c r="C964" t="s">
        <v>264</v>
      </c>
      <c r="D964" t="s">
        <v>265</v>
      </c>
      <c r="E964">
        <v>4183</v>
      </c>
      <c r="F964" t="s">
        <v>1468</v>
      </c>
      <c r="G964" t="s">
        <v>266</v>
      </c>
      <c r="H964" t="s">
        <v>279</v>
      </c>
      <c r="I964" t="s">
        <v>283</v>
      </c>
      <c r="J964" t="s">
        <v>4980</v>
      </c>
    </row>
    <row r="965" spans="1:10" x14ac:dyDescent="0.2">
      <c r="A965" t="s">
        <v>394</v>
      </c>
      <c r="B965" t="s">
        <v>1481</v>
      </c>
      <c r="C965" t="s">
        <v>264</v>
      </c>
      <c r="D965" t="s">
        <v>265</v>
      </c>
      <c r="E965">
        <v>4202</v>
      </c>
      <c r="F965" t="s">
        <v>2660</v>
      </c>
      <c r="G965" t="s">
        <v>266</v>
      </c>
      <c r="H965" t="s">
        <v>279</v>
      </c>
      <c r="I965" t="s">
        <v>333</v>
      </c>
      <c r="J965" t="s">
        <v>4660</v>
      </c>
    </row>
    <row r="966" spans="1:10" x14ac:dyDescent="0.2">
      <c r="A966" t="s">
        <v>394</v>
      </c>
      <c r="B966" t="s">
        <v>1481</v>
      </c>
      <c r="C966" t="s">
        <v>264</v>
      </c>
      <c r="D966" t="s">
        <v>265</v>
      </c>
      <c r="E966">
        <v>5729</v>
      </c>
      <c r="F966" t="s">
        <v>2661</v>
      </c>
      <c r="G966" t="s">
        <v>274</v>
      </c>
      <c r="H966" t="s">
        <v>373</v>
      </c>
      <c r="I966">
        <v>59</v>
      </c>
    </row>
    <row r="967" spans="1:10" x14ac:dyDescent="0.2">
      <c r="A967" t="s">
        <v>394</v>
      </c>
      <c r="B967" t="s">
        <v>1481</v>
      </c>
      <c r="C967" t="s">
        <v>275</v>
      </c>
      <c r="D967" t="s">
        <v>265</v>
      </c>
      <c r="E967">
        <v>5903</v>
      </c>
      <c r="F967" t="s">
        <v>2662</v>
      </c>
      <c r="G967" t="s">
        <v>270</v>
      </c>
      <c r="H967" t="s">
        <v>281</v>
      </c>
      <c r="I967">
        <v>138</v>
      </c>
    </row>
    <row r="968" spans="1:10" x14ac:dyDescent="0.2">
      <c r="A968" t="s">
        <v>394</v>
      </c>
      <c r="B968" t="s">
        <v>1481</v>
      </c>
      <c r="C968" t="s">
        <v>264</v>
      </c>
      <c r="D968" t="s">
        <v>265</v>
      </c>
      <c r="E968">
        <v>6482</v>
      </c>
      <c r="F968" t="s">
        <v>2663</v>
      </c>
      <c r="G968" t="s">
        <v>266</v>
      </c>
      <c r="H968" t="s">
        <v>287</v>
      </c>
      <c r="I968">
        <v>364</v>
      </c>
    </row>
    <row r="969" spans="1:10" x14ac:dyDescent="0.2">
      <c r="A969" t="s">
        <v>394</v>
      </c>
      <c r="B969" t="s">
        <v>1481</v>
      </c>
      <c r="C969" t="s">
        <v>264</v>
      </c>
      <c r="D969" t="s">
        <v>265</v>
      </c>
      <c r="E969">
        <v>7270</v>
      </c>
      <c r="F969" t="s">
        <v>2664</v>
      </c>
      <c r="G969" t="s">
        <v>266</v>
      </c>
      <c r="H969" t="s">
        <v>296</v>
      </c>
      <c r="I969" t="s">
        <v>1783</v>
      </c>
      <c r="J969" t="s">
        <v>4482</v>
      </c>
    </row>
    <row r="970" spans="1:10" x14ac:dyDescent="0.2">
      <c r="A970" t="s">
        <v>394</v>
      </c>
      <c r="B970" t="s">
        <v>1481</v>
      </c>
      <c r="C970" t="s">
        <v>264</v>
      </c>
      <c r="D970" t="s">
        <v>265</v>
      </c>
      <c r="E970">
        <v>8001</v>
      </c>
      <c r="F970" t="s">
        <v>1745</v>
      </c>
      <c r="G970" t="s">
        <v>266</v>
      </c>
      <c r="H970" t="s">
        <v>272</v>
      </c>
      <c r="I970" t="s">
        <v>1746</v>
      </c>
      <c r="J970" t="s">
        <v>4613</v>
      </c>
    </row>
    <row r="971" spans="1:10" x14ac:dyDescent="0.2">
      <c r="A971" t="s">
        <v>394</v>
      </c>
      <c r="B971" t="s">
        <v>1481</v>
      </c>
      <c r="C971" t="s">
        <v>264</v>
      </c>
      <c r="D971" t="s">
        <v>265</v>
      </c>
      <c r="E971">
        <v>8032</v>
      </c>
      <c r="F971" t="s">
        <v>2665</v>
      </c>
      <c r="G971" t="s">
        <v>266</v>
      </c>
      <c r="H971" t="s">
        <v>272</v>
      </c>
      <c r="I971">
        <v>620</v>
      </c>
    </row>
    <row r="972" spans="1:10" x14ac:dyDescent="0.2">
      <c r="A972" t="s">
        <v>394</v>
      </c>
      <c r="B972" t="s">
        <v>1481</v>
      </c>
      <c r="C972" t="s">
        <v>264</v>
      </c>
      <c r="D972" t="s">
        <v>265</v>
      </c>
      <c r="E972">
        <v>8088</v>
      </c>
      <c r="F972" t="s">
        <v>2666</v>
      </c>
      <c r="G972" t="s">
        <v>266</v>
      </c>
      <c r="H972" t="s">
        <v>272</v>
      </c>
      <c r="I972" t="s">
        <v>297</v>
      </c>
      <c r="J972" t="s">
        <v>4265</v>
      </c>
    </row>
    <row r="973" spans="1:10" x14ac:dyDescent="0.2">
      <c r="A973" t="s">
        <v>394</v>
      </c>
      <c r="B973" t="s">
        <v>1481</v>
      </c>
      <c r="C973" t="s">
        <v>264</v>
      </c>
      <c r="D973" t="s">
        <v>265</v>
      </c>
      <c r="E973">
        <v>8586</v>
      </c>
      <c r="F973" t="s">
        <v>2667</v>
      </c>
      <c r="G973" t="s">
        <v>266</v>
      </c>
      <c r="H973" t="s">
        <v>302</v>
      </c>
      <c r="I973" t="s">
        <v>333</v>
      </c>
      <c r="J973" t="s">
        <v>4452</v>
      </c>
    </row>
    <row r="974" spans="1:10" x14ac:dyDescent="0.2">
      <c r="A974" t="s">
        <v>394</v>
      </c>
      <c r="B974" t="s">
        <v>1481</v>
      </c>
      <c r="C974" t="s">
        <v>264</v>
      </c>
      <c r="D974" t="s">
        <v>265</v>
      </c>
      <c r="E974">
        <v>9057</v>
      </c>
      <c r="F974" t="s">
        <v>2668</v>
      </c>
      <c r="G974" t="s">
        <v>270</v>
      </c>
      <c r="H974" t="s">
        <v>356</v>
      </c>
      <c r="I974">
        <v>191</v>
      </c>
    </row>
    <row r="975" spans="1:10" x14ac:dyDescent="0.2">
      <c r="A975" t="s">
        <v>394</v>
      </c>
      <c r="B975" t="s">
        <v>1481</v>
      </c>
      <c r="C975" t="s">
        <v>264</v>
      </c>
      <c r="D975" t="s">
        <v>265</v>
      </c>
      <c r="E975">
        <v>9303</v>
      </c>
      <c r="F975" t="s">
        <v>2669</v>
      </c>
      <c r="G975" t="s">
        <v>266</v>
      </c>
      <c r="H975" t="s">
        <v>556</v>
      </c>
      <c r="I975" t="s">
        <v>297</v>
      </c>
      <c r="J975" t="s">
        <v>4507</v>
      </c>
    </row>
    <row r="976" spans="1:10" x14ac:dyDescent="0.2">
      <c r="A976" t="s">
        <v>394</v>
      </c>
      <c r="B976" t="s">
        <v>686</v>
      </c>
      <c r="C976" t="s">
        <v>264</v>
      </c>
      <c r="D976" t="s">
        <v>265</v>
      </c>
      <c r="E976">
        <v>4182</v>
      </c>
      <c r="F976" t="s">
        <v>2670</v>
      </c>
      <c r="G976" t="s">
        <v>266</v>
      </c>
      <c r="H976" t="s">
        <v>279</v>
      </c>
      <c r="I976" t="s">
        <v>316</v>
      </c>
      <c r="J976" t="s">
        <v>4876</v>
      </c>
    </row>
    <row r="977" spans="1:10" x14ac:dyDescent="0.2">
      <c r="A977" t="s">
        <v>394</v>
      </c>
      <c r="B977" t="s">
        <v>686</v>
      </c>
      <c r="C977" t="s">
        <v>264</v>
      </c>
      <c r="D977" t="s">
        <v>265</v>
      </c>
      <c r="E977">
        <v>4403</v>
      </c>
      <c r="F977" t="s">
        <v>1469</v>
      </c>
      <c r="G977" t="s">
        <v>266</v>
      </c>
      <c r="H977" t="s">
        <v>279</v>
      </c>
      <c r="I977" t="s">
        <v>289</v>
      </c>
      <c r="J977" t="s">
        <v>4981</v>
      </c>
    </row>
    <row r="978" spans="1:10" x14ac:dyDescent="0.2">
      <c r="A978" t="s">
        <v>394</v>
      </c>
      <c r="B978" t="s">
        <v>686</v>
      </c>
      <c r="C978" t="s">
        <v>264</v>
      </c>
      <c r="D978" t="s">
        <v>265</v>
      </c>
      <c r="E978">
        <v>4569</v>
      </c>
      <c r="F978" t="s">
        <v>2671</v>
      </c>
      <c r="G978" t="s">
        <v>266</v>
      </c>
      <c r="H978" t="s">
        <v>311</v>
      </c>
      <c r="I978" t="s">
        <v>297</v>
      </c>
      <c r="J978" t="s">
        <v>4982</v>
      </c>
    </row>
    <row r="979" spans="1:10" x14ac:dyDescent="0.2">
      <c r="A979" t="s">
        <v>394</v>
      </c>
      <c r="B979" t="s">
        <v>686</v>
      </c>
      <c r="C979" t="s">
        <v>264</v>
      </c>
      <c r="D979" t="s">
        <v>265</v>
      </c>
      <c r="E979">
        <v>5930</v>
      </c>
      <c r="F979" t="s">
        <v>2672</v>
      </c>
      <c r="G979" t="s">
        <v>266</v>
      </c>
      <c r="H979" t="s">
        <v>281</v>
      </c>
      <c r="I979">
        <v>662</v>
      </c>
    </row>
    <row r="980" spans="1:10" x14ac:dyDescent="0.2">
      <c r="A980" t="s">
        <v>394</v>
      </c>
      <c r="B980" t="s">
        <v>686</v>
      </c>
      <c r="C980" t="s">
        <v>264</v>
      </c>
      <c r="D980" t="s">
        <v>265</v>
      </c>
      <c r="E980">
        <v>5940</v>
      </c>
      <c r="F980" t="s">
        <v>2673</v>
      </c>
      <c r="G980" t="s">
        <v>274</v>
      </c>
      <c r="H980" t="s">
        <v>281</v>
      </c>
      <c r="I980">
        <v>119</v>
      </c>
    </row>
    <row r="981" spans="1:10" x14ac:dyDescent="0.2">
      <c r="A981" t="s">
        <v>394</v>
      </c>
      <c r="B981" t="s">
        <v>686</v>
      </c>
      <c r="C981" t="s">
        <v>264</v>
      </c>
      <c r="D981" t="s">
        <v>265</v>
      </c>
      <c r="E981">
        <v>5966</v>
      </c>
      <c r="F981" t="s">
        <v>2674</v>
      </c>
      <c r="G981" t="s">
        <v>274</v>
      </c>
      <c r="H981" t="s">
        <v>281</v>
      </c>
      <c r="I981">
        <v>50</v>
      </c>
    </row>
    <row r="982" spans="1:10" x14ac:dyDescent="0.2">
      <c r="A982" t="s">
        <v>394</v>
      </c>
      <c r="B982" t="s">
        <v>686</v>
      </c>
      <c r="C982" t="s">
        <v>264</v>
      </c>
      <c r="D982" t="s">
        <v>265</v>
      </c>
      <c r="E982">
        <v>6744</v>
      </c>
      <c r="F982" t="s">
        <v>2675</v>
      </c>
      <c r="G982" t="s">
        <v>266</v>
      </c>
      <c r="H982" t="s">
        <v>291</v>
      </c>
      <c r="I982" t="s">
        <v>297</v>
      </c>
      <c r="J982" t="s">
        <v>4428</v>
      </c>
    </row>
    <row r="983" spans="1:10" x14ac:dyDescent="0.2">
      <c r="A983" t="s">
        <v>394</v>
      </c>
      <c r="B983" t="s">
        <v>686</v>
      </c>
      <c r="C983" t="s">
        <v>264</v>
      </c>
      <c r="D983" t="s">
        <v>265</v>
      </c>
      <c r="E983">
        <v>6937</v>
      </c>
      <c r="F983" t="s">
        <v>2676</v>
      </c>
      <c r="G983" t="s">
        <v>266</v>
      </c>
      <c r="H983" t="s">
        <v>291</v>
      </c>
      <c r="I983">
        <v>265</v>
      </c>
    </row>
    <row r="984" spans="1:10" x14ac:dyDescent="0.2">
      <c r="A984" t="s">
        <v>394</v>
      </c>
      <c r="B984" t="s">
        <v>686</v>
      </c>
      <c r="C984" t="s">
        <v>264</v>
      </c>
      <c r="D984" t="s">
        <v>265</v>
      </c>
      <c r="E984">
        <v>8058</v>
      </c>
      <c r="F984" t="s">
        <v>2677</v>
      </c>
      <c r="G984" t="s">
        <v>266</v>
      </c>
      <c r="H984" t="s">
        <v>272</v>
      </c>
      <c r="I984" t="s">
        <v>4540</v>
      </c>
      <c r="J984" t="s">
        <v>4929</v>
      </c>
    </row>
    <row r="985" spans="1:10" x14ac:dyDescent="0.2">
      <c r="A985" t="s">
        <v>394</v>
      </c>
      <c r="B985" t="s">
        <v>686</v>
      </c>
      <c r="C985" t="s">
        <v>264</v>
      </c>
      <c r="D985" t="s">
        <v>265</v>
      </c>
      <c r="E985">
        <v>8922</v>
      </c>
      <c r="F985" t="s">
        <v>2678</v>
      </c>
      <c r="G985" t="s">
        <v>278</v>
      </c>
      <c r="H985" t="s">
        <v>292</v>
      </c>
      <c r="I985">
        <v>713</v>
      </c>
    </row>
    <row r="986" spans="1:10" x14ac:dyDescent="0.2">
      <c r="A986" t="s">
        <v>394</v>
      </c>
      <c r="B986" t="s">
        <v>327</v>
      </c>
      <c r="C986" t="s">
        <v>264</v>
      </c>
      <c r="D986" t="s">
        <v>265</v>
      </c>
      <c r="E986">
        <v>1982</v>
      </c>
      <c r="F986" t="s">
        <v>2679</v>
      </c>
      <c r="G986" t="s">
        <v>266</v>
      </c>
      <c r="H986" t="s">
        <v>293</v>
      </c>
      <c r="I986">
        <v>492</v>
      </c>
    </row>
    <row r="987" spans="1:10" x14ac:dyDescent="0.2">
      <c r="A987" t="s">
        <v>394</v>
      </c>
      <c r="B987" t="s">
        <v>327</v>
      </c>
      <c r="C987" t="s">
        <v>264</v>
      </c>
      <c r="D987" t="s">
        <v>265</v>
      </c>
      <c r="E987">
        <v>2130</v>
      </c>
      <c r="F987" t="s">
        <v>395</v>
      </c>
      <c r="G987" t="s">
        <v>266</v>
      </c>
      <c r="H987" t="s">
        <v>271</v>
      </c>
      <c r="I987">
        <v>271</v>
      </c>
    </row>
    <row r="988" spans="1:10" x14ac:dyDescent="0.2">
      <c r="A988" t="s">
        <v>394</v>
      </c>
      <c r="B988" t="s">
        <v>327</v>
      </c>
      <c r="C988" t="s">
        <v>264</v>
      </c>
      <c r="D988" t="s">
        <v>269</v>
      </c>
      <c r="E988">
        <v>2136</v>
      </c>
      <c r="F988" t="s">
        <v>2680</v>
      </c>
      <c r="G988" t="s">
        <v>270</v>
      </c>
      <c r="H988" t="s">
        <v>271</v>
      </c>
      <c r="I988">
        <v>32</v>
      </c>
    </row>
    <row r="989" spans="1:10" x14ac:dyDescent="0.2">
      <c r="A989" t="s">
        <v>394</v>
      </c>
      <c r="B989" t="s">
        <v>327</v>
      </c>
      <c r="C989" t="s">
        <v>264</v>
      </c>
      <c r="D989" t="s">
        <v>265</v>
      </c>
      <c r="E989">
        <v>2229</v>
      </c>
      <c r="F989" t="s">
        <v>2681</v>
      </c>
      <c r="G989" t="s">
        <v>266</v>
      </c>
      <c r="H989" t="s">
        <v>267</v>
      </c>
      <c r="I989" t="s">
        <v>316</v>
      </c>
      <c r="J989" t="s">
        <v>4983</v>
      </c>
    </row>
    <row r="990" spans="1:10" x14ac:dyDescent="0.2">
      <c r="A990" t="s">
        <v>394</v>
      </c>
      <c r="B990" t="s">
        <v>327</v>
      </c>
      <c r="C990" t="s">
        <v>264</v>
      </c>
      <c r="D990" t="s">
        <v>265</v>
      </c>
      <c r="E990">
        <v>2296</v>
      </c>
      <c r="F990" t="s">
        <v>2682</v>
      </c>
      <c r="G990" t="s">
        <v>266</v>
      </c>
      <c r="H990" t="s">
        <v>267</v>
      </c>
      <c r="I990" t="s">
        <v>289</v>
      </c>
      <c r="J990" t="s">
        <v>4722</v>
      </c>
    </row>
    <row r="991" spans="1:10" x14ac:dyDescent="0.2">
      <c r="A991" t="s">
        <v>394</v>
      </c>
      <c r="B991" t="s">
        <v>327</v>
      </c>
      <c r="C991" t="s">
        <v>264</v>
      </c>
      <c r="D991" t="s">
        <v>265</v>
      </c>
      <c r="E991">
        <v>2432</v>
      </c>
      <c r="F991" t="s">
        <v>2683</v>
      </c>
      <c r="G991" t="s">
        <v>266</v>
      </c>
      <c r="H991" t="s">
        <v>271</v>
      </c>
      <c r="I991" t="s">
        <v>289</v>
      </c>
      <c r="J991" t="s">
        <v>4704</v>
      </c>
    </row>
    <row r="992" spans="1:10" x14ac:dyDescent="0.2">
      <c r="A992" t="s">
        <v>394</v>
      </c>
      <c r="B992" t="s">
        <v>327</v>
      </c>
      <c r="C992" t="s">
        <v>264</v>
      </c>
      <c r="D992" t="s">
        <v>265</v>
      </c>
      <c r="E992">
        <v>2440</v>
      </c>
      <c r="F992" t="s">
        <v>2684</v>
      </c>
      <c r="G992" t="s">
        <v>266</v>
      </c>
      <c r="H992" t="s">
        <v>271</v>
      </c>
      <c r="I992">
        <v>470</v>
      </c>
    </row>
    <row r="993" spans="1:10" x14ac:dyDescent="0.2">
      <c r="A993" t="s">
        <v>394</v>
      </c>
      <c r="B993" t="s">
        <v>327</v>
      </c>
      <c r="C993" t="s">
        <v>264</v>
      </c>
      <c r="D993" t="s">
        <v>265</v>
      </c>
      <c r="E993">
        <v>2468</v>
      </c>
      <c r="F993" t="s">
        <v>2685</v>
      </c>
      <c r="G993" t="s">
        <v>274</v>
      </c>
      <c r="H993" t="s">
        <v>271</v>
      </c>
      <c r="I993">
        <v>52</v>
      </c>
    </row>
    <row r="994" spans="1:10" x14ac:dyDescent="0.2">
      <c r="A994" t="s">
        <v>394</v>
      </c>
      <c r="B994" t="s">
        <v>327</v>
      </c>
      <c r="C994" t="s">
        <v>264</v>
      </c>
      <c r="D994" t="s">
        <v>265</v>
      </c>
      <c r="E994">
        <v>2733</v>
      </c>
      <c r="F994" t="s">
        <v>748</v>
      </c>
      <c r="G994" t="s">
        <v>266</v>
      </c>
      <c r="H994" t="s">
        <v>272</v>
      </c>
      <c r="I994">
        <v>827</v>
      </c>
    </row>
    <row r="995" spans="1:10" x14ac:dyDescent="0.2">
      <c r="A995" t="s">
        <v>394</v>
      </c>
      <c r="B995" t="s">
        <v>327</v>
      </c>
      <c r="C995" t="s">
        <v>264</v>
      </c>
      <c r="D995" t="s">
        <v>265</v>
      </c>
      <c r="E995">
        <v>3002</v>
      </c>
      <c r="F995" t="s">
        <v>2686</v>
      </c>
      <c r="G995" t="s">
        <v>266</v>
      </c>
      <c r="H995" t="s">
        <v>299</v>
      </c>
      <c r="I995">
        <v>921</v>
      </c>
    </row>
    <row r="996" spans="1:10" x14ac:dyDescent="0.2">
      <c r="A996" t="s">
        <v>394</v>
      </c>
      <c r="B996" t="s">
        <v>327</v>
      </c>
      <c r="C996" t="s">
        <v>264</v>
      </c>
      <c r="D996" t="s">
        <v>265</v>
      </c>
      <c r="E996">
        <v>3034</v>
      </c>
      <c r="F996" t="s">
        <v>2687</v>
      </c>
      <c r="G996" t="s">
        <v>266</v>
      </c>
      <c r="H996" t="s">
        <v>276</v>
      </c>
      <c r="I996">
        <v>566</v>
      </c>
    </row>
    <row r="997" spans="1:10" x14ac:dyDescent="0.2">
      <c r="A997" t="s">
        <v>394</v>
      </c>
      <c r="B997" t="s">
        <v>327</v>
      </c>
      <c r="C997" t="s">
        <v>264</v>
      </c>
      <c r="D997" t="s">
        <v>265</v>
      </c>
      <c r="E997">
        <v>3232</v>
      </c>
      <c r="F997" t="s">
        <v>2688</v>
      </c>
      <c r="G997" t="s">
        <v>266</v>
      </c>
      <c r="H997" t="s">
        <v>292</v>
      </c>
      <c r="I997">
        <v>668</v>
      </c>
    </row>
    <row r="998" spans="1:10" x14ac:dyDescent="0.2">
      <c r="A998" t="s">
        <v>394</v>
      </c>
      <c r="B998" t="s">
        <v>327</v>
      </c>
      <c r="C998" t="s">
        <v>268</v>
      </c>
      <c r="D998" t="s">
        <v>265</v>
      </c>
      <c r="E998">
        <v>3328</v>
      </c>
      <c r="F998" t="s">
        <v>2689</v>
      </c>
      <c r="G998" t="s">
        <v>266</v>
      </c>
      <c r="H998" t="s">
        <v>276</v>
      </c>
      <c r="I998">
        <v>172</v>
      </c>
    </row>
    <row r="999" spans="1:10" x14ac:dyDescent="0.2">
      <c r="A999" t="s">
        <v>394</v>
      </c>
      <c r="B999" t="s">
        <v>327</v>
      </c>
      <c r="C999" t="s">
        <v>264</v>
      </c>
      <c r="D999" t="s">
        <v>265</v>
      </c>
      <c r="E999">
        <v>3395</v>
      </c>
      <c r="F999" t="s">
        <v>2690</v>
      </c>
      <c r="G999" t="s">
        <v>266</v>
      </c>
      <c r="H999" t="s">
        <v>276</v>
      </c>
      <c r="I999">
        <v>539</v>
      </c>
    </row>
    <row r="1000" spans="1:10" x14ac:dyDescent="0.2">
      <c r="A1000" t="s">
        <v>394</v>
      </c>
      <c r="B1000" t="s">
        <v>327</v>
      </c>
      <c r="C1000" t="s">
        <v>264</v>
      </c>
      <c r="D1000" t="s">
        <v>265</v>
      </c>
      <c r="E1000">
        <v>3423</v>
      </c>
      <c r="F1000" t="s">
        <v>2691</v>
      </c>
      <c r="G1000" t="s">
        <v>270</v>
      </c>
      <c r="H1000" t="s">
        <v>281</v>
      </c>
      <c r="I1000">
        <v>109</v>
      </c>
    </row>
    <row r="1001" spans="1:10" x14ac:dyDescent="0.2">
      <c r="A1001" t="s">
        <v>394</v>
      </c>
      <c r="B1001" t="s">
        <v>327</v>
      </c>
      <c r="C1001" t="s">
        <v>264</v>
      </c>
      <c r="D1001" t="s">
        <v>265</v>
      </c>
      <c r="E1001">
        <v>3553</v>
      </c>
      <c r="F1001" t="s">
        <v>2692</v>
      </c>
      <c r="G1001" t="s">
        <v>266</v>
      </c>
      <c r="H1001" t="s">
        <v>279</v>
      </c>
      <c r="I1001">
        <v>197</v>
      </c>
    </row>
    <row r="1002" spans="1:10" x14ac:dyDescent="0.2">
      <c r="A1002" t="s">
        <v>394</v>
      </c>
      <c r="B1002" t="s">
        <v>327</v>
      </c>
      <c r="C1002" t="s">
        <v>273</v>
      </c>
      <c r="D1002" t="s">
        <v>265</v>
      </c>
      <c r="E1002">
        <v>3633</v>
      </c>
      <c r="F1002" t="s">
        <v>2693</v>
      </c>
      <c r="G1002" t="s">
        <v>274</v>
      </c>
      <c r="H1002" t="s">
        <v>277</v>
      </c>
      <c r="I1002">
        <v>127</v>
      </c>
    </row>
    <row r="1003" spans="1:10" x14ac:dyDescent="0.2">
      <c r="A1003" t="s">
        <v>394</v>
      </c>
      <c r="B1003" t="s">
        <v>327</v>
      </c>
      <c r="C1003" t="s">
        <v>268</v>
      </c>
      <c r="D1003" t="s">
        <v>265</v>
      </c>
      <c r="E1003">
        <v>3668</v>
      </c>
      <c r="F1003" t="s">
        <v>2694</v>
      </c>
      <c r="G1003" t="s">
        <v>266</v>
      </c>
      <c r="H1003" t="s">
        <v>277</v>
      </c>
      <c r="I1003" t="s">
        <v>297</v>
      </c>
      <c r="J1003" t="s">
        <v>4984</v>
      </c>
    </row>
    <row r="1004" spans="1:10" x14ac:dyDescent="0.2">
      <c r="A1004" t="s">
        <v>394</v>
      </c>
      <c r="B1004" t="s">
        <v>327</v>
      </c>
      <c r="C1004" t="s">
        <v>264</v>
      </c>
      <c r="D1004" t="s">
        <v>265</v>
      </c>
      <c r="E1004">
        <v>3756</v>
      </c>
      <c r="F1004" t="s">
        <v>2695</v>
      </c>
      <c r="G1004" t="s">
        <v>266</v>
      </c>
      <c r="H1004" t="s">
        <v>277</v>
      </c>
      <c r="I1004">
        <v>304</v>
      </c>
    </row>
    <row r="1005" spans="1:10" x14ac:dyDescent="0.2">
      <c r="A1005" t="s">
        <v>394</v>
      </c>
      <c r="B1005" t="s">
        <v>327</v>
      </c>
      <c r="C1005" t="s">
        <v>275</v>
      </c>
      <c r="D1005" t="s">
        <v>265</v>
      </c>
      <c r="E1005">
        <v>3916</v>
      </c>
      <c r="F1005" t="s">
        <v>1634</v>
      </c>
      <c r="G1005" t="s">
        <v>266</v>
      </c>
      <c r="H1005" t="s">
        <v>277</v>
      </c>
      <c r="I1005">
        <v>287</v>
      </c>
    </row>
    <row r="1006" spans="1:10" x14ac:dyDescent="0.2">
      <c r="A1006" t="s">
        <v>394</v>
      </c>
      <c r="B1006" t="s">
        <v>327</v>
      </c>
      <c r="C1006" t="s">
        <v>264</v>
      </c>
      <c r="D1006" t="s">
        <v>265</v>
      </c>
      <c r="E1006">
        <v>4008</v>
      </c>
      <c r="F1006" t="s">
        <v>2696</v>
      </c>
      <c r="G1006" t="s">
        <v>266</v>
      </c>
      <c r="H1006" t="s">
        <v>279</v>
      </c>
      <c r="I1006">
        <v>465</v>
      </c>
    </row>
    <row r="1007" spans="1:10" x14ac:dyDescent="0.2">
      <c r="A1007" t="s">
        <v>394</v>
      </c>
      <c r="B1007" t="s">
        <v>327</v>
      </c>
      <c r="C1007" t="s">
        <v>264</v>
      </c>
      <c r="D1007" t="s">
        <v>265</v>
      </c>
      <c r="E1007">
        <v>4091</v>
      </c>
      <c r="F1007" t="s">
        <v>1467</v>
      </c>
      <c r="G1007" t="s">
        <v>266</v>
      </c>
      <c r="H1007" t="s">
        <v>279</v>
      </c>
      <c r="I1007" t="s">
        <v>359</v>
      </c>
      <c r="J1007" t="s">
        <v>4985</v>
      </c>
    </row>
    <row r="1008" spans="1:10" x14ac:dyDescent="0.2">
      <c r="A1008" t="s">
        <v>394</v>
      </c>
      <c r="B1008" t="s">
        <v>327</v>
      </c>
      <c r="C1008" t="s">
        <v>264</v>
      </c>
      <c r="D1008" t="s">
        <v>269</v>
      </c>
      <c r="E1008">
        <v>4120</v>
      </c>
      <c r="F1008" t="s">
        <v>2697</v>
      </c>
      <c r="G1008" t="s">
        <v>274</v>
      </c>
      <c r="H1008" t="s">
        <v>279</v>
      </c>
      <c r="I1008">
        <v>15</v>
      </c>
    </row>
    <row r="1009" spans="1:10" x14ac:dyDescent="0.2">
      <c r="A1009" t="s">
        <v>394</v>
      </c>
      <c r="B1009" t="s">
        <v>327</v>
      </c>
      <c r="C1009" t="s">
        <v>273</v>
      </c>
      <c r="D1009" t="s">
        <v>265</v>
      </c>
      <c r="E1009">
        <v>4151</v>
      </c>
      <c r="F1009" t="s">
        <v>2698</v>
      </c>
      <c r="G1009" t="s">
        <v>266</v>
      </c>
      <c r="H1009" t="s">
        <v>311</v>
      </c>
      <c r="I1009" t="s">
        <v>471</v>
      </c>
      <c r="J1009" t="s">
        <v>4625</v>
      </c>
    </row>
    <row r="1010" spans="1:10" x14ac:dyDescent="0.2">
      <c r="A1010" t="s">
        <v>394</v>
      </c>
      <c r="B1010" t="s">
        <v>327</v>
      </c>
      <c r="C1010" t="s">
        <v>264</v>
      </c>
      <c r="D1010" t="s">
        <v>265</v>
      </c>
      <c r="E1010">
        <v>4342</v>
      </c>
      <c r="F1010" t="s">
        <v>2699</v>
      </c>
      <c r="G1010" t="s">
        <v>274</v>
      </c>
      <c r="H1010" t="s">
        <v>271</v>
      </c>
      <c r="I1010">
        <v>524</v>
      </c>
    </row>
    <row r="1011" spans="1:10" x14ac:dyDescent="0.2">
      <c r="A1011" t="s">
        <v>394</v>
      </c>
      <c r="B1011" t="s">
        <v>327</v>
      </c>
      <c r="C1011" t="s">
        <v>273</v>
      </c>
      <c r="D1011" t="s">
        <v>269</v>
      </c>
      <c r="E1011">
        <v>4356</v>
      </c>
      <c r="F1011" t="s">
        <v>2700</v>
      </c>
      <c r="G1011" t="s">
        <v>270</v>
      </c>
      <c r="H1011" t="s">
        <v>277</v>
      </c>
      <c r="I1011">
        <v>116</v>
      </c>
    </row>
    <row r="1012" spans="1:10" x14ac:dyDescent="0.2">
      <c r="A1012" t="s">
        <v>394</v>
      </c>
      <c r="B1012" t="s">
        <v>327</v>
      </c>
      <c r="C1012" t="s">
        <v>264</v>
      </c>
      <c r="D1012" t="s">
        <v>265</v>
      </c>
      <c r="E1012">
        <v>4516</v>
      </c>
      <c r="F1012" t="s">
        <v>1470</v>
      </c>
      <c r="G1012" t="s">
        <v>266</v>
      </c>
      <c r="H1012" t="s">
        <v>311</v>
      </c>
      <c r="I1012" t="s">
        <v>518</v>
      </c>
      <c r="J1012" t="s">
        <v>4294</v>
      </c>
    </row>
    <row r="1013" spans="1:10" x14ac:dyDescent="0.2">
      <c r="A1013" t="s">
        <v>394</v>
      </c>
      <c r="B1013" t="s">
        <v>327</v>
      </c>
      <c r="C1013" t="s">
        <v>264</v>
      </c>
      <c r="D1013" t="s">
        <v>265</v>
      </c>
      <c r="E1013">
        <v>4676</v>
      </c>
      <c r="F1013" t="s">
        <v>2701</v>
      </c>
      <c r="G1013" t="s">
        <v>266</v>
      </c>
      <c r="H1013" t="s">
        <v>277</v>
      </c>
      <c r="I1013" t="s">
        <v>333</v>
      </c>
      <c r="J1013" t="s">
        <v>4305</v>
      </c>
    </row>
    <row r="1014" spans="1:10" x14ac:dyDescent="0.2">
      <c r="A1014" t="s">
        <v>394</v>
      </c>
      <c r="B1014" t="s">
        <v>327</v>
      </c>
      <c r="C1014" t="s">
        <v>275</v>
      </c>
      <c r="D1014" t="s">
        <v>269</v>
      </c>
      <c r="E1014">
        <v>4847</v>
      </c>
      <c r="F1014" t="s">
        <v>2702</v>
      </c>
      <c r="G1014" t="s">
        <v>266</v>
      </c>
      <c r="H1014" t="s">
        <v>277</v>
      </c>
      <c r="I1014">
        <v>220</v>
      </c>
    </row>
    <row r="1015" spans="1:10" x14ac:dyDescent="0.2">
      <c r="A1015" t="s">
        <v>394</v>
      </c>
      <c r="B1015" t="s">
        <v>327</v>
      </c>
      <c r="C1015" t="s">
        <v>264</v>
      </c>
      <c r="D1015" t="s">
        <v>265</v>
      </c>
      <c r="E1015">
        <v>4972</v>
      </c>
      <c r="F1015" t="s">
        <v>2703</v>
      </c>
      <c r="G1015" t="s">
        <v>270</v>
      </c>
      <c r="H1015" t="s">
        <v>279</v>
      </c>
      <c r="I1015">
        <v>116</v>
      </c>
    </row>
    <row r="1016" spans="1:10" x14ac:dyDescent="0.2">
      <c r="A1016" t="s">
        <v>394</v>
      </c>
      <c r="B1016" t="s">
        <v>327</v>
      </c>
      <c r="C1016" t="s">
        <v>273</v>
      </c>
      <c r="D1016" t="s">
        <v>265</v>
      </c>
      <c r="E1016">
        <v>5201</v>
      </c>
      <c r="F1016" t="s">
        <v>2704</v>
      </c>
      <c r="G1016" t="s">
        <v>266</v>
      </c>
      <c r="H1016" t="s">
        <v>308</v>
      </c>
      <c r="I1016" t="s">
        <v>407</v>
      </c>
      <c r="J1016" t="s">
        <v>4480</v>
      </c>
    </row>
    <row r="1017" spans="1:10" x14ac:dyDescent="0.2">
      <c r="A1017" t="s">
        <v>394</v>
      </c>
      <c r="B1017" t="s">
        <v>327</v>
      </c>
      <c r="C1017" t="s">
        <v>273</v>
      </c>
      <c r="D1017" t="s">
        <v>265</v>
      </c>
      <c r="E1017">
        <v>5214</v>
      </c>
      <c r="F1017" t="s">
        <v>1748</v>
      </c>
      <c r="G1017" t="s">
        <v>266</v>
      </c>
      <c r="H1017" t="s">
        <v>308</v>
      </c>
      <c r="I1017" t="s">
        <v>289</v>
      </c>
      <c r="J1017" t="s">
        <v>4367</v>
      </c>
    </row>
    <row r="1018" spans="1:10" x14ac:dyDescent="0.2">
      <c r="A1018" t="s">
        <v>394</v>
      </c>
      <c r="B1018" t="s">
        <v>327</v>
      </c>
      <c r="C1018" t="s">
        <v>264</v>
      </c>
      <c r="D1018" t="s">
        <v>265</v>
      </c>
      <c r="E1018">
        <v>5331</v>
      </c>
      <c r="F1018" t="s">
        <v>2705</v>
      </c>
      <c r="G1018" t="s">
        <v>266</v>
      </c>
      <c r="H1018" t="s">
        <v>308</v>
      </c>
      <c r="I1018">
        <v>695</v>
      </c>
    </row>
    <row r="1019" spans="1:10" x14ac:dyDescent="0.2">
      <c r="A1019" t="s">
        <v>394</v>
      </c>
      <c r="B1019" t="s">
        <v>327</v>
      </c>
      <c r="C1019" t="s">
        <v>264</v>
      </c>
      <c r="D1019" t="s">
        <v>265</v>
      </c>
      <c r="E1019">
        <v>5358</v>
      </c>
      <c r="F1019" t="s">
        <v>2706</v>
      </c>
      <c r="G1019" t="s">
        <v>266</v>
      </c>
      <c r="H1019" t="s">
        <v>308</v>
      </c>
      <c r="I1019">
        <v>149</v>
      </c>
    </row>
    <row r="1020" spans="1:10" x14ac:dyDescent="0.2">
      <c r="A1020" t="s">
        <v>394</v>
      </c>
      <c r="B1020" t="s">
        <v>327</v>
      </c>
      <c r="C1020" t="s">
        <v>264</v>
      </c>
      <c r="D1020" t="s">
        <v>265</v>
      </c>
      <c r="E1020">
        <v>5480</v>
      </c>
      <c r="F1020" t="s">
        <v>2707</v>
      </c>
      <c r="G1020" t="s">
        <v>266</v>
      </c>
      <c r="H1020" t="s">
        <v>726</v>
      </c>
      <c r="I1020">
        <v>355</v>
      </c>
    </row>
    <row r="1021" spans="1:10" x14ac:dyDescent="0.2">
      <c r="A1021" t="s">
        <v>394</v>
      </c>
      <c r="B1021" t="s">
        <v>327</v>
      </c>
      <c r="C1021" t="s">
        <v>264</v>
      </c>
      <c r="D1021" t="s">
        <v>265</v>
      </c>
      <c r="E1021">
        <v>5741</v>
      </c>
      <c r="F1021" t="s">
        <v>2708</v>
      </c>
      <c r="G1021" t="s">
        <v>266</v>
      </c>
      <c r="H1021" t="s">
        <v>373</v>
      </c>
      <c r="I1021" t="s">
        <v>297</v>
      </c>
      <c r="J1021" t="s">
        <v>4972</v>
      </c>
    </row>
    <row r="1022" spans="1:10" x14ac:dyDescent="0.2">
      <c r="A1022" t="s">
        <v>394</v>
      </c>
      <c r="B1022" t="s">
        <v>327</v>
      </c>
      <c r="C1022" t="s">
        <v>264</v>
      </c>
      <c r="D1022" t="s">
        <v>265</v>
      </c>
      <c r="E1022">
        <v>5801</v>
      </c>
      <c r="F1022" t="s">
        <v>2709</v>
      </c>
      <c r="G1022" t="s">
        <v>266</v>
      </c>
      <c r="H1022" t="s">
        <v>373</v>
      </c>
      <c r="I1022" t="s">
        <v>297</v>
      </c>
      <c r="J1022" t="s">
        <v>4986</v>
      </c>
    </row>
    <row r="1023" spans="1:10" x14ac:dyDescent="0.2">
      <c r="A1023" t="s">
        <v>394</v>
      </c>
      <c r="B1023" t="s">
        <v>327</v>
      </c>
      <c r="C1023" t="s">
        <v>264</v>
      </c>
      <c r="D1023" t="s">
        <v>265</v>
      </c>
      <c r="E1023">
        <v>5802</v>
      </c>
      <c r="F1023" t="s">
        <v>2710</v>
      </c>
      <c r="G1023" t="s">
        <v>266</v>
      </c>
      <c r="H1023" t="s">
        <v>373</v>
      </c>
      <c r="I1023" t="s">
        <v>545</v>
      </c>
      <c r="J1023" t="s">
        <v>4987</v>
      </c>
    </row>
    <row r="1024" spans="1:10" x14ac:dyDescent="0.2">
      <c r="A1024" t="s">
        <v>394</v>
      </c>
      <c r="B1024" t="s">
        <v>327</v>
      </c>
      <c r="C1024" t="s">
        <v>264</v>
      </c>
      <c r="D1024" t="s">
        <v>265</v>
      </c>
      <c r="E1024">
        <v>5803</v>
      </c>
      <c r="F1024" t="s">
        <v>2711</v>
      </c>
      <c r="G1024" t="s">
        <v>266</v>
      </c>
      <c r="H1024" t="s">
        <v>373</v>
      </c>
      <c r="I1024" t="s">
        <v>297</v>
      </c>
      <c r="J1024" t="s">
        <v>4625</v>
      </c>
    </row>
    <row r="1025" spans="1:10" x14ac:dyDescent="0.2">
      <c r="A1025" t="s">
        <v>394</v>
      </c>
      <c r="B1025" t="s">
        <v>327</v>
      </c>
      <c r="C1025" t="s">
        <v>264</v>
      </c>
      <c r="D1025" t="s">
        <v>265</v>
      </c>
      <c r="E1025">
        <v>5821</v>
      </c>
      <c r="F1025" t="s">
        <v>2712</v>
      </c>
      <c r="G1025" t="s">
        <v>266</v>
      </c>
      <c r="H1025" t="s">
        <v>373</v>
      </c>
      <c r="I1025">
        <v>295</v>
      </c>
    </row>
    <row r="1026" spans="1:10" x14ac:dyDescent="0.2">
      <c r="A1026" t="s">
        <v>394</v>
      </c>
      <c r="B1026" t="s">
        <v>327</v>
      </c>
      <c r="C1026" t="s">
        <v>264</v>
      </c>
      <c r="D1026" t="s">
        <v>265</v>
      </c>
      <c r="E1026">
        <v>5991</v>
      </c>
      <c r="F1026" t="s">
        <v>2713</v>
      </c>
      <c r="G1026" t="s">
        <v>266</v>
      </c>
      <c r="H1026" t="s">
        <v>281</v>
      </c>
      <c r="I1026" t="s">
        <v>289</v>
      </c>
      <c r="J1026" t="s">
        <v>4988</v>
      </c>
    </row>
    <row r="1027" spans="1:10" x14ac:dyDescent="0.2">
      <c r="A1027" t="s">
        <v>394</v>
      </c>
      <c r="B1027" t="s">
        <v>327</v>
      </c>
      <c r="C1027" t="s">
        <v>264</v>
      </c>
      <c r="D1027" t="s">
        <v>265</v>
      </c>
      <c r="E1027">
        <v>6016</v>
      </c>
      <c r="F1027" t="s">
        <v>2714</v>
      </c>
      <c r="G1027" t="s">
        <v>274</v>
      </c>
      <c r="H1027" t="s">
        <v>296</v>
      </c>
      <c r="I1027">
        <v>22</v>
      </c>
    </row>
    <row r="1028" spans="1:10" x14ac:dyDescent="0.2">
      <c r="A1028" t="s">
        <v>394</v>
      </c>
      <c r="B1028" t="s">
        <v>327</v>
      </c>
      <c r="C1028" t="s">
        <v>268</v>
      </c>
      <c r="D1028" t="s">
        <v>269</v>
      </c>
      <c r="E1028">
        <v>6046</v>
      </c>
      <c r="F1028" t="s">
        <v>2715</v>
      </c>
      <c r="G1028" t="s">
        <v>278</v>
      </c>
      <c r="H1028" t="s">
        <v>271</v>
      </c>
      <c r="I1028">
        <v>78</v>
      </c>
    </row>
    <row r="1029" spans="1:10" x14ac:dyDescent="0.2">
      <c r="A1029" t="s">
        <v>394</v>
      </c>
      <c r="B1029" t="s">
        <v>327</v>
      </c>
      <c r="C1029" t="s">
        <v>264</v>
      </c>
      <c r="D1029" t="s">
        <v>269</v>
      </c>
      <c r="E1029">
        <v>6073</v>
      </c>
      <c r="F1029" t="s">
        <v>2716</v>
      </c>
      <c r="G1029" t="s">
        <v>266</v>
      </c>
      <c r="H1029" t="s">
        <v>271</v>
      </c>
      <c r="I1029">
        <v>252</v>
      </c>
    </row>
    <row r="1030" spans="1:10" x14ac:dyDescent="0.2">
      <c r="A1030" t="s">
        <v>394</v>
      </c>
      <c r="B1030" t="s">
        <v>327</v>
      </c>
      <c r="C1030" t="s">
        <v>264</v>
      </c>
      <c r="D1030" t="s">
        <v>265</v>
      </c>
      <c r="E1030">
        <v>6197</v>
      </c>
      <c r="F1030" t="s">
        <v>2717</v>
      </c>
      <c r="G1030" t="s">
        <v>266</v>
      </c>
      <c r="H1030" t="s">
        <v>271</v>
      </c>
      <c r="I1030" t="s">
        <v>297</v>
      </c>
      <c r="J1030" t="s">
        <v>4473</v>
      </c>
    </row>
    <row r="1031" spans="1:10" x14ac:dyDescent="0.2">
      <c r="A1031" t="s">
        <v>394</v>
      </c>
      <c r="B1031" t="s">
        <v>327</v>
      </c>
      <c r="C1031" t="s">
        <v>264</v>
      </c>
      <c r="D1031" t="s">
        <v>265</v>
      </c>
      <c r="E1031">
        <v>6203</v>
      </c>
      <c r="F1031" t="s">
        <v>2718</v>
      </c>
      <c r="G1031" t="s">
        <v>266</v>
      </c>
      <c r="H1031" t="s">
        <v>287</v>
      </c>
      <c r="I1031">
        <v>110</v>
      </c>
    </row>
    <row r="1032" spans="1:10" x14ac:dyDescent="0.2">
      <c r="A1032" t="s">
        <v>394</v>
      </c>
      <c r="B1032" t="s">
        <v>327</v>
      </c>
      <c r="C1032" t="s">
        <v>264</v>
      </c>
      <c r="D1032" t="s">
        <v>265</v>
      </c>
      <c r="E1032">
        <v>6205</v>
      </c>
      <c r="F1032" t="s">
        <v>2719</v>
      </c>
      <c r="G1032" t="s">
        <v>266</v>
      </c>
      <c r="H1032" t="s">
        <v>287</v>
      </c>
      <c r="I1032">
        <v>53</v>
      </c>
    </row>
    <row r="1033" spans="1:10" x14ac:dyDescent="0.2">
      <c r="A1033" t="s">
        <v>394</v>
      </c>
      <c r="B1033" t="s">
        <v>327</v>
      </c>
      <c r="C1033" t="s">
        <v>264</v>
      </c>
      <c r="D1033" t="s">
        <v>265</v>
      </c>
      <c r="E1033">
        <v>6240</v>
      </c>
      <c r="F1033" t="s">
        <v>538</v>
      </c>
      <c r="G1033" t="s">
        <v>266</v>
      </c>
      <c r="H1033" t="s">
        <v>287</v>
      </c>
      <c r="I1033">
        <v>572</v>
      </c>
    </row>
    <row r="1034" spans="1:10" x14ac:dyDescent="0.2">
      <c r="A1034" t="s">
        <v>394</v>
      </c>
      <c r="B1034" t="s">
        <v>327</v>
      </c>
      <c r="C1034" t="s">
        <v>273</v>
      </c>
      <c r="D1034" t="s">
        <v>265</v>
      </c>
      <c r="E1034">
        <v>6269</v>
      </c>
      <c r="F1034" t="s">
        <v>2720</v>
      </c>
      <c r="G1034" t="s">
        <v>266</v>
      </c>
      <c r="H1034" t="s">
        <v>287</v>
      </c>
      <c r="I1034" t="s">
        <v>297</v>
      </c>
      <c r="J1034" t="s">
        <v>4989</v>
      </c>
    </row>
    <row r="1035" spans="1:10" x14ac:dyDescent="0.2">
      <c r="A1035" t="s">
        <v>394</v>
      </c>
      <c r="B1035" t="s">
        <v>327</v>
      </c>
      <c r="C1035" t="s">
        <v>264</v>
      </c>
      <c r="D1035" t="s">
        <v>265</v>
      </c>
      <c r="E1035">
        <v>6282</v>
      </c>
      <c r="F1035" t="s">
        <v>1525</v>
      </c>
      <c r="G1035" t="s">
        <v>266</v>
      </c>
      <c r="H1035" t="s">
        <v>287</v>
      </c>
      <c r="I1035">
        <v>560</v>
      </c>
    </row>
    <row r="1036" spans="1:10" x14ac:dyDescent="0.2">
      <c r="A1036" t="s">
        <v>394</v>
      </c>
      <c r="B1036" t="s">
        <v>327</v>
      </c>
      <c r="C1036" t="s">
        <v>264</v>
      </c>
      <c r="D1036" t="s">
        <v>265</v>
      </c>
      <c r="E1036">
        <v>6299</v>
      </c>
      <c r="F1036" t="s">
        <v>2721</v>
      </c>
      <c r="G1036" t="s">
        <v>274</v>
      </c>
      <c r="H1036" t="s">
        <v>287</v>
      </c>
      <c r="I1036">
        <v>352</v>
      </c>
    </row>
    <row r="1037" spans="1:10" x14ac:dyDescent="0.2">
      <c r="A1037" t="s">
        <v>394</v>
      </c>
      <c r="B1037" t="s">
        <v>327</v>
      </c>
      <c r="C1037" t="s">
        <v>264</v>
      </c>
      <c r="D1037" t="s">
        <v>265</v>
      </c>
      <c r="E1037">
        <v>6307</v>
      </c>
      <c r="F1037" t="s">
        <v>2722</v>
      </c>
      <c r="G1037" t="s">
        <v>274</v>
      </c>
      <c r="H1037" t="s">
        <v>287</v>
      </c>
      <c r="I1037">
        <v>32</v>
      </c>
    </row>
    <row r="1038" spans="1:10" x14ac:dyDescent="0.2">
      <c r="A1038" t="s">
        <v>394</v>
      </c>
      <c r="B1038" t="s">
        <v>327</v>
      </c>
      <c r="C1038" t="s">
        <v>264</v>
      </c>
      <c r="D1038" t="s">
        <v>265</v>
      </c>
      <c r="E1038">
        <v>6479</v>
      </c>
      <c r="F1038" t="s">
        <v>2723</v>
      </c>
      <c r="G1038" t="s">
        <v>266</v>
      </c>
      <c r="H1038" t="s">
        <v>291</v>
      </c>
      <c r="I1038" t="s">
        <v>359</v>
      </c>
      <c r="J1038" t="s">
        <v>4303</v>
      </c>
    </row>
    <row r="1039" spans="1:10" x14ac:dyDescent="0.2">
      <c r="A1039" t="s">
        <v>394</v>
      </c>
      <c r="B1039" t="s">
        <v>327</v>
      </c>
      <c r="C1039" t="s">
        <v>264</v>
      </c>
      <c r="D1039" t="s">
        <v>269</v>
      </c>
      <c r="E1039">
        <v>6539</v>
      </c>
      <c r="F1039" t="s">
        <v>2724</v>
      </c>
      <c r="G1039" t="s">
        <v>266</v>
      </c>
      <c r="H1039" t="s">
        <v>271</v>
      </c>
      <c r="I1039">
        <v>381</v>
      </c>
    </row>
    <row r="1040" spans="1:10" x14ac:dyDescent="0.2">
      <c r="A1040" t="s">
        <v>394</v>
      </c>
      <c r="B1040" t="s">
        <v>327</v>
      </c>
      <c r="C1040" t="s">
        <v>264</v>
      </c>
      <c r="D1040" t="s">
        <v>265</v>
      </c>
      <c r="E1040">
        <v>6768</v>
      </c>
      <c r="F1040" t="s">
        <v>1749</v>
      </c>
      <c r="G1040" t="s">
        <v>266</v>
      </c>
      <c r="H1040" t="s">
        <v>291</v>
      </c>
      <c r="I1040">
        <v>597</v>
      </c>
    </row>
    <row r="1041" spans="1:10" x14ac:dyDescent="0.2">
      <c r="A1041" t="s">
        <v>394</v>
      </c>
      <c r="B1041" t="s">
        <v>327</v>
      </c>
      <c r="C1041" t="s">
        <v>264</v>
      </c>
      <c r="D1041" t="s">
        <v>265</v>
      </c>
      <c r="E1041">
        <v>6845</v>
      </c>
      <c r="F1041" t="s">
        <v>2725</v>
      </c>
      <c r="G1041" t="s">
        <v>266</v>
      </c>
      <c r="H1041" t="s">
        <v>291</v>
      </c>
      <c r="I1041" t="s">
        <v>316</v>
      </c>
      <c r="J1041" t="s">
        <v>4905</v>
      </c>
    </row>
    <row r="1042" spans="1:10" x14ac:dyDescent="0.2">
      <c r="A1042" t="s">
        <v>394</v>
      </c>
      <c r="B1042" t="s">
        <v>327</v>
      </c>
      <c r="C1042" t="s">
        <v>264</v>
      </c>
      <c r="D1042" t="s">
        <v>265</v>
      </c>
      <c r="E1042">
        <v>6869</v>
      </c>
      <c r="F1042" t="s">
        <v>2726</v>
      </c>
      <c r="G1042" t="s">
        <v>266</v>
      </c>
      <c r="H1042" t="s">
        <v>291</v>
      </c>
      <c r="I1042" t="s">
        <v>294</v>
      </c>
      <c r="J1042" t="s">
        <v>4684</v>
      </c>
    </row>
    <row r="1043" spans="1:10" x14ac:dyDescent="0.2">
      <c r="A1043" t="s">
        <v>394</v>
      </c>
      <c r="B1043" t="s">
        <v>327</v>
      </c>
      <c r="C1043" t="s">
        <v>264</v>
      </c>
      <c r="D1043" t="s">
        <v>265</v>
      </c>
      <c r="E1043">
        <v>6875</v>
      </c>
      <c r="F1043" t="s">
        <v>397</v>
      </c>
      <c r="G1043" t="s">
        <v>266</v>
      </c>
      <c r="H1043" t="s">
        <v>291</v>
      </c>
      <c r="I1043">
        <v>432</v>
      </c>
    </row>
    <row r="1044" spans="1:10" x14ac:dyDescent="0.2">
      <c r="A1044" t="s">
        <v>394</v>
      </c>
      <c r="B1044" t="s">
        <v>327</v>
      </c>
      <c r="C1044" t="s">
        <v>264</v>
      </c>
      <c r="D1044" t="s">
        <v>265</v>
      </c>
      <c r="E1044">
        <v>6996</v>
      </c>
      <c r="F1044" t="s">
        <v>2727</v>
      </c>
      <c r="G1044" t="s">
        <v>266</v>
      </c>
      <c r="H1044" t="s">
        <v>291</v>
      </c>
      <c r="I1044">
        <v>839</v>
      </c>
    </row>
    <row r="1045" spans="1:10" x14ac:dyDescent="0.2">
      <c r="A1045" t="s">
        <v>394</v>
      </c>
      <c r="B1045" t="s">
        <v>327</v>
      </c>
      <c r="C1045" t="s">
        <v>264</v>
      </c>
      <c r="D1045" t="s">
        <v>265</v>
      </c>
      <c r="E1045">
        <v>6997</v>
      </c>
      <c r="F1045" t="s">
        <v>1750</v>
      </c>
      <c r="G1045" t="s">
        <v>266</v>
      </c>
      <c r="H1045" t="s">
        <v>291</v>
      </c>
      <c r="I1045">
        <v>317</v>
      </c>
    </row>
    <row r="1046" spans="1:10" x14ac:dyDescent="0.2">
      <c r="A1046" t="s">
        <v>394</v>
      </c>
      <c r="B1046" t="s">
        <v>327</v>
      </c>
      <c r="C1046" t="s">
        <v>264</v>
      </c>
      <c r="D1046" t="s">
        <v>269</v>
      </c>
      <c r="E1046">
        <v>7062</v>
      </c>
      <c r="F1046" t="s">
        <v>2728</v>
      </c>
      <c r="G1046" t="s">
        <v>278</v>
      </c>
      <c r="H1046" t="s">
        <v>271</v>
      </c>
      <c r="I1046">
        <v>26</v>
      </c>
    </row>
    <row r="1047" spans="1:10" x14ac:dyDescent="0.2">
      <c r="A1047" t="s">
        <v>394</v>
      </c>
      <c r="B1047" t="s">
        <v>327</v>
      </c>
      <c r="C1047" t="s">
        <v>264</v>
      </c>
      <c r="D1047" t="s">
        <v>269</v>
      </c>
      <c r="E1047">
        <v>7164</v>
      </c>
      <c r="F1047" t="s">
        <v>542</v>
      </c>
      <c r="G1047" t="s">
        <v>266</v>
      </c>
      <c r="H1047" t="s">
        <v>302</v>
      </c>
      <c r="I1047" t="s">
        <v>333</v>
      </c>
      <c r="J1047" t="s">
        <v>4680</v>
      </c>
    </row>
    <row r="1048" spans="1:10" x14ac:dyDescent="0.2">
      <c r="A1048" t="s">
        <v>394</v>
      </c>
      <c r="B1048" t="s">
        <v>327</v>
      </c>
      <c r="C1048" t="s">
        <v>264</v>
      </c>
      <c r="D1048" t="s">
        <v>265</v>
      </c>
      <c r="E1048">
        <v>7186</v>
      </c>
      <c r="F1048" t="s">
        <v>2729</v>
      </c>
      <c r="G1048" t="s">
        <v>266</v>
      </c>
      <c r="H1048" t="s">
        <v>484</v>
      </c>
      <c r="I1048" t="s">
        <v>283</v>
      </c>
      <c r="J1048" t="s">
        <v>4708</v>
      </c>
    </row>
    <row r="1049" spans="1:10" x14ac:dyDescent="0.2">
      <c r="A1049" t="s">
        <v>394</v>
      </c>
      <c r="B1049" t="s">
        <v>327</v>
      </c>
      <c r="C1049" t="s">
        <v>264</v>
      </c>
      <c r="D1049" t="s">
        <v>265</v>
      </c>
      <c r="E1049">
        <v>7261</v>
      </c>
      <c r="F1049" t="s">
        <v>2730</v>
      </c>
      <c r="G1049" t="s">
        <v>266</v>
      </c>
      <c r="H1049" t="s">
        <v>296</v>
      </c>
      <c r="I1049" t="s">
        <v>325</v>
      </c>
      <c r="J1049" t="s">
        <v>4933</v>
      </c>
    </row>
    <row r="1050" spans="1:10" x14ac:dyDescent="0.2">
      <c r="A1050" t="s">
        <v>394</v>
      </c>
      <c r="B1050" t="s">
        <v>327</v>
      </c>
      <c r="C1050" t="s">
        <v>264</v>
      </c>
      <c r="D1050" t="s">
        <v>265</v>
      </c>
      <c r="E1050">
        <v>7280</v>
      </c>
      <c r="F1050" t="s">
        <v>2731</v>
      </c>
      <c r="G1050" t="s">
        <v>266</v>
      </c>
      <c r="H1050" t="s">
        <v>291</v>
      </c>
      <c r="I1050">
        <v>322</v>
      </c>
    </row>
    <row r="1051" spans="1:10" x14ac:dyDescent="0.2">
      <c r="A1051" t="s">
        <v>394</v>
      </c>
      <c r="B1051" t="s">
        <v>327</v>
      </c>
      <c r="C1051" t="s">
        <v>264</v>
      </c>
      <c r="D1051" t="s">
        <v>265</v>
      </c>
      <c r="E1051">
        <v>7451</v>
      </c>
      <c r="F1051" t="s">
        <v>2732</v>
      </c>
      <c r="G1051" t="s">
        <v>266</v>
      </c>
      <c r="H1051" t="s">
        <v>272</v>
      </c>
      <c r="I1051" t="s">
        <v>297</v>
      </c>
      <c r="J1051" t="s">
        <v>4457</v>
      </c>
    </row>
    <row r="1052" spans="1:10" x14ac:dyDescent="0.2">
      <c r="A1052" t="s">
        <v>394</v>
      </c>
      <c r="B1052" t="s">
        <v>327</v>
      </c>
      <c r="C1052" t="s">
        <v>275</v>
      </c>
      <c r="D1052" t="s">
        <v>265</v>
      </c>
      <c r="E1052">
        <v>7532</v>
      </c>
      <c r="F1052" t="s">
        <v>645</v>
      </c>
      <c r="G1052" t="s">
        <v>266</v>
      </c>
      <c r="H1052" t="s">
        <v>276</v>
      </c>
      <c r="I1052" t="s">
        <v>490</v>
      </c>
      <c r="J1052" t="s">
        <v>4301</v>
      </c>
    </row>
    <row r="1053" spans="1:10" x14ac:dyDescent="0.2">
      <c r="A1053" t="s">
        <v>394</v>
      </c>
      <c r="B1053" t="s">
        <v>327</v>
      </c>
      <c r="C1053" t="s">
        <v>264</v>
      </c>
      <c r="D1053" t="s">
        <v>265</v>
      </c>
      <c r="E1053">
        <v>7565</v>
      </c>
      <c r="F1053" t="s">
        <v>1751</v>
      </c>
      <c r="G1053" t="s">
        <v>274</v>
      </c>
      <c r="H1053" t="s">
        <v>272</v>
      </c>
      <c r="I1053">
        <v>52</v>
      </c>
    </row>
    <row r="1054" spans="1:10" x14ac:dyDescent="0.2">
      <c r="A1054" t="s">
        <v>394</v>
      </c>
      <c r="B1054" t="s">
        <v>327</v>
      </c>
      <c r="C1054" t="s">
        <v>264</v>
      </c>
      <c r="D1054" t="s">
        <v>265</v>
      </c>
      <c r="E1054">
        <v>7628</v>
      </c>
      <c r="F1054" t="s">
        <v>2733</v>
      </c>
      <c r="G1054" t="s">
        <v>266</v>
      </c>
      <c r="H1054" t="s">
        <v>272</v>
      </c>
      <c r="I1054">
        <v>257</v>
      </c>
    </row>
    <row r="1055" spans="1:10" x14ac:dyDescent="0.2">
      <c r="A1055" t="s">
        <v>394</v>
      </c>
      <c r="B1055" t="s">
        <v>327</v>
      </c>
      <c r="C1055" t="s">
        <v>264</v>
      </c>
      <c r="D1055" t="s">
        <v>265</v>
      </c>
      <c r="E1055">
        <v>7817</v>
      </c>
      <c r="F1055" t="s">
        <v>2734</v>
      </c>
      <c r="G1055" t="s">
        <v>266</v>
      </c>
      <c r="H1055" t="s">
        <v>288</v>
      </c>
      <c r="I1055" t="s">
        <v>297</v>
      </c>
      <c r="J1055" t="s">
        <v>4717</v>
      </c>
    </row>
    <row r="1056" spans="1:10" x14ac:dyDescent="0.2">
      <c r="A1056" t="s">
        <v>394</v>
      </c>
      <c r="B1056" t="s">
        <v>327</v>
      </c>
      <c r="C1056" t="s">
        <v>264</v>
      </c>
      <c r="D1056" t="s">
        <v>265</v>
      </c>
      <c r="E1056">
        <v>7823</v>
      </c>
      <c r="F1056" t="s">
        <v>2735</v>
      </c>
      <c r="G1056" t="s">
        <v>266</v>
      </c>
      <c r="H1056" t="s">
        <v>288</v>
      </c>
      <c r="I1056">
        <v>292</v>
      </c>
    </row>
    <row r="1057" spans="1:10" x14ac:dyDescent="0.2">
      <c r="A1057" t="s">
        <v>394</v>
      </c>
      <c r="B1057" t="s">
        <v>327</v>
      </c>
      <c r="C1057" t="s">
        <v>264</v>
      </c>
      <c r="D1057" t="s">
        <v>265</v>
      </c>
      <c r="E1057">
        <v>7857</v>
      </c>
      <c r="F1057" t="s">
        <v>2736</v>
      </c>
      <c r="G1057" t="s">
        <v>270</v>
      </c>
      <c r="H1057" t="s">
        <v>288</v>
      </c>
      <c r="I1057">
        <v>71</v>
      </c>
    </row>
    <row r="1058" spans="1:10" x14ac:dyDescent="0.2">
      <c r="A1058" t="s">
        <v>394</v>
      </c>
      <c r="B1058" t="s">
        <v>327</v>
      </c>
      <c r="C1058" t="s">
        <v>264</v>
      </c>
      <c r="D1058" t="s">
        <v>265</v>
      </c>
      <c r="E1058">
        <v>7932</v>
      </c>
      <c r="F1058" t="s">
        <v>2737</v>
      </c>
      <c r="G1058" t="s">
        <v>270</v>
      </c>
      <c r="H1058" t="s">
        <v>288</v>
      </c>
      <c r="I1058">
        <v>126</v>
      </c>
    </row>
    <row r="1059" spans="1:10" x14ac:dyDescent="0.2">
      <c r="A1059" t="s">
        <v>394</v>
      </c>
      <c r="B1059" t="s">
        <v>327</v>
      </c>
      <c r="C1059" t="s">
        <v>264</v>
      </c>
      <c r="D1059" t="s">
        <v>265</v>
      </c>
      <c r="E1059">
        <v>7991</v>
      </c>
      <c r="F1059" t="s">
        <v>2738</v>
      </c>
      <c r="G1059" t="s">
        <v>274</v>
      </c>
      <c r="H1059" t="s">
        <v>287</v>
      </c>
      <c r="I1059">
        <v>96</v>
      </c>
    </row>
    <row r="1060" spans="1:10" x14ac:dyDescent="0.2">
      <c r="A1060" t="s">
        <v>394</v>
      </c>
      <c r="B1060" t="s">
        <v>327</v>
      </c>
      <c r="C1060" t="s">
        <v>264</v>
      </c>
      <c r="D1060" t="s">
        <v>265</v>
      </c>
      <c r="E1060">
        <v>7994</v>
      </c>
      <c r="F1060" t="s">
        <v>2739</v>
      </c>
      <c r="G1060" t="s">
        <v>266</v>
      </c>
      <c r="H1060" t="s">
        <v>288</v>
      </c>
      <c r="I1060" t="s">
        <v>297</v>
      </c>
      <c r="J1060" t="s">
        <v>4982</v>
      </c>
    </row>
    <row r="1061" spans="1:10" x14ac:dyDescent="0.2">
      <c r="A1061" t="s">
        <v>394</v>
      </c>
      <c r="B1061" t="s">
        <v>327</v>
      </c>
      <c r="C1061" t="s">
        <v>264</v>
      </c>
      <c r="D1061" t="s">
        <v>265</v>
      </c>
      <c r="E1061">
        <v>8119</v>
      </c>
      <c r="F1061" t="s">
        <v>2740</v>
      </c>
      <c r="G1061" t="s">
        <v>270</v>
      </c>
      <c r="H1061" t="s">
        <v>272</v>
      </c>
      <c r="I1061">
        <v>91</v>
      </c>
    </row>
    <row r="1062" spans="1:10" x14ac:dyDescent="0.2">
      <c r="A1062" t="s">
        <v>394</v>
      </c>
      <c r="B1062" t="s">
        <v>327</v>
      </c>
      <c r="C1062" t="s">
        <v>264</v>
      </c>
      <c r="D1062" t="s">
        <v>265</v>
      </c>
      <c r="E1062">
        <v>8144</v>
      </c>
      <c r="F1062" t="s">
        <v>2741</v>
      </c>
      <c r="G1062" t="s">
        <v>274</v>
      </c>
      <c r="H1062" t="s">
        <v>272</v>
      </c>
      <c r="I1062">
        <v>85</v>
      </c>
    </row>
    <row r="1063" spans="1:10" x14ac:dyDescent="0.2">
      <c r="A1063" t="s">
        <v>394</v>
      </c>
      <c r="B1063" t="s">
        <v>327</v>
      </c>
      <c r="C1063" t="s">
        <v>264</v>
      </c>
      <c r="D1063" t="s">
        <v>265</v>
      </c>
      <c r="E1063">
        <v>8150</v>
      </c>
      <c r="F1063" t="s">
        <v>1660</v>
      </c>
      <c r="G1063" t="s">
        <v>266</v>
      </c>
      <c r="H1063" t="s">
        <v>272</v>
      </c>
      <c r="I1063">
        <v>441</v>
      </c>
    </row>
    <row r="1064" spans="1:10" x14ac:dyDescent="0.2">
      <c r="A1064" t="s">
        <v>394</v>
      </c>
      <c r="B1064" t="s">
        <v>327</v>
      </c>
      <c r="C1064" t="s">
        <v>264</v>
      </c>
      <c r="D1064" t="s">
        <v>265</v>
      </c>
      <c r="E1064">
        <v>8158</v>
      </c>
      <c r="F1064" t="s">
        <v>2742</v>
      </c>
      <c r="G1064" t="s">
        <v>266</v>
      </c>
      <c r="H1064" t="s">
        <v>272</v>
      </c>
      <c r="I1064">
        <v>162</v>
      </c>
    </row>
    <row r="1065" spans="1:10" x14ac:dyDescent="0.2">
      <c r="A1065" t="s">
        <v>394</v>
      </c>
      <c r="B1065" t="s">
        <v>327</v>
      </c>
      <c r="C1065" t="s">
        <v>264</v>
      </c>
      <c r="D1065" t="s">
        <v>265</v>
      </c>
      <c r="E1065">
        <v>8230</v>
      </c>
      <c r="F1065" t="s">
        <v>2743</v>
      </c>
      <c r="G1065" t="s">
        <v>266</v>
      </c>
      <c r="H1065" t="s">
        <v>276</v>
      </c>
      <c r="I1065">
        <v>75</v>
      </c>
    </row>
    <row r="1066" spans="1:10" x14ac:dyDescent="0.2">
      <c r="A1066" t="s">
        <v>394</v>
      </c>
      <c r="B1066" t="s">
        <v>327</v>
      </c>
      <c r="C1066" t="s">
        <v>264</v>
      </c>
      <c r="D1066" t="s">
        <v>265</v>
      </c>
      <c r="E1066">
        <v>8336</v>
      </c>
      <c r="F1066" t="s">
        <v>2744</v>
      </c>
      <c r="G1066" t="s">
        <v>266</v>
      </c>
      <c r="H1066" t="s">
        <v>484</v>
      </c>
      <c r="I1066">
        <v>604</v>
      </c>
    </row>
    <row r="1067" spans="1:10" x14ac:dyDescent="0.2">
      <c r="A1067" t="s">
        <v>394</v>
      </c>
      <c r="B1067" t="s">
        <v>327</v>
      </c>
      <c r="C1067" t="s">
        <v>264</v>
      </c>
      <c r="D1067" t="s">
        <v>265</v>
      </c>
      <c r="E1067">
        <v>8337</v>
      </c>
      <c r="F1067" t="s">
        <v>2745</v>
      </c>
      <c r="G1067" t="s">
        <v>266</v>
      </c>
      <c r="H1067" t="s">
        <v>484</v>
      </c>
      <c r="I1067">
        <v>230</v>
      </c>
    </row>
    <row r="1068" spans="1:10" x14ac:dyDescent="0.2">
      <c r="A1068" t="s">
        <v>394</v>
      </c>
      <c r="B1068" t="s">
        <v>327</v>
      </c>
      <c r="C1068" t="s">
        <v>264</v>
      </c>
      <c r="D1068" t="s">
        <v>265</v>
      </c>
      <c r="E1068">
        <v>8338</v>
      </c>
      <c r="F1068" t="s">
        <v>2746</v>
      </c>
      <c r="G1068" t="s">
        <v>266</v>
      </c>
      <c r="H1068" t="s">
        <v>484</v>
      </c>
      <c r="I1068">
        <v>184</v>
      </c>
    </row>
    <row r="1069" spans="1:10" x14ac:dyDescent="0.2">
      <c r="A1069" t="s">
        <v>394</v>
      </c>
      <c r="B1069" t="s">
        <v>327</v>
      </c>
      <c r="C1069" t="s">
        <v>264</v>
      </c>
      <c r="D1069" t="s">
        <v>265</v>
      </c>
      <c r="E1069">
        <v>8354</v>
      </c>
      <c r="F1069" t="s">
        <v>2747</v>
      </c>
      <c r="G1069" t="s">
        <v>266</v>
      </c>
      <c r="H1069" t="s">
        <v>484</v>
      </c>
      <c r="I1069" t="s">
        <v>333</v>
      </c>
      <c r="J1069" t="s">
        <v>4990</v>
      </c>
    </row>
    <row r="1070" spans="1:10" x14ac:dyDescent="0.2">
      <c r="A1070" t="s">
        <v>394</v>
      </c>
      <c r="B1070" t="s">
        <v>327</v>
      </c>
      <c r="C1070" t="s">
        <v>273</v>
      </c>
      <c r="D1070" t="s">
        <v>265</v>
      </c>
      <c r="E1070">
        <v>8804</v>
      </c>
      <c r="F1070" t="s">
        <v>2748</v>
      </c>
      <c r="G1070" t="s">
        <v>266</v>
      </c>
      <c r="H1070" t="s">
        <v>292</v>
      </c>
      <c r="I1070" t="s">
        <v>333</v>
      </c>
      <c r="J1070" t="s">
        <v>4693</v>
      </c>
    </row>
    <row r="1071" spans="1:10" x14ac:dyDescent="0.2">
      <c r="A1071" t="s">
        <v>394</v>
      </c>
      <c r="B1071" t="s">
        <v>327</v>
      </c>
      <c r="C1071" t="s">
        <v>268</v>
      </c>
      <c r="D1071" t="s">
        <v>269</v>
      </c>
      <c r="E1071">
        <v>8944</v>
      </c>
      <c r="F1071" t="s">
        <v>2749</v>
      </c>
      <c r="G1071" t="s">
        <v>266</v>
      </c>
      <c r="H1071" t="s">
        <v>292</v>
      </c>
      <c r="I1071">
        <v>194</v>
      </c>
    </row>
    <row r="1072" spans="1:10" x14ac:dyDescent="0.2">
      <c r="A1072" t="s">
        <v>394</v>
      </c>
      <c r="B1072" t="s">
        <v>327</v>
      </c>
      <c r="C1072" t="s">
        <v>264</v>
      </c>
      <c r="D1072" t="s">
        <v>265</v>
      </c>
      <c r="E1072">
        <v>9010</v>
      </c>
      <c r="F1072" t="s">
        <v>2750</v>
      </c>
      <c r="G1072" t="s">
        <v>266</v>
      </c>
      <c r="H1072" t="s">
        <v>356</v>
      </c>
      <c r="I1072" t="s">
        <v>289</v>
      </c>
      <c r="J1072" t="s">
        <v>4991</v>
      </c>
    </row>
    <row r="1073" spans="1:10" x14ac:dyDescent="0.2">
      <c r="A1073" t="s">
        <v>394</v>
      </c>
      <c r="B1073" t="s">
        <v>327</v>
      </c>
      <c r="C1073" t="s">
        <v>264</v>
      </c>
      <c r="D1073" t="s">
        <v>265</v>
      </c>
      <c r="E1073">
        <v>9045</v>
      </c>
      <c r="F1073" t="s">
        <v>2751</v>
      </c>
      <c r="G1073" t="s">
        <v>266</v>
      </c>
      <c r="H1073" t="s">
        <v>356</v>
      </c>
      <c r="I1073" t="s">
        <v>283</v>
      </c>
      <c r="J1073" t="s">
        <v>4308</v>
      </c>
    </row>
    <row r="1074" spans="1:10" x14ac:dyDescent="0.2">
      <c r="A1074" t="s">
        <v>394</v>
      </c>
      <c r="B1074" t="s">
        <v>327</v>
      </c>
      <c r="C1074" t="s">
        <v>264</v>
      </c>
      <c r="D1074" t="s">
        <v>265</v>
      </c>
      <c r="E1074">
        <v>9075</v>
      </c>
      <c r="F1074" t="s">
        <v>2752</v>
      </c>
      <c r="G1074" t="s">
        <v>266</v>
      </c>
      <c r="H1074" t="s">
        <v>356</v>
      </c>
      <c r="I1074" t="s">
        <v>289</v>
      </c>
      <c r="J1074" t="s">
        <v>4467</v>
      </c>
    </row>
    <row r="1075" spans="1:10" x14ac:dyDescent="0.2">
      <c r="A1075" t="s">
        <v>394</v>
      </c>
      <c r="B1075" t="s">
        <v>327</v>
      </c>
      <c r="C1075" t="s">
        <v>264</v>
      </c>
      <c r="D1075" t="s">
        <v>265</v>
      </c>
      <c r="E1075">
        <v>9232</v>
      </c>
      <c r="F1075" t="s">
        <v>2753</v>
      </c>
      <c r="G1075" t="s">
        <v>266</v>
      </c>
      <c r="H1075" t="s">
        <v>486</v>
      </c>
      <c r="I1075">
        <v>326</v>
      </c>
    </row>
    <row r="1076" spans="1:10" x14ac:dyDescent="0.2">
      <c r="A1076" t="s">
        <v>394</v>
      </c>
      <c r="B1076" t="s">
        <v>327</v>
      </c>
      <c r="C1076" t="s">
        <v>264</v>
      </c>
      <c r="D1076" t="s">
        <v>265</v>
      </c>
      <c r="E1076">
        <v>9412</v>
      </c>
      <c r="F1076" t="s">
        <v>2754</v>
      </c>
      <c r="G1076" t="s">
        <v>266</v>
      </c>
      <c r="H1076" t="s">
        <v>277</v>
      </c>
      <c r="I1076" t="s">
        <v>297</v>
      </c>
      <c r="J1076" t="s">
        <v>4978</v>
      </c>
    </row>
    <row r="1077" spans="1:10" x14ac:dyDescent="0.2">
      <c r="A1077" t="s">
        <v>394</v>
      </c>
      <c r="B1077" t="s">
        <v>327</v>
      </c>
      <c r="C1077" t="s">
        <v>264</v>
      </c>
      <c r="D1077" t="s">
        <v>265</v>
      </c>
      <c r="E1077">
        <v>9413</v>
      </c>
      <c r="F1077" t="s">
        <v>2755</v>
      </c>
      <c r="G1077" t="s">
        <v>266</v>
      </c>
      <c r="H1077" t="s">
        <v>277</v>
      </c>
      <c r="I1077">
        <v>699</v>
      </c>
    </row>
    <row r="1078" spans="1:10" x14ac:dyDescent="0.2">
      <c r="A1078" t="s">
        <v>394</v>
      </c>
      <c r="B1078" t="s">
        <v>327</v>
      </c>
      <c r="C1078" t="s">
        <v>264</v>
      </c>
      <c r="D1078" t="s">
        <v>265</v>
      </c>
      <c r="E1078">
        <v>9519</v>
      </c>
      <c r="F1078" t="s">
        <v>2756</v>
      </c>
      <c r="G1078" t="s">
        <v>266</v>
      </c>
      <c r="H1078" t="s">
        <v>489</v>
      </c>
      <c r="I1078">
        <v>889</v>
      </c>
    </row>
    <row r="1079" spans="1:10" x14ac:dyDescent="0.2">
      <c r="A1079" t="s">
        <v>394</v>
      </c>
      <c r="B1079" t="s">
        <v>327</v>
      </c>
      <c r="C1079" t="s">
        <v>264</v>
      </c>
      <c r="D1079" t="s">
        <v>265</v>
      </c>
      <c r="E1079">
        <v>9619</v>
      </c>
      <c r="F1079" t="s">
        <v>2757</v>
      </c>
      <c r="G1079" t="s">
        <v>266</v>
      </c>
      <c r="H1079" t="s">
        <v>271</v>
      </c>
      <c r="I1079">
        <v>403</v>
      </c>
    </row>
    <row r="1080" spans="1:10" x14ac:dyDescent="0.2">
      <c r="A1080" t="s">
        <v>394</v>
      </c>
      <c r="B1080" t="s">
        <v>327</v>
      </c>
      <c r="C1080" t="s">
        <v>268</v>
      </c>
      <c r="D1080" t="s">
        <v>265</v>
      </c>
      <c r="E1080">
        <v>9641</v>
      </c>
      <c r="F1080" t="s">
        <v>2758</v>
      </c>
      <c r="G1080" t="s">
        <v>270</v>
      </c>
      <c r="H1080" t="s">
        <v>271</v>
      </c>
      <c r="I1080">
        <v>169</v>
      </c>
    </row>
    <row r="1081" spans="1:10" x14ac:dyDescent="0.2">
      <c r="A1081" t="s">
        <v>394</v>
      </c>
      <c r="B1081" t="s">
        <v>327</v>
      </c>
      <c r="C1081" t="s">
        <v>264</v>
      </c>
      <c r="D1081" t="s">
        <v>265</v>
      </c>
      <c r="E1081">
        <v>9671</v>
      </c>
      <c r="F1081" t="s">
        <v>558</v>
      </c>
      <c r="G1081" t="s">
        <v>266</v>
      </c>
      <c r="H1081" t="s">
        <v>271</v>
      </c>
      <c r="I1081">
        <v>376</v>
      </c>
    </row>
    <row r="1082" spans="1:10" x14ac:dyDescent="0.2">
      <c r="A1082" t="s">
        <v>394</v>
      </c>
      <c r="B1082" t="s">
        <v>327</v>
      </c>
      <c r="C1082" t="s">
        <v>264</v>
      </c>
      <c r="D1082" t="s">
        <v>265</v>
      </c>
      <c r="E1082">
        <v>9698</v>
      </c>
      <c r="F1082" t="s">
        <v>2759</v>
      </c>
      <c r="G1082" t="s">
        <v>270</v>
      </c>
      <c r="H1082" t="s">
        <v>277</v>
      </c>
      <c r="I1082">
        <v>158</v>
      </c>
    </row>
    <row r="1083" spans="1:10" x14ac:dyDescent="0.2">
      <c r="A1083" t="s">
        <v>394</v>
      </c>
      <c r="B1083" t="s">
        <v>327</v>
      </c>
      <c r="C1083" t="s">
        <v>268</v>
      </c>
      <c r="D1083" t="s">
        <v>265</v>
      </c>
      <c r="E1083">
        <v>9699</v>
      </c>
      <c r="F1083" t="s">
        <v>2760</v>
      </c>
      <c r="G1083" t="s">
        <v>266</v>
      </c>
      <c r="H1083" t="s">
        <v>271</v>
      </c>
      <c r="I1083">
        <v>877</v>
      </c>
    </row>
    <row r="1084" spans="1:10" x14ac:dyDescent="0.2">
      <c r="A1084" t="s">
        <v>394</v>
      </c>
      <c r="B1084" t="s">
        <v>327</v>
      </c>
      <c r="C1084" t="s">
        <v>273</v>
      </c>
      <c r="D1084" t="s">
        <v>265</v>
      </c>
      <c r="E1084">
        <v>9757</v>
      </c>
      <c r="F1084" t="s">
        <v>1754</v>
      </c>
      <c r="G1084" t="s">
        <v>266</v>
      </c>
      <c r="H1084" t="s">
        <v>271</v>
      </c>
      <c r="I1084" t="s">
        <v>297</v>
      </c>
      <c r="J1084" t="s">
        <v>4717</v>
      </c>
    </row>
    <row r="1085" spans="1:10" x14ac:dyDescent="0.2">
      <c r="A1085" t="s">
        <v>394</v>
      </c>
      <c r="B1085" t="s">
        <v>327</v>
      </c>
      <c r="C1085" t="s">
        <v>264</v>
      </c>
      <c r="D1085" t="s">
        <v>265</v>
      </c>
      <c r="E1085">
        <v>9763</v>
      </c>
      <c r="F1085" t="s">
        <v>2761</v>
      </c>
      <c r="G1085" t="s">
        <v>266</v>
      </c>
      <c r="H1085" t="s">
        <v>272</v>
      </c>
      <c r="I1085">
        <v>64</v>
      </c>
    </row>
    <row r="1086" spans="1:10" x14ac:dyDescent="0.2">
      <c r="A1086" t="s">
        <v>394</v>
      </c>
      <c r="B1086" t="s">
        <v>327</v>
      </c>
      <c r="C1086" t="s">
        <v>264</v>
      </c>
      <c r="D1086" t="s">
        <v>269</v>
      </c>
      <c r="E1086">
        <v>9943</v>
      </c>
      <c r="F1086" t="s">
        <v>2762</v>
      </c>
      <c r="G1086" t="s">
        <v>270</v>
      </c>
      <c r="H1086" t="s">
        <v>276</v>
      </c>
      <c r="I1086">
        <v>282</v>
      </c>
    </row>
    <row r="1087" spans="1:10" x14ac:dyDescent="0.2">
      <c r="A1087" t="s">
        <v>394</v>
      </c>
      <c r="B1087" t="s">
        <v>327</v>
      </c>
      <c r="C1087" t="s">
        <v>264</v>
      </c>
      <c r="D1087" t="s">
        <v>265</v>
      </c>
      <c r="E1087">
        <v>9987</v>
      </c>
      <c r="F1087" t="s">
        <v>2763</v>
      </c>
      <c r="G1087" t="s">
        <v>266</v>
      </c>
      <c r="H1087" t="s">
        <v>272</v>
      </c>
      <c r="I1087" t="s">
        <v>316</v>
      </c>
      <c r="J1087" t="s">
        <v>4992</v>
      </c>
    </row>
    <row r="1088" spans="1:10" x14ac:dyDescent="0.2">
      <c r="A1088" t="s">
        <v>394</v>
      </c>
      <c r="B1088" t="s">
        <v>1689</v>
      </c>
      <c r="C1088" t="s">
        <v>264</v>
      </c>
      <c r="D1088" t="s">
        <v>265</v>
      </c>
      <c r="E1088">
        <v>1726</v>
      </c>
      <c r="F1088" t="s">
        <v>2764</v>
      </c>
      <c r="G1088" t="s">
        <v>266</v>
      </c>
      <c r="H1088" t="s">
        <v>293</v>
      </c>
      <c r="I1088">
        <v>195</v>
      </c>
    </row>
    <row r="1089" spans="1:10" x14ac:dyDescent="0.2">
      <c r="A1089" t="s">
        <v>394</v>
      </c>
      <c r="B1089" t="s">
        <v>1689</v>
      </c>
      <c r="C1089" t="s">
        <v>264</v>
      </c>
      <c r="D1089" t="s">
        <v>265</v>
      </c>
      <c r="E1089">
        <v>1960</v>
      </c>
      <c r="F1089" t="s">
        <v>2765</v>
      </c>
      <c r="G1089" t="s">
        <v>274</v>
      </c>
      <c r="H1089" t="s">
        <v>293</v>
      </c>
      <c r="I1089">
        <v>144</v>
      </c>
    </row>
    <row r="1090" spans="1:10" x14ac:dyDescent="0.2">
      <c r="A1090" t="s">
        <v>394</v>
      </c>
      <c r="B1090" t="s">
        <v>1689</v>
      </c>
      <c r="C1090" t="s">
        <v>264</v>
      </c>
      <c r="D1090" t="s">
        <v>265</v>
      </c>
      <c r="E1090">
        <v>2425</v>
      </c>
      <c r="F1090" t="s">
        <v>2766</v>
      </c>
      <c r="G1090" t="s">
        <v>270</v>
      </c>
      <c r="H1090" t="s">
        <v>271</v>
      </c>
      <c r="I1090">
        <v>24</v>
      </c>
    </row>
    <row r="1091" spans="1:10" x14ac:dyDescent="0.2">
      <c r="A1091" t="s">
        <v>394</v>
      </c>
      <c r="B1091" t="s">
        <v>1689</v>
      </c>
      <c r="C1091" t="s">
        <v>264</v>
      </c>
      <c r="D1091" t="s">
        <v>265</v>
      </c>
      <c r="E1091">
        <v>3059</v>
      </c>
      <c r="F1091" t="s">
        <v>2767</v>
      </c>
      <c r="G1091" t="s">
        <v>274</v>
      </c>
      <c r="H1091" t="s">
        <v>276</v>
      </c>
      <c r="I1091">
        <v>48</v>
      </c>
    </row>
    <row r="1092" spans="1:10" x14ac:dyDescent="0.2">
      <c r="A1092" t="s">
        <v>394</v>
      </c>
      <c r="B1092" t="s">
        <v>1689</v>
      </c>
      <c r="C1092" t="s">
        <v>268</v>
      </c>
      <c r="D1092" t="s">
        <v>265</v>
      </c>
      <c r="E1092">
        <v>3636</v>
      </c>
      <c r="F1092" t="s">
        <v>2768</v>
      </c>
      <c r="G1092" t="s">
        <v>266</v>
      </c>
      <c r="H1092" t="s">
        <v>277</v>
      </c>
      <c r="I1092">
        <v>724</v>
      </c>
    </row>
    <row r="1093" spans="1:10" x14ac:dyDescent="0.2">
      <c r="A1093" t="s">
        <v>394</v>
      </c>
      <c r="B1093" t="s">
        <v>1689</v>
      </c>
      <c r="C1093" t="s">
        <v>264</v>
      </c>
      <c r="D1093" t="s">
        <v>265</v>
      </c>
      <c r="E1093">
        <v>4062</v>
      </c>
      <c r="F1093" t="s">
        <v>2769</v>
      </c>
      <c r="G1093" t="s">
        <v>266</v>
      </c>
      <c r="H1093" t="s">
        <v>291</v>
      </c>
      <c r="I1093" t="s">
        <v>333</v>
      </c>
      <c r="J1093" t="s">
        <v>4934</v>
      </c>
    </row>
    <row r="1094" spans="1:10" x14ac:dyDescent="0.2">
      <c r="A1094" t="s">
        <v>394</v>
      </c>
      <c r="B1094" t="s">
        <v>1689</v>
      </c>
      <c r="C1094" t="s">
        <v>264</v>
      </c>
      <c r="D1094" t="s">
        <v>269</v>
      </c>
      <c r="E1094">
        <v>4558</v>
      </c>
      <c r="F1094" t="s">
        <v>2770</v>
      </c>
      <c r="G1094" t="s">
        <v>270</v>
      </c>
      <c r="H1094" t="s">
        <v>311</v>
      </c>
      <c r="I1094">
        <v>26</v>
      </c>
    </row>
    <row r="1095" spans="1:10" x14ac:dyDescent="0.2">
      <c r="A1095" t="s">
        <v>394</v>
      </c>
      <c r="B1095" t="s">
        <v>1689</v>
      </c>
      <c r="C1095" t="s">
        <v>264</v>
      </c>
      <c r="D1095" t="s">
        <v>265</v>
      </c>
      <c r="E1095">
        <v>6060</v>
      </c>
      <c r="F1095" t="s">
        <v>2771</v>
      </c>
      <c r="G1095" t="s">
        <v>270</v>
      </c>
      <c r="H1095" t="s">
        <v>271</v>
      </c>
      <c r="I1095">
        <v>47</v>
      </c>
    </row>
    <row r="1096" spans="1:10" x14ac:dyDescent="0.2">
      <c r="A1096" t="s">
        <v>394</v>
      </c>
      <c r="B1096" t="s">
        <v>1689</v>
      </c>
      <c r="C1096" t="s">
        <v>264</v>
      </c>
      <c r="D1096" t="s">
        <v>265</v>
      </c>
      <c r="E1096">
        <v>6806</v>
      </c>
      <c r="F1096" t="s">
        <v>1747</v>
      </c>
      <c r="G1096" t="s">
        <v>266</v>
      </c>
      <c r="H1096" t="s">
        <v>291</v>
      </c>
      <c r="I1096" t="s">
        <v>283</v>
      </c>
      <c r="J1096" t="s">
        <v>4728</v>
      </c>
    </row>
    <row r="1097" spans="1:10" x14ac:dyDescent="0.2">
      <c r="A1097" t="s">
        <v>394</v>
      </c>
      <c r="B1097" t="s">
        <v>1689</v>
      </c>
      <c r="C1097" t="s">
        <v>264</v>
      </c>
      <c r="D1097" t="s">
        <v>265</v>
      </c>
      <c r="E1097">
        <v>8012</v>
      </c>
      <c r="F1097" t="s">
        <v>1752</v>
      </c>
      <c r="G1097" t="s">
        <v>266</v>
      </c>
      <c r="H1097" t="s">
        <v>272</v>
      </c>
      <c r="I1097" t="s">
        <v>289</v>
      </c>
      <c r="J1097" t="s">
        <v>4910</v>
      </c>
    </row>
    <row r="1098" spans="1:10" x14ac:dyDescent="0.2">
      <c r="A1098" t="s">
        <v>394</v>
      </c>
      <c r="B1098" t="s">
        <v>1689</v>
      </c>
      <c r="C1098" t="s">
        <v>264</v>
      </c>
      <c r="D1098" t="s">
        <v>265</v>
      </c>
      <c r="E1098">
        <v>8131</v>
      </c>
      <c r="F1098" t="s">
        <v>2772</v>
      </c>
      <c r="G1098" t="s">
        <v>266</v>
      </c>
      <c r="H1098" t="s">
        <v>272</v>
      </c>
      <c r="I1098">
        <v>719</v>
      </c>
    </row>
    <row r="1099" spans="1:10" x14ac:dyDescent="0.2">
      <c r="A1099" t="s">
        <v>394</v>
      </c>
      <c r="B1099" t="s">
        <v>1689</v>
      </c>
      <c r="C1099" t="s">
        <v>264</v>
      </c>
      <c r="D1099" t="s">
        <v>265</v>
      </c>
      <c r="E1099">
        <v>9049</v>
      </c>
      <c r="F1099" t="s">
        <v>2773</v>
      </c>
      <c r="G1099" t="s">
        <v>274</v>
      </c>
      <c r="H1099" t="s">
        <v>356</v>
      </c>
      <c r="I1099">
        <v>62</v>
      </c>
    </row>
    <row r="1100" spans="1:10" x14ac:dyDescent="0.2">
      <c r="A1100" t="s">
        <v>394</v>
      </c>
      <c r="B1100" t="s">
        <v>1689</v>
      </c>
      <c r="C1100" t="s">
        <v>264</v>
      </c>
      <c r="D1100" t="s">
        <v>265</v>
      </c>
      <c r="E1100">
        <v>9067</v>
      </c>
      <c r="F1100" t="s">
        <v>2774</v>
      </c>
      <c r="G1100" t="s">
        <v>266</v>
      </c>
      <c r="H1100" t="s">
        <v>356</v>
      </c>
      <c r="I1100">
        <v>103</v>
      </c>
    </row>
    <row r="1101" spans="1:10" x14ac:dyDescent="0.2">
      <c r="A1101" t="s">
        <v>394</v>
      </c>
      <c r="B1101" t="s">
        <v>1689</v>
      </c>
      <c r="C1101" t="s">
        <v>264</v>
      </c>
      <c r="D1101" t="s">
        <v>265</v>
      </c>
      <c r="E1101">
        <v>9130</v>
      </c>
      <c r="F1101" t="s">
        <v>2775</v>
      </c>
      <c r="G1101" t="s">
        <v>266</v>
      </c>
      <c r="H1101" t="s">
        <v>2193</v>
      </c>
      <c r="I1101">
        <v>76</v>
      </c>
    </row>
    <row r="1102" spans="1:10" x14ac:dyDescent="0.2">
      <c r="A1102" t="s">
        <v>394</v>
      </c>
      <c r="B1102" t="s">
        <v>1689</v>
      </c>
      <c r="C1102" t="s">
        <v>264</v>
      </c>
      <c r="D1102" t="s">
        <v>265</v>
      </c>
      <c r="E1102">
        <v>9706</v>
      </c>
      <c r="F1102" t="s">
        <v>2776</v>
      </c>
      <c r="G1102" t="s">
        <v>266</v>
      </c>
      <c r="H1102" t="s">
        <v>292</v>
      </c>
      <c r="I1102" t="s">
        <v>316</v>
      </c>
      <c r="J1102" t="s">
        <v>4688</v>
      </c>
    </row>
    <row r="1103" spans="1:10" x14ac:dyDescent="0.2">
      <c r="A1103" t="s">
        <v>394</v>
      </c>
      <c r="B1103" t="s">
        <v>1689</v>
      </c>
      <c r="C1103" t="s">
        <v>268</v>
      </c>
      <c r="D1103" t="s">
        <v>265</v>
      </c>
      <c r="E1103">
        <v>9746</v>
      </c>
      <c r="F1103" t="s">
        <v>2777</v>
      </c>
      <c r="G1103" t="s">
        <v>266</v>
      </c>
      <c r="H1103" t="s">
        <v>277</v>
      </c>
      <c r="I1103" t="s">
        <v>297</v>
      </c>
      <c r="J1103" t="s">
        <v>4691</v>
      </c>
    </row>
    <row r="1104" spans="1:10" x14ac:dyDescent="0.2">
      <c r="A1104" t="s">
        <v>394</v>
      </c>
      <c r="B1104" t="s">
        <v>1689</v>
      </c>
      <c r="C1104" t="s">
        <v>264</v>
      </c>
      <c r="D1104" t="s">
        <v>265</v>
      </c>
      <c r="E1104">
        <v>9928</v>
      </c>
      <c r="F1104" t="s">
        <v>2778</v>
      </c>
      <c r="G1104" t="s">
        <v>266</v>
      </c>
      <c r="H1104" t="s">
        <v>277</v>
      </c>
      <c r="I1104" t="s">
        <v>297</v>
      </c>
      <c r="J1104" t="s">
        <v>4719</v>
      </c>
    </row>
    <row r="1105" spans="1:10" x14ac:dyDescent="0.2">
      <c r="A1105" t="s">
        <v>394</v>
      </c>
      <c r="B1105" t="s">
        <v>263</v>
      </c>
      <c r="C1105" t="s">
        <v>264</v>
      </c>
      <c r="D1105" t="s">
        <v>269</v>
      </c>
      <c r="E1105">
        <v>3464</v>
      </c>
      <c r="F1105" t="s">
        <v>527</v>
      </c>
      <c r="G1105" t="s">
        <v>266</v>
      </c>
      <c r="H1105" t="s">
        <v>292</v>
      </c>
      <c r="I1105">
        <v>84</v>
      </c>
    </row>
    <row r="1106" spans="1:10" x14ac:dyDescent="0.2">
      <c r="A1106" t="s">
        <v>394</v>
      </c>
      <c r="B1106" t="s">
        <v>263</v>
      </c>
      <c r="C1106" t="s">
        <v>268</v>
      </c>
      <c r="D1106" t="s">
        <v>269</v>
      </c>
      <c r="E1106">
        <v>3712</v>
      </c>
      <c r="F1106" t="s">
        <v>2779</v>
      </c>
      <c r="G1106" t="s">
        <v>274</v>
      </c>
      <c r="H1106" t="s">
        <v>277</v>
      </c>
      <c r="I1106">
        <v>111</v>
      </c>
    </row>
    <row r="1107" spans="1:10" x14ac:dyDescent="0.2">
      <c r="A1107" t="s">
        <v>394</v>
      </c>
      <c r="B1107" t="s">
        <v>263</v>
      </c>
      <c r="C1107" t="s">
        <v>273</v>
      </c>
      <c r="D1107" t="s">
        <v>265</v>
      </c>
      <c r="E1107">
        <v>3744</v>
      </c>
      <c r="F1107" t="s">
        <v>2780</v>
      </c>
      <c r="G1107" t="s">
        <v>274</v>
      </c>
      <c r="H1107" t="s">
        <v>277</v>
      </c>
      <c r="I1107">
        <v>58</v>
      </c>
    </row>
    <row r="1108" spans="1:10" x14ac:dyDescent="0.2">
      <c r="A1108" t="s">
        <v>394</v>
      </c>
      <c r="B1108" t="s">
        <v>263</v>
      </c>
      <c r="C1108" t="s">
        <v>264</v>
      </c>
      <c r="D1108" t="s">
        <v>265</v>
      </c>
      <c r="E1108">
        <v>3929</v>
      </c>
      <c r="F1108" t="s">
        <v>2781</v>
      </c>
      <c r="G1108" t="s">
        <v>278</v>
      </c>
      <c r="H1108" t="s">
        <v>277</v>
      </c>
      <c r="I1108">
        <v>70</v>
      </c>
    </row>
    <row r="1109" spans="1:10" x14ac:dyDescent="0.2">
      <c r="A1109" t="s">
        <v>394</v>
      </c>
      <c r="B1109" t="s">
        <v>263</v>
      </c>
      <c r="C1109" t="s">
        <v>264</v>
      </c>
      <c r="D1109" t="s">
        <v>265</v>
      </c>
      <c r="E1109">
        <v>4485</v>
      </c>
      <c r="F1109" t="s">
        <v>1576</v>
      </c>
      <c r="G1109" t="s">
        <v>278</v>
      </c>
      <c r="H1109" t="s">
        <v>277</v>
      </c>
      <c r="I1109">
        <v>866</v>
      </c>
    </row>
    <row r="1110" spans="1:10" x14ac:dyDescent="0.2">
      <c r="A1110" t="s">
        <v>394</v>
      </c>
      <c r="B1110" t="s">
        <v>263</v>
      </c>
      <c r="C1110" t="s">
        <v>264</v>
      </c>
      <c r="D1110" t="s">
        <v>265</v>
      </c>
      <c r="E1110">
        <v>4689</v>
      </c>
      <c r="F1110" t="s">
        <v>472</v>
      </c>
      <c r="G1110" t="s">
        <v>266</v>
      </c>
      <c r="H1110" t="s">
        <v>277</v>
      </c>
      <c r="I1110" t="s">
        <v>475</v>
      </c>
      <c r="J1110" t="s">
        <v>4693</v>
      </c>
    </row>
    <row r="1111" spans="1:10" x14ac:dyDescent="0.2">
      <c r="A1111" t="s">
        <v>394</v>
      </c>
      <c r="B1111" t="s">
        <v>263</v>
      </c>
      <c r="C1111" t="s">
        <v>273</v>
      </c>
      <c r="D1111" t="s">
        <v>265</v>
      </c>
      <c r="E1111">
        <v>4722</v>
      </c>
      <c r="F1111" t="s">
        <v>2782</v>
      </c>
      <c r="G1111" t="s">
        <v>266</v>
      </c>
      <c r="H1111" t="s">
        <v>277</v>
      </c>
      <c r="I1111">
        <v>986</v>
      </c>
    </row>
    <row r="1112" spans="1:10" x14ac:dyDescent="0.2">
      <c r="A1112" t="s">
        <v>394</v>
      </c>
      <c r="B1112" t="s">
        <v>263</v>
      </c>
      <c r="C1112" t="s">
        <v>268</v>
      </c>
      <c r="D1112" t="s">
        <v>269</v>
      </c>
      <c r="E1112">
        <v>4809</v>
      </c>
      <c r="F1112" t="s">
        <v>2783</v>
      </c>
      <c r="G1112" t="s">
        <v>266</v>
      </c>
      <c r="H1112" t="s">
        <v>292</v>
      </c>
      <c r="I1112">
        <v>207</v>
      </c>
    </row>
    <row r="1113" spans="1:10" x14ac:dyDescent="0.2">
      <c r="A1113" t="s">
        <v>394</v>
      </c>
      <c r="B1113" t="s">
        <v>263</v>
      </c>
      <c r="C1113" t="s">
        <v>264</v>
      </c>
      <c r="D1113" t="s">
        <v>269</v>
      </c>
      <c r="E1113">
        <v>6678</v>
      </c>
      <c r="F1113" t="s">
        <v>396</v>
      </c>
      <c r="G1113" t="s">
        <v>266</v>
      </c>
      <c r="H1113" t="s">
        <v>291</v>
      </c>
      <c r="I1113">
        <v>182</v>
      </c>
    </row>
    <row r="1114" spans="1:10" x14ac:dyDescent="0.2">
      <c r="A1114" t="s">
        <v>394</v>
      </c>
      <c r="B1114" t="s">
        <v>263</v>
      </c>
      <c r="C1114" t="s">
        <v>264</v>
      </c>
      <c r="D1114" t="s">
        <v>265</v>
      </c>
      <c r="E1114">
        <v>6879</v>
      </c>
      <c r="F1114" t="s">
        <v>2784</v>
      </c>
      <c r="G1114" t="s">
        <v>266</v>
      </c>
      <c r="H1114" t="s">
        <v>277</v>
      </c>
      <c r="I1114">
        <v>264</v>
      </c>
    </row>
    <row r="1115" spans="1:10" x14ac:dyDescent="0.2">
      <c r="A1115" t="s">
        <v>394</v>
      </c>
      <c r="B1115" t="s">
        <v>263</v>
      </c>
      <c r="C1115" t="s">
        <v>264</v>
      </c>
      <c r="D1115" t="s">
        <v>265</v>
      </c>
      <c r="E1115">
        <v>7891</v>
      </c>
      <c r="F1115" t="s">
        <v>2785</v>
      </c>
      <c r="G1115" t="s">
        <v>270</v>
      </c>
      <c r="H1115" t="s">
        <v>279</v>
      </c>
      <c r="I1115">
        <v>41</v>
      </c>
    </row>
    <row r="1116" spans="1:10" x14ac:dyDescent="0.2">
      <c r="A1116" t="s">
        <v>394</v>
      </c>
      <c r="B1116" t="s">
        <v>263</v>
      </c>
      <c r="C1116" t="s">
        <v>264</v>
      </c>
      <c r="D1116" t="s">
        <v>265</v>
      </c>
      <c r="E1116">
        <v>8020</v>
      </c>
      <c r="F1116" t="s">
        <v>2786</v>
      </c>
      <c r="G1116" t="s">
        <v>266</v>
      </c>
      <c r="H1116" t="s">
        <v>272</v>
      </c>
      <c r="I1116" t="s">
        <v>297</v>
      </c>
      <c r="J1116" t="s">
        <v>4680</v>
      </c>
    </row>
    <row r="1117" spans="1:10" x14ac:dyDescent="0.2">
      <c r="A1117" t="s">
        <v>394</v>
      </c>
      <c r="B1117" t="s">
        <v>263</v>
      </c>
      <c r="C1117" t="s">
        <v>264</v>
      </c>
      <c r="D1117" t="s">
        <v>265</v>
      </c>
      <c r="E1117">
        <v>8522</v>
      </c>
      <c r="F1117" t="s">
        <v>2787</v>
      </c>
      <c r="G1117" t="s">
        <v>266</v>
      </c>
      <c r="H1117" t="s">
        <v>484</v>
      </c>
      <c r="I1117">
        <v>646</v>
      </c>
    </row>
    <row r="1118" spans="1:10" x14ac:dyDescent="0.2">
      <c r="A1118" t="s">
        <v>394</v>
      </c>
      <c r="B1118" t="s">
        <v>263</v>
      </c>
      <c r="C1118" t="s">
        <v>273</v>
      </c>
      <c r="D1118" t="s">
        <v>265</v>
      </c>
      <c r="E1118">
        <v>9543</v>
      </c>
      <c r="F1118" t="s">
        <v>1753</v>
      </c>
      <c r="G1118" t="s">
        <v>266</v>
      </c>
      <c r="H1118" t="s">
        <v>489</v>
      </c>
      <c r="I1118">
        <v>706</v>
      </c>
    </row>
    <row r="1119" spans="1:10" x14ac:dyDescent="0.2">
      <c r="A1119" t="s">
        <v>394</v>
      </c>
      <c r="B1119" t="s">
        <v>263</v>
      </c>
      <c r="C1119" t="s">
        <v>264</v>
      </c>
      <c r="D1119" t="s">
        <v>265</v>
      </c>
      <c r="E1119">
        <v>9684</v>
      </c>
      <c r="F1119" t="s">
        <v>2788</v>
      </c>
      <c r="G1119" t="s">
        <v>266</v>
      </c>
      <c r="H1119" t="s">
        <v>277</v>
      </c>
      <c r="I1119" t="s">
        <v>325</v>
      </c>
      <c r="J1119" t="s">
        <v>4993</v>
      </c>
    </row>
    <row r="1120" spans="1:10" x14ac:dyDescent="0.2">
      <c r="A1120" t="s">
        <v>398</v>
      </c>
      <c r="B1120" t="s">
        <v>2789</v>
      </c>
      <c r="C1120" t="s">
        <v>264</v>
      </c>
      <c r="D1120" t="s">
        <v>265</v>
      </c>
      <c r="E1120">
        <v>4626</v>
      </c>
      <c r="F1120" t="s">
        <v>401</v>
      </c>
      <c r="G1120" t="s">
        <v>266</v>
      </c>
      <c r="H1120" t="s">
        <v>279</v>
      </c>
      <c r="I1120" t="s">
        <v>297</v>
      </c>
      <c r="J1120" t="s">
        <v>4682</v>
      </c>
    </row>
    <row r="1121" spans="1:10" x14ac:dyDescent="0.2">
      <c r="A1121" t="s">
        <v>398</v>
      </c>
      <c r="B1121" t="s">
        <v>1977</v>
      </c>
      <c r="C1121" t="s">
        <v>264</v>
      </c>
      <c r="D1121" t="s">
        <v>265</v>
      </c>
      <c r="E1121">
        <v>1820</v>
      </c>
      <c r="F1121" t="s">
        <v>2790</v>
      </c>
      <c r="G1121" t="s">
        <v>266</v>
      </c>
      <c r="H1121" t="s">
        <v>293</v>
      </c>
      <c r="I1121" t="s">
        <v>297</v>
      </c>
      <c r="J1121" t="s">
        <v>4994</v>
      </c>
    </row>
    <row r="1122" spans="1:10" x14ac:dyDescent="0.2">
      <c r="A1122" t="s">
        <v>398</v>
      </c>
      <c r="B1122" t="s">
        <v>1915</v>
      </c>
      <c r="C1122" t="s">
        <v>273</v>
      </c>
      <c r="D1122" t="s">
        <v>269</v>
      </c>
      <c r="E1122">
        <v>6722</v>
      </c>
      <c r="F1122" t="s">
        <v>2791</v>
      </c>
      <c r="G1122" t="s">
        <v>270</v>
      </c>
      <c r="H1122" t="s">
        <v>291</v>
      </c>
      <c r="I1122">
        <v>100</v>
      </c>
    </row>
    <row r="1123" spans="1:10" x14ac:dyDescent="0.2">
      <c r="A1123" t="s">
        <v>398</v>
      </c>
      <c r="B1123" t="s">
        <v>1915</v>
      </c>
      <c r="C1123" t="s">
        <v>264</v>
      </c>
      <c r="D1123" t="s">
        <v>265</v>
      </c>
      <c r="E1123">
        <v>7012</v>
      </c>
      <c r="F1123" t="s">
        <v>2792</v>
      </c>
      <c r="G1123" t="s">
        <v>266</v>
      </c>
      <c r="H1123" t="s">
        <v>296</v>
      </c>
      <c r="I1123" t="s">
        <v>333</v>
      </c>
      <c r="J1123" t="s">
        <v>4995</v>
      </c>
    </row>
    <row r="1124" spans="1:10" x14ac:dyDescent="0.2">
      <c r="A1124" t="s">
        <v>398</v>
      </c>
      <c r="B1124" t="s">
        <v>1915</v>
      </c>
      <c r="C1124" t="s">
        <v>264</v>
      </c>
      <c r="D1124" t="s">
        <v>265</v>
      </c>
      <c r="E1124">
        <v>9856</v>
      </c>
      <c r="F1124" t="s">
        <v>2793</v>
      </c>
      <c r="G1124" t="s">
        <v>266</v>
      </c>
      <c r="H1124" t="s">
        <v>276</v>
      </c>
      <c r="I1124">
        <v>405</v>
      </c>
    </row>
    <row r="1125" spans="1:10" x14ac:dyDescent="0.2">
      <c r="A1125" t="s">
        <v>398</v>
      </c>
      <c r="B1125" t="s">
        <v>684</v>
      </c>
      <c r="C1125" t="s">
        <v>264</v>
      </c>
      <c r="D1125" t="s">
        <v>265</v>
      </c>
      <c r="E1125">
        <v>5355</v>
      </c>
      <c r="F1125" t="s">
        <v>2794</v>
      </c>
      <c r="G1125" t="s">
        <v>274</v>
      </c>
      <c r="H1125" t="s">
        <v>308</v>
      </c>
      <c r="I1125">
        <v>38</v>
      </c>
    </row>
    <row r="1126" spans="1:10" x14ac:dyDescent="0.2">
      <c r="A1126" t="s">
        <v>398</v>
      </c>
      <c r="B1126" t="s">
        <v>684</v>
      </c>
      <c r="C1126" t="s">
        <v>264</v>
      </c>
      <c r="D1126" t="s">
        <v>265</v>
      </c>
      <c r="E1126">
        <v>8173</v>
      </c>
      <c r="F1126" t="s">
        <v>2795</v>
      </c>
      <c r="G1126" t="s">
        <v>266</v>
      </c>
      <c r="H1126" t="s">
        <v>276</v>
      </c>
      <c r="I1126">
        <v>712</v>
      </c>
    </row>
    <row r="1127" spans="1:10" x14ac:dyDescent="0.2">
      <c r="A1127" t="s">
        <v>398</v>
      </c>
      <c r="B1127" t="s">
        <v>1481</v>
      </c>
      <c r="C1127" t="s">
        <v>264</v>
      </c>
      <c r="D1127" t="s">
        <v>265</v>
      </c>
      <c r="E1127">
        <v>4188</v>
      </c>
      <c r="F1127" t="s">
        <v>2796</v>
      </c>
      <c r="G1127" t="s">
        <v>266</v>
      </c>
      <c r="H1127" t="s">
        <v>279</v>
      </c>
      <c r="I1127" t="s">
        <v>545</v>
      </c>
      <c r="J1127" t="s">
        <v>4996</v>
      </c>
    </row>
    <row r="1128" spans="1:10" x14ac:dyDescent="0.2">
      <c r="A1128" t="s">
        <v>398</v>
      </c>
      <c r="B1128" t="s">
        <v>1481</v>
      </c>
      <c r="C1128" t="s">
        <v>273</v>
      </c>
      <c r="D1128" t="s">
        <v>265</v>
      </c>
      <c r="E1128">
        <v>4312</v>
      </c>
      <c r="F1128" t="s">
        <v>2797</v>
      </c>
      <c r="G1128" t="s">
        <v>266</v>
      </c>
      <c r="H1128" t="s">
        <v>277</v>
      </c>
      <c r="I1128">
        <v>299</v>
      </c>
    </row>
    <row r="1129" spans="1:10" x14ac:dyDescent="0.2">
      <c r="A1129" t="s">
        <v>398</v>
      </c>
      <c r="B1129" t="s">
        <v>1481</v>
      </c>
      <c r="C1129" t="s">
        <v>264</v>
      </c>
      <c r="D1129" t="s">
        <v>265</v>
      </c>
      <c r="E1129">
        <v>4624</v>
      </c>
      <c r="F1129" t="s">
        <v>2798</v>
      </c>
      <c r="G1129" t="s">
        <v>274</v>
      </c>
      <c r="H1129" t="s">
        <v>279</v>
      </c>
      <c r="I1129">
        <v>86</v>
      </c>
    </row>
    <row r="1130" spans="1:10" x14ac:dyDescent="0.2">
      <c r="A1130" t="s">
        <v>398</v>
      </c>
      <c r="B1130" t="s">
        <v>1481</v>
      </c>
      <c r="C1130" t="s">
        <v>275</v>
      </c>
      <c r="D1130" t="s">
        <v>265</v>
      </c>
      <c r="E1130">
        <v>4767</v>
      </c>
      <c r="F1130" t="s">
        <v>2799</v>
      </c>
      <c r="G1130" t="s">
        <v>266</v>
      </c>
      <c r="H1130" t="s">
        <v>271</v>
      </c>
      <c r="I1130">
        <v>270</v>
      </c>
    </row>
    <row r="1131" spans="1:10" x14ac:dyDescent="0.2">
      <c r="A1131" t="s">
        <v>398</v>
      </c>
      <c r="B1131" t="s">
        <v>1481</v>
      </c>
      <c r="C1131" t="s">
        <v>264</v>
      </c>
      <c r="D1131" t="s">
        <v>265</v>
      </c>
      <c r="E1131">
        <v>6709</v>
      </c>
      <c r="F1131" t="s">
        <v>2800</v>
      </c>
      <c r="G1131" t="s">
        <v>274</v>
      </c>
      <c r="H1131" t="s">
        <v>291</v>
      </c>
      <c r="I1131">
        <v>141</v>
      </c>
    </row>
    <row r="1132" spans="1:10" x14ac:dyDescent="0.2">
      <c r="A1132" t="s">
        <v>398</v>
      </c>
      <c r="B1132" t="s">
        <v>1481</v>
      </c>
      <c r="C1132" t="s">
        <v>264</v>
      </c>
      <c r="D1132" t="s">
        <v>265</v>
      </c>
      <c r="E1132">
        <v>7105</v>
      </c>
      <c r="F1132" t="s">
        <v>2801</v>
      </c>
      <c r="G1132" t="s">
        <v>266</v>
      </c>
      <c r="H1132" t="s">
        <v>296</v>
      </c>
      <c r="I1132" t="s">
        <v>297</v>
      </c>
      <c r="J1132" t="s">
        <v>4298</v>
      </c>
    </row>
    <row r="1133" spans="1:10" x14ac:dyDescent="0.2">
      <c r="A1133" t="s">
        <v>398</v>
      </c>
      <c r="B1133" t="s">
        <v>1481</v>
      </c>
      <c r="C1133" t="s">
        <v>264</v>
      </c>
      <c r="D1133" t="s">
        <v>265</v>
      </c>
      <c r="E1133">
        <v>8037</v>
      </c>
      <c r="F1133" t="s">
        <v>2802</v>
      </c>
      <c r="G1133" t="s">
        <v>266</v>
      </c>
      <c r="H1133" t="s">
        <v>272</v>
      </c>
      <c r="I1133">
        <v>457</v>
      </c>
    </row>
    <row r="1134" spans="1:10" x14ac:dyDescent="0.2">
      <c r="A1134" t="s">
        <v>398</v>
      </c>
      <c r="B1134" t="s">
        <v>1481</v>
      </c>
      <c r="C1134" t="s">
        <v>264</v>
      </c>
      <c r="D1134" t="s">
        <v>265</v>
      </c>
      <c r="E1134">
        <v>8038</v>
      </c>
      <c r="F1134" t="s">
        <v>2803</v>
      </c>
      <c r="G1134" t="s">
        <v>266</v>
      </c>
      <c r="H1134" t="s">
        <v>272</v>
      </c>
      <c r="I1134">
        <v>111</v>
      </c>
    </row>
    <row r="1135" spans="1:10" x14ac:dyDescent="0.2">
      <c r="A1135" t="s">
        <v>398</v>
      </c>
      <c r="B1135" t="s">
        <v>1481</v>
      </c>
      <c r="C1135" t="s">
        <v>264</v>
      </c>
      <c r="D1135" t="s">
        <v>265</v>
      </c>
      <c r="E1135">
        <v>8399</v>
      </c>
      <c r="F1135" t="s">
        <v>2804</v>
      </c>
      <c r="G1135" t="s">
        <v>266</v>
      </c>
      <c r="H1135" t="s">
        <v>484</v>
      </c>
      <c r="I1135">
        <v>485</v>
      </c>
    </row>
    <row r="1136" spans="1:10" x14ac:dyDescent="0.2">
      <c r="A1136" t="s">
        <v>398</v>
      </c>
      <c r="B1136" t="s">
        <v>1481</v>
      </c>
      <c r="C1136" t="s">
        <v>264</v>
      </c>
      <c r="D1136" t="s">
        <v>265</v>
      </c>
      <c r="E1136">
        <v>9956</v>
      </c>
      <c r="F1136" t="s">
        <v>2805</v>
      </c>
      <c r="G1136" t="s">
        <v>266</v>
      </c>
      <c r="H1136" t="s">
        <v>276</v>
      </c>
      <c r="I1136" t="s">
        <v>297</v>
      </c>
      <c r="J1136" t="s">
        <v>4541</v>
      </c>
    </row>
    <row r="1137" spans="1:10" x14ac:dyDescent="0.2">
      <c r="A1137" t="s">
        <v>398</v>
      </c>
      <c r="B1137" t="s">
        <v>1755</v>
      </c>
      <c r="C1137" t="s">
        <v>264</v>
      </c>
      <c r="D1137" t="s">
        <v>265</v>
      </c>
      <c r="E1137">
        <v>7011</v>
      </c>
      <c r="F1137" t="s">
        <v>1756</v>
      </c>
      <c r="G1137" t="s">
        <v>266</v>
      </c>
      <c r="H1137" t="s">
        <v>287</v>
      </c>
      <c r="I1137" t="s">
        <v>471</v>
      </c>
      <c r="J1137" t="s">
        <v>4642</v>
      </c>
    </row>
    <row r="1138" spans="1:10" x14ac:dyDescent="0.2">
      <c r="A1138" t="s">
        <v>398</v>
      </c>
      <c r="B1138" t="s">
        <v>686</v>
      </c>
      <c r="C1138" t="s">
        <v>264</v>
      </c>
      <c r="D1138" t="s">
        <v>265</v>
      </c>
      <c r="E1138">
        <v>1965</v>
      </c>
      <c r="F1138" t="s">
        <v>2806</v>
      </c>
      <c r="G1138" t="s">
        <v>274</v>
      </c>
      <c r="H1138" t="s">
        <v>293</v>
      </c>
      <c r="I1138">
        <v>207</v>
      </c>
    </row>
    <row r="1139" spans="1:10" x14ac:dyDescent="0.2">
      <c r="A1139" t="s">
        <v>398</v>
      </c>
      <c r="B1139" t="s">
        <v>686</v>
      </c>
      <c r="C1139" t="s">
        <v>264</v>
      </c>
      <c r="D1139" t="s">
        <v>265</v>
      </c>
      <c r="E1139">
        <v>2264</v>
      </c>
      <c r="F1139" t="s">
        <v>2807</v>
      </c>
      <c r="G1139" t="s">
        <v>266</v>
      </c>
      <c r="H1139" t="s">
        <v>267</v>
      </c>
      <c r="I1139" t="s">
        <v>289</v>
      </c>
      <c r="J1139" t="s">
        <v>4479</v>
      </c>
    </row>
    <row r="1140" spans="1:10" x14ac:dyDescent="0.2">
      <c r="A1140" t="s">
        <v>398</v>
      </c>
      <c r="B1140" t="s">
        <v>686</v>
      </c>
      <c r="C1140" t="s">
        <v>264</v>
      </c>
      <c r="D1140" t="s">
        <v>265</v>
      </c>
      <c r="E1140">
        <v>2269</v>
      </c>
      <c r="F1140" t="s">
        <v>2808</v>
      </c>
      <c r="G1140" t="s">
        <v>266</v>
      </c>
      <c r="H1140" t="s">
        <v>267</v>
      </c>
      <c r="I1140" t="s">
        <v>490</v>
      </c>
      <c r="J1140" t="s">
        <v>4351</v>
      </c>
    </row>
    <row r="1141" spans="1:10" x14ac:dyDescent="0.2">
      <c r="A1141" t="s">
        <v>398</v>
      </c>
      <c r="B1141" t="s">
        <v>686</v>
      </c>
      <c r="C1141" t="s">
        <v>264</v>
      </c>
      <c r="D1141" t="s">
        <v>265</v>
      </c>
      <c r="E1141">
        <v>3123</v>
      </c>
      <c r="F1141" t="s">
        <v>2809</v>
      </c>
      <c r="G1141" t="s">
        <v>274</v>
      </c>
      <c r="H1141" t="s">
        <v>299</v>
      </c>
      <c r="I1141">
        <v>65</v>
      </c>
    </row>
    <row r="1142" spans="1:10" x14ac:dyDescent="0.2">
      <c r="A1142" t="s">
        <v>398</v>
      </c>
      <c r="B1142" t="s">
        <v>686</v>
      </c>
      <c r="C1142" t="s">
        <v>264</v>
      </c>
      <c r="D1142" t="s">
        <v>265</v>
      </c>
      <c r="E1142">
        <v>4224</v>
      </c>
      <c r="F1142" t="s">
        <v>2810</v>
      </c>
      <c r="G1142" t="s">
        <v>274</v>
      </c>
      <c r="H1142" t="s">
        <v>279</v>
      </c>
      <c r="I1142">
        <v>90</v>
      </c>
    </row>
    <row r="1143" spans="1:10" x14ac:dyDescent="0.2">
      <c r="A1143" t="s">
        <v>398</v>
      </c>
      <c r="B1143" t="s">
        <v>686</v>
      </c>
      <c r="C1143" t="s">
        <v>264</v>
      </c>
      <c r="D1143" t="s">
        <v>265</v>
      </c>
      <c r="E1143">
        <v>4409</v>
      </c>
      <c r="F1143" t="s">
        <v>2811</v>
      </c>
      <c r="G1143" t="s">
        <v>274</v>
      </c>
      <c r="H1143" t="s">
        <v>279</v>
      </c>
      <c r="I1143">
        <v>113</v>
      </c>
    </row>
    <row r="1144" spans="1:10" x14ac:dyDescent="0.2">
      <c r="A1144" t="s">
        <v>398</v>
      </c>
      <c r="B1144" t="s">
        <v>686</v>
      </c>
      <c r="C1144" t="s">
        <v>264</v>
      </c>
      <c r="D1144" t="s">
        <v>265</v>
      </c>
      <c r="E1144">
        <v>5958</v>
      </c>
      <c r="F1144" t="s">
        <v>2812</v>
      </c>
      <c r="G1144" t="s">
        <v>266</v>
      </c>
      <c r="H1144" t="s">
        <v>281</v>
      </c>
      <c r="I1144">
        <v>70</v>
      </c>
    </row>
    <row r="1145" spans="1:10" x14ac:dyDescent="0.2">
      <c r="A1145" t="s">
        <v>398</v>
      </c>
      <c r="B1145" t="s">
        <v>686</v>
      </c>
      <c r="C1145" t="s">
        <v>264</v>
      </c>
      <c r="D1145" t="s">
        <v>265</v>
      </c>
      <c r="E1145">
        <v>6121</v>
      </c>
      <c r="F1145" t="s">
        <v>1763</v>
      </c>
      <c r="G1145" t="s">
        <v>266</v>
      </c>
      <c r="H1145" t="s">
        <v>287</v>
      </c>
      <c r="I1145">
        <v>92</v>
      </c>
    </row>
    <row r="1146" spans="1:10" x14ac:dyDescent="0.2">
      <c r="A1146" t="s">
        <v>398</v>
      </c>
      <c r="B1146" t="s">
        <v>686</v>
      </c>
      <c r="C1146" t="s">
        <v>264</v>
      </c>
      <c r="D1146" t="s">
        <v>265</v>
      </c>
      <c r="E1146">
        <v>6281</v>
      </c>
      <c r="F1146" t="s">
        <v>2813</v>
      </c>
      <c r="G1146" t="s">
        <v>270</v>
      </c>
      <c r="H1146" t="s">
        <v>287</v>
      </c>
      <c r="I1146">
        <v>108</v>
      </c>
    </row>
    <row r="1147" spans="1:10" x14ac:dyDescent="0.2">
      <c r="A1147" t="s">
        <v>398</v>
      </c>
      <c r="B1147" t="s">
        <v>686</v>
      </c>
      <c r="C1147" t="s">
        <v>264</v>
      </c>
      <c r="D1147" t="s">
        <v>265</v>
      </c>
      <c r="E1147">
        <v>6351</v>
      </c>
      <c r="F1147" t="s">
        <v>2814</v>
      </c>
      <c r="G1147" t="s">
        <v>266</v>
      </c>
      <c r="H1147" t="s">
        <v>287</v>
      </c>
      <c r="I1147">
        <v>535</v>
      </c>
    </row>
    <row r="1148" spans="1:10" x14ac:dyDescent="0.2">
      <c r="A1148" t="s">
        <v>398</v>
      </c>
      <c r="B1148" t="s">
        <v>686</v>
      </c>
      <c r="C1148" t="s">
        <v>264</v>
      </c>
      <c r="D1148" t="s">
        <v>265</v>
      </c>
      <c r="E1148">
        <v>6368</v>
      </c>
      <c r="F1148" t="s">
        <v>2815</v>
      </c>
      <c r="G1148" t="s">
        <v>266</v>
      </c>
      <c r="H1148" t="s">
        <v>287</v>
      </c>
      <c r="I1148">
        <v>872</v>
      </c>
    </row>
    <row r="1149" spans="1:10" x14ac:dyDescent="0.2">
      <c r="A1149" t="s">
        <v>398</v>
      </c>
      <c r="B1149" t="s">
        <v>686</v>
      </c>
      <c r="C1149" t="s">
        <v>264</v>
      </c>
      <c r="D1149" t="s">
        <v>265</v>
      </c>
      <c r="E1149">
        <v>6406</v>
      </c>
      <c r="F1149" t="s">
        <v>2816</v>
      </c>
      <c r="G1149" t="s">
        <v>266</v>
      </c>
      <c r="H1149" t="s">
        <v>287</v>
      </c>
      <c r="I1149" t="s">
        <v>297</v>
      </c>
      <c r="J1149" t="s">
        <v>4454</v>
      </c>
    </row>
    <row r="1150" spans="1:10" x14ac:dyDescent="0.2">
      <c r="A1150" t="s">
        <v>398</v>
      </c>
      <c r="B1150" t="s">
        <v>686</v>
      </c>
      <c r="C1150" t="s">
        <v>264</v>
      </c>
      <c r="D1150" t="s">
        <v>265</v>
      </c>
      <c r="E1150">
        <v>6647</v>
      </c>
      <c r="F1150" t="s">
        <v>2817</v>
      </c>
      <c r="G1150" t="s">
        <v>274</v>
      </c>
      <c r="H1150" t="s">
        <v>291</v>
      </c>
      <c r="I1150">
        <v>24</v>
      </c>
    </row>
    <row r="1151" spans="1:10" x14ac:dyDescent="0.2">
      <c r="A1151" t="s">
        <v>398</v>
      </c>
      <c r="B1151" t="s">
        <v>686</v>
      </c>
      <c r="C1151" t="s">
        <v>264</v>
      </c>
      <c r="D1151" t="s">
        <v>265</v>
      </c>
      <c r="E1151">
        <v>7414</v>
      </c>
      <c r="F1151" t="s">
        <v>2818</v>
      </c>
      <c r="G1151" t="s">
        <v>266</v>
      </c>
      <c r="H1151" t="s">
        <v>272</v>
      </c>
      <c r="I1151">
        <v>304</v>
      </c>
    </row>
    <row r="1152" spans="1:10" x14ac:dyDescent="0.2">
      <c r="A1152" t="s">
        <v>398</v>
      </c>
      <c r="B1152" t="s">
        <v>686</v>
      </c>
      <c r="C1152" t="s">
        <v>264</v>
      </c>
      <c r="D1152" t="s">
        <v>265</v>
      </c>
      <c r="E1152">
        <v>8007</v>
      </c>
      <c r="F1152" t="s">
        <v>2819</v>
      </c>
      <c r="G1152" t="s">
        <v>266</v>
      </c>
      <c r="H1152" t="s">
        <v>272</v>
      </c>
      <c r="I1152">
        <v>92</v>
      </c>
    </row>
    <row r="1153" spans="1:10" x14ac:dyDescent="0.2">
      <c r="A1153" t="s">
        <v>398</v>
      </c>
      <c r="B1153" t="s">
        <v>686</v>
      </c>
      <c r="C1153" t="s">
        <v>264</v>
      </c>
      <c r="D1153" t="s">
        <v>265</v>
      </c>
      <c r="E1153">
        <v>8086</v>
      </c>
      <c r="F1153" t="s">
        <v>2820</v>
      </c>
      <c r="G1153" t="s">
        <v>266</v>
      </c>
      <c r="H1153" t="s">
        <v>342</v>
      </c>
      <c r="I1153" t="s">
        <v>289</v>
      </c>
      <c r="J1153" t="s">
        <v>4997</v>
      </c>
    </row>
    <row r="1154" spans="1:10" x14ac:dyDescent="0.2">
      <c r="A1154" t="s">
        <v>398</v>
      </c>
      <c r="B1154" t="s">
        <v>686</v>
      </c>
      <c r="C1154" t="s">
        <v>264</v>
      </c>
      <c r="D1154" t="s">
        <v>265</v>
      </c>
      <c r="E1154">
        <v>8740</v>
      </c>
      <c r="F1154" t="s">
        <v>2821</v>
      </c>
      <c r="G1154" t="s">
        <v>270</v>
      </c>
      <c r="H1154" t="s">
        <v>1448</v>
      </c>
      <c r="I1154">
        <v>23</v>
      </c>
    </row>
    <row r="1155" spans="1:10" x14ac:dyDescent="0.2">
      <c r="A1155" t="s">
        <v>398</v>
      </c>
      <c r="B1155" t="s">
        <v>686</v>
      </c>
      <c r="C1155" t="s">
        <v>264</v>
      </c>
      <c r="D1155" t="s">
        <v>265</v>
      </c>
      <c r="E1155">
        <v>9306</v>
      </c>
      <c r="F1155" t="s">
        <v>2822</v>
      </c>
      <c r="G1155" t="s">
        <v>266</v>
      </c>
      <c r="H1155" t="s">
        <v>556</v>
      </c>
      <c r="I1155">
        <v>129</v>
      </c>
    </row>
    <row r="1156" spans="1:10" x14ac:dyDescent="0.2">
      <c r="A1156" t="s">
        <v>398</v>
      </c>
      <c r="B1156" t="s">
        <v>686</v>
      </c>
      <c r="C1156" t="s">
        <v>264</v>
      </c>
      <c r="D1156" t="s">
        <v>265</v>
      </c>
      <c r="E1156">
        <v>9967</v>
      </c>
      <c r="F1156" t="s">
        <v>2823</v>
      </c>
      <c r="G1156" t="s">
        <v>274</v>
      </c>
      <c r="H1156" t="s">
        <v>272</v>
      </c>
      <c r="I1156">
        <v>35</v>
      </c>
    </row>
    <row r="1157" spans="1:10" x14ac:dyDescent="0.2">
      <c r="A1157" t="s">
        <v>398</v>
      </c>
      <c r="B1157" t="s">
        <v>327</v>
      </c>
      <c r="C1157" t="s">
        <v>275</v>
      </c>
      <c r="D1157" t="s">
        <v>265</v>
      </c>
      <c r="E1157">
        <v>1382</v>
      </c>
      <c r="F1157" t="s">
        <v>2824</v>
      </c>
      <c r="G1157" t="s">
        <v>270</v>
      </c>
      <c r="H1157" t="s">
        <v>314</v>
      </c>
      <c r="I1157">
        <v>12</v>
      </c>
    </row>
    <row r="1158" spans="1:10" x14ac:dyDescent="0.2">
      <c r="A1158" t="s">
        <v>398</v>
      </c>
      <c r="B1158" t="s">
        <v>327</v>
      </c>
      <c r="C1158" t="s">
        <v>264</v>
      </c>
      <c r="D1158" t="s">
        <v>265</v>
      </c>
      <c r="E1158">
        <v>1420</v>
      </c>
      <c r="F1158" t="s">
        <v>2825</v>
      </c>
      <c r="G1158" t="s">
        <v>266</v>
      </c>
      <c r="H1158" t="s">
        <v>293</v>
      </c>
      <c r="I1158">
        <v>91</v>
      </c>
    </row>
    <row r="1159" spans="1:10" x14ac:dyDescent="0.2">
      <c r="A1159" t="s">
        <v>398</v>
      </c>
      <c r="B1159" t="s">
        <v>327</v>
      </c>
      <c r="C1159" t="s">
        <v>264</v>
      </c>
      <c r="D1159" t="s">
        <v>269</v>
      </c>
      <c r="E1159">
        <v>1787</v>
      </c>
      <c r="F1159" t="s">
        <v>2826</v>
      </c>
      <c r="G1159" t="s">
        <v>270</v>
      </c>
      <c r="H1159" t="s">
        <v>293</v>
      </c>
      <c r="I1159">
        <v>85</v>
      </c>
    </row>
    <row r="1160" spans="1:10" x14ac:dyDescent="0.2">
      <c r="A1160" t="s">
        <v>398</v>
      </c>
      <c r="B1160" t="s">
        <v>327</v>
      </c>
      <c r="C1160" t="s">
        <v>268</v>
      </c>
      <c r="D1160" t="s">
        <v>265</v>
      </c>
      <c r="E1160">
        <v>1789</v>
      </c>
      <c r="F1160" t="s">
        <v>2827</v>
      </c>
      <c r="G1160" t="s">
        <v>270</v>
      </c>
      <c r="H1160" t="s">
        <v>293</v>
      </c>
      <c r="I1160">
        <v>70</v>
      </c>
    </row>
    <row r="1161" spans="1:10" x14ac:dyDescent="0.2">
      <c r="A1161" t="s">
        <v>398</v>
      </c>
      <c r="B1161" t="s">
        <v>327</v>
      </c>
      <c r="C1161" t="s">
        <v>264</v>
      </c>
      <c r="D1161" t="s">
        <v>265</v>
      </c>
      <c r="E1161">
        <v>1852</v>
      </c>
      <c r="F1161" t="s">
        <v>2828</v>
      </c>
      <c r="G1161" t="s">
        <v>266</v>
      </c>
      <c r="H1161" t="s">
        <v>293</v>
      </c>
      <c r="I1161">
        <v>397</v>
      </c>
    </row>
    <row r="1162" spans="1:10" x14ac:dyDescent="0.2">
      <c r="A1162" t="s">
        <v>398</v>
      </c>
      <c r="B1162" t="s">
        <v>327</v>
      </c>
      <c r="C1162" t="s">
        <v>264</v>
      </c>
      <c r="D1162" t="s">
        <v>265</v>
      </c>
      <c r="E1162">
        <v>1870</v>
      </c>
      <c r="F1162" t="s">
        <v>2829</v>
      </c>
      <c r="G1162" t="s">
        <v>266</v>
      </c>
      <c r="H1162" t="s">
        <v>293</v>
      </c>
      <c r="I1162">
        <v>377</v>
      </c>
    </row>
    <row r="1163" spans="1:10" x14ac:dyDescent="0.2">
      <c r="A1163" t="s">
        <v>398</v>
      </c>
      <c r="B1163" t="s">
        <v>327</v>
      </c>
      <c r="C1163" t="s">
        <v>264</v>
      </c>
      <c r="D1163" t="s">
        <v>265</v>
      </c>
      <c r="E1163">
        <v>1966</v>
      </c>
      <c r="F1163" t="s">
        <v>2830</v>
      </c>
      <c r="G1163" t="s">
        <v>274</v>
      </c>
      <c r="H1163" t="s">
        <v>293</v>
      </c>
      <c r="I1163">
        <v>97</v>
      </c>
    </row>
    <row r="1164" spans="1:10" x14ac:dyDescent="0.2">
      <c r="A1164" t="s">
        <v>398</v>
      </c>
      <c r="B1164" t="s">
        <v>327</v>
      </c>
      <c r="C1164" t="s">
        <v>264</v>
      </c>
      <c r="D1164" t="s">
        <v>265</v>
      </c>
      <c r="E1164">
        <v>1980</v>
      </c>
      <c r="F1164" t="s">
        <v>2831</v>
      </c>
      <c r="G1164" t="s">
        <v>266</v>
      </c>
      <c r="H1164" t="s">
        <v>293</v>
      </c>
      <c r="I1164">
        <v>620</v>
      </c>
    </row>
    <row r="1165" spans="1:10" x14ac:dyDescent="0.2">
      <c r="A1165" t="s">
        <v>398</v>
      </c>
      <c r="B1165" t="s">
        <v>327</v>
      </c>
      <c r="C1165" t="s">
        <v>264</v>
      </c>
      <c r="D1165" t="s">
        <v>269</v>
      </c>
      <c r="E1165">
        <v>1981</v>
      </c>
      <c r="F1165" t="s">
        <v>2832</v>
      </c>
      <c r="G1165" t="s">
        <v>270</v>
      </c>
      <c r="H1165" t="s">
        <v>293</v>
      </c>
      <c r="I1165">
        <v>92</v>
      </c>
    </row>
    <row r="1166" spans="1:10" x14ac:dyDescent="0.2">
      <c r="A1166" t="s">
        <v>398</v>
      </c>
      <c r="B1166" t="s">
        <v>327</v>
      </c>
      <c r="C1166" t="s">
        <v>264</v>
      </c>
      <c r="D1166" t="s">
        <v>265</v>
      </c>
      <c r="E1166">
        <v>2001</v>
      </c>
      <c r="F1166" t="s">
        <v>2833</v>
      </c>
      <c r="G1166" t="s">
        <v>266</v>
      </c>
      <c r="H1166" t="s">
        <v>267</v>
      </c>
      <c r="I1166" t="s">
        <v>297</v>
      </c>
      <c r="J1166" t="s">
        <v>4998</v>
      </c>
    </row>
    <row r="1167" spans="1:10" x14ac:dyDescent="0.2">
      <c r="A1167" t="s">
        <v>398</v>
      </c>
      <c r="B1167" t="s">
        <v>327</v>
      </c>
      <c r="C1167" t="s">
        <v>264</v>
      </c>
      <c r="D1167" t="s">
        <v>265</v>
      </c>
      <c r="E1167">
        <v>2004</v>
      </c>
      <c r="F1167" t="s">
        <v>2834</v>
      </c>
      <c r="G1167" t="s">
        <v>266</v>
      </c>
      <c r="H1167" t="s">
        <v>267</v>
      </c>
      <c r="I1167" t="s">
        <v>297</v>
      </c>
      <c r="J1167" t="s">
        <v>4482</v>
      </c>
    </row>
    <row r="1168" spans="1:10" x14ac:dyDescent="0.2">
      <c r="A1168" t="s">
        <v>398</v>
      </c>
      <c r="B1168" t="s">
        <v>327</v>
      </c>
      <c r="C1168" t="s">
        <v>273</v>
      </c>
      <c r="D1168" t="s">
        <v>265</v>
      </c>
      <c r="E1168">
        <v>2009</v>
      </c>
      <c r="F1168" t="s">
        <v>2835</v>
      </c>
      <c r="G1168" t="s">
        <v>266</v>
      </c>
      <c r="H1168" t="s">
        <v>267</v>
      </c>
      <c r="I1168">
        <v>226</v>
      </c>
    </row>
    <row r="1169" spans="1:10" x14ac:dyDescent="0.2">
      <c r="A1169" t="s">
        <v>398</v>
      </c>
      <c r="B1169" t="s">
        <v>327</v>
      </c>
      <c r="C1169" t="s">
        <v>264</v>
      </c>
      <c r="D1169" t="s">
        <v>265</v>
      </c>
      <c r="E1169">
        <v>2060</v>
      </c>
      <c r="F1169" t="s">
        <v>2836</v>
      </c>
      <c r="G1169" t="s">
        <v>266</v>
      </c>
      <c r="H1169" t="s">
        <v>267</v>
      </c>
      <c r="I1169">
        <v>363</v>
      </c>
    </row>
    <row r="1170" spans="1:10" x14ac:dyDescent="0.2">
      <c r="A1170" t="s">
        <v>398</v>
      </c>
      <c r="B1170" t="s">
        <v>327</v>
      </c>
      <c r="C1170" t="s">
        <v>264</v>
      </c>
      <c r="D1170" t="s">
        <v>265</v>
      </c>
      <c r="E1170">
        <v>2146</v>
      </c>
      <c r="F1170" t="s">
        <v>2837</v>
      </c>
      <c r="G1170" t="s">
        <v>266</v>
      </c>
      <c r="H1170" t="s">
        <v>271</v>
      </c>
      <c r="I1170" t="s">
        <v>297</v>
      </c>
      <c r="J1170" t="s">
        <v>4483</v>
      </c>
    </row>
    <row r="1171" spans="1:10" x14ac:dyDescent="0.2">
      <c r="A1171" t="s">
        <v>398</v>
      </c>
      <c r="B1171" t="s">
        <v>327</v>
      </c>
      <c r="C1171" t="s">
        <v>268</v>
      </c>
      <c r="D1171" t="s">
        <v>269</v>
      </c>
      <c r="E1171">
        <v>2370</v>
      </c>
      <c r="F1171" t="s">
        <v>2838</v>
      </c>
      <c r="G1171" t="s">
        <v>278</v>
      </c>
      <c r="H1171" t="s">
        <v>271</v>
      </c>
      <c r="I1171">
        <v>78</v>
      </c>
    </row>
    <row r="1172" spans="1:10" x14ac:dyDescent="0.2">
      <c r="A1172" t="s">
        <v>398</v>
      </c>
      <c r="B1172" t="s">
        <v>327</v>
      </c>
      <c r="C1172" t="s">
        <v>264</v>
      </c>
      <c r="D1172" t="s">
        <v>265</v>
      </c>
      <c r="E1172">
        <v>2445</v>
      </c>
      <c r="F1172" t="s">
        <v>2839</v>
      </c>
      <c r="G1172" t="s">
        <v>266</v>
      </c>
      <c r="H1172" t="s">
        <v>271</v>
      </c>
      <c r="I1172">
        <v>315</v>
      </c>
    </row>
    <row r="1173" spans="1:10" x14ac:dyDescent="0.2">
      <c r="A1173" t="s">
        <v>398</v>
      </c>
      <c r="B1173" t="s">
        <v>327</v>
      </c>
      <c r="C1173" t="s">
        <v>268</v>
      </c>
      <c r="D1173" t="s">
        <v>265</v>
      </c>
      <c r="E1173">
        <v>2485</v>
      </c>
      <c r="F1173" t="s">
        <v>2840</v>
      </c>
      <c r="G1173" t="s">
        <v>266</v>
      </c>
      <c r="H1173" t="s">
        <v>271</v>
      </c>
      <c r="I1173">
        <v>134</v>
      </c>
    </row>
    <row r="1174" spans="1:10" x14ac:dyDescent="0.2">
      <c r="A1174" t="s">
        <v>398</v>
      </c>
      <c r="B1174" t="s">
        <v>327</v>
      </c>
      <c r="C1174" t="s">
        <v>264</v>
      </c>
      <c r="D1174" t="s">
        <v>265</v>
      </c>
      <c r="E1174">
        <v>2487</v>
      </c>
      <c r="F1174" t="s">
        <v>714</v>
      </c>
      <c r="G1174" t="s">
        <v>266</v>
      </c>
      <c r="H1174" t="s">
        <v>271</v>
      </c>
      <c r="I1174">
        <v>90</v>
      </c>
    </row>
    <row r="1175" spans="1:10" x14ac:dyDescent="0.2">
      <c r="A1175" t="s">
        <v>398</v>
      </c>
      <c r="B1175" t="s">
        <v>327</v>
      </c>
      <c r="C1175" t="s">
        <v>264</v>
      </c>
      <c r="D1175" t="s">
        <v>265</v>
      </c>
      <c r="E1175">
        <v>2613</v>
      </c>
      <c r="F1175" t="s">
        <v>2841</v>
      </c>
      <c r="G1175" t="s">
        <v>266</v>
      </c>
      <c r="H1175" t="s">
        <v>267</v>
      </c>
      <c r="I1175">
        <v>713</v>
      </c>
    </row>
    <row r="1176" spans="1:10" x14ac:dyDescent="0.2">
      <c r="A1176" t="s">
        <v>398</v>
      </c>
      <c r="B1176" t="s">
        <v>327</v>
      </c>
      <c r="C1176" t="s">
        <v>264</v>
      </c>
      <c r="D1176" t="s">
        <v>265</v>
      </c>
      <c r="E1176">
        <v>2754</v>
      </c>
      <c r="F1176" t="s">
        <v>2842</v>
      </c>
      <c r="G1176" t="s">
        <v>270</v>
      </c>
      <c r="H1176" t="s">
        <v>276</v>
      </c>
      <c r="I1176">
        <v>22</v>
      </c>
    </row>
    <row r="1177" spans="1:10" x14ac:dyDescent="0.2">
      <c r="A1177" t="s">
        <v>398</v>
      </c>
      <c r="B1177" t="s">
        <v>327</v>
      </c>
      <c r="C1177" t="s">
        <v>264</v>
      </c>
      <c r="D1177" t="s">
        <v>265</v>
      </c>
      <c r="E1177">
        <v>2905</v>
      </c>
      <c r="F1177" t="s">
        <v>2843</v>
      </c>
      <c r="G1177" t="s">
        <v>270</v>
      </c>
      <c r="H1177" t="s">
        <v>267</v>
      </c>
      <c r="I1177">
        <v>48</v>
      </c>
    </row>
    <row r="1178" spans="1:10" x14ac:dyDescent="0.2">
      <c r="A1178" t="s">
        <v>398</v>
      </c>
      <c r="B1178" t="s">
        <v>327</v>
      </c>
      <c r="C1178" t="s">
        <v>273</v>
      </c>
      <c r="D1178" t="s">
        <v>265</v>
      </c>
      <c r="E1178">
        <v>2914</v>
      </c>
      <c r="F1178" t="s">
        <v>646</v>
      </c>
      <c r="G1178" t="s">
        <v>266</v>
      </c>
      <c r="H1178" t="s">
        <v>267</v>
      </c>
      <c r="I1178" t="s">
        <v>4999</v>
      </c>
      <c r="J1178" t="s">
        <v>5000</v>
      </c>
    </row>
    <row r="1179" spans="1:10" x14ac:dyDescent="0.2">
      <c r="A1179" t="s">
        <v>398</v>
      </c>
      <c r="B1179" t="s">
        <v>327</v>
      </c>
      <c r="C1179" t="s">
        <v>264</v>
      </c>
      <c r="D1179" t="s">
        <v>265</v>
      </c>
      <c r="E1179">
        <v>3011</v>
      </c>
      <c r="F1179" t="s">
        <v>2844</v>
      </c>
      <c r="G1179" t="s">
        <v>274</v>
      </c>
      <c r="H1179" t="s">
        <v>276</v>
      </c>
      <c r="I1179">
        <v>27</v>
      </c>
    </row>
    <row r="1180" spans="1:10" x14ac:dyDescent="0.2">
      <c r="A1180" t="s">
        <v>398</v>
      </c>
      <c r="B1180" t="s">
        <v>327</v>
      </c>
      <c r="C1180" t="s">
        <v>275</v>
      </c>
      <c r="D1180" t="s">
        <v>265</v>
      </c>
      <c r="E1180">
        <v>3154</v>
      </c>
      <c r="F1180" t="s">
        <v>2845</v>
      </c>
      <c r="G1180" t="s">
        <v>266</v>
      </c>
      <c r="H1180" t="s">
        <v>272</v>
      </c>
      <c r="I1180">
        <v>191</v>
      </c>
    </row>
    <row r="1181" spans="1:10" x14ac:dyDescent="0.2">
      <c r="A1181" t="s">
        <v>398</v>
      </c>
      <c r="B1181" t="s">
        <v>327</v>
      </c>
      <c r="C1181" t="s">
        <v>264</v>
      </c>
      <c r="D1181" t="s">
        <v>265</v>
      </c>
      <c r="E1181">
        <v>3178</v>
      </c>
      <c r="F1181" t="s">
        <v>2846</v>
      </c>
      <c r="G1181" t="s">
        <v>266</v>
      </c>
      <c r="H1181" t="s">
        <v>276</v>
      </c>
      <c r="I1181">
        <v>454</v>
      </c>
    </row>
    <row r="1182" spans="1:10" x14ac:dyDescent="0.2">
      <c r="A1182" t="s">
        <v>398</v>
      </c>
      <c r="B1182" t="s">
        <v>327</v>
      </c>
      <c r="C1182" t="s">
        <v>264</v>
      </c>
      <c r="D1182" t="s">
        <v>269</v>
      </c>
      <c r="E1182">
        <v>3179</v>
      </c>
      <c r="F1182" t="s">
        <v>2847</v>
      </c>
      <c r="G1182" t="s">
        <v>266</v>
      </c>
      <c r="H1182" t="s">
        <v>276</v>
      </c>
      <c r="I1182">
        <v>292</v>
      </c>
    </row>
    <row r="1183" spans="1:10" x14ac:dyDescent="0.2">
      <c r="A1183" t="s">
        <v>398</v>
      </c>
      <c r="B1183" t="s">
        <v>327</v>
      </c>
      <c r="C1183" t="s">
        <v>264</v>
      </c>
      <c r="D1183" t="s">
        <v>265</v>
      </c>
      <c r="E1183">
        <v>3202</v>
      </c>
      <c r="F1183" t="s">
        <v>2848</v>
      </c>
      <c r="G1183" t="s">
        <v>266</v>
      </c>
      <c r="H1183" t="s">
        <v>299</v>
      </c>
      <c r="I1183">
        <v>26</v>
      </c>
    </row>
    <row r="1184" spans="1:10" x14ac:dyDescent="0.2">
      <c r="A1184" t="s">
        <v>398</v>
      </c>
      <c r="B1184" t="s">
        <v>327</v>
      </c>
      <c r="C1184" t="s">
        <v>264</v>
      </c>
      <c r="D1184" t="s">
        <v>265</v>
      </c>
      <c r="E1184">
        <v>3237</v>
      </c>
      <c r="F1184" t="s">
        <v>2849</v>
      </c>
      <c r="G1184" t="s">
        <v>278</v>
      </c>
      <c r="H1184" t="s">
        <v>292</v>
      </c>
      <c r="I1184">
        <v>48</v>
      </c>
    </row>
    <row r="1185" spans="1:10" x14ac:dyDescent="0.2">
      <c r="A1185" t="s">
        <v>398</v>
      </c>
      <c r="B1185" t="s">
        <v>327</v>
      </c>
      <c r="C1185" t="s">
        <v>275</v>
      </c>
      <c r="D1185" t="s">
        <v>265</v>
      </c>
      <c r="E1185">
        <v>3242</v>
      </c>
      <c r="F1185" t="s">
        <v>400</v>
      </c>
      <c r="G1185" t="s">
        <v>270</v>
      </c>
      <c r="H1185" t="s">
        <v>292</v>
      </c>
      <c r="I1185">
        <v>114</v>
      </c>
    </row>
    <row r="1186" spans="1:10" x14ac:dyDescent="0.2">
      <c r="A1186" t="s">
        <v>398</v>
      </c>
      <c r="B1186" t="s">
        <v>327</v>
      </c>
      <c r="C1186" t="s">
        <v>264</v>
      </c>
      <c r="D1186" t="s">
        <v>265</v>
      </c>
      <c r="E1186">
        <v>3417</v>
      </c>
      <c r="F1186" t="s">
        <v>2850</v>
      </c>
      <c r="G1186" t="s">
        <v>270</v>
      </c>
      <c r="H1186" t="s">
        <v>272</v>
      </c>
      <c r="I1186">
        <v>186</v>
      </c>
    </row>
    <row r="1187" spans="1:10" x14ac:dyDescent="0.2">
      <c r="A1187" t="s">
        <v>398</v>
      </c>
      <c r="B1187" t="s">
        <v>327</v>
      </c>
      <c r="C1187" t="s">
        <v>268</v>
      </c>
      <c r="D1187" t="s">
        <v>265</v>
      </c>
      <c r="E1187">
        <v>3563</v>
      </c>
      <c r="F1187" t="s">
        <v>2851</v>
      </c>
      <c r="G1187" t="s">
        <v>266</v>
      </c>
      <c r="H1187" t="s">
        <v>276</v>
      </c>
      <c r="I1187" t="s">
        <v>289</v>
      </c>
      <c r="J1187" t="s">
        <v>5001</v>
      </c>
    </row>
    <row r="1188" spans="1:10" x14ac:dyDescent="0.2">
      <c r="A1188" t="s">
        <v>398</v>
      </c>
      <c r="B1188" t="s">
        <v>327</v>
      </c>
      <c r="C1188" t="s">
        <v>264</v>
      </c>
      <c r="D1188" t="s">
        <v>265</v>
      </c>
      <c r="E1188">
        <v>3626</v>
      </c>
      <c r="F1188" t="s">
        <v>759</v>
      </c>
      <c r="G1188" t="s">
        <v>266</v>
      </c>
      <c r="H1188" t="s">
        <v>277</v>
      </c>
      <c r="I1188" t="s">
        <v>283</v>
      </c>
      <c r="J1188" t="s">
        <v>5002</v>
      </c>
    </row>
    <row r="1189" spans="1:10" x14ac:dyDescent="0.2">
      <c r="A1189" t="s">
        <v>398</v>
      </c>
      <c r="B1189" t="s">
        <v>327</v>
      </c>
      <c r="C1189" t="s">
        <v>275</v>
      </c>
      <c r="D1189" t="s">
        <v>265</v>
      </c>
      <c r="E1189">
        <v>3639</v>
      </c>
      <c r="F1189" t="s">
        <v>2852</v>
      </c>
      <c r="G1189" t="s">
        <v>266</v>
      </c>
      <c r="H1189" t="s">
        <v>277</v>
      </c>
      <c r="I1189">
        <v>32</v>
      </c>
    </row>
    <row r="1190" spans="1:10" x14ac:dyDescent="0.2">
      <c r="A1190" t="s">
        <v>398</v>
      </c>
      <c r="B1190" t="s">
        <v>327</v>
      </c>
      <c r="C1190" t="s">
        <v>273</v>
      </c>
      <c r="D1190" t="s">
        <v>265</v>
      </c>
      <c r="E1190">
        <v>3695</v>
      </c>
      <c r="F1190" t="s">
        <v>2853</v>
      </c>
      <c r="G1190" t="s">
        <v>278</v>
      </c>
      <c r="H1190" t="s">
        <v>277</v>
      </c>
      <c r="I1190">
        <v>31</v>
      </c>
    </row>
    <row r="1191" spans="1:10" x14ac:dyDescent="0.2">
      <c r="A1191" t="s">
        <v>398</v>
      </c>
      <c r="B1191" t="s">
        <v>327</v>
      </c>
      <c r="C1191" t="s">
        <v>264</v>
      </c>
      <c r="D1191" t="s">
        <v>265</v>
      </c>
      <c r="E1191">
        <v>3738</v>
      </c>
      <c r="F1191" t="s">
        <v>2854</v>
      </c>
      <c r="G1191" t="s">
        <v>266</v>
      </c>
      <c r="H1191" t="s">
        <v>277</v>
      </c>
      <c r="I1191" t="s">
        <v>297</v>
      </c>
      <c r="J1191" t="s">
        <v>5003</v>
      </c>
    </row>
    <row r="1192" spans="1:10" x14ac:dyDescent="0.2">
      <c r="A1192" t="s">
        <v>398</v>
      </c>
      <c r="B1192" t="s">
        <v>327</v>
      </c>
      <c r="C1192" t="s">
        <v>264</v>
      </c>
      <c r="D1192" t="s">
        <v>265</v>
      </c>
      <c r="E1192">
        <v>3796</v>
      </c>
      <c r="F1192" t="s">
        <v>1759</v>
      </c>
      <c r="G1192" t="s">
        <v>274</v>
      </c>
      <c r="H1192" t="s">
        <v>277</v>
      </c>
      <c r="I1192">
        <v>35</v>
      </c>
    </row>
    <row r="1193" spans="1:10" x14ac:dyDescent="0.2">
      <c r="A1193" t="s">
        <v>398</v>
      </c>
      <c r="B1193" t="s">
        <v>327</v>
      </c>
      <c r="C1193" t="s">
        <v>264</v>
      </c>
      <c r="D1193" t="s">
        <v>269</v>
      </c>
      <c r="E1193">
        <v>3834</v>
      </c>
      <c r="F1193" t="s">
        <v>2855</v>
      </c>
      <c r="G1193" t="s">
        <v>266</v>
      </c>
      <c r="H1193" t="s">
        <v>277</v>
      </c>
      <c r="I1193">
        <v>213</v>
      </c>
    </row>
    <row r="1194" spans="1:10" x14ac:dyDescent="0.2">
      <c r="A1194" t="s">
        <v>398</v>
      </c>
      <c r="B1194" t="s">
        <v>327</v>
      </c>
      <c r="C1194" t="s">
        <v>264</v>
      </c>
      <c r="D1194" t="s">
        <v>269</v>
      </c>
      <c r="E1194">
        <v>3837</v>
      </c>
      <c r="F1194" t="s">
        <v>716</v>
      </c>
      <c r="G1194" t="s">
        <v>266</v>
      </c>
      <c r="H1194" t="s">
        <v>277</v>
      </c>
      <c r="I1194">
        <v>226</v>
      </c>
    </row>
    <row r="1195" spans="1:10" x14ac:dyDescent="0.2">
      <c r="A1195" t="s">
        <v>398</v>
      </c>
      <c r="B1195" t="s">
        <v>327</v>
      </c>
      <c r="C1195" t="s">
        <v>268</v>
      </c>
      <c r="D1195" t="s">
        <v>265</v>
      </c>
      <c r="E1195">
        <v>3918</v>
      </c>
      <c r="F1195" t="s">
        <v>2856</v>
      </c>
      <c r="G1195" t="s">
        <v>266</v>
      </c>
      <c r="H1195" t="s">
        <v>277</v>
      </c>
      <c r="I1195">
        <v>96</v>
      </c>
    </row>
    <row r="1196" spans="1:10" x14ac:dyDescent="0.2">
      <c r="A1196" t="s">
        <v>398</v>
      </c>
      <c r="B1196" t="s">
        <v>327</v>
      </c>
      <c r="C1196" t="s">
        <v>273</v>
      </c>
      <c r="D1196" t="s">
        <v>265</v>
      </c>
      <c r="E1196">
        <v>3947</v>
      </c>
      <c r="F1196" t="s">
        <v>1757</v>
      </c>
      <c r="G1196" t="s">
        <v>274</v>
      </c>
      <c r="H1196" t="s">
        <v>300</v>
      </c>
      <c r="I1196">
        <v>151</v>
      </c>
    </row>
    <row r="1197" spans="1:10" x14ac:dyDescent="0.2">
      <c r="A1197" t="s">
        <v>398</v>
      </c>
      <c r="B1197" t="s">
        <v>327</v>
      </c>
      <c r="C1197" t="s">
        <v>264</v>
      </c>
      <c r="D1197" t="s">
        <v>265</v>
      </c>
      <c r="E1197">
        <v>3954</v>
      </c>
      <c r="F1197" t="s">
        <v>2857</v>
      </c>
      <c r="G1197" t="s">
        <v>270</v>
      </c>
      <c r="H1197" t="s">
        <v>300</v>
      </c>
      <c r="I1197">
        <v>88</v>
      </c>
    </row>
    <row r="1198" spans="1:10" x14ac:dyDescent="0.2">
      <c r="A1198" t="s">
        <v>398</v>
      </c>
      <c r="B1198" t="s">
        <v>327</v>
      </c>
      <c r="C1198" t="s">
        <v>264</v>
      </c>
      <c r="D1198" t="s">
        <v>265</v>
      </c>
      <c r="E1198">
        <v>4023</v>
      </c>
      <c r="F1198" t="s">
        <v>2858</v>
      </c>
      <c r="G1198" t="s">
        <v>266</v>
      </c>
      <c r="H1198" t="s">
        <v>279</v>
      </c>
      <c r="I1198" t="s">
        <v>297</v>
      </c>
      <c r="J1198" t="s">
        <v>4125</v>
      </c>
    </row>
    <row r="1199" spans="1:10" x14ac:dyDescent="0.2">
      <c r="A1199" t="s">
        <v>398</v>
      </c>
      <c r="B1199" t="s">
        <v>327</v>
      </c>
      <c r="C1199" t="s">
        <v>264</v>
      </c>
      <c r="D1199" t="s">
        <v>265</v>
      </c>
      <c r="E1199">
        <v>4326</v>
      </c>
      <c r="F1199" t="s">
        <v>1760</v>
      </c>
      <c r="G1199" t="s">
        <v>266</v>
      </c>
      <c r="H1199" t="s">
        <v>277</v>
      </c>
      <c r="I1199">
        <v>368</v>
      </c>
    </row>
    <row r="1200" spans="1:10" x14ac:dyDescent="0.2">
      <c r="A1200" t="s">
        <v>398</v>
      </c>
      <c r="B1200" t="s">
        <v>327</v>
      </c>
      <c r="C1200" t="s">
        <v>264</v>
      </c>
      <c r="D1200" t="s">
        <v>265</v>
      </c>
      <c r="E1200">
        <v>4350</v>
      </c>
      <c r="F1200" t="s">
        <v>2859</v>
      </c>
      <c r="G1200" t="s">
        <v>266</v>
      </c>
      <c r="H1200" t="s">
        <v>276</v>
      </c>
      <c r="I1200">
        <v>166</v>
      </c>
    </row>
    <row r="1201" spans="1:10" x14ac:dyDescent="0.2">
      <c r="A1201" t="s">
        <v>398</v>
      </c>
      <c r="B1201" t="s">
        <v>327</v>
      </c>
      <c r="C1201" t="s">
        <v>275</v>
      </c>
      <c r="D1201" t="s">
        <v>265</v>
      </c>
      <c r="E1201">
        <v>4385</v>
      </c>
      <c r="F1201" t="s">
        <v>713</v>
      </c>
      <c r="G1201" t="s">
        <v>278</v>
      </c>
      <c r="H1201" t="s">
        <v>277</v>
      </c>
      <c r="I1201" t="s">
        <v>333</v>
      </c>
      <c r="J1201" t="s">
        <v>4528</v>
      </c>
    </row>
    <row r="1202" spans="1:10" x14ac:dyDescent="0.2">
      <c r="A1202" t="s">
        <v>398</v>
      </c>
      <c r="B1202" t="s">
        <v>327</v>
      </c>
      <c r="C1202" t="s">
        <v>268</v>
      </c>
      <c r="D1202" t="s">
        <v>269</v>
      </c>
      <c r="E1202">
        <v>4424</v>
      </c>
      <c r="F1202" t="s">
        <v>2860</v>
      </c>
      <c r="G1202" t="s">
        <v>278</v>
      </c>
      <c r="H1202" t="s">
        <v>277</v>
      </c>
      <c r="I1202">
        <v>195</v>
      </c>
    </row>
    <row r="1203" spans="1:10" x14ac:dyDescent="0.2">
      <c r="A1203" t="s">
        <v>398</v>
      </c>
      <c r="B1203" t="s">
        <v>327</v>
      </c>
      <c r="C1203" t="s">
        <v>264</v>
      </c>
      <c r="D1203" t="s">
        <v>269</v>
      </c>
      <c r="E1203">
        <v>4436</v>
      </c>
      <c r="F1203" t="s">
        <v>2861</v>
      </c>
      <c r="G1203" t="s">
        <v>278</v>
      </c>
      <c r="H1203" t="s">
        <v>277</v>
      </c>
      <c r="I1203">
        <v>185</v>
      </c>
    </row>
    <row r="1204" spans="1:10" x14ac:dyDescent="0.2">
      <c r="A1204" t="s">
        <v>398</v>
      </c>
      <c r="B1204" t="s">
        <v>327</v>
      </c>
      <c r="C1204" t="s">
        <v>264</v>
      </c>
      <c r="D1204" t="s">
        <v>265</v>
      </c>
      <c r="E1204">
        <v>4543</v>
      </c>
      <c r="F1204" t="s">
        <v>2862</v>
      </c>
      <c r="G1204" t="s">
        <v>266</v>
      </c>
      <c r="H1204" t="s">
        <v>342</v>
      </c>
      <c r="I1204" t="s">
        <v>2863</v>
      </c>
      <c r="J1204" t="s">
        <v>5004</v>
      </c>
    </row>
    <row r="1205" spans="1:10" x14ac:dyDescent="0.2">
      <c r="A1205" t="s">
        <v>398</v>
      </c>
      <c r="B1205" t="s">
        <v>327</v>
      </c>
      <c r="C1205" t="s">
        <v>273</v>
      </c>
      <c r="D1205" t="s">
        <v>269</v>
      </c>
      <c r="E1205">
        <v>4551</v>
      </c>
      <c r="F1205" t="s">
        <v>1761</v>
      </c>
      <c r="G1205" t="s">
        <v>266</v>
      </c>
      <c r="H1205" t="s">
        <v>311</v>
      </c>
      <c r="I1205" t="s">
        <v>297</v>
      </c>
      <c r="J1205" t="s">
        <v>4971</v>
      </c>
    </row>
    <row r="1206" spans="1:10" x14ac:dyDescent="0.2">
      <c r="A1206" t="s">
        <v>398</v>
      </c>
      <c r="B1206" t="s">
        <v>327</v>
      </c>
      <c r="C1206" t="s">
        <v>273</v>
      </c>
      <c r="D1206" t="s">
        <v>269</v>
      </c>
      <c r="E1206">
        <v>4582</v>
      </c>
      <c r="F1206" t="s">
        <v>2864</v>
      </c>
      <c r="G1206" t="s">
        <v>270</v>
      </c>
      <c r="H1206" t="s">
        <v>311</v>
      </c>
      <c r="I1206">
        <v>165</v>
      </c>
    </row>
    <row r="1207" spans="1:10" x14ac:dyDescent="0.2">
      <c r="A1207" t="s">
        <v>398</v>
      </c>
      <c r="B1207" t="s">
        <v>327</v>
      </c>
      <c r="C1207" t="s">
        <v>273</v>
      </c>
      <c r="D1207" t="s">
        <v>265</v>
      </c>
      <c r="E1207">
        <v>4641</v>
      </c>
      <c r="F1207" t="s">
        <v>1762</v>
      </c>
      <c r="G1207" t="s">
        <v>266</v>
      </c>
      <c r="H1207" t="s">
        <v>271</v>
      </c>
      <c r="I1207">
        <v>481</v>
      </c>
    </row>
    <row r="1208" spans="1:10" x14ac:dyDescent="0.2">
      <c r="A1208" t="s">
        <v>398</v>
      </c>
      <c r="B1208" t="s">
        <v>327</v>
      </c>
      <c r="C1208" t="s">
        <v>264</v>
      </c>
      <c r="D1208" t="s">
        <v>265</v>
      </c>
      <c r="E1208">
        <v>4678</v>
      </c>
      <c r="F1208" t="s">
        <v>2865</v>
      </c>
      <c r="G1208" t="s">
        <v>266</v>
      </c>
      <c r="H1208" t="s">
        <v>271</v>
      </c>
      <c r="I1208">
        <v>31</v>
      </c>
    </row>
    <row r="1209" spans="1:10" x14ac:dyDescent="0.2">
      <c r="A1209" t="s">
        <v>398</v>
      </c>
      <c r="B1209" t="s">
        <v>327</v>
      </c>
      <c r="C1209" t="s">
        <v>264</v>
      </c>
      <c r="D1209" t="s">
        <v>269</v>
      </c>
      <c r="E1209">
        <v>4690</v>
      </c>
      <c r="F1209" t="s">
        <v>2866</v>
      </c>
      <c r="G1209" t="s">
        <v>270</v>
      </c>
      <c r="H1209" t="s">
        <v>271</v>
      </c>
      <c r="I1209">
        <v>33</v>
      </c>
    </row>
    <row r="1210" spans="1:10" x14ac:dyDescent="0.2">
      <c r="A1210" t="s">
        <v>398</v>
      </c>
      <c r="B1210" t="s">
        <v>327</v>
      </c>
      <c r="C1210" t="s">
        <v>264</v>
      </c>
      <c r="D1210" t="s">
        <v>269</v>
      </c>
      <c r="E1210">
        <v>4770</v>
      </c>
      <c r="F1210" t="s">
        <v>2867</v>
      </c>
      <c r="G1210" t="s">
        <v>274</v>
      </c>
      <c r="H1210" t="s">
        <v>277</v>
      </c>
      <c r="I1210">
        <v>25</v>
      </c>
    </row>
    <row r="1211" spans="1:10" x14ac:dyDescent="0.2">
      <c r="A1211" t="s">
        <v>398</v>
      </c>
      <c r="B1211" t="s">
        <v>327</v>
      </c>
      <c r="C1211" t="s">
        <v>264</v>
      </c>
      <c r="D1211" t="s">
        <v>265</v>
      </c>
      <c r="E1211">
        <v>4792</v>
      </c>
      <c r="F1211" t="s">
        <v>2868</v>
      </c>
      <c r="G1211" t="s">
        <v>266</v>
      </c>
      <c r="H1211" t="s">
        <v>271</v>
      </c>
      <c r="I1211">
        <v>320</v>
      </c>
    </row>
    <row r="1212" spans="1:10" x14ac:dyDescent="0.2">
      <c r="A1212" t="s">
        <v>398</v>
      </c>
      <c r="B1212" t="s">
        <v>327</v>
      </c>
      <c r="C1212" t="s">
        <v>264</v>
      </c>
      <c r="D1212" t="s">
        <v>265</v>
      </c>
      <c r="E1212">
        <v>4828</v>
      </c>
      <c r="F1212" t="s">
        <v>2869</v>
      </c>
      <c r="G1212" t="s">
        <v>266</v>
      </c>
      <c r="H1212" t="s">
        <v>277</v>
      </c>
      <c r="I1212">
        <v>211</v>
      </c>
    </row>
    <row r="1213" spans="1:10" x14ac:dyDescent="0.2">
      <c r="A1213" t="s">
        <v>398</v>
      </c>
      <c r="B1213" t="s">
        <v>327</v>
      </c>
      <c r="C1213" t="s">
        <v>264</v>
      </c>
      <c r="D1213" t="s">
        <v>265</v>
      </c>
      <c r="E1213">
        <v>4901</v>
      </c>
      <c r="F1213" t="s">
        <v>2870</v>
      </c>
      <c r="G1213" t="s">
        <v>266</v>
      </c>
      <c r="H1213" t="s">
        <v>279</v>
      </c>
      <c r="I1213" t="s">
        <v>2863</v>
      </c>
      <c r="J1213" t="s">
        <v>4302</v>
      </c>
    </row>
    <row r="1214" spans="1:10" x14ac:dyDescent="0.2">
      <c r="A1214" t="s">
        <v>398</v>
      </c>
      <c r="B1214" t="s">
        <v>327</v>
      </c>
      <c r="C1214" t="s">
        <v>273</v>
      </c>
      <c r="D1214" t="s">
        <v>265</v>
      </c>
      <c r="E1214">
        <v>4911</v>
      </c>
      <c r="F1214" t="s">
        <v>2872</v>
      </c>
      <c r="G1214" t="s">
        <v>266</v>
      </c>
      <c r="H1214" t="s">
        <v>279</v>
      </c>
      <c r="I1214" t="s">
        <v>2871</v>
      </c>
      <c r="J1214" t="s">
        <v>4614</v>
      </c>
    </row>
    <row r="1215" spans="1:10" x14ac:dyDescent="0.2">
      <c r="A1215" t="s">
        <v>398</v>
      </c>
      <c r="B1215" t="s">
        <v>327</v>
      </c>
      <c r="C1215" t="s">
        <v>264</v>
      </c>
      <c r="D1215" t="s">
        <v>269</v>
      </c>
      <c r="E1215">
        <v>4952</v>
      </c>
      <c r="F1215" t="s">
        <v>2873</v>
      </c>
      <c r="G1215" t="s">
        <v>274</v>
      </c>
      <c r="H1215" t="s">
        <v>279</v>
      </c>
      <c r="I1215">
        <v>78</v>
      </c>
    </row>
    <row r="1216" spans="1:10" x14ac:dyDescent="0.2">
      <c r="A1216" t="s">
        <v>398</v>
      </c>
      <c r="B1216" t="s">
        <v>327</v>
      </c>
      <c r="C1216" t="s">
        <v>264</v>
      </c>
      <c r="D1216" t="s">
        <v>265</v>
      </c>
      <c r="E1216">
        <v>5011</v>
      </c>
      <c r="F1216" t="s">
        <v>2874</v>
      </c>
      <c r="G1216" t="s">
        <v>266</v>
      </c>
      <c r="H1216" t="s">
        <v>1442</v>
      </c>
      <c r="I1216">
        <v>428</v>
      </c>
    </row>
    <row r="1217" spans="1:10" x14ac:dyDescent="0.2">
      <c r="A1217" t="s">
        <v>398</v>
      </c>
      <c r="B1217" t="s">
        <v>327</v>
      </c>
      <c r="C1217" t="s">
        <v>264</v>
      </c>
      <c r="D1217" t="s">
        <v>265</v>
      </c>
      <c r="E1217">
        <v>5199</v>
      </c>
      <c r="F1217" t="s">
        <v>2875</v>
      </c>
      <c r="G1217" t="s">
        <v>270</v>
      </c>
      <c r="H1217" t="s">
        <v>535</v>
      </c>
      <c r="I1217">
        <v>26</v>
      </c>
    </row>
    <row r="1218" spans="1:10" x14ac:dyDescent="0.2">
      <c r="A1218" t="s">
        <v>398</v>
      </c>
      <c r="B1218" t="s">
        <v>327</v>
      </c>
      <c r="C1218" t="s">
        <v>264</v>
      </c>
      <c r="D1218" t="s">
        <v>265</v>
      </c>
      <c r="E1218">
        <v>5351</v>
      </c>
      <c r="F1218" t="s">
        <v>2876</v>
      </c>
      <c r="G1218" t="s">
        <v>266</v>
      </c>
      <c r="H1218" t="s">
        <v>308</v>
      </c>
      <c r="I1218">
        <v>308</v>
      </c>
    </row>
    <row r="1219" spans="1:10" x14ac:dyDescent="0.2">
      <c r="A1219" t="s">
        <v>398</v>
      </c>
      <c r="B1219" t="s">
        <v>327</v>
      </c>
      <c r="C1219" t="s">
        <v>264</v>
      </c>
      <c r="D1219" t="s">
        <v>265</v>
      </c>
      <c r="E1219">
        <v>5406</v>
      </c>
      <c r="F1219" t="s">
        <v>4484</v>
      </c>
      <c r="G1219" t="s">
        <v>266</v>
      </c>
      <c r="H1219" t="s">
        <v>726</v>
      </c>
      <c r="I1219" t="s">
        <v>289</v>
      </c>
      <c r="J1219" t="s">
        <v>5005</v>
      </c>
    </row>
    <row r="1220" spans="1:10" x14ac:dyDescent="0.2">
      <c r="A1220" t="s">
        <v>398</v>
      </c>
      <c r="B1220" t="s">
        <v>327</v>
      </c>
      <c r="C1220" t="s">
        <v>264</v>
      </c>
      <c r="D1220" t="s">
        <v>265</v>
      </c>
      <c r="E1220">
        <v>6039</v>
      </c>
      <c r="F1220" t="s">
        <v>2877</v>
      </c>
      <c r="G1220" t="s">
        <v>278</v>
      </c>
      <c r="H1220" t="s">
        <v>271</v>
      </c>
      <c r="I1220">
        <v>58</v>
      </c>
    </row>
    <row r="1221" spans="1:10" x14ac:dyDescent="0.2">
      <c r="A1221" t="s">
        <v>398</v>
      </c>
      <c r="B1221" t="s">
        <v>327</v>
      </c>
      <c r="C1221" t="s">
        <v>264</v>
      </c>
      <c r="D1221" t="s">
        <v>265</v>
      </c>
      <c r="E1221">
        <v>6140</v>
      </c>
      <c r="F1221" t="s">
        <v>2878</v>
      </c>
      <c r="G1221" t="s">
        <v>266</v>
      </c>
      <c r="H1221" t="s">
        <v>287</v>
      </c>
      <c r="I1221">
        <v>358</v>
      </c>
    </row>
    <row r="1222" spans="1:10" x14ac:dyDescent="0.2">
      <c r="A1222" t="s">
        <v>398</v>
      </c>
      <c r="B1222" t="s">
        <v>327</v>
      </c>
      <c r="C1222" t="s">
        <v>268</v>
      </c>
      <c r="D1222" t="s">
        <v>265</v>
      </c>
      <c r="E1222">
        <v>6176</v>
      </c>
      <c r="F1222" t="s">
        <v>2879</v>
      </c>
      <c r="G1222" t="s">
        <v>278</v>
      </c>
      <c r="H1222" t="s">
        <v>271</v>
      </c>
      <c r="I1222">
        <v>113</v>
      </c>
    </row>
    <row r="1223" spans="1:10" x14ac:dyDescent="0.2">
      <c r="A1223" t="s">
        <v>398</v>
      </c>
      <c r="B1223" t="s">
        <v>327</v>
      </c>
      <c r="C1223" t="s">
        <v>273</v>
      </c>
      <c r="D1223" t="s">
        <v>269</v>
      </c>
      <c r="E1223">
        <v>6180</v>
      </c>
      <c r="F1223" t="s">
        <v>4485</v>
      </c>
      <c r="G1223" t="s">
        <v>278</v>
      </c>
      <c r="H1223" t="s">
        <v>271</v>
      </c>
      <c r="I1223">
        <v>28</v>
      </c>
    </row>
    <row r="1224" spans="1:10" x14ac:dyDescent="0.2">
      <c r="A1224" t="s">
        <v>398</v>
      </c>
      <c r="B1224" t="s">
        <v>327</v>
      </c>
      <c r="C1224" t="s">
        <v>264</v>
      </c>
      <c r="D1224" t="s">
        <v>269</v>
      </c>
      <c r="E1224">
        <v>6248</v>
      </c>
      <c r="F1224" t="s">
        <v>2880</v>
      </c>
      <c r="G1224" t="s">
        <v>270</v>
      </c>
      <c r="H1224" t="s">
        <v>287</v>
      </c>
      <c r="I1224">
        <v>21</v>
      </c>
    </row>
    <row r="1225" spans="1:10" x14ac:dyDescent="0.2">
      <c r="A1225" t="s">
        <v>398</v>
      </c>
      <c r="B1225" t="s">
        <v>327</v>
      </c>
      <c r="C1225" t="s">
        <v>264</v>
      </c>
      <c r="D1225" t="s">
        <v>265</v>
      </c>
      <c r="E1225">
        <v>6249</v>
      </c>
      <c r="F1225" t="s">
        <v>2881</v>
      </c>
      <c r="G1225" t="s">
        <v>270</v>
      </c>
      <c r="H1225" t="s">
        <v>287</v>
      </c>
      <c r="I1225">
        <v>187</v>
      </c>
    </row>
    <row r="1226" spans="1:10" x14ac:dyDescent="0.2">
      <c r="A1226" t="s">
        <v>398</v>
      </c>
      <c r="B1226" t="s">
        <v>327</v>
      </c>
      <c r="C1226" t="s">
        <v>264</v>
      </c>
      <c r="D1226" t="s">
        <v>265</v>
      </c>
      <c r="E1226">
        <v>6315</v>
      </c>
      <c r="F1226" t="s">
        <v>2882</v>
      </c>
      <c r="G1226" t="s">
        <v>266</v>
      </c>
      <c r="H1226" t="s">
        <v>287</v>
      </c>
      <c r="I1226">
        <v>284</v>
      </c>
    </row>
    <row r="1227" spans="1:10" x14ac:dyDescent="0.2">
      <c r="A1227" t="s">
        <v>398</v>
      </c>
      <c r="B1227" t="s">
        <v>327</v>
      </c>
      <c r="C1227" t="s">
        <v>264</v>
      </c>
      <c r="D1227" t="s">
        <v>265</v>
      </c>
      <c r="E1227">
        <v>6339</v>
      </c>
      <c r="F1227" t="s">
        <v>4486</v>
      </c>
      <c r="G1227" t="s">
        <v>266</v>
      </c>
      <c r="H1227" t="s">
        <v>287</v>
      </c>
      <c r="I1227">
        <v>549</v>
      </c>
    </row>
    <row r="1228" spans="1:10" x14ac:dyDescent="0.2">
      <c r="A1228" t="s">
        <v>398</v>
      </c>
      <c r="B1228" t="s">
        <v>327</v>
      </c>
      <c r="C1228" t="s">
        <v>264</v>
      </c>
      <c r="D1228" t="s">
        <v>265</v>
      </c>
      <c r="E1228">
        <v>6371</v>
      </c>
      <c r="F1228" t="s">
        <v>2883</v>
      </c>
      <c r="G1228" t="s">
        <v>266</v>
      </c>
      <c r="H1228" t="s">
        <v>287</v>
      </c>
      <c r="I1228" t="s">
        <v>297</v>
      </c>
      <c r="J1228" t="s">
        <v>4674</v>
      </c>
    </row>
    <row r="1229" spans="1:10" x14ac:dyDescent="0.2">
      <c r="A1229" t="s">
        <v>398</v>
      </c>
      <c r="B1229" t="s">
        <v>327</v>
      </c>
      <c r="C1229" t="s">
        <v>264</v>
      </c>
      <c r="D1229" t="s">
        <v>265</v>
      </c>
      <c r="E1229">
        <v>6379</v>
      </c>
      <c r="F1229" t="s">
        <v>2884</v>
      </c>
      <c r="G1229" t="s">
        <v>266</v>
      </c>
      <c r="H1229" t="s">
        <v>293</v>
      </c>
      <c r="I1229">
        <v>737</v>
      </c>
    </row>
    <row r="1230" spans="1:10" x14ac:dyDescent="0.2">
      <c r="A1230" t="s">
        <v>398</v>
      </c>
      <c r="B1230" t="s">
        <v>327</v>
      </c>
      <c r="C1230" t="s">
        <v>273</v>
      </c>
      <c r="D1230" t="s">
        <v>265</v>
      </c>
      <c r="E1230">
        <v>6411</v>
      </c>
      <c r="F1230" t="s">
        <v>2885</v>
      </c>
      <c r="G1230" t="s">
        <v>270</v>
      </c>
      <c r="H1230" t="s">
        <v>287</v>
      </c>
      <c r="I1230">
        <v>355</v>
      </c>
    </row>
    <row r="1231" spans="1:10" x14ac:dyDescent="0.2">
      <c r="A1231" t="s">
        <v>398</v>
      </c>
      <c r="B1231" t="s">
        <v>327</v>
      </c>
      <c r="C1231" t="s">
        <v>264</v>
      </c>
      <c r="D1231" t="s">
        <v>265</v>
      </c>
      <c r="E1231">
        <v>6490</v>
      </c>
      <c r="F1231" t="s">
        <v>2886</v>
      </c>
      <c r="G1231" t="s">
        <v>266</v>
      </c>
      <c r="H1231" t="s">
        <v>287</v>
      </c>
      <c r="I1231">
        <v>395</v>
      </c>
    </row>
    <row r="1232" spans="1:10" x14ac:dyDescent="0.2">
      <c r="A1232" t="s">
        <v>398</v>
      </c>
      <c r="B1232" t="s">
        <v>327</v>
      </c>
      <c r="C1232" t="s">
        <v>264</v>
      </c>
      <c r="D1232" t="s">
        <v>269</v>
      </c>
      <c r="E1232">
        <v>6541</v>
      </c>
      <c r="F1232" t="s">
        <v>2887</v>
      </c>
      <c r="G1232" t="s">
        <v>266</v>
      </c>
      <c r="H1232" t="s">
        <v>271</v>
      </c>
      <c r="I1232">
        <v>417</v>
      </c>
    </row>
    <row r="1233" spans="1:10" x14ac:dyDescent="0.2">
      <c r="A1233" t="s">
        <v>398</v>
      </c>
      <c r="B1233" t="s">
        <v>327</v>
      </c>
      <c r="C1233" t="s">
        <v>264</v>
      </c>
      <c r="D1233" t="s">
        <v>265</v>
      </c>
      <c r="E1233">
        <v>6569</v>
      </c>
      <c r="F1233" t="s">
        <v>402</v>
      </c>
      <c r="G1233" t="s">
        <v>266</v>
      </c>
      <c r="H1233" t="s">
        <v>271</v>
      </c>
      <c r="I1233">
        <v>393</v>
      </c>
    </row>
    <row r="1234" spans="1:10" x14ac:dyDescent="0.2">
      <c r="A1234" t="s">
        <v>398</v>
      </c>
      <c r="B1234" t="s">
        <v>327</v>
      </c>
      <c r="C1234" t="s">
        <v>264</v>
      </c>
      <c r="D1234" t="s">
        <v>265</v>
      </c>
      <c r="E1234">
        <v>6588</v>
      </c>
      <c r="F1234" t="s">
        <v>2888</v>
      </c>
      <c r="G1234" t="s">
        <v>266</v>
      </c>
      <c r="H1234" t="s">
        <v>291</v>
      </c>
      <c r="I1234" t="s">
        <v>289</v>
      </c>
      <c r="J1234" t="s">
        <v>4424</v>
      </c>
    </row>
    <row r="1235" spans="1:10" x14ac:dyDescent="0.2">
      <c r="A1235" t="s">
        <v>398</v>
      </c>
      <c r="B1235" t="s">
        <v>327</v>
      </c>
      <c r="C1235" t="s">
        <v>264</v>
      </c>
      <c r="D1235" t="s">
        <v>265</v>
      </c>
      <c r="E1235">
        <v>6590</v>
      </c>
      <c r="F1235" t="s">
        <v>2889</v>
      </c>
      <c r="G1235" t="s">
        <v>266</v>
      </c>
      <c r="H1235" t="s">
        <v>291</v>
      </c>
      <c r="I1235">
        <v>235</v>
      </c>
    </row>
    <row r="1236" spans="1:10" x14ac:dyDescent="0.2">
      <c r="A1236" t="s">
        <v>398</v>
      </c>
      <c r="B1236" t="s">
        <v>327</v>
      </c>
      <c r="C1236" t="s">
        <v>264</v>
      </c>
      <c r="D1236" t="s">
        <v>265</v>
      </c>
      <c r="E1236">
        <v>6639</v>
      </c>
      <c r="F1236" t="s">
        <v>2890</v>
      </c>
      <c r="G1236" t="s">
        <v>274</v>
      </c>
      <c r="H1236" t="s">
        <v>291</v>
      </c>
      <c r="I1236">
        <v>119</v>
      </c>
    </row>
    <row r="1237" spans="1:10" x14ac:dyDescent="0.2">
      <c r="A1237" t="s">
        <v>398</v>
      </c>
      <c r="B1237" t="s">
        <v>327</v>
      </c>
      <c r="C1237" t="s">
        <v>264</v>
      </c>
      <c r="D1237" t="s">
        <v>265</v>
      </c>
      <c r="E1237">
        <v>6643</v>
      </c>
      <c r="F1237" t="s">
        <v>2891</v>
      </c>
      <c r="G1237" t="s">
        <v>274</v>
      </c>
      <c r="H1237" t="s">
        <v>291</v>
      </c>
      <c r="I1237">
        <v>104</v>
      </c>
    </row>
    <row r="1238" spans="1:10" x14ac:dyDescent="0.2">
      <c r="A1238" t="s">
        <v>398</v>
      </c>
      <c r="B1238" t="s">
        <v>327</v>
      </c>
      <c r="C1238" t="s">
        <v>264</v>
      </c>
      <c r="D1238" t="s">
        <v>265</v>
      </c>
      <c r="E1238">
        <v>6674</v>
      </c>
      <c r="F1238" t="s">
        <v>2892</v>
      </c>
      <c r="G1238" t="s">
        <v>266</v>
      </c>
      <c r="H1238" t="s">
        <v>291</v>
      </c>
      <c r="I1238" t="s">
        <v>297</v>
      </c>
      <c r="J1238" t="s">
        <v>5006</v>
      </c>
    </row>
    <row r="1239" spans="1:10" x14ac:dyDescent="0.2">
      <c r="A1239" t="s">
        <v>398</v>
      </c>
      <c r="B1239" t="s">
        <v>327</v>
      </c>
      <c r="C1239" t="s">
        <v>264</v>
      </c>
      <c r="D1239" t="s">
        <v>265</v>
      </c>
      <c r="E1239">
        <v>6707</v>
      </c>
      <c r="F1239" t="s">
        <v>2893</v>
      </c>
      <c r="G1239" t="s">
        <v>266</v>
      </c>
      <c r="H1239" t="s">
        <v>291</v>
      </c>
      <c r="I1239">
        <v>823</v>
      </c>
    </row>
    <row r="1240" spans="1:10" x14ac:dyDescent="0.2">
      <c r="A1240" t="s">
        <v>398</v>
      </c>
      <c r="B1240" t="s">
        <v>327</v>
      </c>
      <c r="C1240" t="s">
        <v>264</v>
      </c>
      <c r="D1240" t="s">
        <v>265</v>
      </c>
      <c r="E1240">
        <v>6715</v>
      </c>
      <c r="F1240" t="s">
        <v>1471</v>
      </c>
      <c r="G1240" t="s">
        <v>266</v>
      </c>
      <c r="H1240" t="s">
        <v>291</v>
      </c>
      <c r="I1240">
        <v>80</v>
      </c>
    </row>
    <row r="1241" spans="1:10" x14ac:dyDescent="0.2">
      <c r="A1241" t="s">
        <v>398</v>
      </c>
      <c r="B1241" t="s">
        <v>327</v>
      </c>
      <c r="C1241" t="s">
        <v>264</v>
      </c>
      <c r="D1241" t="s">
        <v>265</v>
      </c>
      <c r="E1241">
        <v>6750</v>
      </c>
      <c r="F1241" t="s">
        <v>2894</v>
      </c>
      <c r="G1241" t="s">
        <v>266</v>
      </c>
      <c r="H1241" t="s">
        <v>291</v>
      </c>
      <c r="I1241" t="s">
        <v>289</v>
      </c>
      <c r="J1241" t="s">
        <v>4608</v>
      </c>
    </row>
    <row r="1242" spans="1:10" x14ac:dyDescent="0.2">
      <c r="A1242" t="s">
        <v>398</v>
      </c>
      <c r="B1242" t="s">
        <v>327</v>
      </c>
      <c r="C1242" t="s">
        <v>264</v>
      </c>
      <c r="D1242" t="s">
        <v>265</v>
      </c>
      <c r="E1242">
        <v>6771</v>
      </c>
      <c r="F1242" t="s">
        <v>2895</v>
      </c>
      <c r="G1242" t="s">
        <v>266</v>
      </c>
      <c r="H1242" t="s">
        <v>291</v>
      </c>
      <c r="I1242">
        <v>88</v>
      </c>
    </row>
    <row r="1243" spans="1:10" x14ac:dyDescent="0.2">
      <c r="A1243" t="s">
        <v>398</v>
      </c>
      <c r="B1243" t="s">
        <v>327</v>
      </c>
      <c r="C1243" t="s">
        <v>264</v>
      </c>
      <c r="D1243" t="s">
        <v>265</v>
      </c>
      <c r="E1243">
        <v>6787</v>
      </c>
      <c r="F1243" t="s">
        <v>2896</v>
      </c>
      <c r="G1243" t="s">
        <v>270</v>
      </c>
      <c r="H1243" t="s">
        <v>291</v>
      </c>
      <c r="I1243">
        <v>602</v>
      </c>
    </row>
    <row r="1244" spans="1:10" x14ac:dyDescent="0.2">
      <c r="A1244" t="s">
        <v>398</v>
      </c>
      <c r="B1244" t="s">
        <v>327</v>
      </c>
      <c r="C1244" t="s">
        <v>264</v>
      </c>
      <c r="D1244" t="s">
        <v>265</v>
      </c>
      <c r="E1244">
        <v>6855</v>
      </c>
      <c r="F1244" t="s">
        <v>1764</v>
      </c>
      <c r="G1244" t="s">
        <v>266</v>
      </c>
      <c r="H1244" t="s">
        <v>291</v>
      </c>
      <c r="I1244">
        <v>110</v>
      </c>
    </row>
    <row r="1245" spans="1:10" x14ac:dyDescent="0.2">
      <c r="A1245" t="s">
        <v>398</v>
      </c>
      <c r="B1245" t="s">
        <v>327</v>
      </c>
      <c r="C1245" t="s">
        <v>275</v>
      </c>
      <c r="D1245" t="s">
        <v>265</v>
      </c>
      <c r="E1245">
        <v>6874</v>
      </c>
      <c r="F1245" t="s">
        <v>2897</v>
      </c>
      <c r="G1245" t="s">
        <v>270</v>
      </c>
      <c r="H1245" t="s">
        <v>291</v>
      </c>
      <c r="I1245">
        <v>117</v>
      </c>
    </row>
    <row r="1246" spans="1:10" x14ac:dyDescent="0.2">
      <c r="A1246" t="s">
        <v>398</v>
      </c>
      <c r="B1246" t="s">
        <v>327</v>
      </c>
      <c r="C1246" t="s">
        <v>264</v>
      </c>
      <c r="D1246" t="s">
        <v>265</v>
      </c>
      <c r="E1246">
        <v>6947</v>
      </c>
      <c r="F1246" t="s">
        <v>2898</v>
      </c>
      <c r="G1246" t="s">
        <v>266</v>
      </c>
      <c r="H1246" t="s">
        <v>291</v>
      </c>
      <c r="I1246">
        <v>620</v>
      </c>
    </row>
    <row r="1247" spans="1:10" x14ac:dyDescent="0.2">
      <c r="A1247" t="s">
        <v>398</v>
      </c>
      <c r="B1247" t="s">
        <v>327</v>
      </c>
      <c r="C1247" t="s">
        <v>264</v>
      </c>
      <c r="D1247" t="s">
        <v>265</v>
      </c>
      <c r="E1247">
        <v>7013</v>
      </c>
      <c r="F1247" t="s">
        <v>2899</v>
      </c>
      <c r="G1247" t="s">
        <v>266</v>
      </c>
      <c r="H1247" t="s">
        <v>287</v>
      </c>
      <c r="I1247" t="s">
        <v>316</v>
      </c>
      <c r="J1247" t="s">
        <v>4657</v>
      </c>
    </row>
    <row r="1248" spans="1:10" x14ac:dyDescent="0.2">
      <c r="A1248" t="s">
        <v>398</v>
      </c>
      <c r="B1248" t="s">
        <v>327</v>
      </c>
      <c r="C1248" t="s">
        <v>264</v>
      </c>
      <c r="D1248" t="s">
        <v>269</v>
      </c>
      <c r="E1248">
        <v>7045</v>
      </c>
      <c r="F1248" t="s">
        <v>2900</v>
      </c>
      <c r="G1248" t="s">
        <v>270</v>
      </c>
      <c r="H1248" t="s">
        <v>271</v>
      </c>
      <c r="I1248">
        <v>38</v>
      </c>
    </row>
    <row r="1249" spans="1:10" x14ac:dyDescent="0.2">
      <c r="A1249" t="s">
        <v>398</v>
      </c>
      <c r="B1249" t="s">
        <v>327</v>
      </c>
      <c r="C1249" t="s">
        <v>264</v>
      </c>
      <c r="D1249" t="s">
        <v>265</v>
      </c>
      <c r="E1249">
        <v>7212</v>
      </c>
      <c r="F1249" t="s">
        <v>2901</v>
      </c>
      <c r="G1249" t="s">
        <v>266</v>
      </c>
      <c r="H1249" t="s">
        <v>296</v>
      </c>
      <c r="I1249">
        <v>151</v>
      </c>
    </row>
    <row r="1250" spans="1:10" x14ac:dyDescent="0.2">
      <c r="A1250" t="s">
        <v>398</v>
      </c>
      <c r="B1250" t="s">
        <v>327</v>
      </c>
      <c r="C1250" t="s">
        <v>264</v>
      </c>
      <c r="D1250" t="s">
        <v>265</v>
      </c>
      <c r="E1250">
        <v>7239</v>
      </c>
      <c r="F1250" t="s">
        <v>605</v>
      </c>
      <c r="G1250" t="s">
        <v>266</v>
      </c>
      <c r="H1250" t="s">
        <v>296</v>
      </c>
      <c r="I1250">
        <v>496</v>
      </c>
    </row>
    <row r="1251" spans="1:10" x14ac:dyDescent="0.2">
      <c r="A1251" t="s">
        <v>398</v>
      </c>
      <c r="B1251" t="s">
        <v>327</v>
      </c>
      <c r="C1251" t="s">
        <v>264</v>
      </c>
      <c r="D1251" t="s">
        <v>265</v>
      </c>
      <c r="E1251">
        <v>7327</v>
      </c>
      <c r="F1251" t="s">
        <v>2902</v>
      </c>
      <c r="G1251" t="s">
        <v>266</v>
      </c>
      <c r="H1251" t="s">
        <v>484</v>
      </c>
      <c r="I1251" t="s">
        <v>297</v>
      </c>
      <c r="J1251" t="s">
        <v>4481</v>
      </c>
    </row>
    <row r="1252" spans="1:10" x14ac:dyDescent="0.2">
      <c r="A1252" t="s">
        <v>398</v>
      </c>
      <c r="B1252" t="s">
        <v>327</v>
      </c>
      <c r="C1252" t="s">
        <v>264</v>
      </c>
      <c r="D1252" t="s">
        <v>265</v>
      </c>
      <c r="E1252">
        <v>7438</v>
      </c>
      <c r="F1252" t="s">
        <v>2903</v>
      </c>
      <c r="G1252" t="s">
        <v>266</v>
      </c>
      <c r="H1252" t="s">
        <v>272</v>
      </c>
      <c r="I1252">
        <v>316</v>
      </c>
    </row>
    <row r="1253" spans="1:10" x14ac:dyDescent="0.2">
      <c r="A1253" t="s">
        <v>398</v>
      </c>
      <c r="B1253" t="s">
        <v>327</v>
      </c>
      <c r="C1253" t="s">
        <v>264</v>
      </c>
      <c r="D1253" t="s">
        <v>265</v>
      </c>
      <c r="E1253">
        <v>7550</v>
      </c>
      <c r="F1253" t="s">
        <v>2904</v>
      </c>
      <c r="G1253" t="s">
        <v>266</v>
      </c>
      <c r="H1253" t="s">
        <v>276</v>
      </c>
      <c r="I1253" t="s">
        <v>333</v>
      </c>
      <c r="J1253" t="s">
        <v>5007</v>
      </c>
    </row>
    <row r="1254" spans="1:10" x14ac:dyDescent="0.2">
      <c r="A1254" t="s">
        <v>398</v>
      </c>
      <c r="B1254" t="s">
        <v>327</v>
      </c>
      <c r="C1254" t="s">
        <v>264</v>
      </c>
      <c r="D1254" t="s">
        <v>265</v>
      </c>
      <c r="E1254">
        <v>7606</v>
      </c>
      <c r="F1254" t="s">
        <v>2905</v>
      </c>
      <c r="G1254" t="s">
        <v>266</v>
      </c>
      <c r="H1254" t="s">
        <v>276</v>
      </c>
      <c r="I1254">
        <v>870</v>
      </c>
    </row>
    <row r="1255" spans="1:10" x14ac:dyDescent="0.2">
      <c r="A1255" t="s">
        <v>398</v>
      </c>
      <c r="B1255" t="s">
        <v>327</v>
      </c>
      <c r="C1255" t="s">
        <v>273</v>
      </c>
      <c r="D1255" t="s">
        <v>265</v>
      </c>
      <c r="E1255">
        <v>7609</v>
      </c>
      <c r="F1255" t="s">
        <v>2906</v>
      </c>
      <c r="G1255" t="s">
        <v>266</v>
      </c>
      <c r="H1255" t="s">
        <v>272</v>
      </c>
      <c r="I1255">
        <v>220</v>
      </c>
    </row>
    <row r="1256" spans="1:10" x14ac:dyDescent="0.2">
      <c r="A1256" t="s">
        <v>398</v>
      </c>
      <c r="B1256" t="s">
        <v>327</v>
      </c>
      <c r="C1256" t="s">
        <v>264</v>
      </c>
      <c r="D1256" t="s">
        <v>265</v>
      </c>
      <c r="E1256">
        <v>7701</v>
      </c>
      <c r="F1256" t="s">
        <v>2907</v>
      </c>
      <c r="G1256" t="s">
        <v>266</v>
      </c>
      <c r="H1256" t="s">
        <v>342</v>
      </c>
      <c r="I1256" t="s">
        <v>407</v>
      </c>
      <c r="J1256" t="s">
        <v>4923</v>
      </c>
    </row>
    <row r="1257" spans="1:10" x14ac:dyDescent="0.2">
      <c r="A1257" t="s">
        <v>398</v>
      </c>
      <c r="B1257" t="s">
        <v>327</v>
      </c>
      <c r="C1257" t="s">
        <v>264</v>
      </c>
      <c r="D1257" t="s">
        <v>265</v>
      </c>
      <c r="E1257">
        <v>7702</v>
      </c>
      <c r="F1257" t="s">
        <v>547</v>
      </c>
      <c r="G1257" t="s">
        <v>266</v>
      </c>
      <c r="H1257" t="s">
        <v>342</v>
      </c>
      <c r="I1257">
        <v>190</v>
      </c>
    </row>
    <row r="1258" spans="1:10" x14ac:dyDescent="0.2">
      <c r="A1258" t="s">
        <v>398</v>
      </c>
      <c r="B1258" t="s">
        <v>327</v>
      </c>
      <c r="C1258" t="s">
        <v>264</v>
      </c>
      <c r="D1258" t="s">
        <v>265</v>
      </c>
      <c r="E1258">
        <v>7703</v>
      </c>
      <c r="F1258" t="s">
        <v>403</v>
      </c>
      <c r="G1258" t="s">
        <v>274</v>
      </c>
      <c r="H1258" t="s">
        <v>342</v>
      </c>
      <c r="I1258">
        <v>226</v>
      </c>
    </row>
    <row r="1259" spans="1:10" x14ac:dyDescent="0.2">
      <c r="A1259" t="s">
        <v>398</v>
      </c>
      <c r="B1259" t="s">
        <v>327</v>
      </c>
      <c r="C1259" t="s">
        <v>268</v>
      </c>
      <c r="D1259" t="s">
        <v>269</v>
      </c>
      <c r="E1259">
        <v>7711</v>
      </c>
      <c r="F1259" t="s">
        <v>2908</v>
      </c>
      <c r="G1259" t="s">
        <v>270</v>
      </c>
      <c r="H1259" t="s">
        <v>342</v>
      </c>
      <c r="I1259">
        <v>36</v>
      </c>
    </row>
    <row r="1260" spans="1:10" x14ac:dyDescent="0.2">
      <c r="A1260" t="s">
        <v>398</v>
      </c>
      <c r="B1260" t="s">
        <v>327</v>
      </c>
      <c r="C1260" t="s">
        <v>264</v>
      </c>
      <c r="D1260" t="s">
        <v>265</v>
      </c>
      <c r="E1260">
        <v>7731</v>
      </c>
      <c r="F1260" t="s">
        <v>2909</v>
      </c>
      <c r="G1260" t="s">
        <v>266</v>
      </c>
      <c r="H1260" t="s">
        <v>342</v>
      </c>
      <c r="I1260" t="s">
        <v>283</v>
      </c>
      <c r="J1260" t="s">
        <v>4696</v>
      </c>
    </row>
    <row r="1261" spans="1:10" x14ac:dyDescent="0.2">
      <c r="A1261" t="s">
        <v>398</v>
      </c>
      <c r="B1261" t="s">
        <v>327</v>
      </c>
      <c r="C1261" t="s">
        <v>264</v>
      </c>
      <c r="D1261" t="s">
        <v>265</v>
      </c>
      <c r="E1261">
        <v>7733</v>
      </c>
      <c r="F1261" t="s">
        <v>2910</v>
      </c>
      <c r="G1261" t="s">
        <v>266</v>
      </c>
      <c r="H1261" t="s">
        <v>342</v>
      </c>
      <c r="I1261" t="s">
        <v>2200</v>
      </c>
      <c r="J1261" t="s">
        <v>5008</v>
      </c>
    </row>
    <row r="1262" spans="1:10" x14ac:dyDescent="0.2">
      <c r="A1262" t="s">
        <v>398</v>
      </c>
      <c r="B1262" t="s">
        <v>327</v>
      </c>
      <c r="C1262" t="s">
        <v>264</v>
      </c>
      <c r="D1262" t="s">
        <v>265</v>
      </c>
      <c r="E1262">
        <v>7745</v>
      </c>
      <c r="F1262" t="s">
        <v>2911</v>
      </c>
      <c r="G1262" t="s">
        <v>266</v>
      </c>
      <c r="H1262" t="s">
        <v>342</v>
      </c>
      <c r="I1262">
        <v>226</v>
      </c>
    </row>
    <row r="1263" spans="1:10" x14ac:dyDescent="0.2">
      <c r="A1263" t="s">
        <v>398</v>
      </c>
      <c r="B1263" t="s">
        <v>327</v>
      </c>
      <c r="C1263" t="s">
        <v>264</v>
      </c>
      <c r="D1263" t="s">
        <v>269</v>
      </c>
      <c r="E1263">
        <v>7748</v>
      </c>
      <c r="F1263" t="s">
        <v>2912</v>
      </c>
      <c r="G1263" t="s">
        <v>270</v>
      </c>
      <c r="H1263" t="s">
        <v>342</v>
      </c>
      <c r="I1263">
        <v>177</v>
      </c>
    </row>
    <row r="1264" spans="1:10" x14ac:dyDescent="0.2">
      <c r="A1264" t="s">
        <v>398</v>
      </c>
      <c r="B1264" t="s">
        <v>327</v>
      </c>
      <c r="C1264" t="s">
        <v>264</v>
      </c>
      <c r="D1264" t="s">
        <v>265</v>
      </c>
      <c r="E1264">
        <v>7832</v>
      </c>
      <c r="F1264" t="s">
        <v>4489</v>
      </c>
      <c r="G1264" t="s">
        <v>266</v>
      </c>
      <c r="H1264" t="s">
        <v>288</v>
      </c>
      <c r="I1264" t="s">
        <v>471</v>
      </c>
      <c r="J1264" t="s">
        <v>4477</v>
      </c>
    </row>
    <row r="1265" spans="1:10" x14ac:dyDescent="0.2">
      <c r="A1265" t="s">
        <v>398</v>
      </c>
      <c r="B1265" t="s">
        <v>327</v>
      </c>
      <c r="C1265" t="s">
        <v>264</v>
      </c>
      <c r="D1265" t="s">
        <v>265</v>
      </c>
      <c r="E1265">
        <v>7860</v>
      </c>
      <c r="F1265" t="s">
        <v>1765</v>
      </c>
      <c r="G1265" t="s">
        <v>266</v>
      </c>
      <c r="H1265" t="s">
        <v>277</v>
      </c>
      <c r="I1265">
        <v>570</v>
      </c>
    </row>
    <row r="1266" spans="1:10" x14ac:dyDescent="0.2">
      <c r="A1266" t="s">
        <v>398</v>
      </c>
      <c r="B1266" t="s">
        <v>327</v>
      </c>
      <c r="C1266" t="s">
        <v>264</v>
      </c>
      <c r="D1266" t="s">
        <v>265</v>
      </c>
      <c r="E1266">
        <v>7864</v>
      </c>
      <c r="F1266" t="s">
        <v>2913</v>
      </c>
      <c r="G1266" t="s">
        <v>266</v>
      </c>
      <c r="H1266" t="s">
        <v>288</v>
      </c>
      <c r="I1266" t="s">
        <v>297</v>
      </c>
      <c r="J1266" t="s">
        <v>5009</v>
      </c>
    </row>
    <row r="1267" spans="1:10" x14ac:dyDescent="0.2">
      <c r="A1267" t="s">
        <v>398</v>
      </c>
      <c r="B1267" t="s">
        <v>327</v>
      </c>
      <c r="C1267" t="s">
        <v>264</v>
      </c>
      <c r="D1267" t="s">
        <v>265</v>
      </c>
      <c r="E1267">
        <v>7887</v>
      </c>
      <c r="F1267" t="s">
        <v>2914</v>
      </c>
      <c r="G1267" t="s">
        <v>274</v>
      </c>
      <c r="H1267" t="s">
        <v>288</v>
      </c>
      <c r="I1267">
        <v>64</v>
      </c>
    </row>
    <row r="1268" spans="1:10" x14ac:dyDescent="0.2">
      <c r="A1268" t="s">
        <v>398</v>
      </c>
      <c r="B1268" t="s">
        <v>327</v>
      </c>
      <c r="C1268" t="s">
        <v>264</v>
      </c>
      <c r="D1268" t="s">
        <v>265</v>
      </c>
      <c r="E1268">
        <v>7951</v>
      </c>
      <c r="F1268" t="s">
        <v>2915</v>
      </c>
      <c r="G1268" t="s">
        <v>266</v>
      </c>
      <c r="H1268" t="s">
        <v>288</v>
      </c>
      <c r="I1268" t="s">
        <v>490</v>
      </c>
      <c r="J1268" t="s">
        <v>5010</v>
      </c>
    </row>
    <row r="1269" spans="1:10" x14ac:dyDescent="0.2">
      <c r="A1269" t="s">
        <v>398</v>
      </c>
      <c r="B1269" t="s">
        <v>327</v>
      </c>
      <c r="C1269" t="s">
        <v>264</v>
      </c>
      <c r="D1269" t="s">
        <v>265</v>
      </c>
      <c r="E1269">
        <v>7955</v>
      </c>
      <c r="F1269" t="s">
        <v>2916</v>
      </c>
      <c r="G1269" t="s">
        <v>266</v>
      </c>
      <c r="H1269" t="s">
        <v>288</v>
      </c>
      <c r="I1269">
        <v>271</v>
      </c>
    </row>
    <row r="1270" spans="1:10" x14ac:dyDescent="0.2">
      <c r="A1270" t="s">
        <v>398</v>
      </c>
      <c r="B1270" t="s">
        <v>327</v>
      </c>
      <c r="C1270" t="s">
        <v>264</v>
      </c>
      <c r="D1270" t="s">
        <v>269</v>
      </c>
      <c r="E1270">
        <v>7980</v>
      </c>
      <c r="F1270" t="s">
        <v>2917</v>
      </c>
      <c r="G1270" t="s">
        <v>270</v>
      </c>
      <c r="H1270" t="s">
        <v>288</v>
      </c>
      <c r="I1270">
        <v>94</v>
      </c>
    </row>
    <row r="1271" spans="1:10" x14ac:dyDescent="0.2">
      <c r="A1271" t="s">
        <v>398</v>
      </c>
      <c r="B1271" t="s">
        <v>327</v>
      </c>
      <c r="C1271" t="s">
        <v>264</v>
      </c>
      <c r="D1271" t="s">
        <v>265</v>
      </c>
      <c r="E1271">
        <v>8114</v>
      </c>
      <c r="F1271" t="s">
        <v>2918</v>
      </c>
      <c r="G1271" t="s">
        <v>266</v>
      </c>
      <c r="H1271" t="s">
        <v>299</v>
      </c>
      <c r="I1271" t="s">
        <v>297</v>
      </c>
      <c r="J1271" t="s">
        <v>5011</v>
      </c>
    </row>
    <row r="1272" spans="1:10" x14ac:dyDescent="0.2">
      <c r="A1272" t="s">
        <v>398</v>
      </c>
      <c r="B1272" t="s">
        <v>327</v>
      </c>
      <c r="C1272" t="s">
        <v>264</v>
      </c>
      <c r="D1272" t="s">
        <v>265</v>
      </c>
      <c r="E1272">
        <v>8154</v>
      </c>
      <c r="F1272" t="s">
        <v>2919</v>
      </c>
      <c r="G1272" t="s">
        <v>266</v>
      </c>
      <c r="H1272" t="s">
        <v>272</v>
      </c>
      <c r="I1272">
        <v>727</v>
      </c>
    </row>
    <row r="1273" spans="1:10" x14ac:dyDescent="0.2">
      <c r="A1273" t="s">
        <v>398</v>
      </c>
      <c r="B1273" t="s">
        <v>327</v>
      </c>
      <c r="C1273" t="s">
        <v>264</v>
      </c>
      <c r="D1273" t="s">
        <v>265</v>
      </c>
      <c r="E1273">
        <v>8214</v>
      </c>
      <c r="F1273" t="s">
        <v>2920</v>
      </c>
      <c r="G1273" t="s">
        <v>266</v>
      </c>
      <c r="H1273" t="s">
        <v>276</v>
      </c>
      <c r="I1273">
        <v>965</v>
      </c>
    </row>
    <row r="1274" spans="1:10" x14ac:dyDescent="0.2">
      <c r="A1274" t="s">
        <v>398</v>
      </c>
      <c r="B1274" t="s">
        <v>327</v>
      </c>
      <c r="C1274" t="s">
        <v>264</v>
      </c>
      <c r="D1274" t="s">
        <v>265</v>
      </c>
      <c r="E1274">
        <v>8252</v>
      </c>
      <c r="F1274" t="s">
        <v>1766</v>
      </c>
      <c r="G1274" t="s">
        <v>266</v>
      </c>
      <c r="H1274" t="s">
        <v>276</v>
      </c>
      <c r="I1274" t="s">
        <v>283</v>
      </c>
      <c r="J1274" t="s">
        <v>5012</v>
      </c>
    </row>
    <row r="1275" spans="1:10" x14ac:dyDescent="0.2">
      <c r="A1275" t="s">
        <v>398</v>
      </c>
      <c r="B1275" t="s">
        <v>327</v>
      </c>
      <c r="C1275" t="s">
        <v>264</v>
      </c>
      <c r="D1275" t="s">
        <v>265</v>
      </c>
      <c r="E1275">
        <v>8282</v>
      </c>
      <c r="F1275" t="s">
        <v>2921</v>
      </c>
      <c r="G1275" t="s">
        <v>266</v>
      </c>
      <c r="H1275" t="s">
        <v>276</v>
      </c>
      <c r="I1275" t="s">
        <v>333</v>
      </c>
      <c r="J1275" t="s">
        <v>5013</v>
      </c>
    </row>
    <row r="1276" spans="1:10" x14ac:dyDescent="0.2">
      <c r="A1276" t="s">
        <v>398</v>
      </c>
      <c r="B1276" t="s">
        <v>327</v>
      </c>
      <c r="C1276" t="s">
        <v>264</v>
      </c>
      <c r="D1276" t="s">
        <v>265</v>
      </c>
      <c r="E1276">
        <v>8368</v>
      </c>
      <c r="F1276" t="s">
        <v>2922</v>
      </c>
      <c r="G1276" t="s">
        <v>266</v>
      </c>
      <c r="H1276" t="s">
        <v>484</v>
      </c>
      <c r="I1276">
        <v>854</v>
      </c>
    </row>
    <row r="1277" spans="1:10" x14ac:dyDescent="0.2">
      <c r="A1277" t="s">
        <v>398</v>
      </c>
      <c r="B1277" t="s">
        <v>327</v>
      </c>
      <c r="C1277" t="s">
        <v>264</v>
      </c>
      <c r="D1277" t="s">
        <v>265</v>
      </c>
      <c r="E1277">
        <v>8439</v>
      </c>
      <c r="F1277" t="s">
        <v>2923</v>
      </c>
      <c r="G1277" t="s">
        <v>266</v>
      </c>
      <c r="H1277" t="s">
        <v>302</v>
      </c>
      <c r="I1277" t="s">
        <v>325</v>
      </c>
      <c r="J1277" t="s">
        <v>2417</v>
      </c>
    </row>
    <row r="1278" spans="1:10" x14ac:dyDescent="0.2">
      <c r="A1278" t="s">
        <v>398</v>
      </c>
      <c r="B1278" t="s">
        <v>327</v>
      </c>
      <c r="C1278" t="s">
        <v>264</v>
      </c>
      <c r="D1278" t="s">
        <v>265</v>
      </c>
      <c r="E1278">
        <v>8527</v>
      </c>
      <c r="F1278" t="s">
        <v>2924</v>
      </c>
      <c r="G1278" t="s">
        <v>266</v>
      </c>
      <c r="H1278" t="s">
        <v>484</v>
      </c>
      <c r="I1278">
        <v>390</v>
      </c>
    </row>
    <row r="1279" spans="1:10" x14ac:dyDescent="0.2">
      <c r="A1279" t="s">
        <v>398</v>
      </c>
      <c r="B1279" t="s">
        <v>327</v>
      </c>
      <c r="C1279" t="s">
        <v>264</v>
      </c>
      <c r="D1279" t="s">
        <v>265</v>
      </c>
      <c r="E1279">
        <v>8596</v>
      </c>
      <c r="F1279" t="s">
        <v>2925</v>
      </c>
      <c r="G1279" t="s">
        <v>266</v>
      </c>
      <c r="H1279" t="s">
        <v>302</v>
      </c>
      <c r="I1279">
        <v>156</v>
      </c>
    </row>
    <row r="1280" spans="1:10" x14ac:dyDescent="0.2">
      <c r="A1280" t="s">
        <v>398</v>
      </c>
      <c r="B1280" t="s">
        <v>327</v>
      </c>
      <c r="C1280" t="s">
        <v>264</v>
      </c>
      <c r="D1280" t="s">
        <v>265</v>
      </c>
      <c r="E1280">
        <v>8769</v>
      </c>
      <c r="F1280" t="s">
        <v>2926</v>
      </c>
      <c r="G1280" t="s">
        <v>266</v>
      </c>
      <c r="H1280" t="s">
        <v>271</v>
      </c>
      <c r="I1280">
        <v>172</v>
      </c>
    </row>
    <row r="1281" spans="1:10" x14ac:dyDescent="0.2">
      <c r="A1281" t="s">
        <v>398</v>
      </c>
      <c r="B1281" t="s">
        <v>327</v>
      </c>
      <c r="C1281" t="s">
        <v>264</v>
      </c>
      <c r="D1281" t="s">
        <v>265</v>
      </c>
      <c r="E1281">
        <v>8919</v>
      </c>
      <c r="F1281" t="s">
        <v>2927</v>
      </c>
      <c r="G1281" t="s">
        <v>266</v>
      </c>
      <c r="H1281" t="s">
        <v>292</v>
      </c>
      <c r="I1281" t="s">
        <v>297</v>
      </c>
      <c r="J1281" t="s">
        <v>4503</v>
      </c>
    </row>
    <row r="1282" spans="1:10" x14ac:dyDescent="0.2">
      <c r="A1282" t="s">
        <v>398</v>
      </c>
      <c r="B1282" t="s">
        <v>327</v>
      </c>
      <c r="C1282" t="s">
        <v>264</v>
      </c>
      <c r="D1282" t="s">
        <v>265</v>
      </c>
      <c r="E1282">
        <v>9024</v>
      </c>
      <c r="F1282" t="s">
        <v>1472</v>
      </c>
      <c r="G1282" t="s">
        <v>266</v>
      </c>
      <c r="H1282" t="s">
        <v>356</v>
      </c>
      <c r="I1282" t="s">
        <v>283</v>
      </c>
      <c r="J1282" t="s">
        <v>5014</v>
      </c>
    </row>
    <row r="1283" spans="1:10" x14ac:dyDescent="0.2">
      <c r="A1283" t="s">
        <v>398</v>
      </c>
      <c r="B1283" t="s">
        <v>327</v>
      </c>
      <c r="C1283" t="s">
        <v>264</v>
      </c>
      <c r="D1283" t="s">
        <v>269</v>
      </c>
      <c r="E1283">
        <v>9036</v>
      </c>
      <c r="F1283" t="s">
        <v>2928</v>
      </c>
      <c r="G1283" t="s">
        <v>270</v>
      </c>
      <c r="H1283" t="s">
        <v>356</v>
      </c>
      <c r="I1283">
        <v>59</v>
      </c>
    </row>
    <row r="1284" spans="1:10" x14ac:dyDescent="0.2">
      <c r="A1284" t="s">
        <v>398</v>
      </c>
      <c r="B1284" t="s">
        <v>327</v>
      </c>
      <c r="C1284" t="s">
        <v>264</v>
      </c>
      <c r="D1284" t="s">
        <v>265</v>
      </c>
      <c r="E1284">
        <v>9052</v>
      </c>
      <c r="F1284" t="s">
        <v>2929</v>
      </c>
      <c r="G1284" t="s">
        <v>266</v>
      </c>
      <c r="H1284" t="s">
        <v>356</v>
      </c>
      <c r="I1284">
        <v>481</v>
      </c>
    </row>
    <row r="1285" spans="1:10" x14ac:dyDescent="0.2">
      <c r="A1285" t="s">
        <v>398</v>
      </c>
      <c r="B1285" t="s">
        <v>327</v>
      </c>
      <c r="C1285" t="s">
        <v>264</v>
      </c>
      <c r="D1285" t="s">
        <v>265</v>
      </c>
      <c r="E1285">
        <v>9066</v>
      </c>
      <c r="F1285" t="s">
        <v>2930</v>
      </c>
      <c r="G1285" t="s">
        <v>266</v>
      </c>
      <c r="H1285" t="s">
        <v>556</v>
      </c>
      <c r="I1285">
        <v>369</v>
      </c>
    </row>
    <row r="1286" spans="1:10" x14ac:dyDescent="0.2">
      <c r="A1286" t="s">
        <v>398</v>
      </c>
      <c r="B1286" t="s">
        <v>327</v>
      </c>
      <c r="C1286" t="s">
        <v>264</v>
      </c>
      <c r="D1286" t="s">
        <v>265</v>
      </c>
      <c r="E1286">
        <v>9081</v>
      </c>
      <c r="F1286" t="s">
        <v>2931</v>
      </c>
      <c r="G1286" t="s">
        <v>266</v>
      </c>
      <c r="H1286" t="s">
        <v>356</v>
      </c>
      <c r="I1286">
        <v>514</v>
      </c>
    </row>
    <row r="1287" spans="1:10" x14ac:dyDescent="0.2">
      <c r="A1287" t="s">
        <v>398</v>
      </c>
      <c r="B1287" t="s">
        <v>327</v>
      </c>
      <c r="C1287" t="s">
        <v>264</v>
      </c>
      <c r="D1287" t="s">
        <v>265</v>
      </c>
      <c r="E1287">
        <v>9324</v>
      </c>
      <c r="F1287" t="s">
        <v>1636</v>
      </c>
      <c r="G1287" t="s">
        <v>266</v>
      </c>
      <c r="H1287" t="s">
        <v>556</v>
      </c>
      <c r="I1287">
        <v>328</v>
      </c>
    </row>
    <row r="1288" spans="1:10" x14ac:dyDescent="0.2">
      <c r="A1288" t="s">
        <v>398</v>
      </c>
      <c r="B1288" t="s">
        <v>327</v>
      </c>
      <c r="C1288" t="s">
        <v>264</v>
      </c>
      <c r="D1288" t="s">
        <v>265</v>
      </c>
      <c r="E1288">
        <v>9401</v>
      </c>
      <c r="F1288" t="s">
        <v>2932</v>
      </c>
      <c r="G1288" t="s">
        <v>266</v>
      </c>
      <c r="H1288" t="s">
        <v>277</v>
      </c>
      <c r="I1288" t="s">
        <v>333</v>
      </c>
      <c r="J1288" t="s">
        <v>4456</v>
      </c>
    </row>
    <row r="1289" spans="1:10" x14ac:dyDescent="0.2">
      <c r="A1289" t="s">
        <v>398</v>
      </c>
      <c r="B1289" t="s">
        <v>327</v>
      </c>
      <c r="C1289" t="s">
        <v>264</v>
      </c>
      <c r="D1289" t="s">
        <v>265</v>
      </c>
      <c r="E1289">
        <v>9404</v>
      </c>
      <c r="F1289" t="s">
        <v>2933</v>
      </c>
      <c r="G1289" t="s">
        <v>266</v>
      </c>
      <c r="H1289" t="s">
        <v>277</v>
      </c>
      <c r="I1289" t="s">
        <v>333</v>
      </c>
      <c r="J1289" t="s">
        <v>4300</v>
      </c>
    </row>
    <row r="1290" spans="1:10" x14ac:dyDescent="0.2">
      <c r="A1290" t="s">
        <v>398</v>
      </c>
      <c r="B1290" t="s">
        <v>327</v>
      </c>
      <c r="C1290" t="s">
        <v>264</v>
      </c>
      <c r="D1290" t="s">
        <v>265</v>
      </c>
      <c r="E1290">
        <v>9432</v>
      </c>
      <c r="F1290" t="s">
        <v>1767</v>
      </c>
      <c r="G1290" t="s">
        <v>266</v>
      </c>
      <c r="H1290" t="s">
        <v>277</v>
      </c>
      <c r="I1290" t="s">
        <v>5015</v>
      </c>
      <c r="J1290" t="s">
        <v>4488</v>
      </c>
    </row>
    <row r="1291" spans="1:10" x14ac:dyDescent="0.2">
      <c r="A1291" t="s">
        <v>398</v>
      </c>
      <c r="B1291" t="s">
        <v>327</v>
      </c>
      <c r="C1291" t="s">
        <v>264</v>
      </c>
      <c r="D1291" t="s">
        <v>265</v>
      </c>
      <c r="E1291">
        <v>9735</v>
      </c>
      <c r="F1291" t="s">
        <v>2934</v>
      </c>
      <c r="G1291" t="s">
        <v>266</v>
      </c>
      <c r="H1291" t="s">
        <v>271</v>
      </c>
      <c r="I1291" t="s">
        <v>1783</v>
      </c>
      <c r="J1291" t="s">
        <v>4435</v>
      </c>
    </row>
    <row r="1292" spans="1:10" x14ac:dyDescent="0.2">
      <c r="A1292" t="s">
        <v>398</v>
      </c>
      <c r="B1292" t="s">
        <v>327</v>
      </c>
      <c r="C1292" t="s">
        <v>264</v>
      </c>
      <c r="D1292" t="s">
        <v>265</v>
      </c>
      <c r="E1292">
        <v>9780</v>
      </c>
      <c r="F1292" t="s">
        <v>2935</v>
      </c>
      <c r="G1292" t="s">
        <v>270</v>
      </c>
      <c r="H1292" t="s">
        <v>271</v>
      </c>
      <c r="I1292">
        <v>37</v>
      </c>
    </row>
    <row r="1293" spans="1:10" x14ac:dyDescent="0.2">
      <c r="A1293" t="s">
        <v>398</v>
      </c>
      <c r="B1293" t="s">
        <v>327</v>
      </c>
      <c r="C1293" t="s">
        <v>264</v>
      </c>
      <c r="D1293" t="s">
        <v>265</v>
      </c>
      <c r="E1293">
        <v>9831</v>
      </c>
      <c r="F1293" t="s">
        <v>4491</v>
      </c>
      <c r="G1293" t="s">
        <v>266</v>
      </c>
      <c r="H1293" t="s">
        <v>276</v>
      </c>
      <c r="I1293" t="s">
        <v>283</v>
      </c>
      <c r="J1293" t="s">
        <v>4620</v>
      </c>
    </row>
    <row r="1294" spans="1:10" x14ac:dyDescent="0.2">
      <c r="A1294" t="s">
        <v>398</v>
      </c>
      <c r="B1294" t="s">
        <v>327</v>
      </c>
      <c r="C1294" t="s">
        <v>264</v>
      </c>
      <c r="D1294" t="s">
        <v>265</v>
      </c>
      <c r="E1294">
        <v>9853</v>
      </c>
      <c r="F1294" t="s">
        <v>2936</v>
      </c>
      <c r="G1294" t="s">
        <v>270</v>
      </c>
      <c r="H1294" t="s">
        <v>276</v>
      </c>
      <c r="I1294">
        <v>69</v>
      </c>
    </row>
    <row r="1295" spans="1:10" x14ac:dyDescent="0.2">
      <c r="A1295" t="s">
        <v>398</v>
      </c>
      <c r="B1295" t="s">
        <v>290</v>
      </c>
      <c r="C1295" t="s">
        <v>275</v>
      </c>
      <c r="D1295" t="s">
        <v>265</v>
      </c>
      <c r="E1295">
        <v>3028</v>
      </c>
      <c r="F1295" t="s">
        <v>1758</v>
      </c>
      <c r="G1295" t="s">
        <v>266</v>
      </c>
      <c r="H1295" t="s">
        <v>276</v>
      </c>
      <c r="I1295">
        <v>696</v>
      </c>
    </row>
    <row r="1296" spans="1:10" x14ac:dyDescent="0.2">
      <c r="A1296" t="s">
        <v>398</v>
      </c>
      <c r="B1296" t="s">
        <v>1689</v>
      </c>
      <c r="C1296" t="s">
        <v>264</v>
      </c>
      <c r="D1296" t="s">
        <v>269</v>
      </c>
      <c r="E1296">
        <v>1717</v>
      </c>
      <c r="F1296" t="s">
        <v>2937</v>
      </c>
      <c r="G1296" t="s">
        <v>266</v>
      </c>
      <c r="H1296" t="s">
        <v>293</v>
      </c>
      <c r="I1296">
        <v>104</v>
      </c>
    </row>
    <row r="1297" spans="1:10" x14ac:dyDescent="0.2">
      <c r="A1297" t="s">
        <v>398</v>
      </c>
      <c r="B1297" t="s">
        <v>1689</v>
      </c>
      <c r="C1297" t="s">
        <v>264</v>
      </c>
      <c r="D1297" t="s">
        <v>265</v>
      </c>
      <c r="E1297">
        <v>1926</v>
      </c>
      <c r="F1297" t="s">
        <v>2938</v>
      </c>
      <c r="G1297" t="s">
        <v>266</v>
      </c>
      <c r="H1297" t="s">
        <v>293</v>
      </c>
      <c r="I1297">
        <v>919</v>
      </c>
    </row>
    <row r="1298" spans="1:10" x14ac:dyDescent="0.2">
      <c r="A1298" t="s">
        <v>398</v>
      </c>
      <c r="B1298" t="s">
        <v>1689</v>
      </c>
      <c r="C1298" t="s">
        <v>264</v>
      </c>
      <c r="D1298" t="s">
        <v>265</v>
      </c>
      <c r="E1298">
        <v>3284</v>
      </c>
      <c r="F1298" t="s">
        <v>753</v>
      </c>
      <c r="G1298" t="s">
        <v>266</v>
      </c>
      <c r="H1298" t="s">
        <v>292</v>
      </c>
      <c r="I1298">
        <v>408</v>
      </c>
    </row>
    <row r="1299" spans="1:10" x14ac:dyDescent="0.2">
      <c r="A1299" t="s">
        <v>398</v>
      </c>
      <c r="B1299" t="s">
        <v>1689</v>
      </c>
      <c r="C1299" t="s">
        <v>264</v>
      </c>
      <c r="D1299" t="s">
        <v>265</v>
      </c>
      <c r="E1299">
        <v>3817</v>
      </c>
      <c r="F1299" t="s">
        <v>2939</v>
      </c>
      <c r="G1299" t="s">
        <v>266</v>
      </c>
      <c r="H1299" t="s">
        <v>277</v>
      </c>
      <c r="I1299">
        <v>398</v>
      </c>
    </row>
    <row r="1300" spans="1:10" x14ac:dyDescent="0.2">
      <c r="A1300" t="s">
        <v>398</v>
      </c>
      <c r="B1300" t="s">
        <v>1689</v>
      </c>
      <c r="C1300" t="s">
        <v>264</v>
      </c>
      <c r="D1300" t="s">
        <v>265</v>
      </c>
      <c r="E1300">
        <v>3937</v>
      </c>
      <c r="F1300" t="s">
        <v>2940</v>
      </c>
      <c r="G1300" t="s">
        <v>266</v>
      </c>
      <c r="H1300" t="s">
        <v>277</v>
      </c>
      <c r="I1300">
        <v>161</v>
      </c>
    </row>
    <row r="1301" spans="1:10" x14ac:dyDescent="0.2">
      <c r="A1301" t="s">
        <v>398</v>
      </c>
      <c r="B1301" t="s">
        <v>1689</v>
      </c>
      <c r="C1301" t="s">
        <v>264</v>
      </c>
      <c r="D1301" t="s">
        <v>265</v>
      </c>
      <c r="E1301">
        <v>4092</v>
      </c>
      <c r="F1301" t="s">
        <v>2941</v>
      </c>
      <c r="G1301" t="s">
        <v>266</v>
      </c>
      <c r="H1301" t="s">
        <v>279</v>
      </c>
      <c r="I1301">
        <v>294</v>
      </c>
    </row>
    <row r="1302" spans="1:10" x14ac:dyDescent="0.2">
      <c r="A1302" t="s">
        <v>398</v>
      </c>
      <c r="B1302" t="s">
        <v>1689</v>
      </c>
      <c r="C1302" t="s">
        <v>268</v>
      </c>
      <c r="D1302" t="s">
        <v>265</v>
      </c>
      <c r="E1302">
        <v>4346</v>
      </c>
      <c r="F1302" t="s">
        <v>2942</v>
      </c>
      <c r="G1302" t="s">
        <v>266</v>
      </c>
      <c r="H1302" t="s">
        <v>271</v>
      </c>
      <c r="I1302">
        <v>243</v>
      </c>
    </row>
    <row r="1303" spans="1:10" x14ac:dyDescent="0.2">
      <c r="A1303" t="s">
        <v>398</v>
      </c>
      <c r="B1303" t="s">
        <v>1689</v>
      </c>
      <c r="C1303" t="s">
        <v>268</v>
      </c>
      <c r="D1303" t="s">
        <v>265</v>
      </c>
      <c r="E1303">
        <v>4554</v>
      </c>
      <c r="F1303" t="s">
        <v>2943</v>
      </c>
      <c r="G1303" t="s">
        <v>266</v>
      </c>
      <c r="H1303" t="s">
        <v>311</v>
      </c>
      <c r="I1303">
        <v>432</v>
      </c>
    </row>
    <row r="1304" spans="1:10" x14ac:dyDescent="0.2">
      <c r="A1304" t="s">
        <v>398</v>
      </c>
      <c r="B1304" t="s">
        <v>1689</v>
      </c>
      <c r="C1304" t="s">
        <v>264</v>
      </c>
      <c r="D1304" t="s">
        <v>265</v>
      </c>
      <c r="E1304">
        <v>4801</v>
      </c>
      <c r="F1304" t="s">
        <v>2944</v>
      </c>
      <c r="G1304" t="s">
        <v>266</v>
      </c>
      <c r="H1304" t="s">
        <v>271</v>
      </c>
      <c r="I1304">
        <v>368</v>
      </c>
    </row>
    <row r="1305" spans="1:10" x14ac:dyDescent="0.2">
      <c r="A1305" t="s">
        <v>398</v>
      </c>
      <c r="B1305" t="s">
        <v>1689</v>
      </c>
      <c r="C1305" t="s">
        <v>264</v>
      </c>
      <c r="D1305" t="s">
        <v>265</v>
      </c>
      <c r="E1305">
        <v>5009</v>
      </c>
      <c r="F1305" t="s">
        <v>2945</v>
      </c>
      <c r="G1305" t="s">
        <v>266</v>
      </c>
      <c r="H1305" t="s">
        <v>272</v>
      </c>
      <c r="I1305">
        <v>58</v>
      </c>
    </row>
    <row r="1306" spans="1:10" x14ac:dyDescent="0.2">
      <c r="A1306" t="s">
        <v>398</v>
      </c>
      <c r="B1306" t="s">
        <v>1689</v>
      </c>
      <c r="C1306" t="s">
        <v>264</v>
      </c>
      <c r="D1306" t="s">
        <v>265</v>
      </c>
      <c r="E1306">
        <v>5208</v>
      </c>
      <c r="F1306" t="s">
        <v>2946</v>
      </c>
      <c r="G1306" t="s">
        <v>266</v>
      </c>
      <c r="H1306" t="s">
        <v>279</v>
      </c>
      <c r="I1306">
        <v>393</v>
      </c>
    </row>
    <row r="1307" spans="1:10" x14ac:dyDescent="0.2">
      <c r="A1307" t="s">
        <v>398</v>
      </c>
      <c r="B1307" t="s">
        <v>1689</v>
      </c>
      <c r="C1307" t="s">
        <v>264</v>
      </c>
      <c r="D1307" t="s">
        <v>265</v>
      </c>
      <c r="E1307">
        <v>5357</v>
      </c>
      <c r="F1307" t="s">
        <v>2947</v>
      </c>
      <c r="G1307" t="s">
        <v>266</v>
      </c>
      <c r="H1307" t="s">
        <v>308</v>
      </c>
      <c r="I1307">
        <v>184</v>
      </c>
    </row>
    <row r="1308" spans="1:10" x14ac:dyDescent="0.2">
      <c r="A1308" t="s">
        <v>398</v>
      </c>
      <c r="B1308" t="s">
        <v>1689</v>
      </c>
      <c r="C1308" t="s">
        <v>264</v>
      </c>
      <c r="D1308" t="s">
        <v>265</v>
      </c>
      <c r="E1308">
        <v>5695</v>
      </c>
      <c r="F1308" t="s">
        <v>2948</v>
      </c>
      <c r="G1308" t="s">
        <v>270</v>
      </c>
      <c r="H1308" t="s">
        <v>726</v>
      </c>
      <c r="I1308">
        <v>134</v>
      </c>
    </row>
    <row r="1309" spans="1:10" x14ac:dyDescent="0.2">
      <c r="A1309" t="s">
        <v>398</v>
      </c>
      <c r="B1309" t="s">
        <v>1689</v>
      </c>
      <c r="C1309" t="s">
        <v>264</v>
      </c>
      <c r="D1309" t="s">
        <v>265</v>
      </c>
      <c r="E1309">
        <v>5901</v>
      </c>
      <c r="F1309" t="s">
        <v>2949</v>
      </c>
      <c r="G1309" t="s">
        <v>266</v>
      </c>
      <c r="H1309" t="s">
        <v>281</v>
      </c>
      <c r="I1309" t="s">
        <v>333</v>
      </c>
      <c r="J1309" t="s">
        <v>4629</v>
      </c>
    </row>
    <row r="1310" spans="1:10" x14ac:dyDescent="0.2">
      <c r="A1310" t="s">
        <v>398</v>
      </c>
      <c r="B1310" t="s">
        <v>1689</v>
      </c>
      <c r="C1310" t="s">
        <v>264</v>
      </c>
      <c r="D1310" t="s">
        <v>265</v>
      </c>
      <c r="E1310">
        <v>6158</v>
      </c>
      <c r="F1310" t="s">
        <v>2950</v>
      </c>
      <c r="G1310" t="s">
        <v>270</v>
      </c>
      <c r="H1310" t="s">
        <v>287</v>
      </c>
      <c r="I1310">
        <v>113</v>
      </c>
    </row>
    <row r="1311" spans="1:10" x14ac:dyDescent="0.2">
      <c r="A1311" t="s">
        <v>398</v>
      </c>
      <c r="B1311" t="s">
        <v>1689</v>
      </c>
      <c r="C1311" t="s">
        <v>264</v>
      </c>
      <c r="D1311" t="s">
        <v>265</v>
      </c>
      <c r="E1311">
        <v>6403</v>
      </c>
      <c r="F1311" t="s">
        <v>2951</v>
      </c>
      <c r="G1311" t="s">
        <v>270</v>
      </c>
      <c r="H1311" t="s">
        <v>287</v>
      </c>
      <c r="I1311">
        <v>128</v>
      </c>
    </row>
    <row r="1312" spans="1:10" x14ac:dyDescent="0.2">
      <c r="A1312" t="s">
        <v>398</v>
      </c>
      <c r="B1312" t="s">
        <v>1689</v>
      </c>
      <c r="C1312" t="s">
        <v>264</v>
      </c>
      <c r="D1312" t="s">
        <v>265</v>
      </c>
      <c r="E1312">
        <v>6444</v>
      </c>
      <c r="F1312" t="s">
        <v>2952</v>
      </c>
      <c r="G1312" t="s">
        <v>266</v>
      </c>
      <c r="H1312" t="s">
        <v>287</v>
      </c>
      <c r="I1312">
        <v>207</v>
      </c>
    </row>
    <row r="1313" spans="1:10" x14ac:dyDescent="0.2">
      <c r="A1313" t="s">
        <v>398</v>
      </c>
      <c r="B1313" t="s">
        <v>1689</v>
      </c>
      <c r="C1313" t="s">
        <v>264</v>
      </c>
      <c r="D1313" t="s">
        <v>265</v>
      </c>
      <c r="E1313">
        <v>7874</v>
      </c>
      <c r="F1313" t="s">
        <v>2953</v>
      </c>
      <c r="G1313" t="s">
        <v>266</v>
      </c>
      <c r="H1313" t="s">
        <v>279</v>
      </c>
      <c r="I1313">
        <v>476</v>
      </c>
    </row>
    <row r="1314" spans="1:10" x14ac:dyDescent="0.2">
      <c r="A1314" t="s">
        <v>398</v>
      </c>
      <c r="B1314" t="s">
        <v>1689</v>
      </c>
      <c r="C1314" t="s">
        <v>264</v>
      </c>
      <c r="D1314" t="s">
        <v>265</v>
      </c>
      <c r="E1314">
        <v>8584</v>
      </c>
      <c r="F1314" t="s">
        <v>2954</v>
      </c>
      <c r="G1314" t="s">
        <v>266</v>
      </c>
      <c r="H1314" t="s">
        <v>302</v>
      </c>
      <c r="I1314">
        <v>949</v>
      </c>
    </row>
    <row r="1315" spans="1:10" x14ac:dyDescent="0.2">
      <c r="A1315" t="s">
        <v>398</v>
      </c>
      <c r="B1315" t="s">
        <v>1689</v>
      </c>
      <c r="C1315" t="s">
        <v>264</v>
      </c>
      <c r="D1315" t="s">
        <v>265</v>
      </c>
      <c r="E1315">
        <v>9031</v>
      </c>
      <c r="F1315" t="s">
        <v>2955</v>
      </c>
      <c r="G1315" t="s">
        <v>266</v>
      </c>
      <c r="H1315" t="s">
        <v>356</v>
      </c>
      <c r="I1315" t="s">
        <v>289</v>
      </c>
      <c r="J1315" t="s">
        <v>4614</v>
      </c>
    </row>
    <row r="1316" spans="1:10" x14ac:dyDescent="0.2">
      <c r="A1316" t="s">
        <v>398</v>
      </c>
      <c r="B1316" t="s">
        <v>1689</v>
      </c>
      <c r="C1316" t="s">
        <v>264</v>
      </c>
      <c r="D1316" t="s">
        <v>265</v>
      </c>
      <c r="E1316">
        <v>9628</v>
      </c>
      <c r="F1316" t="s">
        <v>2956</v>
      </c>
      <c r="G1316" t="s">
        <v>266</v>
      </c>
      <c r="H1316" t="s">
        <v>271</v>
      </c>
      <c r="I1316">
        <v>180</v>
      </c>
    </row>
    <row r="1317" spans="1:10" x14ac:dyDescent="0.2">
      <c r="A1317" t="s">
        <v>398</v>
      </c>
      <c r="B1317" t="s">
        <v>1931</v>
      </c>
      <c r="C1317" t="s">
        <v>268</v>
      </c>
      <c r="D1317" t="s">
        <v>269</v>
      </c>
      <c r="E1317">
        <v>3939</v>
      </c>
      <c r="F1317" t="s">
        <v>2957</v>
      </c>
      <c r="G1317" t="s">
        <v>266</v>
      </c>
      <c r="H1317" t="s">
        <v>277</v>
      </c>
      <c r="I1317">
        <v>400</v>
      </c>
    </row>
    <row r="1318" spans="1:10" x14ac:dyDescent="0.2">
      <c r="A1318" t="s">
        <v>398</v>
      </c>
      <c r="B1318" t="s">
        <v>1931</v>
      </c>
      <c r="C1318" t="s">
        <v>264</v>
      </c>
      <c r="D1318" t="s">
        <v>265</v>
      </c>
      <c r="E1318">
        <v>6555</v>
      </c>
      <c r="F1318" t="s">
        <v>2958</v>
      </c>
      <c r="G1318" t="s">
        <v>266</v>
      </c>
      <c r="H1318" t="s">
        <v>271</v>
      </c>
      <c r="I1318">
        <v>47</v>
      </c>
    </row>
    <row r="1319" spans="1:10" x14ac:dyDescent="0.2">
      <c r="A1319" t="s">
        <v>398</v>
      </c>
      <c r="B1319" t="s">
        <v>263</v>
      </c>
      <c r="C1319" t="s">
        <v>264</v>
      </c>
      <c r="D1319" t="s">
        <v>265</v>
      </c>
      <c r="E1319">
        <v>2372</v>
      </c>
      <c r="F1319" t="s">
        <v>399</v>
      </c>
      <c r="G1319" t="s">
        <v>266</v>
      </c>
      <c r="H1319" t="s">
        <v>271</v>
      </c>
      <c r="I1319">
        <v>174</v>
      </c>
    </row>
    <row r="1320" spans="1:10" x14ac:dyDescent="0.2">
      <c r="A1320" t="s">
        <v>398</v>
      </c>
      <c r="B1320" t="s">
        <v>263</v>
      </c>
      <c r="C1320" t="s">
        <v>264</v>
      </c>
      <c r="D1320" t="s">
        <v>269</v>
      </c>
      <c r="E1320">
        <v>3634</v>
      </c>
      <c r="F1320" t="s">
        <v>715</v>
      </c>
      <c r="G1320" t="s">
        <v>278</v>
      </c>
      <c r="H1320" t="s">
        <v>277</v>
      </c>
      <c r="I1320">
        <v>40</v>
      </c>
    </row>
    <row r="1321" spans="1:10" x14ac:dyDescent="0.2">
      <c r="A1321" t="s">
        <v>398</v>
      </c>
      <c r="B1321" t="s">
        <v>263</v>
      </c>
      <c r="C1321" t="s">
        <v>268</v>
      </c>
      <c r="D1321" t="s">
        <v>269</v>
      </c>
      <c r="E1321">
        <v>3723</v>
      </c>
      <c r="F1321" t="s">
        <v>2959</v>
      </c>
      <c r="G1321" t="s">
        <v>278</v>
      </c>
      <c r="H1321" t="s">
        <v>277</v>
      </c>
      <c r="I1321">
        <v>129</v>
      </c>
    </row>
    <row r="1322" spans="1:10" x14ac:dyDescent="0.2">
      <c r="A1322" t="s">
        <v>398</v>
      </c>
      <c r="B1322" t="s">
        <v>263</v>
      </c>
      <c r="C1322" t="s">
        <v>264</v>
      </c>
      <c r="D1322" t="s">
        <v>265</v>
      </c>
      <c r="E1322">
        <v>3800</v>
      </c>
      <c r="F1322" t="s">
        <v>2960</v>
      </c>
      <c r="G1322" t="s">
        <v>270</v>
      </c>
      <c r="H1322" t="s">
        <v>277</v>
      </c>
      <c r="I1322">
        <v>168</v>
      </c>
    </row>
    <row r="1323" spans="1:10" x14ac:dyDescent="0.2">
      <c r="A1323" t="s">
        <v>398</v>
      </c>
      <c r="B1323" t="s">
        <v>263</v>
      </c>
      <c r="C1323" t="s">
        <v>264</v>
      </c>
      <c r="D1323" t="s">
        <v>265</v>
      </c>
      <c r="E1323">
        <v>5632</v>
      </c>
      <c r="F1323" t="s">
        <v>2961</v>
      </c>
      <c r="G1323" t="s">
        <v>266</v>
      </c>
      <c r="H1323" t="s">
        <v>726</v>
      </c>
      <c r="I1323">
        <v>165</v>
      </c>
    </row>
    <row r="1324" spans="1:10" x14ac:dyDescent="0.2">
      <c r="A1324" t="s">
        <v>398</v>
      </c>
      <c r="B1324" t="s">
        <v>263</v>
      </c>
      <c r="C1324" t="s">
        <v>264</v>
      </c>
      <c r="D1324" t="s">
        <v>265</v>
      </c>
      <c r="E1324">
        <v>5660</v>
      </c>
      <c r="F1324" t="s">
        <v>2962</v>
      </c>
      <c r="G1324" t="s">
        <v>274</v>
      </c>
      <c r="H1324" t="s">
        <v>726</v>
      </c>
      <c r="I1324">
        <v>69</v>
      </c>
    </row>
    <row r="1325" spans="1:10" x14ac:dyDescent="0.2">
      <c r="A1325" t="s">
        <v>398</v>
      </c>
      <c r="B1325" t="s">
        <v>263</v>
      </c>
      <c r="C1325" t="s">
        <v>275</v>
      </c>
      <c r="D1325" t="s">
        <v>269</v>
      </c>
      <c r="E1325">
        <v>6195</v>
      </c>
      <c r="F1325" t="s">
        <v>1635</v>
      </c>
      <c r="G1325" t="s">
        <v>278</v>
      </c>
      <c r="H1325" t="s">
        <v>271</v>
      </c>
      <c r="I1325">
        <v>162</v>
      </c>
    </row>
    <row r="1326" spans="1:10" x14ac:dyDescent="0.2">
      <c r="A1326" t="s">
        <v>398</v>
      </c>
      <c r="B1326" t="s">
        <v>263</v>
      </c>
      <c r="C1326" t="s">
        <v>264</v>
      </c>
      <c r="D1326" t="s">
        <v>265</v>
      </c>
      <c r="E1326">
        <v>6457</v>
      </c>
      <c r="F1326" t="s">
        <v>2964</v>
      </c>
      <c r="G1326" t="s">
        <v>266</v>
      </c>
      <c r="H1326" t="s">
        <v>287</v>
      </c>
      <c r="I1326" t="s">
        <v>289</v>
      </c>
      <c r="J1326" t="s">
        <v>4376</v>
      </c>
    </row>
    <row r="1327" spans="1:10" x14ac:dyDescent="0.2">
      <c r="A1327" t="s">
        <v>398</v>
      </c>
      <c r="B1327" t="s">
        <v>263</v>
      </c>
      <c r="C1327" t="s">
        <v>273</v>
      </c>
      <c r="D1327" t="s">
        <v>265</v>
      </c>
      <c r="E1327">
        <v>6817</v>
      </c>
      <c r="F1327" t="s">
        <v>2965</v>
      </c>
      <c r="G1327" t="s">
        <v>266</v>
      </c>
      <c r="H1327" t="s">
        <v>291</v>
      </c>
      <c r="I1327">
        <v>332</v>
      </c>
    </row>
    <row r="1328" spans="1:10" x14ac:dyDescent="0.2">
      <c r="A1328" t="s">
        <v>398</v>
      </c>
      <c r="B1328" t="s">
        <v>263</v>
      </c>
      <c r="C1328" t="s">
        <v>264</v>
      </c>
      <c r="D1328" t="s">
        <v>265</v>
      </c>
      <c r="E1328">
        <v>7203</v>
      </c>
      <c r="F1328" t="s">
        <v>2966</v>
      </c>
      <c r="G1328" t="s">
        <v>266</v>
      </c>
      <c r="H1328" t="s">
        <v>296</v>
      </c>
      <c r="I1328" t="s">
        <v>5016</v>
      </c>
      <c r="J1328" t="s">
        <v>4631</v>
      </c>
    </row>
    <row r="1329" spans="1:10" x14ac:dyDescent="0.2">
      <c r="A1329" t="s">
        <v>398</v>
      </c>
      <c r="B1329" t="s">
        <v>263</v>
      </c>
      <c r="C1329" t="s">
        <v>275</v>
      </c>
      <c r="D1329" t="s">
        <v>269</v>
      </c>
      <c r="E1329">
        <v>7674</v>
      </c>
      <c r="F1329" t="s">
        <v>607</v>
      </c>
      <c r="G1329" t="s">
        <v>278</v>
      </c>
      <c r="H1329" t="s">
        <v>276</v>
      </c>
      <c r="I1329">
        <v>88</v>
      </c>
    </row>
    <row r="1330" spans="1:10" x14ac:dyDescent="0.2">
      <c r="A1330" t="s">
        <v>398</v>
      </c>
      <c r="B1330" t="s">
        <v>263</v>
      </c>
      <c r="C1330" t="s">
        <v>264</v>
      </c>
      <c r="D1330" t="s">
        <v>265</v>
      </c>
      <c r="E1330">
        <v>7952</v>
      </c>
      <c r="F1330" t="s">
        <v>404</v>
      </c>
      <c r="G1330" t="s">
        <v>266</v>
      </c>
      <c r="H1330" t="s">
        <v>288</v>
      </c>
      <c r="I1330">
        <v>344</v>
      </c>
    </row>
    <row r="1331" spans="1:10" x14ac:dyDescent="0.2">
      <c r="A1331" t="s">
        <v>398</v>
      </c>
      <c r="B1331" t="s">
        <v>263</v>
      </c>
      <c r="C1331" t="s">
        <v>264</v>
      </c>
      <c r="D1331" t="s">
        <v>265</v>
      </c>
      <c r="E1331">
        <v>8934</v>
      </c>
      <c r="F1331" t="s">
        <v>2967</v>
      </c>
      <c r="G1331" t="s">
        <v>266</v>
      </c>
      <c r="H1331" t="s">
        <v>292</v>
      </c>
      <c r="I1331">
        <v>643</v>
      </c>
    </row>
    <row r="1332" spans="1:10" x14ac:dyDescent="0.2">
      <c r="A1332" t="s">
        <v>398</v>
      </c>
      <c r="B1332" t="s">
        <v>263</v>
      </c>
      <c r="C1332" t="s">
        <v>264</v>
      </c>
      <c r="D1332" t="s">
        <v>265</v>
      </c>
      <c r="E1332">
        <v>9074</v>
      </c>
      <c r="F1332" t="s">
        <v>2968</v>
      </c>
      <c r="G1332" t="s">
        <v>266</v>
      </c>
      <c r="H1332" t="s">
        <v>356</v>
      </c>
      <c r="I1332">
        <v>97</v>
      </c>
    </row>
    <row r="1333" spans="1:10" x14ac:dyDescent="0.2">
      <c r="A1333" t="s">
        <v>398</v>
      </c>
      <c r="B1333" t="s">
        <v>263</v>
      </c>
      <c r="C1333" t="s">
        <v>264</v>
      </c>
      <c r="D1333" t="s">
        <v>265</v>
      </c>
      <c r="E1333">
        <v>9424</v>
      </c>
      <c r="F1333" t="s">
        <v>2969</v>
      </c>
      <c r="G1333" t="s">
        <v>266</v>
      </c>
      <c r="H1333" t="s">
        <v>277</v>
      </c>
      <c r="I1333">
        <v>393</v>
      </c>
    </row>
    <row r="1334" spans="1:10" x14ac:dyDescent="0.2">
      <c r="A1334" t="s">
        <v>405</v>
      </c>
      <c r="B1334" t="s">
        <v>2182</v>
      </c>
      <c r="C1334" t="s">
        <v>264</v>
      </c>
      <c r="D1334" t="s">
        <v>265</v>
      </c>
      <c r="E1334">
        <v>4094</v>
      </c>
      <c r="F1334" t="s">
        <v>2970</v>
      </c>
      <c r="G1334" t="s">
        <v>274</v>
      </c>
      <c r="H1334" t="s">
        <v>279</v>
      </c>
      <c r="I1334">
        <v>213</v>
      </c>
    </row>
    <row r="1335" spans="1:10" x14ac:dyDescent="0.2">
      <c r="A1335" t="s">
        <v>405</v>
      </c>
      <c r="B1335" t="s">
        <v>1915</v>
      </c>
      <c r="C1335" t="s">
        <v>264</v>
      </c>
      <c r="D1335" t="s">
        <v>265</v>
      </c>
      <c r="E1335">
        <v>1301</v>
      </c>
      <c r="F1335" t="s">
        <v>2971</v>
      </c>
      <c r="G1335" t="s">
        <v>266</v>
      </c>
      <c r="H1335" t="s">
        <v>314</v>
      </c>
      <c r="I1335">
        <v>322</v>
      </c>
    </row>
    <row r="1336" spans="1:10" x14ac:dyDescent="0.2">
      <c r="A1336" t="s">
        <v>405</v>
      </c>
      <c r="B1336" t="s">
        <v>1915</v>
      </c>
      <c r="C1336" t="s">
        <v>273</v>
      </c>
      <c r="D1336" t="s">
        <v>265</v>
      </c>
      <c r="E1336">
        <v>1897</v>
      </c>
      <c r="F1336" t="s">
        <v>2972</v>
      </c>
      <c r="G1336" t="s">
        <v>274</v>
      </c>
      <c r="H1336" t="s">
        <v>293</v>
      </c>
      <c r="I1336">
        <v>187</v>
      </c>
    </row>
    <row r="1337" spans="1:10" x14ac:dyDescent="0.2">
      <c r="A1337" t="s">
        <v>405</v>
      </c>
      <c r="B1337" t="s">
        <v>1915</v>
      </c>
      <c r="C1337" t="s">
        <v>264</v>
      </c>
      <c r="D1337" t="s">
        <v>265</v>
      </c>
      <c r="E1337">
        <v>2270</v>
      </c>
      <c r="F1337" t="s">
        <v>2973</v>
      </c>
      <c r="G1337" t="s">
        <v>266</v>
      </c>
      <c r="H1337" t="s">
        <v>267</v>
      </c>
      <c r="I1337" t="s">
        <v>297</v>
      </c>
      <c r="J1337" t="s">
        <v>4723</v>
      </c>
    </row>
    <row r="1338" spans="1:10" x14ac:dyDescent="0.2">
      <c r="A1338" t="s">
        <v>405</v>
      </c>
      <c r="B1338" t="s">
        <v>1915</v>
      </c>
      <c r="C1338" t="s">
        <v>264</v>
      </c>
      <c r="D1338" t="s">
        <v>265</v>
      </c>
      <c r="E1338">
        <v>3103</v>
      </c>
      <c r="F1338" t="s">
        <v>2974</v>
      </c>
      <c r="G1338" t="s">
        <v>266</v>
      </c>
      <c r="H1338" t="s">
        <v>299</v>
      </c>
      <c r="I1338">
        <v>210</v>
      </c>
    </row>
    <row r="1339" spans="1:10" x14ac:dyDescent="0.2">
      <c r="A1339" t="s">
        <v>405</v>
      </c>
      <c r="B1339" t="s">
        <v>1915</v>
      </c>
      <c r="C1339" t="s">
        <v>264</v>
      </c>
      <c r="D1339" t="s">
        <v>265</v>
      </c>
      <c r="E1339">
        <v>3109</v>
      </c>
      <c r="F1339" t="s">
        <v>415</v>
      </c>
      <c r="G1339" t="s">
        <v>266</v>
      </c>
      <c r="H1339" t="s">
        <v>299</v>
      </c>
      <c r="I1339">
        <v>161</v>
      </c>
    </row>
    <row r="1340" spans="1:10" x14ac:dyDescent="0.2">
      <c r="A1340" t="s">
        <v>405</v>
      </c>
      <c r="B1340" t="s">
        <v>1915</v>
      </c>
      <c r="C1340" t="s">
        <v>264</v>
      </c>
      <c r="D1340" t="s">
        <v>265</v>
      </c>
      <c r="E1340">
        <v>4061</v>
      </c>
      <c r="F1340" t="s">
        <v>2975</v>
      </c>
      <c r="G1340" t="s">
        <v>266</v>
      </c>
      <c r="H1340" t="s">
        <v>279</v>
      </c>
      <c r="I1340" t="s">
        <v>289</v>
      </c>
      <c r="J1340" t="s">
        <v>5017</v>
      </c>
    </row>
    <row r="1341" spans="1:10" x14ac:dyDescent="0.2">
      <c r="A1341" t="s">
        <v>405</v>
      </c>
      <c r="B1341" t="s">
        <v>1915</v>
      </c>
      <c r="C1341" t="s">
        <v>264</v>
      </c>
      <c r="D1341" t="s">
        <v>265</v>
      </c>
      <c r="E1341">
        <v>5237</v>
      </c>
      <c r="F1341" t="s">
        <v>4492</v>
      </c>
      <c r="G1341" t="s">
        <v>274</v>
      </c>
      <c r="H1341" t="s">
        <v>308</v>
      </c>
      <c r="I1341">
        <v>89</v>
      </c>
    </row>
    <row r="1342" spans="1:10" x14ac:dyDescent="0.2">
      <c r="A1342" t="s">
        <v>405</v>
      </c>
      <c r="B1342" t="s">
        <v>1915</v>
      </c>
      <c r="C1342" t="s">
        <v>264</v>
      </c>
      <c r="D1342" t="s">
        <v>269</v>
      </c>
      <c r="E1342">
        <v>6347</v>
      </c>
      <c r="F1342" t="s">
        <v>2976</v>
      </c>
      <c r="G1342" t="s">
        <v>270</v>
      </c>
      <c r="H1342" t="s">
        <v>287</v>
      </c>
      <c r="I1342">
        <v>25</v>
      </c>
    </row>
    <row r="1343" spans="1:10" x14ac:dyDescent="0.2">
      <c r="A1343" t="s">
        <v>405</v>
      </c>
      <c r="B1343" t="s">
        <v>1915</v>
      </c>
      <c r="C1343" t="s">
        <v>264</v>
      </c>
      <c r="D1343" t="s">
        <v>265</v>
      </c>
      <c r="E1343">
        <v>7525</v>
      </c>
      <c r="F1343" t="s">
        <v>2977</v>
      </c>
      <c r="G1343" t="s">
        <v>266</v>
      </c>
      <c r="H1343" t="s">
        <v>272</v>
      </c>
      <c r="I1343">
        <v>152</v>
      </c>
    </row>
    <row r="1344" spans="1:10" x14ac:dyDescent="0.2">
      <c r="A1344" t="s">
        <v>405</v>
      </c>
      <c r="B1344" t="s">
        <v>1915</v>
      </c>
      <c r="C1344" t="s">
        <v>264</v>
      </c>
      <c r="D1344" t="s">
        <v>265</v>
      </c>
      <c r="E1344">
        <v>9896</v>
      </c>
      <c r="F1344" t="s">
        <v>560</v>
      </c>
      <c r="G1344" t="s">
        <v>266</v>
      </c>
      <c r="H1344" t="s">
        <v>272</v>
      </c>
      <c r="I1344">
        <v>245</v>
      </c>
    </row>
    <row r="1345" spans="1:10" x14ac:dyDescent="0.2">
      <c r="A1345" t="s">
        <v>405</v>
      </c>
      <c r="B1345" t="s">
        <v>684</v>
      </c>
      <c r="C1345" t="s">
        <v>264</v>
      </c>
      <c r="D1345" t="s">
        <v>265</v>
      </c>
      <c r="E1345">
        <v>3774</v>
      </c>
      <c r="F1345" t="s">
        <v>2978</v>
      </c>
      <c r="G1345" t="s">
        <v>266</v>
      </c>
      <c r="H1345" t="s">
        <v>277</v>
      </c>
      <c r="I1345" t="s">
        <v>297</v>
      </c>
      <c r="J1345" t="s">
        <v>4634</v>
      </c>
    </row>
    <row r="1346" spans="1:10" x14ac:dyDescent="0.2">
      <c r="A1346" t="s">
        <v>405</v>
      </c>
      <c r="B1346" t="s">
        <v>684</v>
      </c>
      <c r="C1346" t="s">
        <v>273</v>
      </c>
      <c r="D1346" t="s">
        <v>265</v>
      </c>
      <c r="E1346">
        <v>4351</v>
      </c>
      <c r="F1346" t="s">
        <v>2979</v>
      </c>
      <c r="G1346" t="s">
        <v>270</v>
      </c>
      <c r="H1346" t="s">
        <v>302</v>
      </c>
      <c r="I1346">
        <v>22</v>
      </c>
    </row>
    <row r="1347" spans="1:10" x14ac:dyDescent="0.2">
      <c r="A1347" t="s">
        <v>405</v>
      </c>
      <c r="B1347" t="s">
        <v>684</v>
      </c>
      <c r="C1347" t="s">
        <v>264</v>
      </c>
      <c r="D1347" t="s">
        <v>265</v>
      </c>
      <c r="E1347">
        <v>4390</v>
      </c>
      <c r="F1347" t="s">
        <v>1528</v>
      </c>
      <c r="G1347" t="s">
        <v>278</v>
      </c>
      <c r="H1347" t="s">
        <v>277</v>
      </c>
      <c r="I1347">
        <v>151</v>
      </c>
    </row>
    <row r="1348" spans="1:10" x14ac:dyDescent="0.2">
      <c r="A1348" t="s">
        <v>405</v>
      </c>
      <c r="B1348" t="s">
        <v>684</v>
      </c>
      <c r="C1348" t="s">
        <v>268</v>
      </c>
      <c r="D1348" t="s">
        <v>265</v>
      </c>
      <c r="E1348">
        <v>7494</v>
      </c>
      <c r="F1348" t="s">
        <v>2980</v>
      </c>
      <c r="G1348" t="s">
        <v>266</v>
      </c>
      <c r="H1348" t="s">
        <v>276</v>
      </c>
      <c r="I1348">
        <v>131</v>
      </c>
    </row>
    <row r="1349" spans="1:10" x14ac:dyDescent="0.2">
      <c r="A1349" t="s">
        <v>405</v>
      </c>
      <c r="B1349" t="s">
        <v>684</v>
      </c>
      <c r="C1349" t="s">
        <v>264</v>
      </c>
      <c r="D1349" t="s">
        <v>265</v>
      </c>
      <c r="E1349">
        <v>8397</v>
      </c>
      <c r="F1349" t="s">
        <v>2981</v>
      </c>
      <c r="G1349" t="s">
        <v>266</v>
      </c>
      <c r="H1349" t="s">
        <v>484</v>
      </c>
      <c r="I1349">
        <v>856</v>
      </c>
    </row>
    <row r="1350" spans="1:10" x14ac:dyDescent="0.2">
      <c r="A1350" t="s">
        <v>405</v>
      </c>
      <c r="B1350" t="s">
        <v>1481</v>
      </c>
      <c r="C1350" t="s">
        <v>264</v>
      </c>
      <c r="D1350" t="s">
        <v>265</v>
      </c>
      <c r="E1350">
        <v>1737</v>
      </c>
      <c r="F1350" t="s">
        <v>2982</v>
      </c>
      <c r="G1350" t="s">
        <v>274</v>
      </c>
      <c r="H1350" t="s">
        <v>293</v>
      </c>
      <c r="I1350">
        <v>126</v>
      </c>
    </row>
    <row r="1351" spans="1:10" x14ac:dyDescent="0.2">
      <c r="A1351" t="s">
        <v>405</v>
      </c>
      <c r="B1351" t="s">
        <v>1481</v>
      </c>
      <c r="C1351" t="s">
        <v>264</v>
      </c>
      <c r="D1351" t="s">
        <v>265</v>
      </c>
      <c r="E1351">
        <v>1810</v>
      </c>
      <c r="F1351" t="s">
        <v>2983</v>
      </c>
      <c r="G1351" t="s">
        <v>266</v>
      </c>
      <c r="H1351" t="s">
        <v>293</v>
      </c>
      <c r="I1351">
        <v>246</v>
      </c>
    </row>
    <row r="1352" spans="1:10" x14ac:dyDescent="0.2">
      <c r="A1352" t="s">
        <v>405</v>
      </c>
      <c r="B1352" t="s">
        <v>1481</v>
      </c>
      <c r="C1352" t="s">
        <v>264</v>
      </c>
      <c r="D1352" t="s">
        <v>265</v>
      </c>
      <c r="E1352">
        <v>1824</v>
      </c>
      <c r="F1352" t="s">
        <v>519</v>
      </c>
      <c r="G1352" t="s">
        <v>266</v>
      </c>
      <c r="H1352" t="s">
        <v>293</v>
      </c>
      <c r="I1352" t="s">
        <v>289</v>
      </c>
      <c r="J1352" t="s">
        <v>4604</v>
      </c>
    </row>
    <row r="1353" spans="1:10" x14ac:dyDescent="0.2">
      <c r="A1353" t="s">
        <v>405</v>
      </c>
      <c r="B1353" t="s">
        <v>1481</v>
      </c>
      <c r="C1353" t="s">
        <v>264</v>
      </c>
      <c r="D1353" t="s">
        <v>265</v>
      </c>
      <c r="E1353">
        <v>1835</v>
      </c>
      <c r="F1353" t="s">
        <v>409</v>
      </c>
      <c r="G1353" t="s">
        <v>266</v>
      </c>
      <c r="H1353" t="s">
        <v>293</v>
      </c>
      <c r="I1353" t="s">
        <v>297</v>
      </c>
      <c r="J1353" t="s">
        <v>4725</v>
      </c>
    </row>
    <row r="1354" spans="1:10" x14ac:dyDescent="0.2">
      <c r="A1354" t="s">
        <v>405</v>
      </c>
      <c r="B1354" t="s">
        <v>1481</v>
      </c>
      <c r="C1354" t="s">
        <v>264</v>
      </c>
      <c r="D1354" t="s">
        <v>265</v>
      </c>
      <c r="E1354">
        <v>2763</v>
      </c>
      <c r="F1354" t="s">
        <v>2984</v>
      </c>
      <c r="G1354" t="s">
        <v>270</v>
      </c>
      <c r="H1354" t="s">
        <v>272</v>
      </c>
      <c r="I1354">
        <v>499</v>
      </c>
    </row>
    <row r="1355" spans="1:10" x14ac:dyDescent="0.2">
      <c r="A1355" t="s">
        <v>405</v>
      </c>
      <c r="B1355" t="s">
        <v>1481</v>
      </c>
      <c r="C1355" t="s">
        <v>264</v>
      </c>
      <c r="D1355" t="s">
        <v>265</v>
      </c>
      <c r="E1355">
        <v>2813</v>
      </c>
      <c r="F1355" t="s">
        <v>2985</v>
      </c>
      <c r="G1355" t="s">
        <v>270</v>
      </c>
      <c r="H1355" t="s">
        <v>267</v>
      </c>
      <c r="I1355">
        <v>38</v>
      </c>
    </row>
    <row r="1356" spans="1:10" x14ac:dyDescent="0.2">
      <c r="A1356" t="s">
        <v>405</v>
      </c>
      <c r="B1356" t="s">
        <v>1481</v>
      </c>
      <c r="C1356" t="s">
        <v>264</v>
      </c>
      <c r="D1356" t="s">
        <v>265</v>
      </c>
      <c r="E1356">
        <v>3101</v>
      </c>
      <c r="F1356" t="s">
        <v>2986</v>
      </c>
      <c r="G1356" t="s">
        <v>266</v>
      </c>
      <c r="H1356" t="s">
        <v>299</v>
      </c>
      <c r="I1356" t="s">
        <v>297</v>
      </c>
      <c r="J1356" t="s">
        <v>4634</v>
      </c>
    </row>
    <row r="1357" spans="1:10" x14ac:dyDescent="0.2">
      <c r="A1357" t="s">
        <v>405</v>
      </c>
      <c r="B1357" t="s">
        <v>1481</v>
      </c>
      <c r="C1357" t="s">
        <v>264</v>
      </c>
      <c r="D1357" t="s">
        <v>265</v>
      </c>
      <c r="E1357">
        <v>3106</v>
      </c>
      <c r="F1357" t="s">
        <v>2987</v>
      </c>
      <c r="G1357" t="s">
        <v>266</v>
      </c>
      <c r="H1357" t="s">
        <v>299</v>
      </c>
      <c r="I1357">
        <v>541</v>
      </c>
    </row>
    <row r="1358" spans="1:10" x14ac:dyDescent="0.2">
      <c r="A1358" t="s">
        <v>405</v>
      </c>
      <c r="B1358" t="s">
        <v>1481</v>
      </c>
      <c r="C1358" t="s">
        <v>264</v>
      </c>
      <c r="D1358" t="s">
        <v>265</v>
      </c>
      <c r="E1358">
        <v>3407</v>
      </c>
      <c r="F1358" t="s">
        <v>2988</v>
      </c>
      <c r="G1358" t="s">
        <v>266</v>
      </c>
      <c r="H1358" t="s">
        <v>279</v>
      </c>
      <c r="I1358" t="s">
        <v>294</v>
      </c>
      <c r="J1358" t="s">
        <v>4621</v>
      </c>
    </row>
    <row r="1359" spans="1:10" x14ac:dyDescent="0.2">
      <c r="A1359" t="s">
        <v>405</v>
      </c>
      <c r="B1359" t="s">
        <v>1481</v>
      </c>
      <c r="C1359" t="s">
        <v>264</v>
      </c>
      <c r="D1359" t="s">
        <v>265</v>
      </c>
      <c r="E1359">
        <v>3861</v>
      </c>
      <c r="F1359" t="s">
        <v>2989</v>
      </c>
      <c r="G1359" t="s">
        <v>266</v>
      </c>
      <c r="H1359" t="s">
        <v>300</v>
      </c>
      <c r="I1359" t="s">
        <v>325</v>
      </c>
      <c r="J1359" t="s">
        <v>4260</v>
      </c>
    </row>
    <row r="1360" spans="1:10" x14ac:dyDescent="0.2">
      <c r="A1360" t="s">
        <v>405</v>
      </c>
      <c r="B1360" t="s">
        <v>1481</v>
      </c>
      <c r="C1360" t="s">
        <v>264</v>
      </c>
      <c r="D1360" t="s">
        <v>265</v>
      </c>
      <c r="E1360">
        <v>5189</v>
      </c>
      <c r="F1360" t="s">
        <v>2990</v>
      </c>
      <c r="G1360" t="s">
        <v>274</v>
      </c>
      <c r="H1360" t="s">
        <v>535</v>
      </c>
      <c r="I1360">
        <v>65</v>
      </c>
    </row>
    <row r="1361" spans="1:10" x14ac:dyDescent="0.2">
      <c r="A1361" t="s">
        <v>405</v>
      </c>
      <c r="B1361" t="s">
        <v>1481</v>
      </c>
      <c r="C1361" t="s">
        <v>264</v>
      </c>
      <c r="D1361" t="s">
        <v>265</v>
      </c>
      <c r="E1361">
        <v>5981</v>
      </c>
      <c r="F1361" t="s">
        <v>2991</v>
      </c>
      <c r="G1361" t="s">
        <v>266</v>
      </c>
      <c r="H1361" t="s">
        <v>281</v>
      </c>
      <c r="I1361">
        <v>194</v>
      </c>
    </row>
    <row r="1362" spans="1:10" x14ac:dyDescent="0.2">
      <c r="A1362" t="s">
        <v>405</v>
      </c>
      <c r="B1362" t="s">
        <v>1481</v>
      </c>
      <c r="C1362" t="s">
        <v>264</v>
      </c>
      <c r="D1362" t="s">
        <v>265</v>
      </c>
      <c r="E1362">
        <v>6101</v>
      </c>
      <c r="F1362" t="s">
        <v>1639</v>
      </c>
      <c r="G1362" t="s">
        <v>266</v>
      </c>
      <c r="H1362" t="s">
        <v>287</v>
      </c>
      <c r="I1362">
        <v>656</v>
      </c>
    </row>
    <row r="1363" spans="1:10" x14ac:dyDescent="0.2">
      <c r="A1363" t="s">
        <v>405</v>
      </c>
      <c r="B1363" t="s">
        <v>1481</v>
      </c>
      <c r="C1363" t="s">
        <v>264</v>
      </c>
      <c r="D1363" t="s">
        <v>265</v>
      </c>
      <c r="E1363">
        <v>6392</v>
      </c>
      <c r="F1363" t="s">
        <v>2992</v>
      </c>
      <c r="G1363" t="s">
        <v>274</v>
      </c>
      <c r="H1363" t="s">
        <v>287</v>
      </c>
      <c r="I1363">
        <v>68</v>
      </c>
    </row>
    <row r="1364" spans="1:10" x14ac:dyDescent="0.2">
      <c r="A1364" t="s">
        <v>405</v>
      </c>
      <c r="B1364" t="s">
        <v>1481</v>
      </c>
      <c r="C1364" t="s">
        <v>264</v>
      </c>
      <c r="D1364" t="s">
        <v>265</v>
      </c>
      <c r="E1364">
        <v>6507</v>
      </c>
      <c r="F1364" t="s">
        <v>2993</v>
      </c>
      <c r="G1364" t="s">
        <v>266</v>
      </c>
      <c r="H1364" t="s">
        <v>291</v>
      </c>
      <c r="I1364">
        <v>395</v>
      </c>
    </row>
    <row r="1365" spans="1:10" x14ac:dyDescent="0.2">
      <c r="A1365" t="s">
        <v>405</v>
      </c>
      <c r="B1365" t="s">
        <v>1481</v>
      </c>
      <c r="C1365" t="s">
        <v>273</v>
      </c>
      <c r="D1365" t="s">
        <v>265</v>
      </c>
      <c r="E1365">
        <v>6546</v>
      </c>
      <c r="F1365" t="s">
        <v>2994</v>
      </c>
      <c r="G1365" t="s">
        <v>266</v>
      </c>
      <c r="H1365" t="s">
        <v>271</v>
      </c>
      <c r="I1365">
        <v>73</v>
      </c>
    </row>
    <row r="1366" spans="1:10" x14ac:dyDescent="0.2">
      <c r="A1366" t="s">
        <v>405</v>
      </c>
      <c r="B1366" t="s">
        <v>1481</v>
      </c>
      <c r="C1366" t="s">
        <v>264</v>
      </c>
      <c r="D1366" t="s">
        <v>265</v>
      </c>
      <c r="E1366">
        <v>7245</v>
      </c>
      <c r="F1366" t="s">
        <v>2995</v>
      </c>
      <c r="G1366" t="s">
        <v>266</v>
      </c>
      <c r="H1366" t="s">
        <v>296</v>
      </c>
      <c r="I1366">
        <v>345</v>
      </c>
    </row>
    <row r="1367" spans="1:10" x14ac:dyDescent="0.2">
      <c r="A1367" t="s">
        <v>405</v>
      </c>
      <c r="B1367" t="s">
        <v>1481</v>
      </c>
      <c r="C1367" t="s">
        <v>264</v>
      </c>
      <c r="D1367" t="s">
        <v>265</v>
      </c>
      <c r="E1367">
        <v>7467</v>
      </c>
      <c r="F1367" t="s">
        <v>2996</v>
      </c>
      <c r="G1367" t="s">
        <v>266</v>
      </c>
      <c r="H1367" t="s">
        <v>272</v>
      </c>
      <c r="I1367">
        <v>247</v>
      </c>
    </row>
    <row r="1368" spans="1:10" x14ac:dyDescent="0.2">
      <c r="A1368" t="s">
        <v>405</v>
      </c>
      <c r="B1368" t="s">
        <v>1481</v>
      </c>
      <c r="C1368" t="s">
        <v>264</v>
      </c>
      <c r="D1368" t="s">
        <v>265</v>
      </c>
      <c r="E1368">
        <v>8281</v>
      </c>
      <c r="F1368" t="s">
        <v>553</v>
      </c>
      <c r="G1368" t="s">
        <v>266</v>
      </c>
      <c r="H1368" t="s">
        <v>276</v>
      </c>
      <c r="I1368">
        <v>596</v>
      </c>
    </row>
    <row r="1369" spans="1:10" x14ac:dyDescent="0.2">
      <c r="A1369" t="s">
        <v>405</v>
      </c>
      <c r="B1369" t="s">
        <v>1481</v>
      </c>
      <c r="C1369" t="s">
        <v>264</v>
      </c>
      <c r="D1369" t="s">
        <v>265</v>
      </c>
      <c r="E1369">
        <v>8410</v>
      </c>
      <c r="F1369" t="s">
        <v>2997</v>
      </c>
      <c r="G1369" t="s">
        <v>266</v>
      </c>
      <c r="H1369" t="s">
        <v>484</v>
      </c>
      <c r="I1369" t="s">
        <v>333</v>
      </c>
      <c r="J1369" t="s">
        <v>4686</v>
      </c>
    </row>
    <row r="1370" spans="1:10" x14ac:dyDescent="0.2">
      <c r="A1370" t="s">
        <v>405</v>
      </c>
      <c r="B1370" t="s">
        <v>1481</v>
      </c>
      <c r="C1370" t="s">
        <v>264</v>
      </c>
      <c r="D1370" t="s">
        <v>265</v>
      </c>
      <c r="E1370">
        <v>9007</v>
      </c>
      <c r="F1370" t="s">
        <v>2998</v>
      </c>
      <c r="G1370" t="s">
        <v>266</v>
      </c>
      <c r="H1370" t="s">
        <v>356</v>
      </c>
      <c r="I1370" t="s">
        <v>407</v>
      </c>
      <c r="J1370" t="s">
        <v>5018</v>
      </c>
    </row>
    <row r="1371" spans="1:10" x14ac:dyDescent="0.2">
      <c r="A1371" t="s">
        <v>405</v>
      </c>
      <c r="B1371" t="s">
        <v>1481</v>
      </c>
      <c r="C1371" t="s">
        <v>264</v>
      </c>
      <c r="D1371" t="s">
        <v>265</v>
      </c>
      <c r="E1371">
        <v>9305</v>
      </c>
      <c r="F1371" t="s">
        <v>2999</v>
      </c>
      <c r="G1371" t="s">
        <v>266</v>
      </c>
      <c r="H1371" t="s">
        <v>272</v>
      </c>
      <c r="I1371">
        <v>181</v>
      </c>
    </row>
    <row r="1372" spans="1:10" x14ac:dyDescent="0.2">
      <c r="A1372" t="s">
        <v>405</v>
      </c>
      <c r="B1372" t="s">
        <v>1481</v>
      </c>
      <c r="C1372" t="s">
        <v>268</v>
      </c>
      <c r="D1372" t="s">
        <v>265</v>
      </c>
      <c r="E1372">
        <v>9476</v>
      </c>
      <c r="F1372" t="s">
        <v>3000</v>
      </c>
      <c r="G1372" t="s">
        <v>270</v>
      </c>
      <c r="H1372" t="s">
        <v>277</v>
      </c>
      <c r="I1372">
        <v>23</v>
      </c>
    </row>
    <row r="1373" spans="1:10" x14ac:dyDescent="0.2">
      <c r="A1373" t="s">
        <v>405</v>
      </c>
      <c r="B1373" t="s">
        <v>1755</v>
      </c>
      <c r="C1373" t="s">
        <v>264</v>
      </c>
      <c r="D1373" t="s">
        <v>265</v>
      </c>
      <c r="E1373">
        <v>8053</v>
      </c>
      <c r="F1373" t="s">
        <v>1768</v>
      </c>
      <c r="G1373" t="s">
        <v>266</v>
      </c>
      <c r="H1373" t="s">
        <v>272</v>
      </c>
      <c r="I1373" t="s">
        <v>744</v>
      </c>
      <c r="J1373" t="s">
        <v>4727</v>
      </c>
    </row>
    <row r="1374" spans="1:10" x14ac:dyDescent="0.2">
      <c r="A1374" t="s">
        <v>405</v>
      </c>
      <c r="B1374" t="s">
        <v>686</v>
      </c>
      <c r="C1374" t="s">
        <v>264</v>
      </c>
      <c r="D1374" t="s">
        <v>265</v>
      </c>
      <c r="E1374">
        <v>1801</v>
      </c>
      <c r="F1374" t="s">
        <v>406</v>
      </c>
      <c r="G1374" t="s">
        <v>266</v>
      </c>
      <c r="H1374" t="s">
        <v>293</v>
      </c>
      <c r="I1374" t="s">
        <v>359</v>
      </c>
      <c r="J1374" t="s">
        <v>5019</v>
      </c>
    </row>
    <row r="1375" spans="1:10" x14ac:dyDescent="0.2">
      <c r="A1375" t="s">
        <v>405</v>
      </c>
      <c r="B1375" t="s">
        <v>686</v>
      </c>
      <c r="C1375" t="s">
        <v>264</v>
      </c>
      <c r="D1375" t="s">
        <v>265</v>
      </c>
      <c r="E1375">
        <v>1826</v>
      </c>
      <c r="F1375" t="s">
        <v>3001</v>
      </c>
      <c r="G1375" t="s">
        <v>266</v>
      </c>
      <c r="H1375" t="s">
        <v>293</v>
      </c>
      <c r="I1375">
        <v>75</v>
      </c>
    </row>
    <row r="1376" spans="1:10" x14ac:dyDescent="0.2">
      <c r="A1376" t="s">
        <v>405</v>
      </c>
      <c r="B1376" t="s">
        <v>686</v>
      </c>
      <c r="C1376" t="s">
        <v>264</v>
      </c>
      <c r="D1376" t="s">
        <v>265</v>
      </c>
      <c r="E1376">
        <v>1867</v>
      </c>
      <c r="F1376" t="s">
        <v>3002</v>
      </c>
      <c r="G1376" t="s">
        <v>266</v>
      </c>
      <c r="H1376" t="s">
        <v>293</v>
      </c>
      <c r="I1376">
        <v>87</v>
      </c>
    </row>
    <row r="1377" spans="1:10" x14ac:dyDescent="0.2">
      <c r="A1377" t="s">
        <v>405</v>
      </c>
      <c r="B1377" t="s">
        <v>686</v>
      </c>
      <c r="C1377" t="s">
        <v>264</v>
      </c>
      <c r="D1377" t="s">
        <v>265</v>
      </c>
      <c r="E1377">
        <v>1964</v>
      </c>
      <c r="F1377" t="s">
        <v>521</v>
      </c>
      <c r="G1377" t="s">
        <v>266</v>
      </c>
      <c r="H1377" t="s">
        <v>293</v>
      </c>
      <c r="I1377">
        <v>141</v>
      </c>
    </row>
    <row r="1378" spans="1:10" x14ac:dyDescent="0.2">
      <c r="A1378" t="s">
        <v>405</v>
      </c>
      <c r="B1378" t="s">
        <v>686</v>
      </c>
      <c r="C1378" t="s">
        <v>275</v>
      </c>
      <c r="D1378" t="s">
        <v>265</v>
      </c>
      <c r="E1378">
        <v>3538</v>
      </c>
      <c r="F1378" t="s">
        <v>3003</v>
      </c>
      <c r="G1378" t="s">
        <v>266</v>
      </c>
      <c r="H1378" t="s">
        <v>276</v>
      </c>
      <c r="I1378">
        <v>90</v>
      </c>
    </row>
    <row r="1379" spans="1:10" x14ac:dyDescent="0.2">
      <c r="A1379" t="s">
        <v>405</v>
      </c>
      <c r="B1379" t="s">
        <v>686</v>
      </c>
      <c r="C1379" t="s">
        <v>264</v>
      </c>
      <c r="D1379" t="s">
        <v>265</v>
      </c>
      <c r="E1379">
        <v>4078</v>
      </c>
      <c r="F1379" t="s">
        <v>3004</v>
      </c>
      <c r="G1379" t="s">
        <v>266</v>
      </c>
      <c r="H1379" t="s">
        <v>279</v>
      </c>
      <c r="I1379">
        <v>405</v>
      </c>
    </row>
    <row r="1380" spans="1:10" x14ac:dyDescent="0.2">
      <c r="A1380" t="s">
        <v>405</v>
      </c>
      <c r="B1380" t="s">
        <v>686</v>
      </c>
      <c r="C1380" t="s">
        <v>264</v>
      </c>
      <c r="D1380" t="s">
        <v>265</v>
      </c>
      <c r="E1380">
        <v>4534</v>
      </c>
      <c r="F1380" t="s">
        <v>1773</v>
      </c>
      <c r="G1380" t="s">
        <v>266</v>
      </c>
      <c r="H1380" t="s">
        <v>311</v>
      </c>
      <c r="I1380" t="s">
        <v>297</v>
      </c>
      <c r="J1380" t="s">
        <v>4268</v>
      </c>
    </row>
    <row r="1381" spans="1:10" x14ac:dyDescent="0.2">
      <c r="A1381" t="s">
        <v>405</v>
      </c>
      <c r="B1381" t="s">
        <v>686</v>
      </c>
      <c r="C1381" t="s">
        <v>264</v>
      </c>
      <c r="D1381" t="s">
        <v>265</v>
      </c>
      <c r="E1381">
        <v>4611</v>
      </c>
      <c r="F1381" t="s">
        <v>3005</v>
      </c>
      <c r="G1381" t="s">
        <v>266</v>
      </c>
      <c r="H1381" t="s">
        <v>279</v>
      </c>
      <c r="I1381">
        <v>355</v>
      </c>
    </row>
    <row r="1382" spans="1:10" x14ac:dyDescent="0.2">
      <c r="A1382" t="s">
        <v>405</v>
      </c>
      <c r="B1382" t="s">
        <v>686</v>
      </c>
      <c r="C1382" t="s">
        <v>264</v>
      </c>
      <c r="D1382" t="s">
        <v>269</v>
      </c>
      <c r="E1382">
        <v>4662</v>
      </c>
      <c r="F1382" t="s">
        <v>3006</v>
      </c>
      <c r="G1382" t="s">
        <v>266</v>
      </c>
      <c r="H1382" t="s">
        <v>277</v>
      </c>
      <c r="I1382">
        <v>164</v>
      </c>
    </row>
    <row r="1383" spans="1:10" x14ac:dyDescent="0.2">
      <c r="A1383" t="s">
        <v>405</v>
      </c>
      <c r="B1383" t="s">
        <v>686</v>
      </c>
      <c r="C1383" t="s">
        <v>264</v>
      </c>
      <c r="D1383" t="s">
        <v>265</v>
      </c>
      <c r="E1383">
        <v>4694</v>
      </c>
      <c r="F1383" t="s">
        <v>3007</v>
      </c>
      <c r="G1383" t="s">
        <v>266</v>
      </c>
      <c r="H1383" t="s">
        <v>271</v>
      </c>
      <c r="I1383" t="s">
        <v>297</v>
      </c>
      <c r="J1383" t="s">
        <v>4687</v>
      </c>
    </row>
    <row r="1384" spans="1:10" x14ac:dyDescent="0.2">
      <c r="A1384" t="s">
        <v>405</v>
      </c>
      <c r="B1384" t="s">
        <v>686</v>
      </c>
      <c r="C1384" t="s">
        <v>264</v>
      </c>
      <c r="D1384" t="s">
        <v>265</v>
      </c>
      <c r="E1384">
        <v>5161</v>
      </c>
      <c r="F1384" t="s">
        <v>3008</v>
      </c>
      <c r="G1384" t="s">
        <v>274</v>
      </c>
      <c r="H1384" t="s">
        <v>535</v>
      </c>
      <c r="I1384">
        <v>360</v>
      </c>
    </row>
    <row r="1385" spans="1:10" x14ac:dyDescent="0.2">
      <c r="A1385" t="s">
        <v>405</v>
      </c>
      <c r="B1385" t="s">
        <v>686</v>
      </c>
      <c r="C1385" t="s">
        <v>264</v>
      </c>
      <c r="D1385" t="s">
        <v>265</v>
      </c>
      <c r="E1385">
        <v>5192</v>
      </c>
      <c r="F1385" t="s">
        <v>534</v>
      </c>
      <c r="G1385" t="s">
        <v>266</v>
      </c>
      <c r="H1385" t="s">
        <v>535</v>
      </c>
      <c r="I1385">
        <v>668</v>
      </c>
    </row>
    <row r="1386" spans="1:10" x14ac:dyDescent="0.2">
      <c r="A1386" t="s">
        <v>405</v>
      </c>
      <c r="B1386" t="s">
        <v>686</v>
      </c>
      <c r="C1386" t="s">
        <v>264</v>
      </c>
      <c r="D1386" t="s">
        <v>265</v>
      </c>
      <c r="E1386">
        <v>5715</v>
      </c>
      <c r="F1386" t="s">
        <v>3009</v>
      </c>
      <c r="G1386" t="s">
        <v>266</v>
      </c>
      <c r="H1386" t="s">
        <v>373</v>
      </c>
      <c r="I1386">
        <v>573</v>
      </c>
    </row>
    <row r="1387" spans="1:10" x14ac:dyDescent="0.2">
      <c r="A1387" t="s">
        <v>405</v>
      </c>
      <c r="B1387" t="s">
        <v>686</v>
      </c>
      <c r="C1387" t="s">
        <v>264</v>
      </c>
      <c r="D1387" t="s">
        <v>265</v>
      </c>
      <c r="E1387">
        <v>5952</v>
      </c>
      <c r="F1387" t="s">
        <v>3010</v>
      </c>
      <c r="G1387" t="s">
        <v>274</v>
      </c>
      <c r="H1387" t="s">
        <v>281</v>
      </c>
      <c r="I1387">
        <v>17</v>
      </c>
    </row>
    <row r="1388" spans="1:10" x14ac:dyDescent="0.2">
      <c r="A1388" t="s">
        <v>405</v>
      </c>
      <c r="B1388" t="s">
        <v>686</v>
      </c>
      <c r="C1388" t="s">
        <v>264</v>
      </c>
      <c r="D1388" t="s">
        <v>265</v>
      </c>
      <c r="E1388">
        <v>5986</v>
      </c>
      <c r="F1388" t="s">
        <v>3011</v>
      </c>
      <c r="G1388" t="s">
        <v>266</v>
      </c>
      <c r="H1388" t="s">
        <v>281</v>
      </c>
      <c r="I1388">
        <v>87</v>
      </c>
    </row>
    <row r="1389" spans="1:10" x14ac:dyDescent="0.2">
      <c r="A1389" t="s">
        <v>405</v>
      </c>
      <c r="B1389" t="s">
        <v>686</v>
      </c>
      <c r="C1389" t="s">
        <v>264</v>
      </c>
      <c r="D1389" t="s">
        <v>269</v>
      </c>
      <c r="E1389">
        <v>6346</v>
      </c>
      <c r="F1389" t="s">
        <v>3012</v>
      </c>
      <c r="G1389" t="s">
        <v>274</v>
      </c>
      <c r="H1389" t="s">
        <v>287</v>
      </c>
      <c r="I1389">
        <v>54</v>
      </c>
    </row>
    <row r="1390" spans="1:10" x14ac:dyDescent="0.2">
      <c r="A1390" t="s">
        <v>405</v>
      </c>
      <c r="B1390" t="s">
        <v>686</v>
      </c>
      <c r="C1390" t="s">
        <v>264</v>
      </c>
      <c r="D1390" t="s">
        <v>265</v>
      </c>
      <c r="E1390">
        <v>6859</v>
      </c>
      <c r="F1390" t="s">
        <v>3013</v>
      </c>
      <c r="G1390" t="s">
        <v>266</v>
      </c>
      <c r="H1390" t="s">
        <v>291</v>
      </c>
      <c r="I1390">
        <v>541</v>
      </c>
    </row>
    <row r="1391" spans="1:10" x14ac:dyDescent="0.2">
      <c r="A1391" t="s">
        <v>405</v>
      </c>
      <c r="B1391" t="s">
        <v>686</v>
      </c>
      <c r="C1391" t="s">
        <v>264</v>
      </c>
      <c r="D1391" t="s">
        <v>265</v>
      </c>
      <c r="E1391">
        <v>6989</v>
      </c>
      <c r="F1391" t="s">
        <v>1780</v>
      </c>
      <c r="G1391" t="s">
        <v>266</v>
      </c>
      <c r="H1391" t="s">
        <v>291</v>
      </c>
      <c r="I1391">
        <v>124</v>
      </c>
    </row>
    <row r="1392" spans="1:10" x14ac:dyDescent="0.2">
      <c r="A1392" t="s">
        <v>405</v>
      </c>
      <c r="B1392" t="s">
        <v>686</v>
      </c>
      <c r="C1392" t="s">
        <v>264</v>
      </c>
      <c r="D1392" t="s">
        <v>265</v>
      </c>
      <c r="E1392">
        <v>7246</v>
      </c>
      <c r="F1392" t="s">
        <v>3014</v>
      </c>
      <c r="G1392" t="s">
        <v>266</v>
      </c>
      <c r="H1392" t="s">
        <v>296</v>
      </c>
      <c r="I1392">
        <v>467</v>
      </c>
    </row>
    <row r="1393" spans="1:10" x14ac:dyDescent="0.2">
      <c r="A1393" t="s">
        <v>405</v>
      </c>
      <c r="B1393" t="s">
        <v>686</v>
      </c>
      <c r="C1393" t="s">
        <v>264</v>
      </c>
      <c r="D1393" t="s">
        <v>265</v>
      </c>
      <c r="E1393">
        <v>7287</v>
      </c>
      <c r="F1393" t="s">
        <v>3015</v>
      </c>
      <c r="G1393" t="s">
        <v>274</v>
      </c>
      <c r="H1393" t="s">
        <v>296</v>
      </c>
      <c r="I1393" t="s">
        <v>297</v>
      </c>
      <c r="J1393" t="s">
        <v>5020</v>
      </c>
    </row>
    <row r="1394" spans="1:10" x14ac:dyDescent="0.2">
      <c r="A1394" t="s">
        <v>405</v>
      </c>
      <c r="B1394" t="s">
        <v>686</v>
      </c>
      <c r="C1394" t="s">
        <v>264</v>
      </c>
      <c r="D1394" t="s">
        <v>265</v>
      </c>
      <c r="E1394">
        <v>7480</v>
      </c>
      <c r="F1394" t="s">
        <v>423</v>
      </c>
      <c r="G1394" t="s">
        <v>266</v>
      </c>
      <c r="H1394" t="s">
        <v>272</v>
      </c>
      <c r="I1394">
        <v>215</v>
      </c>
    </row>
    <row r="1395" spans="1:10" x14ac:dyDescent="0.2">
      <c r="A1395" t="s">
        <v>405</v>
      </c>
      <c r="B1395" t="s">
        <v>686</v>
      </c>
      <c r="C1395" t="s">
        <v>264</v>
      </c>
      <c r="D1395" t="s">
        <v>269</v>
      </c>
      <c r="E1395">
        <v>7937</v>
      </c>
      <c r="F1395" t="s">
        <v>3016</v>
      </c>
      <c r="G1395" t="s">
        <v>266</v>
      </c>
      <c r="H1395" t="s">
        <v>288</v>
      </c>
      <c r="I1395">
        <v>442</v>
      </c>
    </row>
    <row r="1396" spans="1:10" x14ac:dyDescent="0.2">
      <c r="A1396" t="s">
        <v>405</v>
      </c>
      <c r="B1396" t="s">
        <v>686</v>
      </c>
      <c r="C1396" t="s">
        <v>264</v>
      </c>
      <c r="D1396" t="s">
        <v>265</v>
      </c>
      <c r="E1396">
        <v>8098</v>
      </c>
      <c r="F1396" t="s">
        <v>3017</v>
      </c>
      <c r="G1396" t="s">
        <v>266</v>
      </c>
      <c r="H1396" t="s">
        <v>272</v>
      </c>
      <c r="I1396" t="s">
        <v>297</v>
      </c>
      <c r="J1396" t="s">
        <v>5021</v>
      </c>
    </row>
    <row r="1397" spans="1:10" x14ac:dyDescent="0.2">
      <c r="A1397" t="s">
        <v>405</v>
      </c>
      <c r="B1397" t="s">
        <v>686</v>
      </c>
      <c r="C1397" t="s">
        <v>264</v>
      </c>
      <c r="D1397" t="s">
        <v>265</v>
      </c>
      <c r="E1397">
        <v>8117</v>
      </c>
      <c r="F1397" t="s">
        <v>3018</v>
      </c>
      <c r="G1397" t="s">
        <v>274</v>
      </c>
      <c r="H1397" t="s">
        <v>272</v>
      </c>
      <c r="I1397">
        <v>567</v>
      </c>
    </row>
    <row r="1398" spans="1:10" x14ac:dyDescent="0.2">
      <c r="A1398" t="s">
        <v>405</v>
      </c>
      <c r="B1398" t="s">
        <v>686</v>
      </c>
      <c r="C1398" t="s">
        <v>264</v>
      </c>
      <c r="D1398" t="s">
        <v>265</v>
      </c>
      <c r="E1398">
        <v>8253</v>
      </c>
      <c r="F1398" t="s">
        <v>1785</v>
      </c>
      <c r="G1398" t="s">
        <v>266</v>
      </c>
      <c r="H1398" t="s">
        <v>302</v>
      </c>
      <c r="I1398" t="s">
        <v>333</v>
      </c>
      <c r="J1398" t="s">
        <v>5022</v>
      </c>
    </row>
    <row r="1399" spans="1:10" x14ac:dyDescent="0.2">
      <c r="A1399" t="s">
        <v>405</v>
      </c>
      <c r="B1399" t="s">
        <v>686</v>
      </c>
      <c r="C1399" t="s">
        <v>264</v>
      </c>
      <c r="D1399" t="s">
        <v>265</v>
      </c>
      <c r="E1399">
        <v>8387</v>
      </c>
      <c r="F1399" t="s">
        <v>3019</v>
      </c>
      <c r="G1399" t="s">
        <v>266</v>
      </c>
      <c r="H1399" t="s">
        <v>484</v>
      </c>
      <c r="I1399">
        <v>422</v>
      </c>
    </row>
    <row r="1400" spans="1:10" x14ac:dyDescent="0.2">
      <c r="A1400" t="s">
        <v>405</v>
      </c>
      <c r="B1400" t="s">
        <v>686</v>
      </c>
      <c r="C1400" t="s">
        <v>264</v>
      </c>
      <c r="D1400" t="s">
        <v>265</v>
      </c>
      <c r="E1400">
        <v>8511</v>
      </c>
      <c r="F1400" t="s">
        <v>3020</v>
      </c>
      <c r="G1400" t="s">
        <v>266</v>
      </c>
      <c r="H1400" t="s">
        <v>302</v>
      </c>
      <c r="I1400">
        <v>522</v>
      </c>
    </row>
    <row r="1401" spans="1:10" x14ac:dyDescent="0.2">
      <c r="A1401" t="s">
        <v>405</v>
      </c>
      <c r="B1401" t="s">
        <v>686</v>
      </c>
      <c r="C1401" t="s">
        <v>264</v>
      </c>
      <c r="D1401" t="s">
        <v>265</v>
      </c>
      <c r="E1401">
        <v>9072</v>
      </c>
      <c r="F1401" t="s">
        <v>3021</v>
      </c>
      <c r="G1401" t="s">
        <v>266</v>
      </c>
      <c r="H1401" t="s">
        <v>356</v>
      </c>
      <c r="I1401" t="s">
        <v>297</v>
      </c>
      <c r="J1401" t="s">
        <v>4952</v>
      </c>
    </row>
    <row r="1402" spans="1:10" x14ac:dyDescent="0.2">
      <c r="A1402" t="s">
        <v>405</v>
      </c>
      <c r="B1402" t="s">
        <v>686</v>
      </c>
      <c r="C1402" t="s">
        <v>264</v>
      </c>
      <c r="D1402" t="s">
        <v>265</v>
      </c>
      <c r="E1402">
        <v>9171</v>
      </c>
      <c r="F1402" t="s">
        <v>3022</v>
      </c>
      <c r="G1402" t="s">
        <v>274</v>
      </c>
      <c r="H1402" t="s">
        <v>2193</v>
      </c>
      <c r="I1402">
        <v>74</v>
      </c>
    </row>
    <row r="1403" spans="1:10" x14ac:dyDescent="0.2">
      <c r="A1403" t="s">
        <v>405</v>
      </c>
      <c r="B1403" t="s">
        <v>686</v>
      </c>
      <c r="C1403" t="s">
        <v>264</v>
      </c>
      <c r="D1403" t="s">
        <v>265</v>
      </c>
      <c r="E1403">
        <v>9304</v>
      </c>
      <c r="F1403" t="s">
        <v>3023</v>
      </c>
      <c r="G1403" t="s">
        <v>266</v>
      </c>
      <c r="H1403" t="s">
        <v>556</v>
      </c>
      <c r="I1403">
        <v>353</v>
      </c>
    </row>
    <row r="1404" spans="1:10" x14ac:dyDescent="0.2">
      <c r="A1404" t="s">
        <v>405</v>
      </c>
      <c r="B1404" t="s">
        <v>686</v>
      </c>
      <c r="C1404" t="s">
        <v>264</v>
      </c>
      <c r="D1404" t="s">
        <v>265</v>
      </c>
      <c r="E1404">
        <v>9475</v>
      </c>
      <c r="F1404" t="s">
        <v>3024</v>
      </c>
      <c r="G1404" t="s">
        <v>266</v>
      </c>
      <c r="H1404" t="s">
        <v>277</v>
      </c>
      <c r="I1404">
        <v>71</v>
      </c>
    </row>
    <row r="1405" spans="1:10" x14ac:dyDescent="0.2">
      <c r="A1405" t="s">
        <v>405</v>
      </c>
      <c r="B1405" t="s">
        <v>686</v>
      </c>
      <c r="C1405" t="s">
        <v>264</v>
      </c>
      <c r="D1405" t="s">
        <v>265</v>
      </c>
      <c r="E1405">
        <v>9537</v>
      </c>
      <c r="F1405" t="s">
        <v>3025</v>
      </c>
      <c r="G1405" t="s">
        <v>274</v>
      </c>
      <c r="H1405" t="s">
        <v>489</v>
      </c>
      <c r="I1405">
        <v>149</v>
      </c>
    </row>
    <row r="1406" spans="1:10" x14ac:dyDescent="0.2">
      <c r="A1406" t="s">
        <v>405</v>
      </c>
      <c r="B1406" t="s">
        <v>327</v>
      </c>
      <c r="C1406" t="s">
        <v>264</v>
      </c>
      <c r="D1406" t="s">
        <v>265</v>
      </c>
      <c r="E1406">
        <v>1720</v>
      </c>
      <c r="F1406" t="s">
        <v>3026</v>
      </c>
      <c r="G1406" t="s">
        <v>266</v>
      </c>
      <c r="H1406" t="s">
        <v>293</v>
      </c>
      <c r="I1406">
        <v>854</v>
      </c>
    </row>
    <row r="1407" spans="1:10" x14ac:dyDescent="0.2">
      <c r="A1407" t="s">
        <v>405</v>
      </c>
      <c r="B1407" t="s">
        <v>327</v>
      </c>
      <c r="C1407" t="s">
        <v>264</v>
      </c>
      <c r="D1407" t="s">
        <v>265</v>
      </c>
      <c r="E1407">
        <v>1721</v>
      </c>
      <c r="F1407" t="s">
        <v>1473</v>
      </c>
      <c r="G1407" t="s">
        <v>266</v>
      </c>
      <c r="H1407" t="s">
        <v>293</v>
      </c>
      <c r="I1407" t="s">
        <v>316</v>
      </c>
      <c r="J1407" t="s">
        <v>4264</v>
      </c>
    </row>
    <row r="1408" spans="1:10" x14ac:dyDescent="0.2">
      <c r="A1408" t="s">
        <v>405</v>
      </c>
      <c r="B1408" t="s">
        <v>327</v>
      </c>
      <c r="C1408" t="s">
        <v>264</v>
      </c>
      <c r="D1408" t="s">
        <v>265</v>
      </c>
      <c r="E1408">
        <v>1736</v>
      </c>
      <c r="F1408" t="s">
        <v>3027</v>
      </c>
      <c r="G1408" t="s">
        <v>270</v>
      </c>
      <c r="H1408" t="s">
        <v>293</v>
      </c>
      <c r="I1408">
        <v>150</v>
      </c>
    </row>
    <row r="1409" spans="1:10" x14ac:dyDescent="0.2">
      <c r="A1409" t="s">
        <v>405</v>
      </c>
      <c r="B1409" t="s">
        <v>327</v>
      </c>
      <c r="C1409" t="s">
        <v>264</v>
      </c>
      <c r="D1409" t="s">
        <v>265</v>
      </c>
      <c r="E1409">
        <v>1808</v>
      </c>
      <c r="F1409" t="s">
        <v>3028</v>
      </c>
      <c r="G1409" t="s">
        <v>266</v>
      </c>
      <c r="H1409" t="s">
        <v>293</v>
      </c>
      <c r="I1409" t="s">
        <v>316</v>
      </c>
      <c r="J1409" t="s">
        <v>5023</v>
      </c>
    </row>
    <row r="1410" spans="1:10" x14ac:dyDescent="0.2">
      <c r="A1410" t="s">
        <v>405</v>
      </c>
      <c r="B1410" t="s">
        <v>327</v>
      </c>
      <c r="C1410" t="s">
        <v>264</v>
      </c>
      <c r="D1410" t="s">
        <v>265</v>
      </c>
      <c r="E1410">
        <v>1813</v>
      </c>
      <c r="F1410" t="s">
        <v>408</v>
      </c>
      <c r="G1410" t="s">
        <v>266</v>
      </c>
      <c r="H1410" t="s">
        <v>293</v>
      </c>
      <c r="I1410">
        <v>288</v>
      </c>
    </row>
    <row r="1411" spans="1:10" x14ac:dyDescent="0.2">
      <c r="A1411" t="s">
        <v>405</v>
      </c>
      <c r="B1411" t="s">
        <v>327</v>
      </c>
      <c r="C1411" t="s">
        <v>264</v>
      </c>
      <c r="D1411" t="s">
        <v>265</v>
      </c>
      <c r="E1411">
        <v>1828</v>
      </c>
      <c r="F1411" t="s">
        <v>3029</v>
      </c>
      <c r="G1411" t="s">
        <v>274</v>
      </c>
      <c r="H1411" t="s">
        <v>293</v>
      </c>
      <c r="I1411">
        <v>107</v>
      </c>
    </row>
    <row r="1412" spans="1:10" x14ac:dyDescent="0.2">
      <c r="A1412" t="s">
        <v>405</v>
      </c>
      <c r="B1412" t="s">
        <v>327</v>
      </c>
      <c r="C1412" t="s">
        <v>264</v>
      </c>
      <c r="D1412" t="s">
        <v>269</v>
      </c>
      <c r="E1412">
        <v>1853</v>
      </c>
      <c r="F1412" t="s">
        <v>410</v>
      </c>
      <c r="G1412" t="s">
        <v>274</v>
      </c>
      <c r="H1412" t="s">
        <v>293</v>
      </c>
      <c r="I1412">
        <v>108</v>
      </c>
    </row>
    <row r="1413" spans="1:10" x14ac:dyDescent="0.2">
      <c r="A1413" t="s">
        <v>405</v>
      </c>
      <c r="B1413" t="s">
        <v>327</v>
      </c>
      <c r="C1413" t="s">
        <v>264</v>
      </c>
      <c r="D1413" t="s">
        <v>265</v>
      </c>
      <c r="E1413">
        <v>1871</v>
      </c>
      <c r="F1413" t="s">
        <v>3030</v>
      </c>
      <c r="G1413" t="s">
        <v>266</v>
      </c>
      <c r="H1413" t="s">
        <v>293</v>
      </c>
      <c r="I1413">
        <v>352</v>
      </c>
    </row>
    <row r="1414" spans="1:10" x14ac:dyDescent="0.2">
      <c r="A1414" t="s">
        <v>405</v>
      </c>
      <c r="B1414" t="s">
        <v>327</v>
      </c>
      <c r="C1414" t="s">
        <v>264</v>
      </c>
      <c r="D1414" t="s">
        <v>265</v>
      </c>
      <c r="E1414">
        <v>1883</v>
      </c>
      <c r="F1414" t="s">
        <v>3031</v>
      </c>
      <c r="G1414" t="s">
        <v>266</v>
      </c>
      <c r="H1414" t="s">
        <v>293</v>
      </c>
      <c r="I1414" t="s">
        <v>333</v>
      </c>
      <c r="J1414" t="s">
        <v>5024</v>
      </c>
    </row>
    <row r="1415" spans="1:10" x14ac:dyDescent="0.2">
      <c r="A1415" t="s">
        <v>405</v>
      </c>
      <c r="B1415" t="s">
        <v>327</v>
      </c>
      <c r="C1415" t="s">
        <v>264</v>
      </c>
      <c r="D1415" t="s">
        <v>265</v>
      </c>
      <c r="E1415">
        <v>1890</v>
      </c>
      <c r="F1415" t="s">
        <v>3032</v>
      </c>
      <c r="G1415" t="s">
        <v>266</v>
      </c>
      <c r="H1415" t="s">
        <v>293</v>
      </c>
      <c r="I1415">
        <v>525</v>
      </c>
    </row>
    <row r="1416" spans="1:10" x14ac:dyDescent="0.2">
      <c r="A1416" t="s">
        <v>405</v>
      </c>
      <c r="B1416" t="s">
        <v>327</v>
      </c>
      <c r="C1416" t="s">
        <v>264</v>
      </c>
      <c r="D1416" t="s">
        <v>265</v>
      </c>
      <c r="E1416">
        <v>1893</v>
      </c>
      <c r="F1416" t="s">
        <v>1521</v>
      </c>
      <c r="G1416" t="s">
        <v>266</v>
      </c>
      <c r="H1416" t="s">
        <v>293</v>
      </c>
      <c r="I1416" t="s">
        <v>297</v>
      </c>
      <c r="J1416" t="s">
        <v>4306</v>
      </c>
    </row>
    <row r="1417" spans="1:10" x14ac:dyDescent="0.2">
      <c r="A1417" t="s">
        <v>405</v>
      </c>
      <c r="B1417" t="s">
        <v>327</v>
      </c>
      <c r="C1417" t="s">
        <v>264</v>
      </c>
      <c r="D1417" t="s">
        <v>265</v>
      </c>
      <c r="E1417">
        <v>1898</v>
      </c>
      <c r="F1417" t="s">
        <v>3033</v>
      </c>
      <c r="G1417" t="s">
        <v>266</v>
      </c>
      <c r="H1417" t="s">
        <v>293</v>
      </c>
      <c r="I1417">
        <v>406</v>
      </c>
    </row>
    <row r="1418" spans="1:10" x14ac:dyDescent="0.2">
      <c r="A1418" t="s">
        <v>405</v>
      </c>
      <c r="B1418" t="s">
        <v>327</v>
      </c>
      <c r="C1418" t="s">
        <v>264</v>
      </c>
      <c r="D1418" t="s">
        <v>265</v>
      </c>
      <c r="E1418">
        <v>1905</v>
      </c>
      <c r="F1418" t="s">
        <v>3034</v>
      </c>
      <c r="G1418" t="s">
        <v>270</v>
      </c>
      <c r="H1418" t="s">
        <v>293</v>
      </c>
      <c r="I1418">
        <v>74</v>
      </c>
    </row>
    <row r="1419" spans="1:10" x14ac:dyDescent="0.2">
      <c r="A1419" t="s">
        <v>405</v>
      </c>
      <c r="B1419" t="s">
        <v>327</v>
      </c>
      <c r="C1419" t="s">
        <v>264</v>
      </c>
      <c r="D1419" t="s">
        <v>265</v>
      </c>
      <c r="E1419">
        <v>1929</v>
      </c>
      <c r="F1419" t="s">
        <v>3035</v>
      </c>
      <c r="G1419" t="s">
        <v>266</v>
      </c>
      <c r="H1419" t="s">
        <v>293</v>
      </c>
      <c r="I1419">
        <v>391</v>
      </c>
    </row>
    <row r="1420" spans="1:10" x14ac:dyDescent="0.2">
      <c r="A1420" t="s">
        <v>405</v>
      </c>
      <c r="B1420" t="s">
        <v>327</v>
      </c>
      <c r="C1420" t="s">
        <v>264</v>
      </c>
      <c r="D1420" t="s">
        <v>265</v>
      </c>
      <c r="E1420">
        <v>1961</v>
      </c>
      <c r="F1420" t="s">
        <v>412</v>
      </c>
      <c r="G1420" t="s">
        <v>266</v>
      </c>
      <c r="H1420" t="s">
        <v>293</v>
      </c>
      <c r="I1420">
        <v>944</v>
      </c>
    </row>
    <row r="1421" spans="1:10" x14ac:dyDescent="0.2">
      <c r="A1421" t="s">
        <v>405</v>
      </c>
      <c r="B1421" t="s">
        <v>327</v>
      </c>
      <c r="C1421" t="s">
        <v>264</v>
      </c>
      <c r="D1421" t="s">
        <v>265</v>
      </c>
      <c r="E1421">
        <v>1969</v>
      </c>
      <c r="F1421" t="s">
        <v>413</v>
      </c>
      <c r="G1421" t="s">
        <v>266</v>
      </c>
      <c r="H1421" t="s">
        <v>293</v>
      </c>
      <c r="I1421" t="s">
        <v>297</v>
      </c>
      <c r="J1421" t="s">
        <v>4672</v>
      </c>
    </row>
    <row r="1422" spans="1:10" x14ac:dyDescent="0.2">
      <c r="A1422" t="s">
        <v>405</v>
      </c>
      <c r="B1422" t="s">
        <v>327</v>
      </c>
      <c r="C1422" t="s">
        <v>264</v>
      </c>
      <c r="D1422" t="s">
        <v>265</v>
      </c>
      <c r="E1422">
        <v>1975</v>
      </c>
      <c r="F1422" t="s">
        <v>3036</v>
      </c>
      <c r="G1422" t="s">
        <v>266</v>
      </c>
      <c r="H1422" t="s">
        <v>293</v>
      </c>
      <c r="I1422">
        <v>239</v>
      </c>
    </row>
    <row r="1423" spans="1:10" x14ac:dyDescent="0.2">
      <c r="A1423" t="s">
        <v>405</v>
      </c>
      <c r="B1423" t="s">
        <v>327</v>
      </c>
      <c r="C1423" t="s">
        <v>264</v>
      </c>
      <c r="D1423" t="s">
        <v>265</v>
      </c>
      <c r="E1423">
        <v>2121</v>
      </c>
      <c r="F1423" t="s">
        <v>3037</v>
      </c>
      <c r="G1423" t="s">
        <v>278</v>
      </c>
      <c r="H1423" t="s">
        <v>271</v>
      </c>
      <c r="I1423" t="s">
        <v>297</v>
      </c>
      <c r="J1423" t="s">
        <v>4663</v>
      </c>
    </row>
    <row r="1424" spans="1:10" x14ac:dyDescent="0.2">
      <c r="A1424" t="s">
        <v>405</v>
      </c>
      <c r="B1424" t="s">
        <v>327</v>
      </c>
      <c r="C1424" t="s">
        <v>264</v>
      </c>
      <c r="D1424" t="s">
        <v>265</v>
      </c>
      <c r="E1424">
        <v>2173</v>
      </c>
      <c r="F1424" t="s">
        <v>660</v>
      </c>
      <c r="G1424" t="s">
        <v>270</v>
      </c>
      <c r="H1424" t="s">
        <v>271</v>
      </c>
      <c r="I1424">
        <v>58</v>
      </c>
    </row>
    <row r="1425" spans="1:10" x14ac:dyDescent="0.2">
      <c r="A1425" t="s">
        <v>405</v>
      </c>
      <c r="B1425" t="s">
        <v>327</v>
      </c>
      <c r="C1425" t="s">
        <v>264</v>
      </c>
      <c r="D1425" t="s">
        <v>265</v>
      </c>
      <c r="E1425">
        <v>2207</v>
      </c>
      <c r="F1425" t="s">
        <v>3038</v>
      </c>
      <c r="G1425" t="s">
        <v>266</v>
      </c>
      <c r="H1425" t="s">
        <v>267</v>
      </c>
      <c r="I1425">
        <v>242</v>
      </c>
    </row>
    <row r="1426" spans="1:10" x14ac:dyDescent="0.2">
      <c r="A1426" t="s">
        <v>405</v>
      </c>
      <c r="B1426" t="s">
        <v>327</v>
      </c>
      <c r="C1426" t="s">
        <v>275</v>
      </c>
      <c r="D1426" t="s">
        <v>265</v>
      </c>
      <c r="E1426">
        <v>2226</v>
      </c>
      <c r="F1426" t="s">
        <v>3039</v>
      </c>
      <c r="G1426" t="s">
        <v>270</v>
      </c>
      <c r="H1426" t="s">
        <v>267</v>
      </c>
      <c r="I1426">
        <v>255</v>
      </c>
    </row>
    <row r="1427" spans="1:10" x14ac:dyDescent="0.2">
      <c r="A1427" t="s">
        <v>405</v>
      </c>
      <c r="B1427" t="s">
        <v>327</v>
      </c>
      <c r="C1427" t="s">
        <v>273</v>
      </c>
      <c r="D1427" t="s">
        <v>269</v>
      </c>
      <c r="E1427">
        <v>2266</v>
      </c>
      <c r="F1427" t="s">
        <v>3040</v>
      </c>
      <c r="G1427" t="s">
        <v>266</v>
      </c>
      <c r="H1427" t="s">
        <v>267</v>
      </c>
      <c r="I1427">
        <v>361</v>
      </c>
    </row>
    <row r="1428" spans="1:10" x14ac:dyDescent="0.2">
      <c r="A1428" t="s">
        <v>405</v>
      </c>
      <c r="B1428" t="s">
        <v>327</v>
      </c>
      <c r="C1428" t="s">
        <v>264</v>
      </c>
      <c r="D1428" t="s">
        <v>265</v>
      </c>
      <c r="E1428">
        <v>2307</v>
      </c>
      <c r="F1428" t="s">
        <v>718</v>
      </c>
      <c r="G1428" t="s">
        <v>266</v>
      </c>
      <c r="H1428" t="s">
        <v>277</v>
      </c>
      <c r="I1428">
        <v>124</v>
      </c>
    </row>
    <row r="1429" spans="1:10" x14ac:dyDescent="0.2">
      <c r="A1429" t="s">
        <v>405</v>
      </c>
      <c r="B1429" t="s">
        <v>327</v>
      </c>
      <c r="C1429" t="s">
        <v>264</v>
      </c>
      <c r="D1429" t="s">
        <v>265</v>
      </c>
      <c r="E1429">
        <v>2342</v>
      </c>
      <c r="F1429" t="s">
        <v>1474</v>
      </c>
      <c r="G1429" t="s">
        <v>278</v>
      </c>
      <c r="H1429" t="s">
        <v>271</v>
      </c>
      <c r="I1429">
        <v>69</v>
      </c>
    </row>
    <row r="1430" spans="1:10" x14ac:dyDescent="0.2">
      <c r="A1430" t="s">
        <v>405</v>
      </c>
      <c r="B1430" t="s">
        <v>327</v>
      </c>
      <c r="C1430" t="s">
        <v>264</v>
      </c>
      <c r="D1430" t="s">
        <v>265</v>
      </c>
      <c r="E1430">
        <v>2374</v>
      </c>
      <c r="F1430" t="s">
        <v>3041</v>
      </c>
      <c r="G1430" t="s">
        <v>266</v>
      </c>
      <c r="H1430" t="s">
        <v>271</v>
      </c>
      <c r="I1430">
        <v>120</v>
      </c>
    </row>
    <row r="1431" spans="1:10" x14ac:dyDescent="0.2">
      <c r="A1431" t="s">
        <v>405</v>
      </c>
      <c r="B1431" t="s">
        <v>327</v>
      </c>
      <c r="C1431" t="s">
        <v>264</v>
      </c>
      <c r="D1431" t="s">
        <v>265</v>
      </c>
      <c r="E1431">
        <v>2376</v>
      </c>
      <c r="F1431" t="s">
        <v>3042</v>
      </c>
      <c r="G1431" t="s">
        <v>266</v>
      </c>
      <c r="H1431" t="s">
        <v>271</v>
      </c>
      <c r="I1431">
        <v>45</v>
      </c>
    </row>
    <row r="1432" spans="1:10" x14ac:dyDescent="0.2">
      <c r="A1432" t="s">
        <v>405</v>
      </c>
      <c r="B1432" t="s">
        <v>327</v>
      </c>
      <c r="C1432" t="s">
        <v>264</v>
      </c>
      <c r="D1432" t="s">
        <v>265</v>
      </c>
      <c r="E1432">
        <v>2395</v>
      </c>
      <c r="F1432" t="s">
        <v>3043</v>
      </c>
      <c r="G1432" t="s">
        <v>266</v>
      </c>
      <c r="H1432" t="s">
        <v>271</v>
      </c>
      <c r="I1432">
        <v>260</v>
      </c>
    </row>
    <row r="1433" spans="1:10" x14ac:dyDescent="0.2">
      <c r="A1433" t="s">
        <v>405</v>
      </c>
      <c r="B1433" t="s">
        <v>327</v>
      </c>
      <c r="C1433" t="s">
        <v>264</v>
      </c>
      <c r="D1433" t="s">
        <v>265</v>
      </c>
      <c r="E1433">
        <v>2435</v>
      </c>
      <c r="F1433" t="s">
        <v>3044</v>
      </c>
      <c r="G1433" t="s">
        <v>270</v>
      </c>
      <c r="H1433" t="s">
        <v>271</v>
      </c>
      <c r="I1433">
        <v>25</v>
      </c>
    </row>
    <row r="1434" spans="1:10" x14ac:dyDescent="0.2">
      <c r="A1434" t="s">
        <v>405</v>
      </c>
      <c r="B1434" t="s">
        <v>327</v>
      </c>
      <c r="C1434" t="s">
        <v>264</v>
      </c>
      <c r="D1434" t="s">
        <v>265</v>
      </c>
      <c r="E1434">
        <v>2469</v>
      </c>
      <c r="F1434" t="s">
        <v>3045</v>
      </c>
      <c r="G1434" t="s">
        <v>270</v>
      </c>
      <c r="H1434" t="s">
        <v>271</v>
      </c>
      <c r="I1434">
        <v>273</v>
      </c>
    </row>
    <row r="1435" spans="1:10" x14ac:dyDescent="0.2">
      <c r="A1435" t="s">
        <v>405</v>
      </c>
      <c r="B1435" t="s">
        <v>327</v>
      </c>
      <c r="C1435" t="s">
        <v>264</v>
      </c>
      <c r="D1435" t="s">
        <v>265</v>
      </c>
      <c r="E1435">
        <v>2475</v>
      </c>
      <c r="F1435" t="s">
        <v>719</v>
      </c>
      <c r="G1435" t="s">
        <v>266</v>
      </c>
      <c r="H1435" t="s">
        <v>271</v>
      </c>
      <c r="I1435">
        <v>554</v>
      </c>
    </row>
    <row r="1436" spans="1:10" x14ac:dyDescent="0.2">
      <c r="A1436" t="s">
        <v>405</v>
      </c>
      <c r="B1436" t="s">
        <v>327</v>
      </c>
      <c r="C1436" t="s">
        <v>264</v>
      </c>
      <c r="D1436" t="s">
        <v>265</v>
      </c>
      <c r="E1436">
        <v>2480</v>
      </c>
      <c r="F1436" t="s">
        <v>720</v>
      </c>
      <c r="G1436" t="s">
        <v>270</v>
      </c>
      <c r="H1436" t="s">
        <v>271</v>
      </c>
      <c r="I1436">
        <v>64</v>
      </c>
    </row>
    <row r="1437" spans="1:10" x14ac:dyDescent="0.2">
      <c r="A1437" t="s">
        <v>405</v>
      </c>
      <c r="B1437" t="s">
        <v>327</v>
      </c>
      <c r="C1437" t="s">
        <v>273</v>
      </c>
      <c r="D1437" t="s">
        <v>265</v>
      </c>
      <c r="E1437">
        <v>2533</v>
      </c>
      <c r="F1437" t="s">
        <v>3046</v>
      </c>
      <c r="G1437" t="s">
        <v>266</v>
      </c>
      <c r="H1437" t="s">
        <v>267</v>
      </c>
      <c r="I1437">
        <v>262</v>
      </c>
    </row>
    <row r="1438" spans="1:10" x14ac:dyDescent="0.2">
      <c r="A1438" t="s">
        <v>405</v>
      </c>
      <c r="B1438" t="s">
        <v>327</v>
      </c>
      <c r="C1438" t="s">
        <v>264</v>
      </c>
      <c r="D1438" t="s">
        <v>265</v>
      </c>
      <c r="E1438">
        <v>2602</v>
      </c>
      <c r="F1438" t="s">
        <v>3047</v>
      </c>
      <c r="G1438" t="s">
        <v>266</v>
      </c>
      <c r="H1438" t="s">
        <v>267</v>
      </c>
      <c r="I1438" t="s">
        <v>297</v>
      </c>
      <c r="J1438" t="s">
        <v>4276</v>
      </c>
    </row>
    <row r="1439" spans="1:10" x14ac:dyDescent="0.2">
      <c r="A1439" t="s">
        <v>405</v>
      </c>
      <c r="B1439" t="s">
        <v>327</v>
      </c>
      <c r="C1439" t="s">
        <v>264</v>
      </c>
      <c r="D1439" t="s">
        <v>265</v>
      </c>
      <c r="E1439">
        <v>2612</v>
      </c>
      <c r="F1439" t="s">
        <v>3048</v>
      </c>
      <c r="G1439" t="s">
        <v>266</v>
      </c>
      <c r="H1439" t="s">
        <v>267</v>
      </c>
      <c r="I1439">
        <v>363</v>
      </c>
    </row>
    <row r="1440" spans="1:10" x14ac:dyDescent="0.2">
      <c r="A1440" t="s">
        <v>405</v>
      </c>
      <c r="B1440" t="s">
        <v>327</v>
      </c>
      <c r="C1440" t="s">
        <v>264</v>
      </c>
      <c r="D1440" t="s">
        <v>265</v>
      </c>
      <c r="E1440">
        <v>2666</v>
      </c>
      <c r="F1440" t="s">
        <v>3049</v>
      </c>
      <c r="G1440" t="s">
        <v>270</v>
      </c>
      <c r="H1440" t="s">
        <v>276</v>
      </c>
      <c r="I1440">
        <v>20</v>
      </c>
    </row>
    <row r="1441" spans="1:10" x14ac:dyDescent="0.2">
      <c r="A1441" t="s">
        <v>405</v>
      </c>
      <c r="B1441" t="s">
        <v>327</v>
      </c>
      <c r="C1441" t="s">
        <v>273</v>
      </c>
      <c r="D1441" t="s">
        <v>265</v>
      </c>
      <c r="E1441">
        <v>2675</v>
      </c>
      <c r="F1441" t="s">
        <v>525</v>
      </c>
      <c r="G1441" t="s">
        <v>274</v>
      </c>
      <c r="H1441" t="s">
        <v>276</v>
      </c>
      <c r="I1441">
        <v>115</v>
      </c>
    </row>
    <row r="1442" spans="1:10" x14ac:dyDescent="0.2">
      <c r="A1442" t="s">
        <v>405</v>
      </c>
      <c r="B1442" t="s">
        <v>327</v>
      </c>
      <c r="C1442" t="s">
        <v>264</v>
      </c>
      <c r="D1442" t="s">
        <v>265</v>
      </c>
      <c r="E1442">
        <v>2749</v>
      </c>
      <c r="F1442" t="s">
        <v>3050</v>
      </c>
      <c r="G1442" t="s">
        <v>266</v>
      </c>
      <c r="H1442" t="s">
        <v>271</v>
      </c>
      <c r="I1442">
        <v>293</v>
      </c>
    </row>
    <row r="1443" spans="1:10" x14ac:dyDescent="0.2">
      <c r="A1443" t="s">
        <v>405</v>
      </c>
      <c r="B1443" t="s">
        <v>327</v>
      </c>
      <c r="C1443" t="s">
        <v>264</v>
      </c>
      <c r="D1443" t="s">
        <v>265</v>
      </c>
      <c r="E1443">
        <v>2784</v>
      </c>
      <c r="F1443" t="s">
        <v>3051</v>
      </c>
      <c r="G1443" t="s">
        <v>266</v>
      </c>
      <c r="H1443" t="s">
        <v>272</v>
      </c>
      <c r="I1443" t="s">
        <v>283</v>
      </c>
      <c r="J1443" t="s">
        <v>4667</v>
      </c>
    </row>
    <row r="1444" spans="1:10" x14ac:dyDescent="0.2">
      <c r="A1444" t="s">
        <v>405</v>
      </c>
      <c r="B1444" t="s">
        <v>327</v>
      </c>
      <c r="C1444" t="s">
        <v>264</v>
      </c>
      <c r="D1444" t="s">
        <v>269</v>
      </c>
      <c r="E1444">
        <v>2790</v>
      </c>
      <c r="F1444" t="s">
        <v>3052</v>
      </c>
      <c r="G1444" t="s">
        <v>270</v>
      </c>
      <c r="H1444" t="s">
        <v>276</v>
      </c>
      <c r="I1444">
        <v>456</v>
      </c>
    </row>
    <row r="1445" spans="1:10" x14ac:dyDescent="0.2">
      <c r="A1445" t="s">
        <v>405</v>
      </c>
      <c r="B1445" t="s">
        <v>327</v>
      </c>
      <c r="C1445" t="s">
        <v>264</v>
      </c>
      <c r="D1445" t="s">
        <v>265</v>
      </c>
      <c r="E1445">
        <v>2812</v>
      </c>
      <c r="F1445" t="s">
        <v>750</v>
      </c>
      <c r="G1445" t="s">
        <v>266</v>
      </c>
      <c r="H1445" t="s">
        <v>267</v>
      </c>
      <c r="I1445">
        <v>136</v>
      </c>
    </row>
    <row r="1446" spans="1:10" x14ac:dyDescent="0.2">
      <c r="A1446" t="s">
        <v>405</v>
      </c>
      <c r="B1446" t="s">
        <v>327</v>
      </c>
      <c r="C1446" t="s">
        <v>264</v>
      </c>
      <c r="D1446" t="s">
        <v>265</v>
      </c>
      <c r="E1446">
        <v>2815</v>
      </c>
      <c r="F1446" t="s">
        <v>414</v>
      </c>
      <c r="G1446" t="s">
        <v>266</v>
      </c>
      <c r="H1446" t="s">
        <v>267</v>
      </c>
      <c r="I1446" t="s">
        <v>289</v>
      </c>
      <c r="J1446" t="s">
        <v>4951</v>
      </c>
    </row>
    <row r="1447" spans="1:10" x14ac:dyDescent="0.2">
      <c r="A1447" t="s">
        <v>405</v>
      </c>
      <c r="B1447" t="s">
        <v>327</v>
      </c>
      <c r="C1447" t="s">
        <v>264</v>
      </c>
      <c r="D1447" t="s">
        <v>265</v>
      </c>
      <c r="E1447">
        <v>2899</v>
      </c>
      <c r="F1447" t="s">
        <v>1522</v>
      </c>
      <c r="G1447" t="s">
        <v>266</v>
      </c>
      <c r="H1447" t="s">
        <v>267</v>
      </c>
      <c r="I1447">
        <v>415</v>
      </c>
    </row>
    <row r="1448" spans="1:10" x14ac:dyDescent="0.2">
      <c r="A1448" t="s">
        <v>405</v>
      </c>
      <c r="B1448" t="s">
        <v>327</v>
      </c>
      <c r="C1448" t="s">
        <v>264</v>
      </c>
      <c r="D1448" t="s">
        <v>265</v>
      </c>
      <c r="E1448">
        <v>2911</v>
      </c>
      <c r="F1448" t="s">
        <v>721</v>
      </c>
      <c r="G1448" t="s">
        <v>274</v>
      </c>
      <c r="H1448" t="s">
        <v>267</v>
      </c>
      <c r="I1448">
        <v>42</v>
      </c>
    </row>
    <row r="1449" spans="1:10" x14ac:dyDescent="0.2">
      <c r="A1449" t="s">
        <v>405</v>
      </c>
      <c r="B1449" t="s">
        <v>327</v>
      </c>
      <c r="C1449" t="s">
        <v>275</v>
      </c>
      <c r="D1449" t="s">
        <v>265</v>
      </c>
      <c r="E1449">
        <v>3082</v>
      </c>
      <c r="F1449" t="s">
        <v>3053</v>
      </c>
      <c r="G1449" t="s">
        <v>266</v>
      </c>
      <c r="H1449" t="s">
        <v>276</v>
      </c>
      <c r="I1449">
        <v>83</v>
      </c>
    </row>
    <row r="1450" spans="1:10" x14ac:dyDescent="0.2">
      <c r="A1450" t="s">
        <v>405</v>
      </c>
      <c r="B1450" t="s">
        <v>327</v>
      </c>
      <c r="C1450" t="s">
        <v>273</v>
      </c>
      <c r="D1450" t="s">
        <v>265</v>
      </c>
      <c r="E1450">
        <v>3085</v>
      </c>
      <c r="F1450" t="s">
        <v>3054</v>
      </c>
      <c r="G1450" t="s">
        <v>266</v>
      </c>
      <c r="H1450" t="s">
        <v>276</v>
      </c>
      <c r="I1450">
        <v>687</v>
      </c>
    </row>
    <row r="1451" spans="1:10" x14ac:dyDescent="0.2">
      <c r="A1451" t="s">
        <v>405</v>
      </c>
      <c r="B1451" t="s">
        <v>327</v>
      </c>
      <c r="C1451" t="s">
        <v>275</v>
      </c>
      <c r="D1451" t="s">
        <v>265</v>
      </c>
      <c r="E1451">
        <v>3097</v>
      </c>
      <c r="F1451" t="s">
        <v>3055</v>
      </c>
      <c r="G1451" t="s">
        <v>266</v>
      </c>
      <c r="H1451" t="s">
        <v>276</v>
      </c>
      <c r="I1451">
        <v>547</v>
      </c>
    </row>
    <row r="1452" spans="1:10" x14ac:dyDescent="0.2">
      <c r="A1452" t="s">
        <v>405</v>
      </c>
      <c r="B1452" t="s">
        <v>327</v>
      </c>
      <c r="C1452" t="s">
        <v>264</v>
      </c>
      <c r="D1452" t="s">
        <v>265</v>
      </c>
      <c r="E1452">
        <v>3107</v>
      </c>
      <c r="F1452" t="s">
        <v>3056</v>
      </c>
      <c r="G1452" t="s">
        <v>266</v>
      </c>
      <c r="H1452" t="s">
        <v>272</v>
      </c>
      <c r="I1452" t="s">
        <v>297</v>
      </c>
      <c r="J1452" t="s">
        <v>4433</v>
      </c>
    </row>
    <row r="1453" spans="1:10" x14ac:dyDescent="0.2">
      <c r="A1453" t="s">
        <v>405</v>
      </c>
      <c r="B1453" t="s">
        <v>327</v>
      </c>
      <c r="C1453" t="s">
        <v>264</v>
      </c>
      <c r="D1453" t="s">
        <v>265</v>
      </c>
      <c r="E1453">
        <v>3110</v>
      </c>
      <c r="F1453" t="s">
        <v>3057</v>
      </c>
      <c r="G1453" t="s">
        <v>266</v>
      </c>
      <c r="H1453" t="s">
        <v>308</v>
      </c>
      <c r="I1453" t="s">
        <v>289</v>
      </c>
      <c r="J1453" t="s">
        <v>4676</v>
      </c>
    </row>
    <row r="1454" spans="1:10" x14ac:dyDescent="0.2">
      <c r="A1454" t="s">
        <v>405</v>
      </c>
      <c r="B1454" t="s">
        <v>327</v>
      </c>
      <c r="C1454" t="s">
        <v>264</v>
      </c>
      <c r="D1454" t="s">
        <v>269</v>
      </c>
      <c r="E1454">
        <v>3221</v>
      </c>
      <c r="F1454" t="s">
        <v>3058</v>
      </c>
      <c r="G1454" t="s">
        <v>266</v>
      </c>
      <c r="H1454" t="s">
        <v>276</v>
      </c>
      <c r="I1454">
        <v>304</v>
      </c>
    </row>
    <row r="1455" spans="1:10" x14ac:dyDescent="0.2">
      <c r="A1455" t="s">
        <v>405</v>
      </c>
      <c r="B1455" t="s">
        <v>327</v>
      </c>
      <c r="C1455" t="s">
        <v>264</v>
      </c>
      <c r="D1455" t="s">
        <v>265</v>
      </c>
      <c r="E1455">
        <v>3254</v>
      </c>
      <c r="F1455" t="s">
        <v>3059</v>
      </c>
      <c r="G1455" t="s">
        <v>266</v>
      </c>
      <c r="H1455" t="s">
        <v>292</v>
      </c>
      <c r="I1455">
        <v>880</v>
      </c>
    </row>
    <row r="1456" spans="1:10" x14ac:dyDescent="0.2">
      <c r="A1456" t="s">
        <v>405</v>
      </c>
      <c r="B1456" t="s">
        <v>327</v>
      </c>
      <c r="C1456" t="s">
        <v>275</v>
      </c>
      <c r="D1456" t="s">
        <v>265</v>
      </c>
      <c r="E1456">
        <v>3271</v>
      </c>
      <c r="F1456" t="s">
        <v>3060</v>
      </c>
      <c r="G1456" t="s">
        <v>266</v>
      </c>
      <c r="H1456" t="s">
        <v>292</v>
      </c>
      <c r="I1456">
        <v>62</v>
      </c>
    </row>
    <row r="1457" spans="1:10" x14ac:dyDescent="0.2">
      <c r="A1457" t="s">
        <v>405</v>
      </c>
      <c r="B1457" t="s">
        <v>327</v>
      </c>
      <c r="C1457" t="s">
        <v>264</v>
      </c>
      <c r="D1457" t="s">
        <v>269</v>
      </c>
      <c r="E1457">
        <v>3317</v>
      </c>
      <c r="F1457" t="s">
        <v>3061</v>
      </c>
      <c r="G1457" t="s">
        <v>270</v>
      </c>
      <c r="H1457" t="s">
        <v>276</v>
      </c>
      <c r="I1457">
        <v>25</v>
      </c>
    </row>
    <row r="1458" spans="1:10" x14ac:dyDescent="0.2">
      <c r="A1458" t="s">
        <v>405</v>
      </c>
      <c r="B1458" t="s">
        <v>327</v>
      </c>
      <c r="C1458" t="s">
        <v>264</v>
      </c>
      <c r="D1458" t="s">
        <v>269</v>
      </c>
      <c r="E1458">
        <v>3375</v>
      </c>
      <c r="F1458" t="s">
        <v>3062</v>
      </c>
      <c r="G1458" t="s">
        <v>270</v>
      </c>
      <c r="H1458" t="s">
        <v>276</v>
      </c>
      <c r="I1458">
        <v>19</v>
      </c>
    </row>
    <row r="1459" spans="1:10" x14ac:dyDescent="0.2">
      <c r="A1459" t="s">
        <v>405</v>
      </c>
      <c r="B1459" t="s">
        <v>327</v>
      </c>
      <c r="C1459" t="s">
        <v>264</v>
      </c>
      <c r="D1459" t="s">
        <v>265</v>
      </c>
      <c r="E1459">
        <v>3431</v>
      </c>
      <c r="F1459" t="s">
        <v>3063</v>
      </c>
      <c r="G1459" t="s">
        <v>266</v>
      </c>
      <c r="H1459" t="s">
        <v>281</v>
      </c>
      <c r="I1459">
        <v>138</v>
      </c>
    </row>
    <row r="1460" spans="1:10" x14ac:dyDescent="0.2">
      <c r="A1460" t="s">
        <v>405</v>
      </c>
      <c r="B1460" t="s">
        <v>327</v>
      </c>
      <c r="C1460" t="s">
        <v>264</v>
      </c>
      <c r="D1460" t="s">
        <v>265</v>
      </c>
      <c r="E1460">
        <v>3435</v>
      </c>
      <c r="F1460" t="s">
        <v>3064</v>
      </c>
      <c r="G1460" t="s">
        <v>274</v>
      </c>
      <c r="H1460" t="s">
        <v>281</v>
      </c>
      <c r="I1460">
        <v>103</v>
      </c>
    </row>
    <row r="1461" spans="1:10" x14ac:dyDescent="0.2">
      <c r="A1461" t="s">
        <v>405</v>
      </c>
      <c r="B1461" t="s">
        <v>327</v>
      </c>
      <c r="C1461" t="s">
        <v>264</v>
      </c>
      <c r="D1461" t="s">
        <v>265</v>
      </c>
      <c r="E1461">
        <v>3447</v>
      </c>
      <c r="F1461" t="s">
        <v>526</v>
      </c>
      <c r="G1461" t="s">
        <v>266</v>
      </c>
      <c r="H1461" t="s">
        <v>281</v>
      </c>
      <c r="I1461">
        <v>157</v>
      </c>
    </row>
    <row r="1462" spans="1:10" x14ac:dyDescent="0.2">
      <c r="A1462" t="s">
        <v>405</v>
      </c>
      <c r="B1462" t="s">
        <v>327</v>
      </c>
      <c r="C1462" t="s">
        <v>264</v>
      </c>
      <c r="D1462" t="s">
        <v>265</v>
      </c>
      <c r="E1462">
        <v>3537</v>
      </c>
      <c r="F1462" t="s">
        <v>3065</v>
      </c>
      <c r="G1462" t="s">
        <v>270</v>
      </c>
      <c r="H1462" t="s">
        <v>272</v>
      </c>
      <c r="I1462">
        <v>40</v>
      </c>
    </row>
    <row r="1463" spans="1:10" x14ac:dyDescent="0.2">
      <c r="A1463" t="s">
        <v>405</v>
      </c>
      <c r="B1463" t="s">
        <v>327</v>
      </c>
      <c r="C1463" t="s">
        <v>275</v>
      </c>
      <c r="D1463" t="s">
        <v>265</v>
      </c>
      <c r="E1463">
        <v>3625</v>
      </c>
      <c r="F1463" t="s">
        <v>3066</v>
      </c>
      <c r="G1463" t="s">
        <v>270</v>
      </c>
      <c r="H1463" t="s">
        <v>277</v>
      </c>
      <c r="I1463">
        <v>115</v>
      </c>
    </row>
    <row r="1464" spans="1:10" x14ac:dyDescent="0.2">
      <c r="A1464" t="s">
        <v>405</v>
      </c>
      <c r="B1464" t="s">
        <v>327</v>
      </c>
      <c r="C1464" t="s">
        <v>275</v>
      </c>
      <c r="D1464" t="s">
        <v>265</v>
      </c>
      <c r="E1464">
        <v>3655</v>
      </c>
      <c r="F1464" t="s">
        <v>3067</v>
      </c>
      <c r="G1464" t="s">
        <v>266</v>
      </c>
      <c r="H1464" t="s">
        <v>277</v>
      </c>
      <c r="I1464">
        <v>445</v>
      </c>
    </row>
    <row r="1465" spans="1:10" x14ac:dyDescent="0.2">
      <c r="A1465" t="s">
        <v>405</v>
      </c>
      <c r="B1465" t="s">
        <v>327</v>
      </c>
      <c r="C1465" t="s">
        <v>275</v>
      </c>
      <c r="D1465" t="s">
        <v>265</v>
      </c>
      <c r="E1465">
        <v>3660</v>
      </c>
      <c r="F1465" t="s">
        <v>3068</v>
      </c>
      <c r="G1465" t="s">
        <v>266</v>
      </c>
      <c r="H1465" t="s">
        <v>277</v>
      </c>
      <c r="I1465">
        <v>393</v>
      </c>
    </row>
    <row r="1466" spans="1:10" x14ac:dyDescent="0.2">
      <c r="A1466" t="s">
        <v>405</v>
      </c>
      <c r="B1466" t="s">
        <v>327</v>
      </c>
      <c r="C1466" t="s">
        <v>273</v>
      </c>
      <c r="D1466" t="s">
        <v>269</v>
      </c>
      <c r="E1466">
        <v>3671</v>
      </c>
      <c r="F1466" t="s">
        <v>1475</v>
      </c>
      <c r="G1466" t="s">
        <v>278</v>
      </c>
      <c r="H1466" t="s">
        <v>277</v>
      </c>
      <c r="I1466">
        <v>64</v>
      </c>
    </row>
    <row r="1467" spans="1:10" x14ac:dyDescent="0.2">
      <c r="A1467" t="s">
        <v>405</v>
      </c>
      <c r="B1467" t="s">
        <v>327</v>
      </c>
      <c r="C1467" t="s">
        <v>264</v>
      </c>
      <c r="D1467" t="s">
        <v>265</v>
      </c>
      <c r="E1467">
        <v>3682</v>
      </c>
      <c r="F1467" t="s">
        <v>3069</v>
      </c>
      <c r="G1467" t="s">
        <v>266</v>
      </c>
      <c r="H1467" t="s">
        <v>277</v>
      </c>
      <c r="I1467">
        <v>67</v>
      </c>
    </row>
    <row r="1468" spans="1:10" x14ac:dyDescent="0.2">
      <c r="A1468" t="s">
        <v>405</v>
      </c>
      <c r="B1468" t="s">
        <v>327</v>
      </c>
      <c r="C1468" t="s">
        <v>275</v>
      </c>
      <c r="D1468" t="s">
        <v>265</v>
      </c>
      <c r="E1468">
        <v>3686</v>
      </c>
      <c r="F1468" t="s">
        <v>3070</v>
      </c>
      <c r="G1468" t="s">
        <v>266</v>
      </c>
      <c r="H1468" t="s">
        <v>277</v>
      </c>
      <c r="I1468">
        <v>84</v>
      </c>
    </row>
    <row r="1469" spans="1:10" x14ac:dyDescent="0.2">
      <c r="A1469" t="s">
        <v>405</v>
      </c>
      <c r="B1469" t="s">
        <v>327</v>
      </c>
      <c r="C1469" t="s">
        <v>268</v>
      </c>
      <c r="D1469" t="s">
        <v>265</v>
      </c>
      <c r="E1469">
        <v>3690</v>
      </c>
      <c r="F1469" t="s">
        <v>723</v>
      </c>
      <c r="G1469" t="s">
        <v>278</v>
      </c>
      <c r="H1469" t="s">
        <v>277</v>
      </c>
      <c r="I1469">
        <v>89</v>
      </c>
    </row>
    <row r="1470" spans="1:10" x14ac:dyDescent="0.2">
      <c r="A1470" t="s">
        <v>405</v>
      </c>
      <c r="B1470" t="s">
        <v>327</v>
      </c>
      <c r="C1470" t="s">
        <v>273</v>
      </c>
      <c r="D1470" t="s">
        <v>265</v>
      </c>
      <c r="E1470">
        <v>3776</v>
      </c>
      <c r="F1470" t="s">
        <v>3071</v>
      </c>
      <c r="G1470" t="s">
        <v>270</v>
      </c>
      <c r="H1470" t="s">
        <v>277</v>
      </c>
      <c r="I1470">
        <v>155</v>
      </c>
    </row>
    <row r="1471" spans="1:10" x14ac:dyDescent="0.2">
      <c r="A1471" t="s">
        <v>405</v>
      </c>
      <c r="B1471" t="s">
        <v>327</v>
      </c>
      <c r="C1471" t="s">
        <v>264</v>
      </c>
      <c r="D1471" t="s">
        <v>265</v>
      </c>
      <c r="E1471">
        <v>3798</v>
      </c>
      <c r="F1471" t="s">
        <v>1476</v>
      </c>
      <c r="G1471" t="s">
        <v>270</v>
      </c>
      <c r="H1471" t="s">
        <v>277</v>
      </c>
      <c r="I1471">
        <v>179</v>
      </c>
    </row>
    <row r="1472" spans="1:10" x14ac:dyDescent="0.2">
      <c r="A1472" t="s">
        <v>405</v>
      </c>
      <c r="B1472" t="s">
        <v>327</v>
      </c>
      <c r="C1472" t="s">
        <v>264</v>
      </c>
      <c r="D1472" t="s">
        <v>265</v>
      </c>
      <c r="E1472">
        <v>3863</v>
      </c>
      <c r="F1472" t="s">
        <v>3072</v>
      </c>
      <c r="G1472" t="s">
        <v>266</v>
      </c>
      <c r="H1472" t="s">
        <v>300</v>
      </c>
      <c r="I1472" t="s">
        <v>289</v>
      </c>
      <c r="J1472" t="s">
        <v>4710</v>
      </c>
    </row>
    <row r="1473" spans="1:10" x14ac:dyDescent="0.2">
      <c r="A1473" t="s">
        <v>405</v>
      </c>
      <c r="B1473" t="s">
        <v>327</v>
      </c>
      <c r="C1473" t="s">
        <v>264</v>
      </c>
      <c r="D1473" t="s">
        <v>265</v>
      </c>
      <c r="E1473">
        <v>3926</v>
      </c>
      <c r="F1473" t="s">
        <v>3073</v>
      </c>
      <c r="G1473" t="s">
        <v>266</v>
      </c>
      <c r="H1473" t="s">
        <v>277</v>
      </c>
      <c r="I1473">
        <v>462</v>
      </c>
    </row>
    <row r="1474" spans="1:10" x14ac:dyDescent="0.2">
      <c r="A1474" t="s">
        <v>405</v>
      </c>
      <c r="B1474" t="s">
        <v>327</v>
      </c>
      <c r="C1474" t="s">
        <v>273</v>
      </c>
      <c r="D1474" t="s">
        <v>265</v>
      </c>
      <c r="E1474">
        <v>3950</v>
      </c>
      <c r="F1474" t="s">
        <v>3074</v>
      </c>
      <c r="G1474" t="s">
        <v>266</v>
      </c>
      <c r="H1474" t="s">
        <v>300</v>
      </c>
      <c r="I1474">
        <v>801</v>
      </c>
    </row>
    <row r="1475" spans="1:10" x14ac:dyDescent="0.2">
      <c r="A1475" t="s">
        <v>405</v>
      </c>
      <c r="B1475" t="s">
        <v>327</v>
      </c>
      <c r="C1475" t="s">
        <v>268</v>
      </c>
      <c r="D1475" t="s">
        <v>269</v>
      </c>
      <c r="E1475">
        <v>3992</v>
      </c>
      <c r="F1475" t="s">
        <v>3075</v>
      </c>
      <c r="G1475" t="s">
        <v>266</v>
      </c>
      <c r="H1475" t="s">
        <v>277</v>
      </c>
      <c r="I1475">
        <v>70</v>
      </c>
    </row>
    <row r="1476" spans="1:10" x14ac:dyDescent="0.2">
      <c r="A1476" t="s">
        <v>405</v>
      </c>
      <c r="B1476" t="s">
        <v>327</v>
      </c>
      <c r="C1476" t="s">
        <v>273</v>
      </c>
      <c r="D1476" t="s">
        <v>269</v>
      </c>
      <c r="E1476">
        <v>3997</v>
      </c>
      <c r="F1476" t="s">
        <v>1772</v>
      </c>
      <c r="G1476" t="s">
        <v>270</v>
      </c>
      <c r="H1476" t="s">
        <v>277</v>
      </c>
      <c r="I1476">
        <v>41</v>
      </c>
    </row>
    <row r="1477" spans="1:10" x14ac:dyDescent="0.2">
      <c r="A1477" t="s">
        <v>405</v>
      </c>
      <c r="B1477" t="s">
        <v>327</v>
      </c>
      <c r="C1477" t="s">
        <v>273</v>
      </c>
      <c r="D1477" t="s">
        <v>269</v>
      </c>
      <c r="E1477">
        <v>3998</v>
      </c>
      <c r="F1477" t="s">
        <v>3076</v>
      </c>
      <c r="G1477" t="s">
        <v>278</v>
      </c>
      <c r="H1477" t="s">
        <v>277</v>
      </c>
      <c r="I1477">
        <v>66</v>
      </c>
    </row>
    <row r="1478" spans="1:10" x14ac:dyDescent="0.2">
      <c r="A1478" t="s">
        <v>405</v>
      </c>
      <c r="B1478" t="s">
        <v>327</v>
      </c>
      <c r="C1478" t="s">
        <v>264</v>
      </c>
      <c r="D1478" t="s">
        <v>265</v>
      </c>
      <c r="E1478">
        <v>4021</v>
      </c>
      <c r="F1478" t="s">
        <v>3077</v>
      </c>
      <c r="G1478" t="s">
        <v>266</v>
      </c>
      <c r="H1478" t="s">
        <v>279</v>
      </c>
      <c r="I1478" t="s">
        <v>325</v>
      </c>
      <c r="J1478" t="s">
        <v>5025</v>
      </c>
    </row>
    <row r="1479" spans="1:10" x14ac:dyDescent="0.2">
      <c r="A1479" t="s">
        <v>405</v>
      </c>
      <c r="B1479" t="s">
        <v>327</v>
      </c>
      <c r="C1479" t="s">
        <v>264</v>
      </c>
      <c r="D1479" t="s">
        <v>265</v>
      </c>
      <c r="E1479">
        <v>4046</v>
      </c>
      <c r="F1479" t="s">
        <v>530</v>
      </c>
      <c r="G1479" t="s">
        <v>266</v>
      </c>
      <c r="H1479" t="s">
        <v>279</v>
      </c>
      <c r="I1479">
        <v>798</v>
      </c>
    </row>
    <row r="1480" spans="1:10" x14ac:dyDescent="0.2">
      <c r="A1480" t="s">
        <v>405</v>
      </c>
      <c r="B1480" t="s">
        <v>327</v>
      </c>
      <c r="C1480" t="s">
        <v>264</v>
      </c>
      <c r="D1480" t="s">
        <v>265</v>
      </c>
      <c r="E1480">
        <v>4109</v>
      </c>
      <c r="F1480" t="s">
        <v>3078</v>
      </c>
      <c r="G1480" t="s">
        <v>266</v>
      </c>
      <c r="H1480" t="s">
        <v>279</v>
      </c>
      <c r="I1480">
        <v>408</v>
      </c>
    </row>
    <row r="1481" spans="1:10" x14ac:dyDescent="0.2">
      <c r="A1481" t="s">
        <v>405</v>
      </c>
      <c r="B1481" t="s">
        <v>327</v>
      </c>
      <c r="C1481" t="s">
        <v>264</v>
      </c>
      <c r="D1481" t="s">
        <v>265</v>
      </c>
      <c r="E1481">
        <v>4237</v>
      </c>
      <c r="F1481" t="s">
        <v>3079</v>
      </c>
      <c r="G1481" t="s">
        <v>270</v>
      </c>
      <c r="H1481" t="s">
        <v>279</v>
      </c>
      <c r="I1481">
        <v>83</v>
      </c>
    </row>
    <row r="1482" spans="1:10" x14ac:dyDescent="0.2">
      <c r="A1482" t="s">
        <v>405</v>
      </c>
      <c r="B1482" t="s">
        <v>327</v>
      </c>
      <c r="C1482" t="s">
        <v>264</v>
      </c>
      <c r="D1482" t="s">
        <v>265</v>
      </c>
      <c r="E1482">
        <v>4331</v>
      </c>
      <c r="F1482" t="s">
        <v>3080</v>
      </c>
      <c r="G1482" t="s">
        <v>266</v>
      </c>
      <c r="H1482" t="s">
        <v>271</v>
      </c>
      <c r="I1482">
        <v>147</v>
      </c>
    </row>
    <row r="1483" spans="1:10" x14ac:dyDescent="0.2">
      <c r="A1483" t="s">
        <v>405</v>
      </c>
      <c r="B1483" t="s">
        <v>327</v>
      </c>
      <c r="C1483" t="s">
        <v>264</v>
      </c>
      <c r="D1483" t="s">
        <v>265</v>
      </c>
      <c r="E1483">
        <v>4365</v>
      </c>
      <c r="F1483" t="s">
        <v>3081</v>
      </c>
      <c r="G1483" t="s">
        <v>270</v>
      </c>
      <c r="H1483" t="s">
        <v>279</v>
      </c>
      <c r="I1483">
        <v>528</v>
      </c>
    </row>
    <row r="1484" spans="1:10" x14ac:dyDescent="0.2">
      <c r="A1484" t="s">
        <v>405</v>
      </c>
      <c r="B1484" t="s">
        <v>327</v>
      </c>
      <c r="C1484" t="s">
        <v>264</v>
      </c>
      <c r="D1484" t="s">
        <v>269</v>
      </c>
      <c r="E1484">
        <v>4388</v>
      </c>
      <c r="F1484" t="s">
        <v>3082</v>
      </c>
      <c r="G1484" t="s">
        <v>278</v>
      </c>
      <c r="H1484" t="s">
        <v>277</v>
      </c>
      <c r="I1484">
        <v>102</v>
      </c>
    </row>
    <row r="1485" spans="1:10" x14ac:dyDescent="0.2">
      <c r="A1485" t="s">
        <v>405</v>
      </c>
      <c r="B1485" t="s">
        <v>327</v>
      </c>
      <c r="C1485" t="s">
        <v>264</v>
      </c>
      <c r="D1485" t="s">
        <v>265</v>
      </c>
      <c r="E1485">
        <v>4425</v>
      </c>
      <c r="F1485" t="s">
        <v>580</v>
      </c>
      <c r="G1485" t="s">
        <v>278</v>
      </c>
      <c r="H1485" t="s">
        <v>277</v>
      </c>
      <c r="I1485">
        <v>605</v>
      </c>
    </row>
    <row r="1486" spans="1:10" x14ac:dyDescent="0.2">
      <c r="A1486" t="s">
        <v>405</v>
      </c>
      <c r="B1486" t="s">
        <v>327</v>
      </c>
      <c r="C1486" t="s">
        <v>264</v>
      </c>
      <c r="D1486" t="s">
        <v>265</v>
      </c>
      <c r="E1486">
        <v>4442</v>
      </c>
      <c r="F1486" t="s">
        <v>582</v>
      </c>
      <c r="G1486" t="s">
        <v>278</v>
      </c>
      <c r="H1486" t="s">
        <v>277</v>
      </c>
      <c r="I1486">
        <v>152</v>
      </c>
    </row>
    <row r="1487" spans="1:10" x14ac:dyDescent="0.2">
      <c r="A1487" t="s">
        <v>405</v>
      </c>
      <c r="B1487" t="s">
        <v>327</v>
      </c>
      <c r="C1487" t="s">
        <v>264</v>
      </c>
      <c r="D1487" t="s">
        <v>265</v>
      </c>
      <c r="E1487">
        <v>4540</v>
      </c>
      <c r="F1487" t="s">
        <v>417</v>
      </c>
      <c r="G1487" t="s">
        <v>266</v>
      </c>
      <c r="H1487" t="s">
        <v>311</v>
      </c>
      <c r="I1487" t="s">
        <v>289</v>
      </c>
      <c r="J1487" t="s">
        <v>4877</v>
      </c>
    </row>
    <row r="1488" spans="1:10" x14ac:dyDescent="0.2">
      <c r="A1488" t="s">
        <v>405</v>
      </c>
      <c r="B1488" t="s">
        <v>327</v>
      </c>
      <c r="C1488" t="s">
        <v>264</v>
      </c>
      <c r="D1488" t="s">
        <v>265</v>
      </c>
      <c r="E1488">
        <v>4570</v>
      </c>
      <c r="F1488" t="s">
        <v>3083</v>
      </c>
      <c r="G1488" t="s">
        <v>270</v>
      </c>
      <c r="H1488" t="s">
        <v>311</v>
      </c>
      <c r="I1488">
        <v>62</v>
      </c>
    </row>
    <row r="1489" spans="1:10" x14ac:dyDescent="0.2">
      <c r="A1489" t="s">
        <v>405</v>
      </c>
      <c r="B1489" t="s">
        <v>327</v>
      </c>
      <c r="C1489" t="s">
        <v>273</v>
      </c>
      <c r="D1489" t="s">
        <v>265</v>
      </c>
      <c r="E1489">
        <v>4572</v>
      </c>
      <c r="F1489" t="s">
        <v>3084</v>
      </c>
      <c r="G1489" t="s">
        <v>270</v>
      </c>
      <c r="H1489" t="s">
        <v>311</v>
      </c>
      <c r="I1489">
        <v>254</v>
      </c>
    </row>
    <row r="1490" spans="1:10" x14ac:dyDescent="0.2">
      <c r="A1490" t="s">
        <v>405</v>
      </c>
      <c r="B1490" t="s">
        <v>327</v>
      </c>
      <c r="C1490" t="s">
        <v>273</v>
      </c>
      <c r="D1490" t="s">
        <v>265</v>
      </c>
      <c r="E1490">
        <v>4586</v>
      </c>
      <c r="F1490" t="s">
        <v>3085</v>
      </c>
      <c r="G1490" t="s">
        <v>278</v>
      </c>
      <c r="H1490" t="s">
        <v>311</v>
      </c>
      <c r="I1490">
        <v>42</v>
      </c>
    </row>
    <row r="1491" spans="1:10" x14ac:dyDescent="0.2">
      <c r="A1491" t="s">
        <v>405</v>
      </c>
      <c r="B1491" t="s">
        <v>327</v>
      </c>
      <c r="C1491" t="s">
        <v>264</v>
      </c>
      <c r="D1491" t="s">
        <v>269</v>
      </c>
      <c r="E1491">
        <v>4591</v>
      </c>
      <c r="F1491" t="s">
        <v>3086</v>
      </c>
      <c r="G1491" t="s">
        <v>278</v>
      </c>
      <c r="H1491" t="s">
        <v>311</v>
      </c>
      <c r="I1491">
        <v>74</v>
      </c>
    </row>
    <row r="1492" spans="1:10" x14ac:dyDescent="0.2">
      <c r="A1492" t="s">
        <v>405</v>
      </c>
      <c r="B1492" t="s">
        <v>327</v>
      </c>
      <c r="C1492" t="s">
        <v>264</v>
      </c>
      <c r="D1492" t="s">
        <v>265</v>
      </c>
      <c r="E1492">
        <v>4613</v>
      </c>
      <c r="F1492" t="s">
        <v>3087</v>
      </c>
      <c r="G1492" t="s">
        <v>266</v>
      </c>
      <c r="H1492" t="s">
        <v>279</v>
      </c>
      <c r="I1492" t="s">
        <v>518</v>
      </c>
      <c r="J1492" t="s">
        <v>4644</v>
      </c>
    </row>
    <row r="1493" spans="1:10" x14ac:dyDescent="0.2">
      <c r="A1493" t="s">
        <v>405</v>
      </c>
      <c r="B1493" t="s">
        <v>327</v>
      </c>
      <c r="C1493" t="s">
        <v>264</v>
      </c>
      <c r="D1493" t="s">
        <v>269</v>
      </c>
      <c r="E1493">
        <v>4629</v>
      </c>
      <c r="F1493" t="s">
        <v>3088</v>
      </c>
      <c r="G1493" t="s">
        <v>270</v>
      </c>
      <c r="H1493" t="s">
        <v>279</v>
      </c>
      <c r="I1493">
        <v>68</v>
      </c>
    </row>
    <row r="1494" spans="1:10" x14ac:dyDescent="0.2">
      <c r="A1494" t="s">
        <v>405</v>
      </c>
      <c r="B1494" t="s">
        <v>327</v>
      </c>
      <c r="C1494" t="s">
        <v>264</v>
      </c>
      <c r="D1494" t="s">
        <v>265</v>
      </c>
      <c r="E1494">
        <v>4635</v>
      </c>
      <c r="F1494" t="s">
        <v>3089</v>
      </c>
      <c r="G1494" t="s">
        <v>274</v>
      </c>
      <c r="H1494" t="s">
        <v>279</v>
      </c>
      <c r="I1494">
        <v>68</v>
      </c>
    </row>
    <row r="1495" spans="1:10" x14ac:dyDescent="0.2">
      <c r="A1495" t="s">
        <v>405</v>
      </c>
      <c r="B1495" t="s">
        <v>327</v>
      </c>
      <c r="C1495" t="s">
        <v>273</v>
      </c>
      <c r="D1495" t="s">
        <v>269</v>
      </c>
      <c r="E1495">
        <v>4642</v>
      </c>
      <c r="F1495" t="s">
        <v>3090</v>
      </c>
      <c r="G1495" t="s">
        <v>274</v>
      </c>
      <c r="H1495" t="s">
        <v>271</v>
      </c>
      <c r="I1495">
        <v>77</v>
      </c>
    </row>
    <row r="1496" spans="1:10" x14ac:dyDescent="0.2">
      <c r="A1496" t="s">
        <v>405</v>
      </c>
      <c r="B1496" t="s">
        <v>327</v>
      </c>
      <c r="C1496" t="s">
        <v>264</v>
      </c>
      <c r="D1496" t="s">
        <v>265</v>
      </c>
      <c r="E1496">
        <v>4665</v>
      </c>
      <c r="F1496" t="s">
        <v>3091</v>
      </c>
      <c r="G1496" t="s">
        <v>266</v>
      </c>
      <c r="H1496" t="s">
        <v>271</v>
      </c>
      <c r="I1496" t="s">
        <v>297</v>
      </c>
      <c r="J1496" t="s">
        <v>4671</v>
      </c>
    </row>
    <row r="1497" spans="1:10" x14ac:dyDescent="0.2">
      <c r="A1497" t="s">
        <v>405</v>
      </c>
      <c r="B1497" t="s">
        <v>327</v>
      </c>
      <c r="C1497" t="s">
        <v>264</v>
      </c>
      <c r="D1497" t="s">
        <v>265</v>
      </c>
      <c r="E1497">
        <v>4671</v>
      </c>
      <c r="F1497" t="s">
        <v>3092</v>
      </c>
      <c r="G1497" t="s">
        <v>266</v>
      </c>
      <c r="H1497" t="s">
        <v>271</v>
      </c>
      <c r="I1497">
        <v>205</v>
      </c>
    </row>
    <row r="1498" spans="1:10" x14ac:dyDescent="0.2">
      <c r="A1498" t="s">
        <v>405</v>
      </c>
      <c r="B1498" t="s">
        <v>327</v>
      </c>
      <c r="C1498" t="s">
        <v>264</v>
      </c>
      <c r="D1498" t="s">
        <v>265</v>
      </c>
      <c r="E1498">
        <v>4680</v>
      </c>
      <c r="F1498" t="s">
        <v>3093</v>
      </c>
      <c r="G1498" t="s">
        <v>266</v>
      </c>
      <c r="H1498" t="s">
        <v>271</v>
      </c>
      <c r="I1498" t="s">
        <v>297</v>
      </c>
      <c r="J1498" t="s">
        <v>4379</v>
      </c>
    </row>
    <row r="1499" spans="1:10" x14ac:dyDescent="0.2">
      <c r="A1499" t="s">
        <v>405</v>
      </c>
      <c r="B1499" t="s">
        <v>327</v>
      </c>
      <c r="C1499" t="s">
        <v>264</v>
      </c>
      <c r="D1499" t="s">
        <v>265</v>
      </c>
      <c r="E1499">
        <v>4720</v>
      </c>
      <c r="F1499" t="s">
        <v>3094</v>
      </c>
      <c r="G1499" t="s">
        <v>270</v>
      </c>
      <c r="H1499" t="s">
        <v>271</v>
      </c>
      <c r="I1499">
        <v>37</v>
      </c>
    </row>
    <row r="1500" spans="1:10" x14ac:dyDescent="0.2">
      <c r="A1500" t="s">
        <v>405</v>
      </c>
      <c r="B1500" t="s">
        <v>327</v>
      </c>
      <c r="C1500" t="s">
        <v>264</v>
      </c>
      <c r="D1500" t="s">
        <v>265</v>
      </c>
      <c r="E1500">
        <v>4777</v>
      </c>
      <c r="F1500" t="s">
        <v>419</v>
      </c>
      <c r="G1500" t="s">
        <v>270</v>
      </c>
      <c r="H1500" t="s">
        <v>277</v>
      </c>
      <c r="I1500">
        <v>52</v>
      </c>
    </row>
    <row r="1501" spans="1:10" x14ac:dyDescent="0.2">
      <c r="A1501" t="s">
        <v>405</v>
      </c>
      <c r="B1501" t="s">
        <v>327</v>
      </c>
      <c r="C1501" t="s">
        <v>268</v>
      </c>
      <c r="D1501" t="s">
        <v>265</v>
      </c>
      <c r="E1501">
        <v>4958</v>
      </c>
      <c r="F1501" t="s">
        <v>3095</v>
      </c>
      <c r="G1501" t="s">
        <v>266</v>
      </c>
      <c r="H1501" t="s">
        <v>279</v>
      </c>
      <c r="I1501">
        <v>924</v>
      </c>
    </row>
    <row r="1502" spans="1:10" x14ac:dyDescent="0.2">
      <c r="A1502" t="s">
        <v>405</v>
      </c>
      <c r="B1502" t="s">
        <v>327</v>
      </c>
      <c r="C1502" t="s">
        <v>264</v>
      </c>
      <c r="D1502" t="s">
        <v>269</v>
      </c>
      <c r="E1502">
        <v>4960</v>
      </c>
      <c r="F1502" t="s">
        <v>1638</v>
      </c>
      <c r="G1502" t="s">
        <v>274</v>
      </c>
      <c r="H1502" t="s">
        <v>279</v>
      </c>
      <c r="I1502">
        <v>45</v>
      </c>
    </row>
    <row r="1503" spans="1:10" x14ac:dyDescent="0.2">
      <c r="A1503" t="s">
        <v>405</v>
      </c>
      <c r="B1503" t="s">
        <v>327</v>
      </c>
      <c r="C1503" t="s">
        <v>264</v>
      </c>
      <c r="D1503" t="s">
        <v>269</v>
      </c>
      <c r="E1503">
        <v>4970</v>
      </c>
      <c r="F1503" t="s">
        <v>724</v>
      </c>
      <c r="G1503" t="s">
        <v>270</v>
      </c>
      <c r="H1503" t="s">
        <v>279</v>
      </c>
      <c r="I1503">
        <v>412</v>
      </c>
    </row>
    <row r="1504" spans="1:10" x14ac:dyDescent="0.2">
      <c r="A1504" t="s">
        <v>405</v>
      </c>
      <c r="B1504" t="s">
        <v>327</v>
      </c>
      <c r="C1504" t="s">
        <v>264</v>
      </c>
      <c r="D1504" t="s">
        <v>265</v>
      </c>
      <c r="E1504">
        <v>5013</v>
      </c>
      <c r="F1504" t="s">
        <v>3096</v>
      </c>
      <c r="G1504" t="s">
        <v>266</v>
      </c>
      <c r="H1504" t="s">
        <v>1442</v>
      </c>
      <c r="I1504">
        <v>201</v>
      </c>
    </row>
    <row r="1505" spans="1:10" x14ac:dyDescent="0.2">
      <c r="A1505" t="s">
        <v>405</v>
      </c>
      <c r="B1505" t="s">
        <v>327</v>
      </c>
      <c r="C1505" t="s">
        <v>264</v>
      </c>
      <c r="D1505" t="s">
        <v>265</v>
      </c>
      <c r="E1505">
        <v>5017</v>
      </c>
      <c r="F1505" t="s">
        <v>3097</v>
      </c>
      <c r="G1505" t="s">
        <v>266</v>
      </c>
      <c r="H1505" t="s">
        <v>1442</v>
      </c>
      <c r="I1505">
        <v>185</v>
      </c>
    </row>
    <row r="1506" spans="1:10" x14ac:dyDescent="0.2">
      <c r="A1506" t="s">
        <v>405</v>
      </c>
      <c r="B1506" t="s">
        <v>327</v>
      </c>
      <c r="C1506" t="s">
        <v>264</v>
      </c>
      <c r="D1506" t="s">
        <v>265</v>
      </c>
      <c r="E1506">
        <v>5186</v>
      </c>
      <c r="F1506" t="s">
        <v>3098</v>
      </c>
      <c r="G1506" t="s">
        <v>266</v>
      </c>
      <c r="H1506" t="s">
        <v>535</v>
      </c>
      <c r="I1506">
        <v>954</v>
      </c>
    </row>
    <row r="1507" spans="1:10" x14ac:dyDescent="0.2">
      <c r="A1507" t="s">
        <v>405</v>
      </c>
      <c r="B1507" t="s">
        <v>327</v>
      </c>
      <c r="C1507" t="s">
        <v>264</v>
      </c>
      <c r="D1507" t="s">
        <v>265</v>
      </c>
      <c r="E1507">
        <v>5212</v>
      </c>
      <c r="F1507" t="s">
        <v>3099</v>
      </c>
      <c r="G1507" t="s">
        <v>270</v>
      </c>
      <c r="H1507" t="s">
        <v>308</v>
      </c>
      <c r="I1507">
        <v>12</v>
      </c>
    </row>
    <row r="1508" spans="1:10" x14ac:dyDescent="0.2">
      <c r="A1508" t="s">
        <v>405</v>
      </c>
      <c r="B1508" t="s">
        <v>327</v>
      </c>
      <c r="C1508" t="s">
        <v>264</v>
      </c>
      <c r="D1508" t="s">
        <v>265</v>
      </c>
      <c r="E1508">
        <v>5232</v>
      </c>
      <c r="F1508" t="s">
        <v>3100</v>
      </c>
      <c r="G1508" t="s">
        <v>266</v>
      </c>
      <c r="H1508" t="s">
        <v>308</v>
      </c>
      <c r="I1508" t="s">
        <v>297</v>
      </c>
      <c r="J1508" t="s">
        <v>4443</v>
      </c>
    </row>
    <row r="1509" spans="1:10" x14ac:dyDescent="0.2">
      <c r="A1509" t="s">
        <v>405</v>
      </c>
      <c r="B1509" t="s">
        <v>327</v>
      </c>
      <c r="C1509" t="s">
        <v>264</v>
      </c>
      <c r="D1509" t="s">
        <v>265</v>
      </c>
      <c r="E1509">
        <v>5233</v>
      </c>
      <c r="F1509" t="s">
        <v>3101</v>
      </c>
      <c r="G1509" t="s">
        <v>266</v>
      </c>
      <c r="H1509" t="s">
        <v>308</v>
      </c>
      <c r="I1509" t="s">
        <v>333</v>
      </c>
      <c r="J1509" t="s">
        <v>5026</v>
      </c>
    </row>
    <row r="1510" spans="1:10" x14ac:dyDescent="0.2">
      <c r="A1510" t="s">
        <v>405</v>
      </c>
      <c r="B1510" t="s">
        <v>327</v>
      </c>
      <c r="C1510" t="s">
        <v>264</v>
      </c>
      <c r="D1510" t="s">
        <v>265</v>
      </c>
      <c r="E1510">
        <v>5282</v>
      </c>
      <c r="F1510" t="s">
        <v>3102</v>
      </c>
      <c r="G1510" t="s">
        <v>274</v>
      </c>
      <c r="H1510" t="s">
        <v>308</v>
      </c>
      <c r="I1510">
        <v>168</v>
      </c>
    </row>
    <row r="1511" spans="1:10" x14ac:dyDescent="0.2">
      <c r="A1511" t="s">
        <v>405</v>
      </c>
      <c r="B1511" t="s">
        <v>327</v>
      </c>
      <c r="C1511" t="s">
        <v>264</v>
      </c>
      <c r="D1511" t="s">
        <v>265</v>
      </c>
      <c r="E1511">
        <v>5284</v>
      </c>
      <c r="F1511" t="s">
        <v>3103</v>
      </c>
      <c r="G1511" t="s">
        <v>270</v>
      </c>
      <c r="H1511" t="s">
        <v>308</v>
      </c>
      <c r="I1511">
        <v>27</v>
      </c>
    </row>
    <row r="1512" spans="1:10" x14ac:dyDescent="0.2">
      <c r="A1512" t="s">
        <v>405</v>
      </c>
      <c r="B1512" t="s">
        <v>327</v>
      </c>
      <c r="C1512" t="s">
        <v>264</v>
      </c>
      <c r="D1512" t="s">
        <v>265</v>
      </c>
      <c r="E1512">
        <v>5285</v>
      </c>
      <c r="F1512" t="s">
        <v>3104</v>
      </c>
      <c r="G1512" t="s">
        <v>270</v>
      </c>
      <c r="H1512" t="s">
        <v>308</v>
      </c>
      <c r="I1512">
        <v>23</v>
      </c>
    </row>
    <row r="1513" spans="1:10" x14ac:dyDescent="0.2">
      <c r="A1513" t="s">
        <v>405</v>
      </c>
      <c r="B1513" t="s">
        <v>327</v>
      </c>
      <c r="C1513" t="s">
        <v>264</v>
      </c>
      <c r="D1513" t="s">
        <v>265</v>
      </c>
      <c r="E1513">
        <v>5288</v>
      </c>
      <c r="F1513" t="s">
        <v>3105</v>
      </c>
      <c r="G1513" t="s">
        <v>266</v>
      </c>
      <c r="H1513" t="s">
        <v>308</v>
      </c>
      <c r="I1513">
        <v>224</v>
      </c>
    </row>
    <row r="1514" spans="1:10" x14ac:dyDescent="0.2">
      <c r="A1514" t="s">
        <v>405</v>
      </c>
      <c r="B1514" t="s">
        <v>327</v>
      </c>
      <c r="C1514" t="s">
        <v>275</v>
      </c>
      <c r="D1514" t="s">
        <v>269</v>
      </c>
      <c r="E1514">
        <v>5380</v>
      </c>
      <c r="F1514" t="s">
        <v>3106</v>
      </c>
      <c r="G1514" t="s">
        <v>270</v>
      </c>
      <c r="H1514" t="s">
        <v>308</v>
      </c>
      <c r="I1514">
        <v>9</v>
      </c>
    </row>
    <row r="1515" spans="1:10" x14ac:dyDescent="0.2">
      <c r="A1515" t="s">
        <v>405</v>
      </c>
      <c r="B1515" t="s">
        <v>327</v>
      </c>
      <c r="C1515" t="s">
        <v>264</v>
      </c>
      <c r="D1515" t="s">
        <v>265</v>
      </c>
      <c r="E1515">
        <v>5387</v>
      </c>
      <c r="F1515" t="s">
        <v>3107</v>
      </c>
      <c r="G1515" t="s">
        <v>270</v>
      </c>
      <c r="H1515" t="s">
        <v>308</v>
      </c>
      <c r="I1515">
        <v>101</v>
      </c>
    </row>
    <row r="1516" spans="1:10" x14ac:dyDescent="0.2">
      <c r="A1516" t="s">
        <v>405</v>
      </c>
      <c r="B1516" t="s">
        <v>327</v>
      </c>
      <c r="C1516" t="s">
        <v>264</v>
      </c>
      <c r="D1516" t="s">
        <v>265</v>
      </c>
      <c r="E1516">
        <v>5401</v>
      </c>
      <c r="F1516" t="s">
        <v>3108</v>
      </c>
      <c r="G1516" t="s">
        <v>266</v>
      </c>
      <c r="H1516" t="s">
        <v>726</v>
      </c>
      <c r="I1516" t="s">
        <v>294</v>
      </c>
      <c r="J1516" t="s">
        <v>5027</v>
      </c>
    </row>
    <row r="1517" spans="1:10" x14ac:dyDescent="0.2">
      <c r="A1517" t="s">
        <v>405</v>
      </c>
      <c r="B1517" t="s">
        <v>327</v>
      </c>
      <c r="C1517" t="s">
        <v>264</v>
      </c>
      <c r="D1517" t="s">
        <v>265</v>
      </c>
      <c r="E1517">
        <v>5541</v>
      </c>
      <c r="F1517" t="s">
        <v>3109</v>
      </c>
      <c r="G1517" t="s">
        <v>266</v>
      </c>
      <c r="H1517" t="s">
        <v>726</v>
      </c>
      <c r="I1517">
        <v>481</v>
      </c>
    </row>
    <row r="1518" spans="1:10" x14ac:dyDescent="0.2">
      <c r="A1518" t="s">
        <v>405</v>
      </c>
      <c r="B1518" t="s">
        <v>327</v>
      </c>
      <c r="C1518" t="s">
        <v>273</v>
      </c>
      <c r="D1518" t="s">
        <v>269</v>
      </c>
      <c r="E1518">
        <v>5542</v>
      </c>
      <c r="F1518" t="s">
        <v>4494</v>
      </c>
      <c r="G1518" t="s">
        <v>270</v>
      </c>
      <c r="H1518" t="s">
        <v>726</v>
      </c>
      <c r="I1518">
        <v>47</v>
      </c>
    </row>
    <row r="1519" spans="1:10" x14ac:dyDescent="0.2">
      <c r="A1519" t="s">
        <v>405</v>
      </c>
      <c r="B1519" t="s">
        <v>327</v>
      </c>
      <c r="C1519" t="s">
        <v>264</v>
      </c>
      <c r="D1519" t="s">
        <v>265</v>
      </c>
      <c r="E1519">
        <v>5602</v>
      </c>
      <c r="F1519" t="s">
        <v>725</v>
      </c>
      <c r="G1519" t="s">
        <v>266</v>
      </c>
      <c r="H1519" t="s">
        <v>726</v>
      </c>
      <c r="I1519">
        <v>281</v>
      </c>
    </row>
    <row r="1520" spans="1:10" x14ac:dyDescent="0.2">
      <c r="A1520" t="s">
        <v>405</v>
      </c>
      <c r="B1520" t="s">
        <v>327</v>
      </c>
      <c r="C1520" t="s">
        <v>264</v>
      </c>
      <c r="D1520" t="s">
        <v>265</v>
      </c>
      <c r="E1520">
        <v>5614</v>
      </c>
      <c r="F1520" t="s">
        <v>3110</v>
      </c>
      <c r="G1520" t="s">
        <v>274</v>
      </c>
      <c r="H1520" t="s">
        <v>726</v>
      </c>
      <c r="I1520">
        <v>67</v>
      </c>
    </row>
    <row r="1521" spans="1:10" x14ac:dyDescent="0.2">
      <c r="A1521" t="s">
        <v>405</v>
      </c>
      <c r="B1521" t="s">
        <v>327</v>
      </c>
      <c r="C1521" t="s">
        <v>264</v>
      </c>
      <c r="D1521" t="s">
        <v>265</v>
      </c>
      <c r="E1521">
        <v>5713</v>
      </c>
      <c r="F1521" t="s">
        <v>420</v>
      </c>
      <c r="G1521" t="s">
        <v>266</v>
      </c>
      <c r="H1521" t="s">
        <v>373</v>
      </c>
      <c r="I1521" t="s">
        <v>359</v>
      </c>
      <c r="J1521" t="s">
        <v>4726</v>
      </c>
    </row>
    <row r="1522" spans="1:10" x14ac:dyDescent="0.2">
      <c r="A1522" t="s">
        <v>405</v>
      </c>
      <c r="B1522" t="s">
        <v>327</v>
      </c>
      <c r="C1522" t="s">
        <v>264</v>
      </c>
      <c r="D1522" t="s">
        <v>265</v>
      </c>
      <c r="E1522">
        <v>5742</v>
      </c>
      <c r="F1522" t="s">
        <v>4495</v>
      </c>
      <c r="G1522" t="s">
        <v>270</v>
      </c>
      <c r="H1522" t="s">
        <v>373</v>
      </c>
      <c r="I1522">
        <v>48</v>
      </c>
    </row>
    <row r="1523" spans="1:10" x14ac:dyDescent="0.2">
      <c r="A1523" t="s">
        <v>405</v>
      </c>
      <c r="B1523" t="s">
        <v>327</v>
      </c>
      <c r="C1523" t="s">
        <v>273</v>
      </c>
      <c r="D1523" t="s">
        <v>265</v>
      </c>
      <c r="E1523">
        <v>5816</v>
      </c>
      <c r="F1523" t="s">
        <v>3111</v>
      </c>
      <c r="G1523" t="s">
        <v>274</v>
      </c>
      <c r="H1523" t="s">
        <v>373</v>
      </c>
      <c r="I1523">
        <v>58</v>
      </c>
    </row>
    <row r="1524" spans="1:10" x14ac:dyDescent="0.2">
      <c r="A1524" t="s">
        <v>405</v>
      </c>
      <c r="B1524" t="s">
        <v>327</v>
      </c>
      <c r="C1524" t="s">
        <v>264</v>
      </c>
      <c r="D1524" t="s">
        <v>269</v>
      </c>
      <c r="E1524">
        <v>5923</v>
      </c>
      <c r="F1524" t="s">
        <v>3112</v>
      </c>
      <c r="G1524" t="s">
        <v>266</v>
      </c>
      <c r="H1524" t="s">
        <v>281</v>
      </c>
      <c r="I1524">
        <v>60</v>
      </c>
    </row>
    <row r="1525" spans="1:10" x14ac:dyDescent="0.2">
      <c r="A1525" t="s">
        <v>405</v>
      </c>
      <c r="B1525" t="s">
        <v>327</v>
      </c>
      <c r="C1525" t="s">
        <v>273</v>
      </c>
      <c r="D1525" t="s">
        <v>265</v>
      </c>
      <c r="E1525">
        <v>5946</v>
      </c>
      <c r="F1525" t="s">
        <v>3113</v>
      </c>
      <c r="G1525" t="s">
        <v>266</v>
      </c>
      <c r="H1525" t="s">
        <v>281</v>
      </c>
      <c r="I1525">
        <v>864</v>
      </c>
    </row>
    <row r="1526" spans="1:10" x14ac:dyDescent="0.2">
      <c r="A1526" t="s">
        <v>405</v>
      </c>
      <c r="B1526" t="s">
        <v>327</v>
      </c>
      <c r="C1526" t="s">
        <v>264</v>
      </c>
      <c r="D1526" t="s">
        <v>265</v>
      </c>
      <c r="E1526">
        <v>5976</v>
      </c>
      <c r="F1526" t="s">
        <v>3114</v>
      </c>
      <c r="G1526" t="s">
        <v>266</v>
      </c>
      <c r="H1526" t="s">
        <v>281</v>
      </c>
      <c r="I1526">
        <v>402</v>
      </c>
    </row>
    <row r="1527" spans="1:10" x14ac:dyDescent="0.2">
      <c r="A1527" t="s">
        <v>405</v>
      </c>
      <c r="B1527" t="s">
        <v>327</v>
      </c>
      <c r="C1527" t="s">
        <v>264</v>
      </c>
      <c r="D1527" t="s">
        <v>265</v>
      </c>
      <c r="E1527">
        <v>5999</v>
      </c>
      <c r="F1527" t="s">
        <v>1776</v>
      </c>
      <c r="G1527" t="s">
        <v>270</v>
      </c>
      <c r="H1527" t="s">
        <v>281</v>
      </c>
      <c r="I1527">
        <v>215</v>
      </c>
    </row>
    <row r="1528" spans="1:10" x14ac:dyDescent="0.2">
      <c r="A1528" t="s">
        <v>405</v>
      </c>
      <c r="B1528" t="s">
        <v>327</v>
      </c>
      <c r="C1528" t="s">
        <v>275</v>
      </c>
      <c r="D1528" t="s">
        <v>269</v>
      </c>
      <c r="E1528">
        <v>6062</v>
      </c>
      <c r="F1528" t="s">
        <v>3115</v>
      </c>
      <c r="G1528" t="s">
        <v>266</v>
      </c>
      <c r="H1528" t="s">
        <v>271</v>
      </c>
      <c r="I1528">
        <v>312</v>
      </c>
    </row>
    <row r="1529" spans="1:10" x14ac:dyDescent="0.2">
      <c r="A1529" t="s">
        <v>405</v>
      </c>
      <c r="B1529" t="s">
        <v>327</v>
      </c>
      <c r="C1529" t="s">
        <v>273</v>
      </c>
      <c r="D1529" t="s">
        <v>269</v>
      </c>
      <c r="E1529">
        <v>6077</v>
      </c>
      <c r="F1529" t="s">
        <v>3116</v>
      </c>
      <c r="G1529" t="s">
        <v>266</v>
      </c>
      <c r="H1529" t="s">
        <v>271</v>
      </c>
      <c r="I1529">
        <v>87</v>
      </c>
    </row>
    <row r="1530" spans="1:10" x14ac:dyDescent="0.2">
      <c r="A1530" t="s">
        <v>405</v>
      </c>
      <c r="B1530" t="s">
        <v>327</v>
      </c>
      <c r="C1530" t="s">
        <v>264</v>
      </c>
      <c r="D1530" t="s">
        <v>265</v>
      </c>
      <c r="E1530">
        <v>6089</v>
      </c>
      <c r="F1530" t="s">
        <v>3117</v>
      </c>
      <c r="G1530" t="s">
        <v>266</v>
      </c>
      <c r="H1530" t="s">
        <v>271</v>
      </c>
      <c r="I1530">
        <v>272</v>
      </c>
    </row>
    <row r="1531" spans="1:10" x14ac:dyDescent="0.2">
      <c r="A1531" t="s">
        <v>405</v>
      </c>
      <c r="B1531" t="s">
        <v>327</v>
      </c>
      <c r="C1531" t="s">
        <v>275</v>
      </c>
      <c r="D1531" t="s">
        <v>265</v>
      </c>
      <c r="E1531">
        <v>6090</v>
      </c>
      <c r="F1531" t="s">
        <v>3118</v>
      </c>
      <c r="G1531" t="s">
        <v>278</v>
      </c>
      <c r="H1531" t="s">
        <v>271</v>
      </c>
      <c r="I1531">
        <v>44</v>
      </c>
    </row>
    <row r="1532" spans="1:10" x14ac:dyDescent="0.2">
      <c r="A1532" t="s">
        <v>405</v>
      </c>
      <c r="B1532" t="s">
        <v>327</v>
      </c>
      <c r="C1532" t="s">
        <v>264</v>
      </c>
      <c r="D1532" t="s">
        <v>265</v>
      </c>
      <c r="E1532">
        <v>6113</v>
      </c>
      <c r="F1532" t="s">
        <v>3119</v>
      </c>
      <c r="G1532" t="s">
        <v>266</v>
      </c>
      <c r="H1532" t="s">
        <v>287</v>
      </c>
      <c r="I1532" t="s">
        <v>316</v>
      </c>
      <c r="J1532" t="s">
        <v>5028</v>
      </c>
    </row>
    <row r="1533" spans="1:10" x14ac:dyDescent="0.2">
      <c r="A1533" t="s">
        <v>405</v>
      </c>
      <c r="B1533" t="s">
        <v>327</v>
      </c>
      <c r="C1533" t="s">
        <v>264</v>
      </c>
      <c r="D1533" t="s">
        <v>265</v>
      </c>
      <c r="E1533">
        <v>6138</v>
      </c>
      <c r="F1533" t="s">
        <v>3120</v>
      </c>
      <c r="G1533" t="s">
        <v>266</v>
      </c>
      <c r="H1533" t="s">
        <v>287</v>
      </c>
      <c r="I1533">
        <v>44</v>
      </c>
    </row>
    <row r="1534" spans="1:10" x14ac:dyDescent="0.2">
      <c r="A1534" t="s">
        <v>405</v>
      </c>
      <c r="B1534" t="s">
        <v>327</v>
      </c>
      <c r="C1534" t="s">
        <v>264</v>
      </c>
      <c r="D1534" t="s">
        <v>265</v>
      </c>
      <c r="E1534">
        <v>6166</v>
      </c>
      <c r="F1534" t="s">
        <v>3121</v>
      </c>
      <c r="G1534" t="s">
        <v>278</v>
      </c>
      <c r="H1534" t="s">
        <v>287</v>
      </c>
      <c r="I1534">
        <v>100</v>
      </c>
    </row>
    <row r="1535" spans="1:10" x14ac:dyDescent="0.2">
      <c r="A1535" t="s">
        <v>405</v>
      </c>
      <c r="B1535" t="s">
        <v>327</v>
      </c>
      <c r="C1535" t="s">
        <v>264</v>
      </c>
      <c r="D1535" t="s">
        <v>265</v>
      </c>
      <c r="E1535">
        <v>6245</v>
      </c>
      <c r="F1535" t="s">
        <v>3122</v>
      </c>
      <c r="G1535" t="s">
        <v>274</v>
      </c>
      <c r="H1535" t="s">
        <v>287</v>
      </c>
      <c r="I1535">
        <v>289</v>
      </c>
    </row>
    <row r="1536" spans="1:10" x14ac:dyDescent="0.2">
      <c r="A1536" t="s">
        <v>405</v>
      </c>
      <c r="B1536" t="s">
        <v>327</v>
      </c>
      <c r="C1536" t="s">
        <v>264</v>
      </c>
      <c r="D1536" t="s">
        <v>265</v>
      </c>
      <c r="E1536">
        <v>6258</v>
      </c>
      <c r="F1536" t="s">
        <v>3123</v>
      </c>
      <c r="G1536" t="s">
        <v>266</v>
      </c>
      <c r="H1536" t="s">
        <v>287</v>
      </c>
      <c r="I1536">
        <v>759</v>
      </c>
    </row>
    <row r="1537" spans="1:10" x14ac:dyDescent="0.2">
      <c r="A1537" t="s">
        <v>405</v>
      </c>
      <c r="B1537" t="s">
        <v>327</v>
      </c>
      <c r="C1537" t="s">
        <v>264</v>
      </c>
      <c r="D1537" t="s">
        <v>265</v>
      </c>
      <c r="E1537">
        <v>6272</v>
      </c>
      <c r="F1537" t="s">
        <v>3124</v>
      </c>
      <c r="G1537" t="s">
        <v>266</v>
      </c>
      <c r="H1537" t="s">
        <v>287</v>
      </c>
      <c r="I1537">
        <v>440</v>
      </c>
    </row>
    <row r="1538" spans="1:10" x14ac:dyDescent="0.2">
      <c r="A1538" t="s">
        <v>405</v>
      </c>
      <c r="B1538" t="s">
        <v>327</v>
      </c>
      <c r="C1538" t="s">
        <v>268</v>
      </c>
      <c r="D1538" t="s">
        <v>265</v>
      </c>
      <c r="E1538">
        <v>6277</v>
      </c>
      <c r="F1538" t="s">
        <v>3125</v>
      </c>
      <c r="G1538" t="s">
        <v>266</v>
      </c>
      <c r="H1538" t="s">
        <v>287</v>
      </c>
      <c r="I1538">
        <v>423</v>
      </c>
    </row>
    <row r="1539" spans="1:10" x14ac:dyDescent="0.2">
      <c r="A1539" t="s">
        <v>405</v>
      </c>
      <c r="B1539" t="s">
        <v>327</v>
      </c>
      <c r="C1539" t="s">
        <v>273</v>
      </c>
      <c r="D1539" t="s">
        <v>265</v>
      </c>
      <c r="E1539">
        <v>6278</v>
      </c>
      <c r="F1539" t="s">
        <v>3126</v>
      </c>
      <c r="G1539" t="s">
        <v>266</v>
      </c>
      <c r="H1539" t="s">
        <v>287</v>
      </c>
      <c r="I1539">
        <v>650</v>
      </c>
    </row>
    <row r="1540" spans="1:10" x14ac:dyDescent="0.2">
      <c r="A1540" t="s">
        <v>405</v>
      </c>
      <c r="B1540" t="s">
        <v>327</v>
      </c>
      <c r="C1540" t="s">
        <v>264</v>
      </c>
      <c r="D1540" t="s">
        <v>265</v>
      </c>
      <c r="E1540">
        <v>6287</v>
      </c>
      <c r="F1540" t="s">
        <v>1777</v>
      </c>
      <c r="G1540" t="s">
        <v>266</v>
      </c>
      <c r="H1540" t="s">
        <v>287</v>
      </c>
      <c r="I1540" t="s">
        <v>297</v>
      </c>
      <c r="J1540" t="s">
        <v>4719</v>
      </c>
    </row>
    <row r="1541" spans="1:10" x14ac:dyDescent="0.2">
      <c r="A1541" t="s">
        <v>405</v>
      </c>
      <c r="B1541" t="s">
        <v>327</v>
      </c>
      <c r="C1541" t="s">
        <v>264</v>
      </c>
      <c r="D1541" t="s">
        <v>265</v>
      </c>
      <c r="E1541">
        <v>6293</v>
      </c>
      <c r="F1541" t="s">
        <v>3127</v>
      </c>
      <c r="G1541" t="s">
        <v>266</v>
      </c>
      <c r="H1541" t="s">
        <v>287</v>
      </c>
      <c r="I1541">
        <v>227</v>
      </c>
    </row>
    <row r="1542" spans="1:10" x14ac:dyDescent="0.2">
      <c r="A1542" t="s">
        <v>405</v>
      </c>
      <c r="B1542" t="s">
        <v>327</v>
      </c>
      <c r="C1542" t="s">
        <v>275</v>
      </c>
      <c r="D1542" t="s">
        <v>265</v>
      </c>
      <c r="E1542">
        <v>6327</v>
      </c>
      <c r="F1542" t="s">
        <v>1480</v>
      </c>
      <c r="G1542" t="s">
        <v>270</v>
      </c>
      <c r="H1542" t="s">
        <v>287</v>
      </c>
      <c r="I1542">
        <v>40</v>
      </c>
    </row>
    <row r="1543" spans="1:10" x14ac:dyDescent="0.2">
      <c r="A1543" t="s">
        <v>405</v>
      </c>
      <c r="B1543" t="s">
        <v>327</v>
      </c>
      <c r="C1543" t="s">
        <v>275</v>
      </c>
      <c r="D1543" t="s">
        <v>265</v>
      </c>
      <c r="E1543">
        <v>6340</v>
      </c>
      <c r="F1543" t="s">
        <v>3128</v>
      </c>
      <c r="G1543" t="s">
        <v>266</v>
      </c>
      <c r="H1543" t="s">
        <v>287</v>
      </c>
      <c r="I1543">
        <v>888</v>
      </c>
    </row>
    <row r="1544" spans="1:10" x14ac:dyDescent="0.2">
      <c r="A1544" t="s">
        <v>405</v>
      </c>
      <c r="B1544" t="s">
        <v>327</v>
      </c>
      <c r="C1544" t="s">
        <v>264</v>
      </c>
      <c r="D1544" t="s">
        <v>265</v>
      </c>
      <c r="E1544">
        <v>6358</v>
      </c>
      <c r="F1544" t="s">
        <v>3129</v>
      </c>
      <c r="G1544" t="s">
        <v>266</v>
      </c>
      <c r="H1544" t="s">
        <v>287</v>
      </c>
      <c r="I1544">
        <v>117</v>
      </c>
    </row>
    <row r="1545" spans="1:10" x14ac:dyDescent="0.2">
      <c r="A1545" t="s">
        <v>405</v>
      </c>
      <c r="B1545" t="s">
        <v>327</v>
      </c>
      <c r="C1545" t="s">
        <v>264</v>
      </c>
      <c r="D1545" t="s">
        <v>265</v>
      </c>
      <c r="E1545">
        <v>6383</v>
      </c>
      <c r="F1545" t="s">
        <v>3130</v>
      </c>
      <c r="G1545" t="s">
        <v>266</v>
      </c>
      <c r="H1545" t="s">
        <v>287</v>
      </c>
      <c r="I1545" t="s">
        <v>343</v>
      </c>
      <c r="J1545" t="s">
        <v>5029</v>
      </c>
    </row>
    <row r="1546" spans="1:10" x14ac:dyDescent="0.2">
      <c r="A1546" t="s">
        <v>405</v>
      </c>
      <c r="B1546" t="s">
        <v>327</v>
      </c>
      <c r="C1546" t="s">
        <v>264</v>
      </c>
      <c r="D1546" t="s">
        <v>265</v>
      </c>
      <c r="E1546">
        <v>6393</v>
      </c>
      <c r="F1546" t="s">
        <v>3131</v>
      </c>
      <c r="G1546" t="s">
        <v>266</v>
      </c>
      <c r="H1546" t="s">
        <v>287</v>
      </c>
      <c r="I1546">
        <v>79</v>
      </c>
    </row>
    <row r="1547" spans="1:10" x14ac:dyDescent="0.2">
      <c r="A1547" t="s">
        <v>405</v>
      </c>
      <c r="B1547" t="s">
        <v>327</v>
      </c>
      <c r="C1547" t="s">
        <v>264</v>
      </c>
      <c r="D1547" t="s">
        <v>265</v>
      </c>
      <c r="E1547">
        <v>6417</v>
      </c>
      <c r="F1547" t="s">
        <v>4496</v>
      </c>
      <c r="G1547" t="s">
        <v>266</v>
      </c>
      <c r="H1547" t="s">
        <v>287</v>
      </c>
      <c r="I1547" t="s">
        <v>289</v>
      </c>
      <c r="J1547" t="s">
        <v>2257</v>
      </c>
    </row>
    <row r="1548" spans="1:10" x14ac:dyDescent="0.2">
      <c r="A1548" t="s">
        <v>405</v>
      </c>
      <c r="B1548" t="s">
        <v>327</v>
      </c>
      <c r="C1548" t="s">
        <v>264</v>
      </c>
      <c r="D1548" t="s">
        <v>265</v>
      </c>
      <c r="E1548">
        <v>6445</v>
      </c>
      <c r="F1548" t="s">
        <v>3132</v>
      </c>
      <c r="G1548" t="s">
        <v>266</v>
      </c>
      <c r="H1548" t="s">
        <v>287</v>
      </c>
      <c r="I1548">
        <v>81</v>
      </c>
    </row>
    <row r="1549" spans="1:10" x14ac:dyDescent="0.2">
      <c r="A1549" t="s">
        <v>405</v>
      </c>
      <c r="B1549" t="s">
        <v>327</v>
      </c>
      <c r="C1549" t="s">
        <v>264</v>
      </c>
      <c r="D1549" t="s">
        <v>265</v>
      </c>
      <c r="E1549">
        <v>6458</v>
      </c>
      <c r="F1549" t="s">
        <v>3133</v>
      </c>
      <c r="G1549" t="s">
        <v>266</v>
      </c>
      <c r="H1549" t="s">
        <v>287</v>
      </c>
      <c r="I1549">
        <v>509</v>
      </c>
    </row>
    <row r="1550" spans="1:10" x14ac:dyDescent="0.2">
      <c r="A1550" t="s">
        <v>405</v>
      </c>
      <c r="B1550" t="s">
        <v>327</v>
      </c>
      <c r="C1550" t="s">
        <v>264</v>
      </c>
      <c r="D1550" t="s">
        <v>265</v>
      </c>
      <c r="E1550">
        <v>6485</v>
      </c>
      <c r="F1550" t="s">
        <v>421</v>
      </c>
      <c r="G1550" t="s">
        <v>266</v>
      </c>
      <c r="H1550" t="s">
        <v>287</v>
      </c>
      <c r="I1550">
        <v>285</v>
      </c>
    </row>
    <row r="1551" spans="1:10" x14ac:dyDescent="0.2">
      <c r="A1551" t="s">
        <v>405</v>
      </c>
      <c r="B1551" t="s">
        <v>327</v>
      </c>
      <c r="C1551" t="s">
        <v>273</v>
      </c>
      <c r="D1551" t="s">
        <v>265</v>
      </c>
      <c r="E1551">
        <v>6537</v>
      </c>
      <c r="F1551" t="s">
        <v>539</v>
      </c>
      <c r="G1551" t="s">
        <v>278</v>
      </c>
      <c r="H1551" t="s">
        <v>271</v>
      </c>
      <c r="I1551">
        <v>52</v>
      </c>
    </row>
    <row r="1552" spans="1:10" x14ac:dyDescent="0.2">
      <c r="A1552" t="s">
        <v>405</v>
      </c>
      <c r="B1552" t="s">
        <v>327</v>
      </c>
      <c r="C1552" t="s">
        <v>264</v>
      </c>
      <c r="D1552" t="s">
        <v>265</v>
      </c>
      <c r="E1552">
        <v>6544</v>
      </c>
      <c r="F1552" t="s">
        <v>3134</v>
      </c>
      <c r="G1552" t="s">
        <v>266</v>
      </c>
      <c r="H1552" t="s">
        <v>271</v>
      </c>
      <c r="I1552" t="s">
        <v>297</v>
      </c>
      <c r="J1552" t="s">
        <v>4911</v>
      </c>
    </row>
    <row r="1553" spans="1:10" x14ac:dyDescent="0.2">
      <c r="A1553" t="s">
        <v>405</v>
      </c>
      <c r="B1553" t="s">
        <v>327</v>
      </c>
      <c r="C1553" t="s">
        <v>273</v>
      </c>
      <c r="D1553" t="s">
        <v>265</v>
      </c>
      <c r="E1553">
        <v>6560</v>
      </c>
      <c r="F1553" t="s">
        <v>3135</v>
      </c>
      <c r="G1553" t="s">
        <v>278</v>
      </c>
      <c r="H1553" t="s">
        <v>271</v>
      </c>
      <c r="I1553">
        <v>82</v>
      </c>
    </row>
    <row r="1554" spans="1:10" x14ac:dyDescent="0.2">
      <c r="A1554" t="s">
        <v>405</v>
      </c>
      <c r="B1554" t="s">
        <v>327</v>
      </c>
      <c r="C1554" t="s">
        <v>273</v>
      </c>
      <c r="D1554" t="s">
        <v>265</v>
      </c>
      <c r="E1554">
        <v>6573</v>
      </c>
      <c r="F1554" t="s">
        <v>3136</v>
      </c>
      <c r="G1554" t="s">
        <v>278</v>
      </c>
      <c r="H1554" t="s">
        <v>271</v>
      </c>
      <c r="I1554">
        <v>21</v>
      </c>
    </row>
    <row r="1555" spans="1:10" x14ac:dyDescent="0.2">
      <c r="A1555" t="s">
        <v>405</v>
      </c>
      <c r="B1555" t="s">
        <v>327</v>
      </c>
      <c r="C1555" t="s">
        <v>264</v>
      </c>
      <c r="D1555" t="s">
        <v>265</v>
      </c>
      <c r="E1555">
        <v>6622</v>
      </c>
      <c r="F1555" t="s">
        <v>3137</v>
      </c>
      <c r="G1555" t="s">
        <v>266</v>
      </c>
      <c r="H1555" t="s">
        <v>291</v>
      </c>
      <c r="I1555">
        <v>940</v>
      </c>
    </row>
    <row r="1556" spans="1:10" x14ac:dyDescent="0.2">
      <c r="A1556" t="s">
        <v>405</v>
      </c>
      <c r="B1556" t="s">
        <v>327</v>
      </c>
      <c r="C1556" t="s">
        <v>264</v>
      </c>
      <c r="D1556" t="s">
        <v>265</v>
      </c>
      <c r="E1556">
        <v>6638</v>
      </c>
      <c r="F1556" t="s">
        <v>3138</v>
      </c>
      <c r="G1556" t="s">
        <v>266</v>
      </c>
      <c r="H1556" t="s">
        <v>291</v>
      </c>
      <c r="I1556">
        <v>168</v>
      </c>
    </row>
    <row r="1557" spans="1:10" x14ac:dyDescent="0.2">
      <c r="A1557" t="s">
        <v>405</v>
      </c>
      <c r="B1557" t="s">
        <v>327</v>
      </c>
      <c r="C1557" t="s">
        <v>273</v>
      </c>
      <c r="D1557" t="s">
        <v>265</v>
      </c>
      <c r="E1557">
        <v>6640</v>
      </c>
      <c r="F1557" t="s">
        <v>3139</v>
      </c>
      <c r="G1557" t="s">
        <v>266</v>
      </c>
      <c r="H1557" t="s">
        <v>291</v>
      </c>
      <c r="I1557">
        <v>463</v>
      </c>
    </row>
    <row r="1558" spans="1:10" x14ac:dyDescent="0.2">
      <c r="A1558" t="s">
        <v>405</v>
      </c>
      <c r="B1558" t="s">
        <v>327</v>
      </c>
      <c r="C1558" t="s">
        <v>264</v>
      </c>
      <c r="D1558" t="s">
        <v>269</v>
      </c>
      <c r="E1558">
        <v>6648</v>
      </c>
      <c r="F1558" t="s">
        <v>3140</v>
      </c>
      <c r="G1558" t="s">
        <v>270</v>
      </c>
      <c r="H1558" t="s">
        <v>291</v>
      </c>
      <c r="I1558">
        <v>107</v>
      </c>
    </row>
    <row r="1559" spans="1:10" x14ac:dyDescent="0.2">
      <c r="A1559" t="s">
        <v>405</v>
      </c>
      <c r="B1559" t="s">
        <v>327</v>
      </c>
      <c r="C1559" t="s">
        <v>264</v>
      </c>
      <c r="D1559" t="s">
        <v>265</v>
      </c>
      <c r="E1559">
        <v>6675</v>
      </c>
      <c r="F1559" t="s">
        <v>3141</v>
      </c>
      <c r="G1559" t="s">
        <v>266</v>
      </c>
      <c r="H1559" t="s">
        <v>291</v>
      </c>
      <c r="I1559">
        <v>125</v>
      </c>
    </row>
    <row r="1560" spans="1:10" x14ac:dyDescent="0.2">
      <c r="A1560" t="s">
        <v>405</v>
      </c>
      <c r="B1560" t="s">
        <v>327</v>
      </c>
      <c r="C1560" t="s">
        <v>264</v>
      </c>
      <c r="D1560" t="s">
        <v>265</v>
      </c>
      <c r="E1560">
        <v>6703</v>
      </c>
      <c r="F1560" t="s">
        <v>4497</v>
      </c>
      <c r="G1560" t="s">
        <v>266</v>
      </c>
      <c r="H1560" t="s">
        <v>291</v>
      </c>
      <c r="I1560" t="s">
        <v>297</v>
      </c>
      <c r="J1560" t="s">
        <v>4631</v>
      </c>
    </row>
    <row r="1561" spans="1:10" x14ac:dyDescent="0.2">
      <c r="A1561" t="s">
        <v>405</v>
      </c>
      <c r="B1561" t="s">
        <v>327</v>
      </c>
      <c r="C1561" t="s">
        <v>264</v>
      </c>
      <c r="D1561" t="s">
        <v>265</v>
      </c>
      <c r="E1561">
        <v>6730</v>
      </c>
      <c r="F1561" t="s">
        <v>3142</v>
      </c>
      <c r="G1561" t="s">
        <v>266</v>
      </c>
      <c r="H1561" t="s">
        <v>291</v>
      </c>
      <c r="I1561">
        <v>111</v>
      </c>
    </row>
    <row r="1562" spans="1:10" x14ac:dyDescent="0.2">
      <c r="A1562" t="s">
        <v>405</v>
      </c>
      <c r="B1562" t="s">
        <v>327</v>
      </c>
      <c r="C1562" t="s">
        <v>264</v>
      </c>
      <c r="D1562" t="s">
        <v>265</v>
      </c>
      <c r="E1562">
        <v>6742</v>
      </c>
      <c r="F1562" t="s">
        <v>3143</v>
      </c>
      <c r="G1562" t="s">
        <v>266</v>
      </c>
      <c r="H1562" t="s">
        <v>291</v>
      </c>
      <c r="I1562">
        <v>387</v>
      </c>
    </row>
    <row r="1563" spans="1:10" x14ac:dyDescent="0.2">
      <c r="A1563" t="s">
        <v>405</v>
      </c>
      <c r="B1563" t="s">
        <v>327</v>
      </c>
      <c r="C1563" t="s">
        <v>264</v>
      </c>
      <c r="D1563" t="s">
        <v>265</v>
      </c>
      <c r="E1563">
        <v>6743</v>
      </c>
      <c r="F1563" t="s">
        <v>3144</v>
      </c>
      <c r="G1563" t="s">
        <v>274</v>
      </c>
      <c r="H1563" t="s">
        <v>291</v>
      </c>
      <c r="I1563">
        <v>106</v>
      </c>
    </row>
    <row r="1564" spans="1:10" x14ac:dyDescent="0.2">
      <c r="A1564" t="s">
        <v>405</v>
      </c>
      <c r="B1564" t="s">
        <v>327</v>
      </c>
      <c r="C1564" t="s">
        <v>264</v>
      </c>
      <c r="D1564" t="s">
        <v>265</v>
      </c>
      <c r="E1564">
        <v>6763</v>
      </c>
      <c r="F1564" t="s">
        <v>3145</v>
      </c>
      <c r="G1564" t="s">
        <v>266</v>
      </c>
      <c r="H1564" t="s">
        <v>291</v>
      </c>
      <c r="I1564">
        <v>125</v>
      </c>
    </row>
    <row r="1565" spans="1:10" x14ac:dyDescent="0.2">
      <c r="A1565" t="s">
        <v>405</v>
      </c>
      <c r="B1565" t="s">
        <v>327</v>
      </c>
      <c r="C1565" t="s">
        <v>264</v>
      </c>
      <c r="D1565" t="s">
        <v>265</v>
      </c>
      <c r="E1565">
        <v>6779</v>
      </c>
      <c r="F1565" t="s">
        <v>3146</v>
      </c>
      <c r="G1565" t="s">
        <v>266</v>
      </c>
      <c r="H1565" t="s">
        <v>291</v>
      </c>
      <c r="I1565">
        <v>119</v>
      </c>
    </row>
    <row r="1566" spans="1:10" x14ac:dyDescent="0.2">
      <c r="A1566" t="s">
        <v>405</v>
      </c>
      <c r="B1566" t="s">
        <v>327</v>
      </c>
      <c r="C1566" t="s">
        <v>264</v>
      </c>
      <c r="D1566" t="s">
        <v>265</v>
      </c>
      <c r="E1566">
        <v>6804</v>
      </c>
      <c r="F1566" t="s">
        <v>3147</v>
      </c>
      <c r="G1566" t="s">
        <v>266</v>
      </c>
      <c r="H1566" t="s">
        <v>291</v>
      </c>
      <c r="I1566">
        <v>918</v>
      </c>
    </row>
    <row r="1567" spans="1:10" x14ac:dyDescent="0.2">
      <c r="A1567" t="s">
        <v>405</v>
      </c>
      <c r="B1567" t="s">
        <v>327</v>
      </c>
      <c r="C1567" t="s">
        <v>264</v>
      </c>
      <c r="D1567" t="s">
        <v>265</v>
      </c>
      <c r="E1567">
        <v>6822</v>
      </c>
      <c r="F1567" t="s">
        <v>3148</v>
      </c>
      <c r="G1567" t="s">
        <v>270</v>
      </c>
      <c r="H1567" t="s">
        <v>291</v>
      </c>
      <c r="I1567">
        <v>54</v>
      </c>
    </row>
    <row r="1568" spans="1:10" x14ac:dyDescent="0.2">
      <c r="A1568" t="s">
        <v>405</v>
      </c>
      <c r="B1568" t="s">
        <v>327</v>
      </c>
      <c r="C1568" t="s">
        <v>264</v>
      </c>
      <c r="D1568" t="s">
        <v>265</v>
      </c>
      <c r="E1568">
        <v>6844</v>
      </c>
      <c r="F1568" t="s">
        <v>3149</v>
      </c>
      <c r="G1568" t="s">
        <v>266</v>
      </c>
      <c r="H1568" t="s">
        <v>291</v>
      </c>
      <c r="I1568">
        <v>385</v>
      </c>
    </row>
    <row r="1569" spans="1:10" x14ac:dyDescent="0.2">
      <c r="A1569" t="s">
        <v>405</v>
      </c>
      <c r="B1569" t="s">
        <v>327</v>
      </c>
      <c r="C1569" t="s">
        <v>273</v>
      </c>
      <c r="D1569" t="s">
        <v>265</v>
      </c>
      <c r="E1569">
        <v>6853</v>
      </c>
      <c r="F1569" t="s">
        <v>3150</v>
      </c>
      <c r="G1569" t="s">
        <v>266</v>
      </c>
      <c r="H1569" t="s">
        <v>291</v>
      </c>
      <c r="I1569">
        <v>124</v>
      </c>
    </row>
    <row r="1570" spans="1:10" x14ac:dyDescent="0.2">
      <c r="A1570" t="s">
        <v>405</v>
      </c>
      <c r="B1570" t="s">
        <v>327</v>
      </c>
      <c r="C1570" t="s">
        <v>264</v>
      </c>
      <c r="D1570" t="s">
        <v>265</v>
      </c>
      <c r="E1570">
        <v>6862</v>
      </c>
      <c r="F1570" t="s">
        <v>3151</v>
      </c>
      <c r="G1570" t="s">
        <v>270</v>
      </c>
      <c r="H1570" t="s">
        <v>291</v>
      </c>
      <c r="I1570">
        <v>33</v>
      </c>
    </row>
    <row r="1571" spans="1:10" x14ac:dyDescent="0.2">
      <c r="A1571" t="s">
        <v>405</v>
      </c>
      <c r="B1571" t="s">
        <v>327</v>
      </c>
      <c r="C1571" t="s">
        <v>264</v>
      </c>
      <c r="D1571" t="s">
        <v>265</v>
      </c>
      <c r="E1571">
        <v>6904</v>
      </c>
      <c r="F1571" t="s">
        <v>3152</v>
      </c>
      <c r="G1571" t="s">
        <v>266</v>
      </c>
      <c r="H1571" t="s">
        <v>291</v>
      </c>
      <c r="I1571">
        <v>221</v>
      </c>
    </row>
    <row r="1572" spans="1:10" x14ac:dyDescent="0.2">
      <c r="A1572" t="s">
        <v>405</v>
      </c>
      <c r="B1572" t="s">
        <v>327</v>
      </c>
      <c r="C1572" t="s">
        <v>264</v>
      </c>
      <c r="D1572" t="s">
        <v>265</v>
      </c>
      <c r="E1572">
        <v>6919</v>
      </c>
      <c r="F1572" t="s">
        <v>3153</v>
      </c>
      <c r="G1572" t="s">
        <v>270</v>
      </c>
      <c r="H1572" t="s">
        <v>291</v>
      </c>
      <c r="I1572">
        <v>76</v>
      </c>
    </row>
    <row r="1573" spans="1:10" x14ac:dyDescent="0.2">
      <c r="A1573" t="s">
        <v>405</v>
      </c>
      <c r="B1573" t="s">
        <v>327</v>
      </c>
      <c r="C1573" t="s">
        <v>273</v>
      </c>
      <c r="D1573" t="s">
        <v>265</v>
      </c>
      <c r="E1573">
        <v>6929</v>
      </c>
      <c r="F1573" t="s">
        <v>422</v>
      </c>
      <c r="G1573" t="s">
        <v>266</v>
      </c>
      <c r="H1573" t="s">
        <v>291</v>
      </c>
      <c r="I1573">
        <v>726</v>
      </c>
    </row>
    <row r="1574" spans="1:10" x14ac:dyDescent="0.2">
      <c r="A1574" t="s">
        <v>405</v>
      </c>
      <c r="B1574" t="s">
        <v>327</v>
      </c>
      <c r="C1574" t="s">
        <v>264</v>
      </c>
      <c r="D1574" t="s">
        <v>265</v>
      </c>
      <c r="E1574">
        <v>6951</v>
      </c>
      <c r="F1574" t="s">
        <v>3154</v>
      </c>
      <c r="G1574" t="s">
        <v>266</v>
      </c>
      <c r="H1574" t="s">
        <v>291</v>
      </c>
      <c r="I1574" t="s">
        <v>297</v>
      </c>
      <c r="J1574" t="s">
        <v>4452</v>
      </c>
    </row>
    <row r="1575" spans="1:10" x14ac:dyDescent="0.2">
      <c r="A1575" t="s">
        <v>405</v>
      </c>
      <c r="B1575" t="s">
        <v>327</v>
      </c>
      <c r="C1575" t="s">
        <v>264</v>
      </c>
      <c r="D1575" t="s">
        <v>265</v>
      </c>
      <c r="E1575">
        <v>6958</v>
      </c>
      <c r="F1575" t="s">
        <v>3155</v>
      </c>
      <c r="G1575" t="s">
        <v>266</v>
      </c>
      <c r="H1575" t="s">
        <v>291</v>
      </c>
      <c r="I1575">
        <v>385</v>
      </c>
    </row>
    <row r="1576" spans="1:10" x14ac:dyDescent="0.2">
      <c r="A1576" t="s">
        <v>405</v>
      </c>
      <c r="B1576" t="s">
        <v>327</v>
      </c>
      <c r="C1576" t="s">
        <v>264</v>
      </c>
      <c r="D1576" t="s">
        <v>265</v>
      </c>
      <c r="E1576">
        <v>6976</v>
      </c>
      <c r="F1576" t="s">
        <v>1779</v>
      </c>
      <c r="G1576" t="s">
        <v>266</v>
      </c>
      <c r="H1576" t="s">
        <v>291</v>
      </c>
      <c r="I1576" t="s">
        <v>316</v>
      </c>
      <c r="J1576" t="s">
        <v>5030</v>
      </c>
    </row>
    <row r="1577" spans="1:10" x14ac:dyDescent="0.2">
      <c r="A1577" t="s">
        <v>405</v>
      </c>
      <c r="B1577" t="s">
        <v>327</v>
      </c>
      <c r="C1577" t="s">
        <v>264</v>
      </c>
      <c r="D1577" t="s">
        <v>269</v>
      </c>
      <c r="E1577">
        <v>6982</v>
      </c>
      <c r="F1577" t="s">
        <v>3156</v>
      </c>
      <c r="G1577" t="s">
        <v>274</v>
      </c>
      <c r="H1577" t="s">
        <v>296</v>
      </c>
      <c r="I1577">
        <v>10</v>
      </c>
    </row>
    <row r="1578" spans="1:10" x14ac:dyDescent="0.2">
      <c r="A1578" t="s">
        <v>405</v>
      </c>
      <c r="B1578" t="s">
        <v>327</v>
      </c>
      <c r="C1578" t="s">
        <v>264</v>
      </c>
      <c r="D1578" t="s">
        <v>265</v>
      </c>
      <c r="E1578">
        <v>6986</v>
      </c>
      <c r="F1578" t="s">
        <v>1478</v>
      </c>
      <c r="G1578" t="s">
        <v>266</v>
      </c>
      <c r="H1578" t="s">
        <v>291</v>
      </c>
      <c r="I1578">
        <v>571</v>
      </c>
    </row>
    <row r="1579" spans="1:10" x14ac:dyDescent="0.2">
      <c r="A1579" t="s">
        <v>405</v>
      </c>
      <c r="B1579" t="s">
        <v>327</v>
      </c>
      <c r="C1579" t="s">
        <v>264</v>
      </c>
      <c r="D1579" t="s">
        <v>265</v>
      </c>
      <c r="E1579">
        <v>7014</v>
      </c>
      <c r="F1579" t="s">
        <v>3157</v>
      </c>
      <c r="G1579" t="s">
        <v>266</v>
      </c>
      <c r="H1579" t="s">
        <v>296</v>
      </c>
      <c r="I1579">
        <v>178</v>
      </c>
    </row>
    <row r="1580" spans="1:10" x14ac:dyDescent="0.2">
      <c r="A1580" t="s">
        <v>405</v>
      </c>
      <c r="B1580" t="s">
        <v>327</v>
      </c>
      <c r="C1580" t="s">
        <v>264</v>
      </c>
      <c r="D1580" t="s">
        <v>265</v>
      </c>
      <c r="E1580">
        <v>7122</v>
      </c>
      <c r="F1580" t="s">
        <v>3158</v>
      </c>
      <c r="G1580" t="s">
        <v>266</v>
      </c>
      <c r="H1580" t="s">
        <v>296</v>
      </c>
      <c r="I1580">
        <v>114</v>
      </c>
    </row>
    <row r="1581" spans="1:10" x14ac:dyDescent="0.2">
      <c r="A1581" t="s">
        <v>405</v>
      </c>
      <c r="B1581" t="s">
        <v>327</v>
      </c>
      <c r="C1581" t="s">
        <v>264</v>
      </c>
      <c r="D1581" t="s">
        <v>265</v>
      </c>
      <c r="E1581">
        <v>7167</v>
      </c>
      <c r="F1581" t="s">
        <v>1781</v>
      </c>
      <c r="G1581" t="s">
        <v>266</v>
      </c>
      <c r="H1581" t="s">
        <v>484</v>
      </c>
      <c r="I1581" t="s">
        <v>333</v>
      </c>
      <c r="J1581" t="s">
        <v>5031</v>
      </c>
    </row>
    <row r="1582" spans="1:10" x14ac:dyDescent="0.2">
      <c r="A1582" t="s">
        <v>405</v>
      </c>
      <c r="B1582" t="s">
        <v>327</v>
      </c>
      <c r="C1582" t="s">
        <v>264</v>
      </c>
      <c r="D1582" t="s">
        <v>265</v>
      </c>
      <c r="E1582">
        <v>7189</v>
      </c>
      <c r="F1582" t="s">
        <v>3159</v>
      </c>
      <c r="G1582" t="s">
        <v>266</v>
      </c>
      <c r="H1582" t="s">
        <v>484</v>
      </c>
      <c r="I1582" t="s">
        <v>297</v>
      </c>
      <c r="J1582" t="s">
        <v>4435</v>
      </c>
    </row>
    <row r="1583" spans="1:10" x14ac:dyDescent="0.2">
      <c r="A1583" t="s">
        <v>405</v>
      </c>
      <c r="B1583" t="s">
        <v>327</v>
      </c>
      <c r="C1583" t="s">
        <v>264</v>
      </c>
      <c r="D1583" t="s">
        <v>265</v>
      </c>
      <c r="E1583">
        <v>7192</v>
      </c>
      <c r="F1583" t="s">
        <v>3160</v>
      </c>
      <c r="G1583" t="s">
        <v>266</v>
      </c>
      <c r="H1583" t="s">
        <v>302</v>
      </c>
      <c r="I1583">
        <v>145</v>
      </c>
    </row>
    <row r="1584" spans="1:10" x14ac:dyDescent="0.2">
      <c r="A1584" t="s">
        <v>405</v>
      </c>
      <c r="B1584" t="s">
        <v>327</v>
      </c>
      <c r="C1584" t="s">
        <v>264</v>
      </c>
      <c r="D1584" t="s">
        <v>265</v>
      </c>
      <c r="E1584">
        <v>7202</v>
      </c>
      <c r="F1584" t="s">
        <v>1862</v>
      </c>
      <c r="G1584" t="s">
        <v>266</v>
      </c>
      <c r="H1584" t="s">
        <v>296</v>
      </c>
      <c r="I1584" t="s">
        <v>359</v>
      </c>
      <c r="J1584" t="s">
        <v>4456</v>
      </c>
    </row>
    <row r="1585" spans="1:10" x14ac:dyDescent="0.2">
      <c r="A1585" t="s">
        <v>405</v>
      </c>
      <c r="B1585" t="s">
        <v>327</v>
      </c>
      <c r="C1585" t="s">
        <v>264</v>
      </c>
      <c r="D1585" t="s">
        <v>265</v>
      </c>
      <c r="E1585">
        <v>7220</v>
      </c>
      <c r="F1585" t="s">
        <v>3161</v>
      </c>
      <c r="G1585" t="s">
        <v>266</v>
      </c>
      <c r="H1585" t="s">
        <v>296</v>
      </c>
      <c r="I1585">
        <v>945</v>
      </c>
    </row>
    <row r="1586" spans="1:10" x14ac:dyDescent="0.2">
      <c r="A1586" t="s">
        <v>405</v>
      </c>
      <c r="B1586" t="s">
        <v>327</v>
      </c>
      <c r="C1586" t="s">
        <v>264</v>
      </c>
      <c r="D1586" t="s">
        <v>265</v>
      </c>
      <c r="E1586">
        <v>7226</v>
      </c>
      <c r="F1586" t="s">
        <v>3162</v>
      </c>
      <c r="G1586" t="s">
        <v>266</v>
      </c>
      <c r="H1586" t="s">
        <v>296</v>
      </c>
      <c r="I1586">
        <v>671</v>
      </c>
    </row>
    <row r="1587" spans="1:10" x14ac:dyDescent="0.2">
      <c r="A1587" t="s">
        <v>405</v>
      </c>
      <c r="B1587" t="s">
        <v>327</v>
      </c>
      <c r="C1587" t="s">
        <v>264</v>
      </c>
      <c r="D1587" t="s">
        <v>265</v>
      </c>
      <c r="E1587">
        <v>7267</v>
      </c>
      <c r="F1587" t="s">
        <v>4499</v>
      </c>
      <c r="G1587" t="s">
        <v>266</v>
      </c>
      <c r="H1587" t="s">
        <v>296</v>
      </c>
      <c r="I1587" t="s">
        <v>4263</v>
      </c>
      <c r="J1587" t="s">
        <v>5032</v>
      </c>
    </row>
    <row r="1588" spans="1:10" x14ac:dyDescent="0.2">
      <c r="A1588" t="s">
        <v>405</v>
      </c>
      <c r="B1588" t="s">
        <v>327</v>
      </c>
      <c r="C1588" t="s">
        <v>264</v>
      </c>
      <c r="D1588" t="s">
        <v>265</v>
      </c>
      <c r="E1588">
        <v>7269</v>
      </c>
      <c r="F1588" t="s">
        <v>1782</v>
      </c>
      <c r="G1588" t="s">
        <v>266</v>
      </c>
      <c r="H1588" t="s">
        <v>296</v>
      </c>
      <c r="I1588" t="s">
        <v>2200</v>
      </c>
      <c r="J1588" t="s">
        <v>4373</v>
      </c>
    </row>
    <row r="1589" spans="1:10" x14ac:dyDescent="0.2">
      <c r="A1589" t="s">
        <v>405</v>
      </c>
      <c r="B1589" t="s">
        <v>327</v>
      </c>
      <c r="C1589" t="s">
        <v>264</v>
      </c>
      <c r="D1589" t="s">
        <v>265</v>
      </c>
      <c r="E1589">
        <v>7292</v>
      </c>
      <c r="F1589" t="s">
        <v>3163</v>
      </c>
      <c r="G1589" t="s">
        <v>274</v>
      </c>
      <c r="H1589" t="s">
        <v>296</v>
      </c>
      <c r="I1589">
        <v>365</v>
      </c>
    </row>
    <row r="1590" spans="1:10" x14ac:dyDescent="0.2">
      <c r="A1590" t="s">
        <v>405</v>
      </c>
      <c r="B1590" t="s">
        <v>327</v>
      </c>
      <c r="C1590" t="s">
        <v>264</v>
      </c>
      <c r="D1590" t="s">
        <v>265</v>
      </c>
      <c r="E1590">
        <v>7408</v>
      </c>
      <c r="F1590" t="s">
        <v>3164</v>
      </c>
      <c r="G1590" t="s">
        <v>266</v>
      </c>
      <c r="H1590" t="s">
        <v>296</v>
      </c>
      <c r="I1590">
        <v>390</v>
      </c>
    </row>
    <row r="1591" spans="1:10" x14ac:dyDescent="0.2">
      <c r="A1591" t="s">
        <v>405</v>
      </c>
      <c r="B1591" t="s">
        <v>327</v>
      </c>
      <c r="C1591" t="s">
        <v>264</v>
      </c>
      <c r="D1591" t="s">
        <v>265</v>
      </c>
      <c r="E1591">
        <v>7417</v>
      </c>
      <c r="F1591" t="s">
        <v>1863</v>
      </c>
      <c r="G1591" t="s">
        <v>266</v>
      </c>
      <c r="H1591" t="s">
        <v>272</v>
      </c>
      <c r="I1591">
        <v>127</v>
      </c>
    </row>
    <row r="1592" spans="1:10" x14ac:dyDescent="0.2">
      <c r="A1592" t="s">
        <v>405</v>
      </c>
      <c r="B1592" t="s">
        <v>327</v>
      </c>
      <c r="C1592" t="s">
        <v>264</v>
      </c>
      <c r="D1592" t="s">
        <v>269</v>
      </c>
      <c r="E1592">
        <v>7443</v>
      </c>
      <c r="F1592" t="s">
        <v>3165</v>
      </c>
      <c r="G1592" t="s">
        <v>270</v>
      </c>
      <c r="H1592" t="s">
        <v>272</v>
      </c>
      <c r="I1592">
        <v>36</v>
      </c>
    </row>
    <row r="1593" spans="1:10" x14ac:dyDescent="0.2">
      <c r="A1593" t="s">
        <v>405</v>
      </c>
      <c r="B1593" t="s">
        <v>327</v>
      </c>
      <c r="C1593" t="s">
        <v>264</v>
      </c>
      <c r="D1593" t="s">
        <v>265</v>
      </c>
      <c r="E1593">
        <v>7458</v>
      </c>
      <c r="F1593" t="s">
        <v>3166</v>
      </c>
      <c r="G1593" t="s">
        <v>266</v>
      </c>
      <c r="H1593" t="s">
        <v>272</v>
      </c>
      <c r="I1593" t="s">
        <v>333</v>
      </c>
      <c r="J1593" t="s">
        <v>4501</v>
      </c>
    </row>
    <row r="1594" spans="1:10" x14ac:dyDescent="0.2">
      <c r="A1594" t="s">
        <v>405</v>
      </c>
      <c r="B1594" t="s">
        <v>327</v>
      </c>
      <c r="C1594" t="s">
        <v>264</v>
      </c>
      <c r="D1594" t="s">
        <v>265</v>
      </c>
      <c r="E1594">
        <v>7486</v>
      </c>
      <c r="F1594" t="s">
        <v>3167</v>
      </c>
      <c r="G1594" t="s">
        <v>270</v>
      </c>
      <c r="H1594" t="s">
        <v>272</v>
      </c>
      <c r="I1594">
        <v>90</v>
      </c>
    </row>
    <row r="1595" spans="1:10" x14ac:dyDescent="0.2">
      <c r="A1595" t="s">
        <v>405</v>
      </c>
      <c r="B1595" t="s">
        <v>327</v>
      </c>
      <c r="C1595" t="s">
        <v>268</v>
      </c>
      <c r="D1595" t="s">
        <v>269</v>
      </c>
      <c r="E1595">
        <v>7505</v>
      </c>
      <c r="F1595" t="s">
        <v>1784</v>
      </c>
      <c r="G1595" t="s">
        <v>274</v>
      </c>
      <c r="H1595" t="s">
        <v>272</v>
      </c>
      <c r="I1595">
        <v>63</v>
      </c>
    </row>
    <row r="1596" spans="1:10" x14ac:dyDescent="0.2">
      <c r="A1596" t="s">
        <v>405</v>
      </c>
      <c r="B1596" t="s">
        <v>327</v>
      </c>
      <c r="C1596" t="s">
        <v>264</v>
      </c>
      <c r="D1596" t="s">
        <v>265</v>
      </c>
      <c r="E1596">
        <v>7509</v>
      </c>
      <c r="F1596" t="s">
        <v>3168</v>
      </c>
      <c r="G1596" t="s">
        <v>270</v>
      </c>
      <c r="H1596" t="s">
        <v>276</v>
      </c>
      <c r="I1596">
        <v>66</v>
      </c>
    </row>
    <row r="1597" spans="1:10" x14ac:dyDescent="0.2">
      <c r="A1597" t="s">
        <v>405</v>
      </c>
      <c r="B1597" t="s">
        <v>327</v>
      </c>
      <c r="C1597" t="s">
        <v>264</v>
      </c>
      <c r="D1597" t="s">
        <v>265</v>
      </c>
      <c r="E1597">
        <v>7616</v>
      </c>
      <c r="F1597" t="s">
        <v>3169</v>
      </c>
      <c r="G1597" t="s">
        <v>266</v>
      </c>
      <c r="H1597" t="s">
        <v>276</v>
      </c>
      <c r="I1597" t="s">
        <v>297</v>
      </c>
      <c r="J1597" t="s">
        <v>5033</v>
      </c>
    </row>
    <row r="1598" spans="1:10" x14ac:dyDescent="0.2">
      <c r="A1598" t="s">
        <v>405</v>
      </c>
      <c r="B1598" t="s">
        <v>327</v>
      </c>
      <c r="C1598" t="s">
        <v>264</v>
      </c>
      <c r="D1598" t="s">
        <v>269</v>
      </c>
      <c r="E1598">
        <v>7621</v>
      </c>
      <c r="F1598" t="s">
        <v>3170</v>
      </c>
      <c r="G1598" t="s">
        <v>270</v>
      </c>
      <c r="H1598" t="s">
        <v>276</v>
      </c>
      <c r="I1598">
        <v>186</v>
      </c>
    </row>
    <row r="1599" spans="1:10" x14ac:dyDescent="0.2">
      <c r="A1599" t="s">
        <v>405</v>
      </c>
      <c r="B1599" t="s">
        <v>327</v>
      </c>
      <c r="C1599" t="s">
        <v>273</v>
      </c>
      <c r="D1599" t="s">
        <v>265</v>
      </c>
      <c r="E1599">
        <v>7716</v>
      </c>
      <c r="F1599" t="s">
        <v>3171</v>
      </c>
      <c r="G1599" t="s">
        <v>270</v>
      </c>
      <c r="H1599" t="s">
        <v>342</v>
      </c>
      <c r="I1599" t="s">
        <v>297</v>
      </c>
      <c r="J1599" t="s">
        <v>4730</v>
      </c>
    </row>
    <row r="1600" spans="1:10" x14ac:dyDescent="0.2">
      <c r="A1600" t="s">
        <v>405</v>
      </c>
      <c r="B1600" t="s">
        <v>327</v>
      </c>
      <c r="C1600" t="s">
        <v>264</v>
      </c>
      <c r="D1600" t="s">
        <v>265</v>
      </c>
      <c r="E1600">
        <v>7727</v>
      </c>
      <c r="F1600" t="s">
        <v>3172</v>
      </c>
      <c r="G1600" t="s">
        <v>266</v>
      </c>
      <c r="H1600" t="s">
        <v>342</v>
      </c>
      <c r="I1600">
        <v>67</v>
      </c>
    </row>
    <row r="1601" spans="1:10" x14ac:dyDescent="0.2">
      <c r="A1601" t="s">
        <v>405</v>
      </c>
      <c r="B1601" t="s">
        <v>327</v>
      </c>
      <c r="C1601" t="s">
        <v>273</v>
      </c>
      <c r="D1601" t="s">
        <v>265</v>
      </c>
      <c r="E1601">
        <v>7740</v>
      </c>
      <c r="F1601" t="s">
        <v>3173</v>
      </c>
      <c r="G1601" t="s">
        <v>266</v>
      </c>
      <c r="H1601" t="s">
        <v>342</v>
      </c>
      <c r="I1601">
        <v>661</v>
      </c>
    </row>
    <row r="1602" spans="1:10" x14ac:dyDescent="0.2">
      <c r="A1602" t="s">
        <v>405</v>
      </c>
      <c r="B1602" t="s">
        <v>327</v>
      </c>
      <c r="C1602" t="s">
        <v>264</v>
      </c>
      <c r="D1602" t="s">
        <v>265</v>
      </c>
      <c r="E1602">
        <v>7743</v>
      </c>
      <c r="F1602" t="s">
        <v>3174</v>
      </c>
      <c r="G1602" t="s">
        <v>266</v>
      </c>
      <c r="H1602" t="s">
        <v>342</v>
      </c>
      <c r="I1602">
        <v>292</v>
      </c>
    </row>
    <row r="1603" spans="1:10" x14ac:dyDescent="0.2">
      <c r="A1603" t="s">
        <v>405</v>
      </c>
      <c r="B1603" t="s">
        <v>327</v>
      </c>
      <c r="C1603" t="s">
        <v>264</v>
      </c>
      <c r="D1603" t="s">
        <v>265</v>
      </c>
      <c r="E1603">
        <v>7752</v>
      </c>
      <c r="F1603" t="s">
        <v>3175</v>
      </c>
      <c r="G1603" t="s">
        <v>266</v>
      </c>
      <c r="H1603" t="s">
        <v>291</v>
      </c>
      <c r="I1603" t="s">
        <v>407</v>
      </c>
      <c r="J1603" t="s">
        <v>4998</v>
      </c>
    </row>
    <row r="1604" spans="1:10" x14ac:dyDescent="0.2">
      <c r="A1604" t="s">
        <v>405</v>
      </c>
      <c r="B1604" t="s">
        <v>327</v>
      </c>
      <c r="C1604" t="s">
        <v>264</v>
      </c>
      <c r="D1604" t="s">
        <v>265</v>
      </c>
      <c r="E1604">
        <v>7768</v>
      </c>
      <c r="F1604" t="s">
        <v>3176</v>
      </c>
      <c r="G1604" t="s">
        <v>274</v>
      </c>
      <c r="H1604" t="s">
        <v>342</v>
      </c>
      <c r="I1604">
        <v>54</v>
      </c>
    </row>
    <row r="1605" spans="1:10" x14ac:dyDescent="0.2">
      <c r="A1605" t="s">
        <v>405</v>
      </c>
      <c r="B1605" t="s">
        <v>327</v>
      </c>
      <c r="C1605" t="s">
        <v>268</v>
      </c>
      <c r="D1605" t="s">
        <v>265</v>
      </c>
      <c r="E1605">
        <v>7819</v>
      </c>
      <c r="F1605" t="s">
        <v>3177</v>
      </c>
      <c r="G1605" t="s">
        <v>266</v>
      </c>
      <c r="H1605" t="s">
        <v>288</v>
      </c>
      <c r="I1605">
        <v>53</v>
      </c>
    </row>
    <row r="1606" spans="1:10" x14ac:dyDescent="0.2">
      <c r="A1606" t="s">
        <v>405</v>
      </c>
      <c r="B1606" t="s">
        <v>327</v>
      </c>
      <c r="C1606" t="s">
        <v>275</v>
      </c>
      <c r="D1606" t="s">
        <v>265</v>
      </c>
      <c r="E1606">
        <v>7826</v>
      </c>
      <c r="F1606" t="s">
        <v>3178</v>
      </c>
      <c r="G1606" t="s">
        <v>270</v>
      </c>
      <c r="H1606" t="s">
        <v>288</v>
      </c>
      <c r="I1606">
        <v>446</v>
      </c>
    </row>
    <row r="1607" spans="1:10" x14ac:dyDescent="0.2">
      <c r="A1607" t="s">
        <v>405</v>
      </c>
      <c r="B1607" t="s">
        <v>327</v>
      </c>
      <c r="C1607" t="s">
        <v>264</v>
      </c>
      <c r="D1607" t="s">
        <v>265</v>
      </c>
      <c r="E1607">
        <v>7885</v>
      </c>
      <c r="F1607" t="s">
        <v>3179</v>
      </c>
      <c r="G1607" t="s">
        <v>266</v>
      </c>
      <c r="H1607" t="s">
        <v>288</v>
      </c>
      <c r="I1607">
        <v>126</v>
      </c>
    </row>
    <row r="1608" spans="1:10" x14ac:dyDescent="0.2">
      <c r="A1608" t="s">
        <v>405</v>
      </c>
      <c r="B1608" t="s">
        <v>327</v>
      </c>
      <c r="C1608" t="s">
        <v>264</v>
      </c>
      <c r="D1608" t="s">
        <v>265</v>
      </c>
      <c r="E1608">
        <v>7898</v>
      </c>
      <c r="F1608" t="s">
        <v>3180</v>
      </c>
      <c r="G1608" t="s">
        <v>266</v>
      </c>
      <c r="H1608" t="s">
        <v>288</v>
      </c>
      <c r="I1608">
        <v>121</v>
      </c>
    </row>
    <row r="1609" spans="1:10" x14ac:dyDescent="0.2">
      <c r="A1609" t="s">
        <v>405</v>
      </c>
      <c r="B1609" t="s">
        <v>327</v>
      </c>
      <c r="C1609" t="s">
        <v>264</v>
      </c>
      <c r="D1609" t="s">
        <v>265</v>
      </c>
      <c r="E1609">
        <v>7905</v>
      </c>
      <c r="F1609" t="s">
        <v>3181</v>
      </c>
      <c r="G1609" t="s">
        <v>266</v>
      </c>
      <c r="H1609" t="s">
        <v>288</v>
      </c>
      <c r="I1609">
        <v>530</v>
      </c>
    </row>
    <row r="1610" spans="1:10" x14ac:dyDescent="0.2">
      <c r="A1610" t="s">
        <v>405</v>
      </c>
      <c r="B1610" t="s">
        <v>327</v>
      </c>
      <c r="C1610" t="s">
        <v>264</v>
      </c>
      <c r="D1610" t="s">
        <v>265</v>
      </c>
      <c r="E1610">
        <v>7906</v>
      </c>
      <c r="F1610" t="s">
        <v>3182</v>
      </c>
      <c r="G1610" t="s">
        <v>274</v>
      </c>
      <c r="H1610" t="s">
        <v>288</v>
      </c>
      <c r="I1610">
        <v>730</v>
      </c>
    </row>
    <row r="1611" spans="1:10" x14ac:dyDescent="0.2">
      <c r="A1611" t="s">
        <v>405</v>
      </c>
      <c r="B1611" t="s">
        <v>327</v>
      </c>
      <c r="C1611" t="s">
        <v>264</v>
      </c>
      <c r="D1611" t="s">
        <v>265</v>
      </c>
      <c r="E1611">
        <v>7914</v>
      </c>
      <c r="F1611" t="s">
        <v>4500</v>
      </c>
      <c r="G1611" t="s">
        <v>266</v>
      </c>
      <c r="H1611" t="s">
        <v>288</v>
      </c>
      <c r="I1611">
        <v>268</v>
      </c>
    </row>
    <row r="1612" spans="1:10" x14ac:dyDescent="0.2">
      <c r="A1612" t="s">
        <v>405</v>
      </c>
      <c r="B1612" t="s">
        <v>327</v>
      </c>
      <c r="C1612" t="s">
        <v>264</v>
      </c>
      <c r="D1612" t="s">
        <v>265</v>
      </c>
      <c r="E1612">
        <v>7927</v>
      </c>
      <c r="F1612" t="s">
        <v>3183</v>
      </c>
      <c r="G1612" t="s">
        <v>270</v>
      </c>
      <c r="H1612" t="s">
        <v>279</v>
      </c>
      <c r="I1612">
        <v>67</v>
      </c>
    </row>
    <row r="1613" spans="1:10" x14ac:dyDescent="0.2">
      <c r="A1613" t="s">
        <v>405</v>
      </c>
      <c r="B1613" t="s">
        <v>327</v>
      </c>
      <c r="C1613" t="s">
        <v>264</v>
      </c>
      <c r="D1613" t="s">
        <v>265</v>
      </c>
      <c r="E1613">
        <v>7987</v>
      </c>
      <c r="F1613" t="s">
        <v>3184</v>
      </c>
      <c r="G1613" t="s">
        <v>266</v>
      </c>
      <c r="H1613" t="s">
        <v>288</v>
      </c>
      <c r="I1613">
        <v>178</v>
      </c>
    </row>
    <row r="1614" spans="1:10" x14ac:dyDescent="0.2">
      <c r="A1614" t="s">
        <v>405</v>
      </c>
      <c r="B1614" t="s">
        <v>327</v>
      </c>
      <c r="C1614" t="s">
        <v>273</v>
      </c>
      <c r="D1614" t="s">
        <v>265</v>
      </c>
      <c r="E1614">
        <v>7989</v>
      </c>
      <c r="F1614" t="s">
        <v>3185</v>
      </c>
      <c r="G1614" t="s">
        <v>266</v>
      </c>
      <c r="H1614" t="s">
        <v>281</v>
      </c>
      <c r="I1614">
        <v>271</v>
      </c>
    </row>
    <row r="1615" spans="1:10" x14ac:dyDescent="0.2">
      <c r="A1615" t="s">
        <v>405</v>
      </c>
      <c r="B1615" t="s">
        <v>327</v>
      </c>
      <c r="C1615" t="s">
        <v>264</v>
      </c>
      <c r="D1615" t="s">
        <v>265</v>
      </c>
      <c r="E1615">
        <v>8022</v>
      </c>
      <c r="F1615" t="s">
        <v>3186</v>
      </c>
      <c r="G1615" t="s">
        <v>266</v>
      </c>
      <c r="H1615" t="s">
        <v>288</v>
      </c>
      <c r="I1615">
        <v>710</v>
      </c>
    </row>
    <row r="1616" spans="1:10" x14ac:dyDescent="0.2">
      <c r="A1616" t="s">
        <v>405</v>
      </c>
      <c r="B1616" t="s">
        <v>327</v>
      </c>
      <c r="C1616" t="s">
        <v>264</v>
      </c>
      <c r="D1616" t="s">
        <v>265</v>
      </c>
      <c r="E1616">
        <v>8023</v>
      </c>
      <c r="F1616" t="s">
        <v>3187</v>
      </c>
      <c r="G1616" t="s">
        <v>274</v>
      </c>
      <c r="H1616" t="s">
        <v>272</v>
      </c>
      <c r="I1616">
        <v>142</v>
      </c>
    </row>
    <row r="1617" spans="1:10" x14ac:dyDescent="0.2">
      <c r="A1617" t="s">
        <v>405</v>
      </c>
      <c r="B1617" t="s">
        <v>327</v>
      </c>
      <c r="C1617" t="s">
        <v>264</v>
      </c>
      <c r="D1617" t="s">
        <v>265</v>
      </c>
      <c r="E1617">
        <v>8041</v>
      </c>
      <c r="F1617" t="s">
        <v>3188</v>
      </c>
      <c r="G1617" t="s">
        <v>266</v>
      </c>
      <c r="H1617" t="s">
        <v>272</v>
      </c>
      <c r="I1617">
        <v>148</v>
      </c>
    </row>
    <row r="1618" spans="1:10" x14ac:dyDescent="0.2">
      <c r="A1618" t="s">
        <v>405</v>
      </c>
      <c r="B1618" t="s">
        <v>327</v>
      </c>
      <c r="C1618" t="s">
        <v>264</v>
      </c>
      <c r="D1618" t="s">
        <v>265</v>
      </c>
      <c r="E1618">
        <v>8045</v>
      </c>
      <c r="F1618" t="s">
        <v>3189</v>
      </c>
      <c r="G1618" t="s">
        <v>270</v>
      </c>
      <c r="H1618" t="s">
        <v>272</v>
      </c>
      <c r="I1618">
        <v>79</v>
      </c>
    </row>
    <row r="1619" spans="1:10" x14ac:dyDescent="0.2">
      <c r="A1619" t="s">
        <v>405</v>
      </c>
      <c r="B1619" t="s">
        <v>327</v>
      </c>
      <c r="C1619" t="s">
        <v>264</v>
      </c>
      <c r="D1619" t="s">
        <v>265</v>
      </c>
      <c r="E1619">
        <v>8093</v>
      </c>
      <c r="F1619" t="s">
        <v>717</v>
      </c>
      <c r="G1619" t="s">
        <v>266</v>
      </c>
      <c r="H1619" t="s">
        <v>272</v>
      </c>
      <c r="I1619">
        <v>141</v>
      </c>
    </row>
    <row r="1620" spans="1:10" x14ac:dyDescent="0.2">
      <c r="A1620" t="s">
        <v>405</v>
      </c>
      <c r="B1620" t="s">
        <v>327</v>
      </c>
      <c r="C1620" t="s">
        <v>264</v>
      </c>
      <c r="D1620" t="s">
        <v>265</v>
      </c>
      <c r="E1620">
        <v>8103</v>
      </c>
      <c r="F1620" t="s">
        <v>3190</v>
      </c>
      <c r="G1620" t="s">
        <v>266</v>
      </c>
      <c r="H1620" t="s">
        <v>272</v>
      </c>
      <c r="I1620">
        <v>256</v>
      </c>
    </row>
    <row r="1621" spans="1:10" x14ac:dyDescent="0.2">
      <c r="A1621" t="s">
        <v>405</v>
      </c>
      <c r="B1621" t="s">
        <v>327</v>
      </c>
      <c r="C1621" t="s">
        <v>264</v>
      </c>
      <c r="D1621" t="s">
        <v>265</v>
      </c>
      <c r="E1621">
        <v>8111</v>
      </c>
      <c r="F1621" t="s">
        <v>3191</v>
      </c>
      <c r="G1621" t="s">
        <v>266</v>
      </c>
      <c r="H1621" t="s">
        <v>299</v>
      </c>
      <c r="I1621" t="s">
        <v>333</v>
      </c>
      <c r="J1621" t="s">
        <v>5034</v>
      </c>
    </row>
    <row r="1622" spans="1:10" x14ac:dyDescent="0.2">
      <c r="A1622" t="s">
        <v>405</v>
      </c>
      <c r="B1622" t="s">
        <v>327</v>
      </c>
      <c r="C1622" t="s">
        <v>264</v>
      </c>
      <c r="D1622" t="s">
        <v>265</v>
      </c>
      <c r="E1622">
        <v>8139</v>
      </c>
      <c r="F1622" t="s">
        <v>3192</v>
      </c>
      <c r="G1622" t="s">
        <v>274</v>
      </c>
      <c r="H1622" t="s">
        <v>272</v>
      </c>
      <c r="I1622">
        <v>39</v>
      </c>
    </row>
    <row r="1623" spans="1:10" x14ac:dyDescent="0.2">
      <c r="A1623" t="s">
        <v>405</v>
      </c>
      <c r="B1623" t="s">
        <v>327</v>
      </c>
      <c r="C1623" t="s">
        <v>264</v>
      </c>
      <c r="D1623" t="s">
        <v>265</v>
      </c>
      <c r="E1623">
        <v>8153</v>
      </c>
      <c r="F1623" t="s">
        <v>551</v>
      </c>
      <c r="G1623" t="s">
        <v>266</v>
      </c>
      <c r="H1623" t="s">
        <v>272</v>
      </c>
      <c r="I1623">
        <v>967</v>
      </c>
    </row>
    <row r="1624" spans="1:10" x14ac:dyDescent="0.2">
      <c r="A1624" t="s">
        <v>405</v>
      </c>
      <c r="B1624" t="s">
        <v>327</v>
      </c>
      <c r="C1624" t="s">
        <v>264</v>
      </c>
      <c r="D1624" t="s">
        <v>265</v>
      </c>
      <c r="E1624">
        <v>8163</v>
      </c>
      <c r="F1624" t="s">
        <v>3193</v>
      </c>
      <c r="G1624" t="s">
        <v>266</v>
      </c>
      <c r="H1624" t="s">
        <v>276</v>
      </c>
      <c r="I1624">
        <v>352</v>
      </c>
    </row>
    <row r="1625" spans="1:10" x14ac:dyDescent="0.2">
      <c r="A1625" t="s">
        <v>405</v>
      </c>
      <c r="B1625" t="s">
        <v>327</v>
      </c>
      <c r="C1625" t="s">
        <v>264</v>
      </c>
      <c r="D1625" t="s">
        <v>269</v>
      </c>
      <c r="E1625">
        <v>8209</v>
      </c>
      <c r="F1625" t="s">
        <v>3194</v>
      </c>
      <c r="G1625" t="s">
        <v>274</v>
      </c>
      <c r="H1625" t="s">
        <v>276</v>
      </c>
      <c r="I1625">
        <v>50</v>
      </c>
    </row>
    <row r="1626" spans="1:10" x14ac:dyDescent="0.2">
      <c r="A1626" t="s">
        <v>405</v>
      </c>
      <c r="B1626" t="s">
        <v>327</v>
      </c>
      <c r="C1626" t="s">
        <v>264</v>
      </c>
      <c r="D1626" t="s">
        <v>265</v>
      </c>
      <c r="E1626">
        <v>8219</v>
      </c>
      <c r="F1626" t="s">
        <v>3195</v>
      </c>
      <c r="G1626" t="s">
        <v>266</v>
      </c>
      <c r="H1626" t="s">
        <v>276</v>
      </c>
      <c r="I1626">
        <v>755</v>
      </c>
    </row>
    <row r="1627" spans="1:10" x14ac:dyDescent="0.2">
      <c r="A1627" t="s">
        <v>405</v>
      </c>
      <c r="B1627" t="s">
        <v>327</v>
      </c>
      <c r="C1627" t="s">
        <v>264</v>
      </c>
      <c r="D1627" t="s">
        <v>265</v>
      </c>
      <c r="E1627">
        <v>8226</v>
      </c>
      <c r="F1627" t="s">
        <v>552</v>
      </c>
      <c r="G1627" t="s">
        <v>274</v>
      </c>
      <c r="H1627" t="s">
        <v>272</v>
      </c>
      <c r="I1627">
        <v>40</v>
      </c>
    </row>
    <row r="1628" spans="1:10" x14ac:dyDescent="0.2">
      <c r="A1628" t="s">
        <v>405</v>
      </c>
      <c r="B1628" t="s">
        <v>327</v>
      </c>
      <c r="C1628" t="s">
        <v>264</v>
      </c>
      <c r="D1628" t="s">
        <v>265</v>
      </c>
      <c r="E1628">
        <v>8291</v>
      </c>
      <c r="F1628" t="s">
        <v>3196</v>
      </c>
      <c r="G1628" t="s">
        <v>266</v>
      </c>
      <c r="H1628" t="s">
        <v>276</v>
      </c>
      <c r="I1628">
        <v>188</v>
      </c>
    </row>
    <row r="1629" spans="1:10" x14ac:dyDescent="0.2">
      <c r="A1629" t="s">
        <v>405</v>
      </c>
      <c r="B1629" t="s">
        <v>327</v>
      </c>
      <c r="C1629" t="s">
        <v>264</v>
      </c>
      <c r="D1629" t="s">
        <v>265</v>
      </c>
      <c r="E1629">
        <v>8331</v>
      </c>
      <c r="F1629" t="s">
        <v>3197</v>
      </c>
      <c r="G1629" t="s">
        <v>266</v>
      </c>
      <c r="H1629" t="s">
        <v>484</v>
      </c>
      <c r="I1629" t="s">
        <v>283</v>
      </c>
      <c r="J1629" t="s">
        <v>4370</v>
      </c>
    </row>
    <row r="1630" spans="1:10" x14ac:dyDescent="0.2">
      <c r="A1630" t="s">
        <v>405</v>
      </c>
      <c r="B1630" t="s">
        <v>327</v>
      </c>
      <c r="C1630" t="s">
        <v>264</v>
      </c>
      <c r="D1630" t="s">
        <v>265</v>
      </c>
      <c r="E1630">
        <v>8356</v>
      </c>
      <c r="F1630" t="s">
        <v>3198</v>
      </c>
      <c r="G1630" t="s">
        <v>266</v>
      </c>
      <c r="H1630" t="s">
        <v>484</v>
      </c>
      <c r="I1630">
        <v>898</v>
      </c>
    </row>
    <row r="1631" spans="1:10" x14ac:dyDescent="0.2">
      <c r="A1631" t="s">
        <v>405</v>
      </c>
      <c r="B1631" t="s">
        <v>327</v>
      </c>
      <c r="C1631" t="s">
        <v>264</v>
      </c>
      <c r="D1631" t="s">
        <v>265</v>
      </c>
      <c r="E1631">
        <v>8360</v>
      </c>
      <c r="F1631" t="s">
        <v>3199</v>
      </c>
      <c r="G1631" t="s">
        <v>266</v>
      </c>
      <c r="H1631" t="s">
        <v>484</v>
      </c>
      <c r="I1631">
        <v>357</v>
      </c>
    </row>
    <row r="1632" spans="1:10" x14ac:dyDescent="0.2">
      <c r="A1632" t="s">
        <v>405</v>
      </c>
      <c r="B1632" t="s">
        <v>327</v>
      </c>
      <c r="C1632" t="s">
        <v>264</v>
      </c>
      <c r="D1632" t="s">
        <v>265</v>
      </c>
      <c r="E1632">
        <v>8361</v>
      </c>
      <c r="F1632" t="s">
        <v>3200</v>
      </c>
      <c r="G1632" t="s">
        <v>266</v>
      </c>
      <c r="H1632" t="s">
        <v>484</v>
      </c>
      <c r="I1632">
        <v>958</v>
      </c>
    </row>
    <row r="1633" spans="1:10" x14ac:dyDescent="0.2">
      <c r="A1633" t="s">
        <v>405</v>
      </c>
      <c r="B1633" t="s">
        <v>327</v>
      </c>
      <c r="C1633" t="s">
        <v>264</v>
      </c>
      <c r="D1633" t="s">
        <v>265</v>
      </c>
      <c r="E1633">
        <v>8367</v>
      </c>
      <c r="F1633" t="s">
        <v>3201</v>
      </c>
      <c r="G1633" t="s">
        <v>266</v>
      </c>
      <c r="H1633" t="s">
        <v>484</v>
      </c>
      <c r="I1633">
        <v>885</v>
      </c>
    </row>
    <row r="1634" spans="1:10" x14ac:dyDescent="0.2">
      <c r="A1634" t="s">
        <v>405</v>
      </c>
      <c r="B1634" t="s">
        <v>327</v>
      </c>
      <c r="C1634" t="s">
        <v>264</v>
      </c>
      <c r="D1634" t="s">
        <v>265</v>
      </c>
      <c r="E1634">
        <v>8385</v>
      </c>
      <c r="F1634" t="s">
        <v>3202</v>
      </c>
      <c r="G1634" t="s">
        <v>266</v>
      </c>
      <c r="H1634" t="s">
        <v>484</v>
      </c>
      <c r="I1634" t="s">
        <v>297</v>
      </c>
      <c r="J1634" t="s">
        <v>4636</v>
      </c>
    </row>
    <row r="1635" spans="1:10" x14ac:dyDescent="0.2">
      <c r="A1635" t="s">
        <v>405</v>
      </c>
      <c r="B1635" t="s">
        <v>327</v>
      </c>
      <c r="C1635" t="s">
        <v>264</v>
      </c>
      <c r="D1635" t="s">
        <v>265</v>
      </c>
      <c r="E1635">
        <v>8395</v>
      </c>
      <c r="F1635" t="s">
        <v>3203</v>
      </c>
      <c r="G1635" t="s">
        <v>266</v>
      </c>
      <c r="H1635" t="s">
        <v>484</v>
      </c>
      <c r="I1635">
        <v>278</v>
      </c>
    </row>
    <row r="1636" spans="1:10" x14ac:dyDescent="0.2">
      <c r="A1636" t="s">
        <v>405</v>
      </c>
      <c r="B1636" t="s">
        <v>327</v>
      </c>
      <c r="C1636" t="s">
        <v>264</v>
      </c>
      <c r="D1636" t="s">
        <v>265</v>
      </c>
      <c r="E1636">
        <v>8418</v>
      </c>
      <c r="F1636" t="s">
        <v>3204</v>
      </c>
      <c r="G1636" t="s">
        <v>266</v>
      </c>
      <c r="H1636" t="s">
        <v>484</v>
      </c>
      <c r="I1636" t="s">
        <v>297</v>
      </c>
      <c r="J1636" t="s">
        <v>4356</v>
      </c>
    </row>
    <row r="1637" spans="1:10" x14ac:dyDescent="0.2">
      <c r="A1637" t="s">
        <v>405</v>
      </c>
      <c r="B1637" t="s">
        <v>327</v>
      </c>
      <c r="C1637" t="s">
        <v>264</v>
      </c>
      <c r="D1637" t="s">
        <v>265</v>
      </c>
      <c r="E1637">
        <v>8425</v>
      </c>
      <c r="F1637" t="s">
        <v>3205</v>
      </c>
      <c r="G1637" t="s">
        <v>266</v>
      </c>
      <c r="H1637" t="s">
        <v>302</v>
      </c>
      <c r="I1637" t="s">
        <v>297</v>
      </c>
      <c r="J1637" t="s">
        <v>5035</v>
      </c>
    </row>
    <row r="1638" spans="1:10" x14ac:dyDescent="0.2">
      <c r="A1638" t="s">
        <v>405</v>
      </c>
      <c r="B1638" t="s">
        <v>327</v>
      </c>
      <c r="C1638" t="s">
        <v>264</v>
      </c>
      <c r="D1638" t="s">
        <v>265</v>
      </c>
      <c r="E1638">
        <v>8558</v>
      </c>
      <c r="F1638" t="s">
        <v>3206</v>
      </c>
      <c r="G1638" t="s">
        <v>266</v>
      </c>
      <c r="H1638" t="s">
        <v>484</v>
      </c>
      <c r="I1638">
        <v>312</v>
      </c>
    </row>
    <row r="1639" spans="1:10" x14ac:dyDescent="0.2">
      <c r="A1639" t="s">
        <v>405</v>
      </c>
      <c r="B1639" t="s">
        <v>327</v>
      </c>
      <c r="C1639" t="s">
        <v>264</v>
      </c>
      <c r="D1639" t="s">
        <v>265</v>
      </c>
      <c r="E1639">
        <v>8562</v>
      </c>
      <c r="F1639" t="s">
        <v>3207</v>
      </c>
      <c r="G1639" t="s">
        <v>266</v>
      </c>
      <c r="H1639" t="s">
        <v>484</v>
      </c>
      <c r="I1639">
        <v>58</v>
      </c>
    </row>
    <row r="1640" spans="1:10" x14ac:dyDescent="0.2">
      <c r="A1640" t="s">
        <v>405</v>
      </c>
      <c r="B1640" t="s">
        <v>327</v>
      </c>
      <c r="C1640" t="s">
        <v>264</v>
      </c>
      <c r="D1640" t="s">
        <v>265</v>
      </c>
      <c r="E1640">
        <v>8563</v>
      </c>
      <c r="F1640" t="s">
        <v>3208</v>
      </c>
      <c r="G1640" t="s">
        <v>266</v>
      </c>
      <c r="H1640" t="s">
        <v>484</v>
      </c>
      <c r="I1640">
        <v>82</v>
      </c>
    </row>
    <row r="1641" spans="1:10" x14ac:dyDescent="0.2">
      <c r="A1641" t="s">
        <v>405</v>
      </c>
      <c r="B1641" t="s">
        <v>327</v>
      </c>
      <c r="C1641" t="s">
        <v>264</v>
      </c>
      <c r="D1641" t="s">
        <v>265</v>
      </c>
      <c r="E1641">
        <v>8715</v>
      </c>
      <c r="F1641" t="s">
        <v>3209</v>
      </c>
      <c r="G1641" t="s">
        <v>266</v>
      </c>
      <c r="H1641" t="s">
        <v>665</v>
      </c>
      <c r="I1641">
        <v>788</v>
      </c>
    </row>
    <row r="1642" spans="1:10" x14ac:dyDescent="0.2">
      <c r="A1642" t="s">
        <v>405</v>
      </c>
      <c r="B1642" t="s">
        <v>327</v>
      </c>
      <c r="C1642" t="s">
        <v>264</v>
      </c>
      <c r="D1642" t="s">
        <v>265</v>
      </c>
      <c r="E1642">
        <v>8742</v>
      </c>
      <c r="F1642" t="s">
        <v>3210</v>
      </c>
      <c r="G1642" t="s">
        <v>266</v>
      </c>
      <c r="H1642" t="s">
        <v>1448</v>
      </c>
      <c r="I1642">
        <v>27</v>
      </c>
    </row>
    <row r="1643" spans="1:10" x14ac:dyDescent="0.2">
      <c r="A1643" t="s">
        <v>405</v>
      </c>
      <c r="B1643" t="s">
        <v>327</v>
      </c>
      <c r="C1643" t="s">
        <v>264</v>
      </c>
      <c r="D1643" t="s">
        <v>265</v>
      </c>
      <c r="E1643">
        <v>8801</v>
      </c>
      <c r="F1643" t="s">
        <v>3211</v>
      </c>
      <c r="G1643" t="s">
        <v>266</v>
      </c>
      <c r="H1643" t="s">
        <v>292</v>
      </c>
      <c r="I1643" t="s">
        <v>4299</v>
      </c>
      <c r="J1643" t="s">
        <v>4669</v>
      </c>
    </row>
    <row r="1644" spans="1:10" x14ac:dyDescent="0.2">
      <c r="A1644" t="s">
        <v>405</v>
      </c>
      <c r="B1644" t="s">
        <v>327</v>
      </c>
      <c r="C1644" t="s">
        <v>264</v>
      </c>
      <c r="D1644" t="s">
        <v>265</v>
      </c>
      <c r="E1644">
        <v>8848</v>
      </c>
      <c r="F1644" t="s">
        <v>3212</v>
      </c>
      <c r="G1644" t="s">
        <v>266</v>
      </c>
      <c r="H1644" t="s">
        <v>292</v>
      </c>
      <c r="I1644">
        <v>999</v>
      </c>
    </row>
    <row r="1645" spans="1:10" x14ac:dyDescent="0.2">
      <c r="A1645" t="s">
        <v>405</v>
      </c>
      <c r="B1645" t="s">
        <v>327</v>
      </c>
      <c r="C1645" t="s">
        <v>264</v>
      </c>
      <c r="D1645" t="s">
        <v>265</v>
      </c>
      <c r="E1645">
        <v>8876</v>
      </c>
      <c r="F1645" t="s">
        <v>3213</v>
      </c>
      <c r="G1645" t="s">
        <v>266</v>
      </c>
      <c r="H1645" t="s">
        <v>271</v>
      </c>
      <c r="I1645" t="s">
        <v>316</v>
      </c>
      <c r="J1645" t="s">
        <v>5010</v>
      </c>
    </row>
    <row r="1646" spans="1:10" x14ac:dyDescent="0.2">
      <c r="A1646" t="s">
        <v>405</v>
      </c>
      <c r="B1646" t="s">
        <v>327</v>
      </c>
      <c r="C1646" t="s">
        <v>264</v>
      </c>
      <c r="D1646" t="s">
        <v>265</v>
      </c>
      <c r="E1646">
        <v>9034</v>
      </c>
      <c r="F1646" t="s">
        <v>3214</v>
      </c>
      <c r="G1646" t="s">
        <v>270</v>
      </c>
      <c r="H1646" t="s">
        <v>356</v>
      </c>
      <c r="I1646">
        <v>64</v>
      </c>
    </row>
    <row r="1647" spans="1:10" x14ac:dyDescent="0.2">
      <c r="A1647" t="s">
        <v>405</v>
      </c>
      <c r="B1647" t="s">
        <v>327</v>
      </c>
      <c r="C1647" t="s">
        <v>264</v>
      </c>
      <c r="D1647" t="s">
        <v>265</v>
      </c>
      <c r="E1647">
        <v>9048</v>
      </c>
      <c r="F1647" t="s">
        <v>3215</v>
      </c>
      <c r="G1647" t="s">
        <v>266</v>
      </c>
      <c r="H1647" t="s">
        <v>356</v>
      </c>
      <c r="I1647" t="s">
        <v>325</v>
      </c>
      <c r="J1647" t="s">
        <v>5036</v>
      </c>
    </row>
    <row r="1648" spans="1:10" x14ac:dyDescent="0.2">
      <c r="A1648" t="s">
        <v>405</v>
      </c>
      <c r="B1648" t="s">
        <v>327</v>
      </c>
      <c r="C1648" t="s">
        <v>264</v>
      </c>
      <c r="D1648" t="s">
        <v>265</v>
      </c>
      <c r="E1648">
        <v>9063</v>
      </c>
      <c r="F1648" t="s">
        <v>3216</v>
      </c>
      <c r="G1648" t="s">
        <v>274</v>
      </c>
      <c r="H1648" t="s">
        <v>356</v>
      </c>
      <c r="I1648">
        <v>69</v>
      </c>
    </row>
    <row r="1649" spans="1:10" x14ac:dyDescent="0.2">
      <c r="A1649" t="s">
        <v>405</v>
      </c>
      <c r="B1649" t="s">
        <v>327</v>
      </c>
      <c r="C1649" t="s">
        <v>264</v>
      </c>
      <c r="D1649" t="s">
        <v>265</v>
      </c>
      <c r="E1649">
        <v>9069</v>
      </c>
      <c r="F1649" t="s">
        <v>3217</v>
      </c>
      <c r="G1649" t="s">
        <v>266</v>
      </c>
      <c r="H1649" t="s">
        <v>356</v>
      </c>
      <c r="I1649" t="s">
        <v>297</v>
      </c>
      <c r="J1649" t="s">
        <v>4442</v>
      </c>
    </row>
    <row r="1650" spans="1:10" x14ac:dyDescent="0.2">
      <c r="A1650" t="s">
        <v>405</v>
      </c>
      <c r="B1650" t="s">
        <v>327</v>
      </c>
      <c r="C1650" t="s">
        <v>264</v>
      </c>
      <c r="D1650" t="s">
        <v>265</v>
      </c>
      <c r="E1650">
        <v>9070</v>
      </c>
      <c r="F1650" t="s">
        <v>3218</v>
      </c>
      <c r="G1650" t="s">
        <v>266</v>
      </c>
      <c r="H1650" t="s">
        <v>356</v>
      </c>
      <c r="I1650">
        <v>497</v>
      </c>
    </row>
    <row r="1651" spans="1:10" x14ac:dyDescent="0.2">
      <c r="A1651" t="s">
        <v>405</v>
      </c>
      <c r="B1651" t="s">
        <v>327</v>
      </c>
      <c r="C1651" t="s">
        <v>264</v>
      </c>
      <c r="D1651" t="s">
        <v>265</v>
      </c>
      <c r="E1651">
        <v>9099</v>
      </c>
      <c r="F1651" t="s">
        <v>3219</v>
      </c>
      <c r="G1651" t="s">
        <v>266</v>
      </c>
      <c r="H1651" t="s">
        <v>356</v>
      </c>
      <c r="I1651">
        <v>362</v>
      </c>
    </row>
    <row r="1652" spans="1:10" x14ac:dyDescent="0.2">
      <c r="A1652" t="s">
        <v>405</v>
      </c>
      <c r="B1652" t="s">
        <v>327</v>
      </c>
      <c r="C1652" t="s">
        <v>264</v>
      </c>
      <c r="D1652" t="s">
        <v>265</v>
      </c>
      <c r="E1652">
        <v>9127</v>
      </c>
      <c r="F1652" t="s">
        <v>3220</v>
      </c>
      <c r="G1652" t="s">
        <v>274</v>
      </c>
      <c r="H1652" t="s">
        <v>2193</v>
      </c>
      <c r="I1652">
        <v>16</v>
      </c>
    </row>
    <row r="1653" spans="1:10" x14ac:dyDescent="0.2">
      <c r="A1653" t="s">
        <v>405</v>
      </c>
      <c r="B1653" t="s">
        <v>327</v>
      </c>
      <c r="C1653" t="s">
        <v>264</v>
      </c>
      <c r="D1653" t="s">
        <v>265</v>
      </c>
      <c r="E1653">
        <v>9312</v>
      </c>
      <c r="F1653" t="s">
        <v>3221</v>
      </c>
      <c r="G1653" t="s">
        <v>266</v>
      </c>
      <c r="H1653" t="s">
        <v>556</v>
      </c>
      <c r="I1653">
        <v>87</v>
      </c>
    </row>
    <row r="1654" spans="1:10" x14ac:dyDescent="0.2">
      <c r="A1654" t="s">
        <v>405</v>
      </c>
      <c r="B1654" t="s">
        <v>327</v>
      </c>
      <c r="C1654" t="s">
        <v>264</v>
      </c>
      <c r="D1654" t="s">
        <v>265</v>
      </c>
      <c r="E1654">
        <v>9325</v>
      </c>
      <c r="F1654" t="s">
        <v>3222</v>
      </c>
      <c r="G1654" t="s">
        <v>266</v>
      </c>
      <c r="H1654" t="s">
        <v>556</v>
      </c>
      <c r="I1654">
        <v>58</v>
      </c>
    </row>
    <row r="1655" spans="1:10" x14ac:dyDescent="0.2">
      <c r="A1655" t="s">
        <v>405</v>
      </c>
      <c r="B1655" t="s">
        <v>327</v>
      </c>
      <c r="C1655" t="s">
        <v>275</v>
      </c>
      <c r="D1655" t="s">
        <v>265</v>
      </c>
      <c r="E1655">
        <v>9361</v>
      </c>
      <c r="F1655" t="s">
        <v>3223</v>
      </c>
      <c r="G1655" t="s">
        <v>274</v>
      </c>
      <c r="H1655" t="s">
        <v>556</v>
      </c>
      <c r="I1655">
        <v>37</v>
      </c>
    </row>
    <row r="1656" spans="1:10" x14ac:dyDescent="0.2">
      <c r="A1656" t="s">
        <v>405</v>
      </c>
      <c r="B1656" t="s">
        <v>327</v>
      </c>
      <c r="C1656" t="s">
        <v>264</v>
      </c>
      <c r="D1656" t="s">
        <v>265</v>
      </c>
      <c r="E1656">
        <v>9367</v>
      </c>
      <c r="F1656" t="s">
        <v>3224</v>
      </c>
      <c r="G1656" t="s">
        <v>270</v>
      </c>
      <c r="H1656" t="s">
        <v>556</v>
      </c>
      <c r="I1656">
        <v>59</v>
      </c>
    </row>
    <row r="1657" spans="1:10" x14ac:dyDescent="0.2">
      <c r="A1657" t="s">
        <v>405</v>
      </c>
      <c r="B1657" t="s">
        <v>327</v>
      </c>
      <c r="C1657" t="s">
        <v>264</v>
      </c>
      <c r="D1657" t="s">
        <v>265</v>
      </c>
      <c r="E1657">
        <v>9375</v>
      </c>
      <c r="F1657" t="s">
        <v>3225</v>
      </c>
      <c r="G1657" t="s">
        <v>266</v>
      </c>
      <c r="H1657" t="s">
        <v>556</v>
      </c>
      <c r="I1657" t="s">
        <v>297</v>
      </c>
      <c r="J1657" t="s">
        <v>4643</v>
      </c>
    </row>
    <row r="1658" spans="1:10" x14ac:dyDescent="0.2">
      <c r="A1658" t="s">
        <v>405</v>
      </c>
      <c r="B1658" t="s">
        <v>327</v>
      </c>
      <c r="C1658" t="s">
        <v>264</v>
      </c>
      <c r="D1658" t="s">
        <v>265</v>
      </c>
      <c r="E1658">
        <v>9385</v>
      </c>
      <c r="F1658" t="s">
        <v>3226</v>
      </c>
      <c r="G1658" t="s">
        <v>266</v>
      </c>
      <c r="H1658" t="s">
        <v>279</v>
      </c>
      <c r="I1658">
        <v>55</v>
      </c>
    </row>
    <row r="1659" spans="1:10" x14ac:dyDescent="0.2">
      <c r="A1659" t="s">
        <v>405</v>
      </c>
      <c r="B1659" t="s">
        <v>327</v>
      </c>
      <c r="C1659" t="s">
        <v>264</v>
      </c>
      <c r="D1659" t="s">
        <v>265</v>
      </c>
      <c r="E1659">
        <v>9405</v>
      </c>
      <c r="F1659" t="s">
        <v>3227</v>
      </c>
      <c r="G1659" t="s">
        <v>266</v>
      </c>
      <c r="H1659" t="s">
        <v>277</v>
      </c>
      <c r="I1659">
        <v>321</v>
      </c>
    </row>
    <row r="1660" spans="1:10" x14ac:dyDescent="0.2">
      <c r="A1660" t="s">
        <v>405</v>
      </c>
      <c r="B1660" t="s">
        <v>327</v>
      </c>
      <c r="C1660" t="s">
        <v>264</v>
      </c>
      <c r="D1660" t="s">
        <v>265</v>
      </c>
      <c r="E1660">
        <v>9434</v>
      </c>
      <c r="F1660" t="s">
        <v>3228</v>
      </c>
      <c r="G1660" t="s">
        <v>266</v>
      </c>
      <c r="H1660" t="s">
        <v>277</v>
      </c>
      <c r="I1660" t="s">
        <v>4309</v>
      </c>
      <c r="J1660" t="s">
        <v>4913</v>
      </c>
    </row>
    <row r="1661" spans="1:10" x14ac:dyDescent="0.2">
      <c r="A1661" t="s">
        <v>405</v>
      </c>
      <c r="B1661" t="s">
        <v>327</v>
      </c>
      <c r="C1661" t="s">
        <v>264</v>
      </c>
      <c r="D1661" t="s">
        <v>265</v>
      </c>
      <c r="E1661">
        <v>9535</v>
      </c>
      <c r="F1661" t="s">
        <v>3229</v>
      </c>
      <c r="G1661" t="s">
        <v>266</v>
      </c>
      <c r="H1661" t="s">
        <v>489</v>
      </c>
      <c r="I1661">
        <v>243</v>
      </c>
    </row>
    <row r="1662" spans="1:10" x14ac:dyDescent="0.2">
      <c r="A1662" t="s">
        <v>405</v>
      </c>
      <c r="B1662" t="s">
        <v>327</v>
      </c>
      <c r="C1662" t="s">
        <v>264</v>
      </c>
      <c r="D1662" t="s">
        <v>265</v>
      </c>
      <c r="E1662">
        <v>9616</v>
      </c>
      <c r="F1662" t="s">
        <v>3230</v>
      </c>
      <c r="G1662" t="s">
        <v>266</v>
      </c>
      <c r="H1662" t="s">
        <v>271</v>
      </c>
      <c r="I1662" t="s">
        <v>297</v>
      </c>
      <c r="J1662" t="s">
        <v>5037</v>
      </c>
    </row>
    <row r="1663" spans="1:10" x14ac:dyDescent="0.2">
      <c r="A1663" t="s">
        <v>405</v>
      </c>
      <c r="B1663" t="s">
        <v>327</v>
      </c>
      <c r="C1663" t="s">
        <v>273</v>
      </c>
      <c r="D1663" t="s">
        <v>265</v>
      </c>
      <c r="E1663">
        <v>9622</v>
      </c>
      <c r="F1663" t="s">
        <v>3231</v>
      </c>
      <c r="G1663" t="s">
        <v>266</v>
      </c>
      <c r="H1663" t="s">
        <v>271</v>
      </c>
      <c r="I1663">
        <v>342</v>
      </c>
    </row>
    <row r="1664" spans="1:10" x14ac:dyDescent="0.2">
      <c r="A1664" t="s">
        <v>405</v>
      </c>
      <c r="B1664" t="s">
        <v>327</v>
      </c>
      <c r="C1664" t="s">
        <v>264</v>
      </c>
      <c r="D1664" t="s">
        <v>265</v>
      </c>
      <c r="E1664">
        <v>9685</v>
      </c>
      <c r="F1664" t="s">
        <v>3232</v>
      </c>
      <c r="G1664" t="s">
        <v>270</v>
      </c>
      <c r="H1664" t="s">
        <v>277</v>
      </c>
      <c r="I1664">
        <v>36</v>
      </c>
    </row>
    <row r="1665" spans="1:10" x14ac:dyDescent="0.2">
      <c r="A1665" t="s">
        <v>405</v>
      </c>
      <c r="B1665" t="s">
        <v>327</v>
      </c>
      <c r="C1665" t="s">
        <v>264</v>
      </c>
      <c r="D1665" t="s">
        <v>265</v>
      </c>
      <c r="E1665">
        <v>9726</v>
      </c>
      <c r="F1665" t="s">
        <v>3233</v>
      </c>
      <c r="G1665" t="s">
        <v>266</v>
      </c>
      <c r="H1665" t="s">
        <v>271</v>
      </c>
      <c r="I1665">
        <v>401</v>
      </c>
    </row>
    <row r="1666" spans="1:10" x14ac:dyDescent="0.2">
      <c r="A1666" t="s">
        <v>405</v>
      </c>
      <c r="B1666" t="s">
        <v>327</v>
      </c>
      <c r="C1666" t="s">
        <v>264</v>
      </c>
      <c r="D1666" t="s">
        <v>265</v>
      </c>
      <c r="E1666">
        <v>9729</v>
      </c>
      <c r="F1666" t="s">
        <v>3234</v>
      </c>
      <c r="G1666" t="s">
        <v>266</v>
      </c>
      <c r="H1666" t="s">
        <v>271</v>
      </c>
      <c r="I1666">
        <v>945</v>
      </c>
    </row>
    <row r="1667" spans="1:10" x14ac:dyDescent="0.2">
      <c r="A1667" t="s">
        <v>405</v>
      </c>
      <c r="B1667" t="s">
        <v>327</v>
      </c>
      <c r="C1667" t="s">
        <v>264</v>
      </c>
      <c r="D1667" t="s">
        <v>265</v>
      </c>
      <c r="E1667">
        <v>9760</v>
      </c>
      <c r="F1667" t="s">
        <v>3235</v>
      </c>
      <c r="G1667" t="s">
        <v>266</v>
      </c>
      <c r="H1667" t="s">
        <v>271</v>
      </c>
      <c r="I1667">
        <v>107</v>
      </c>
    </row>
    <row r="1668" spans="1:10" x14ac:dyDescent="0.2">
      <c r="A1668" t="s">
        <v>405</v>
      </c>
      <c r="B1668" t="s">
        <v>327</v>
      </c>
      <c r="C1668" t="s">
        <v>264</v>
      </c>
      <c r="D1668" t="s">
        <v>265</v>
      </c>
      <c r="E1668">
        <v>9783</v>
      </c>
      <c r="F1668" t="s">
        <v>3236</v>
      </c>
      <c r="G1668" t="s">
        <v>266</v>
      </c>
      <c r="H1668" t="s">
        <v>271</v>
      </c>
      <c r="I1668" t="s">
        <v>333</v>
      </c>
      <c r="J1668" t="s">
        <v>4619</v>
      </c>
    </row>
    <row r="1669" spans="1:10" x14ac:dyDescent="0.2">
      <c r="A1669" t="s">
        <v>405</v>
      </c>
      <c r="B1669" t="s">
        <v>327</v>
      </c>
      <c r="C1669" t="s">
        <v>264</v>
      </c>
      <c r="D1669" t="s">
        <v>265</v>
      </c>
      <c r="E1669">
        <v>9788</v>
      </c>
      <c r="F1669" t="s">
        <v>3237</v>
      </c>
      <c r="G1669" t="s">
        <v>266</v>
      </c>
      <c r="H1669" t="s">
        <v>271</v>
      </c>
      <c r="I1669">
        <v>247</v>
      </c>
    </row>
    <row r="1670" spans="1:10" x14ac:dyDescent="0.2">
      <c r="A1670" t="s">
        <v>405</v>
      </c>
      <c r="B1670" t="s">
        <v>327</v>
      </c>
      <c r="C1670" t="s">
        <v>264</v>
      </c>
      <c r="D1670" t="s">
        <v>265</v>
      </c>
      <c r="E1670">
        <v>9790</v>
      </c>
      <c r="F1670" t="s">
        <v>3238</v>
      </c>
      <c r="G1670" t="s">
        <v>266</v>
      </c>
      <c r="H1670" t="s">
        <v>277</v>
      </c>
      <c r="I1670">
        <v>770</v>
      </c>
    </row>
    <row r="1671" spans="1:10" x14ac:dyDescent="0.2">
      <c r="A1671" t="s">
        <v>405</v>
      </c>
      <c r="B1671" t="s">
        <v>327</v>
      </c>
      <c r="C1671" t="s">
        <v>264</v>
      </c>
      <c r="D1671" t="s">
        <v>265</v>
      </c>
      <c r="E1671">
        <v>9792</v>
      </c>
      <c r="F1671" t="s">
        <v>3603</v>
      </c>
      <c r="G1671" t="s">
        <v>266</v>
      </c>
      <c r="H1671" t="s">
        <v>271</v>
      </c>
      <c r="I1671" t="s">
        <v>297</v>
      </c>
      <c r="J1671" t="s">
        <v>4710</v>
      </c>
    </row>
    <row r="1672" spans="1:10" x14ac:dyDescent="0.2">
      <c r="A1672" t="s">
        <v>405</v>
      </c>
      <c r="B1672" t="s">
        <v>327</v>
      </c>
      <c r="C1672" t="s">
        <v>264</v>
      </c>
      <c r="D1672" t="s">
        <v>265</v>
      </c>
      <c r="E1672">
        <v>9820</v>
      </c>
      <c r="F1672" t="s">
        <v>3239</v>
      </c>
      <c r="G1672" t="s">
        <v>270</v>
      </c>
      <c r="H1672" t="s">
        <v>292</v>
      </c>
      <c r="I1672">
        <v>37</v>
      </c>
    </row>
    <row r="1673" spans="1:10" x14ac:dyDescent="0.2">
      <c r="A1673" t="s">
        <v>405</v>
      </c>
      <c r="B1673" t="s">
        <v>327</v>
      </c>
      <c r="C1673" t="s">
        <v>264</v>
      </c>
      <c r="D1673" t="s">
        <v>265</v>
      </c>
      <c r="E1673">
        <v>9852</v>
      </c>
      <c r="F1673" t="s">
        <v>3240</v>
      </c>
      <c r="G1673" t="s">
        <v>270</v>
      </c>
      <c r="H1673" t="s">
        <v>272</v>
      </c>
      <c r="I1673">
        <v>73</v>
      </c>
    </row>
    <row r="1674" spans="1:10" x14ac:dyDescent="0.2">
      <c r="A1674" t="s">
        <v>405</v>
      </c>
      <c r="B1674" t="s">
        <v>327</v>
      </c>
      <c r="C1674" t="s">
        <v>264</v>
      </c>
      <c r="D1674" t="s">
        <v>265</v>
      </c>
      <c r="E1674">
        <v>9867</v>
      </c>
      <c r="F1674" t="s">
        <v>3241</v>
      </c>
      <c r="G1674" t="s">
        <v>270</v>
      </c>
      <c r="H1674" t="s">
        <v>272</v>
      </c>
      <c r="I1674">
        <v>157</v>
      </c>
    </row>
    <row r="1675" spans="1:10" x14ac:dyDescent="0.2">
      <c r="A1675" t="s">
        <v>405</v>
      </c>
      <c r="B1675" t="s">
        <v>327</v>
      </c>
      <c r="C1675" t="s">
        <v>264</v>
      </c>
      <c r="D1675" t="s">
        <v>265</v>
      </c>
      <c r="E1675">
        <v>9880</v>
      </c>
      <c r="F1675" t="s">
        <v>424</v>
      </c>
      <c r="G1675" t="s">
        <v>266</v>
      </c>
      <c r="H1675" t="s">
        <v>272</v>
      </c>
      <c r="I1675">
        <v>193</v>
      </c>
    </row>
    <row r="1676" spans="1:10" x14ac:dyDescent="0.2">
      <c r="A1676" t="s">
        <v>405</v>
      </c>
      <c r="B1676" t="s">
        <v>327</v>
      </c>
      <c r="C1676" t="s">
        <v>264</v>
      </c>
      <c r="D1676" t="s">
        <v>265</v>
      </c>
      <c r="E1676">
        <v>9996</v>
      </c>
      <c r="F1676" t="s">
        <v>3242</v>
      </c>
      <c r="G1676" t="s">
        <v>270</v>
      </c>
      <c r="H1676" t="s">
        <v>272</v>
      </c>
      <c r="I1676">
        <v>151</v>
      </c>
    </row>
    <row r="1677" spans="1:10" x14ac:dyDescent="0.2">
      <c r="A1677" t="s">
        <v>405</v>
      </c>
      <c r="B1677" t="s">
        <v>1769</v>
      </c>
      <c r="C1677" t="s">
        <v>264</v>
      </c>
      <c r="D1677" t="s">
        <v>265</v>
      </c>
      <c r="E1677">
        <v>4681</v>
      </c>
      <c r="F1677" t="s">
        <v>1770</v>
      </c>
      <c r="G1677" t="s">
        <v>266</v>
      </c>
      <c r="H1677" t="s">
        <v>271</v>
      </c>
      <c r="I1677" t="s">
        <v>297</v>
      </c>
      <c r="J1677" t="s">
        <v>5038</v>
      </c>
    </row>
    <row r="1678" spans="1:10" x14ac:dyDescent="0.2">
      <c r="A1678" t="s">
        <v>405</v>
      </c>
      <c r="B1678" t="s">
        <v>1689</v>
      </c>
      <c r="C1678" t="s">
        <v>264</v>
      </c>
      <c r="D1678" t="s">
        <v>265</v>
      </c>
      <c r="E1678">
        <v>1833</v>
      </c>
      <c r="F1678" t="s">
        <v>3243</v>
      </c>
      <c r="G1678" t="s">
        <v>266</v>
      </c>
      <c r="H1678" t="s">
        <v>293</v>
      </c>
      <c r="I1678" t="s">
        <v>297</v>
      </c>
      <c r="J1678" t="s">
        <v>5039</v>
      </c>
    </row>
    <row r="1679" spans="1:10" x14ac:dyDescent="0.2">
      <c r="A1679" t="s">
        <v>405</v>
      </c>
      <c r="B1679" t="s">
        <v>1689</v>
      </c>
      <c r="C1679" t="s">
        <v>264</v>
      </c>
      <c r="D1679" t="s">
        <v>265</v>
      </c>
      <c r="E1679">
        <v>1848</v>
      </c>
      <c r="F1679" t="s">
        <v>3244</v>
      </c>
      <c r="G1679" t="s">
        <v>266</v>
      </c>
      <c r="H1679" t="s">
        <v>293</v>
      </c>
      <c r="I1679">
        <v>109</v>
      </c>
    </row>
    <row r="1680" spans="1:10" x14ac:dyDescent="0.2">
      <c r="A1680" t="s">
        <v>405</v>
      </c>
      <c r="B1680" t="s">
        <v>1689</v>
      </c>
      <c r="C1680" t="s">
        <v>264</v>
      </c>
      <c r="D1680" t="s">
        <v>265</v>
      </c>
      <c r="E1680">
        <v>1885</v>
      </c>
      <c r="F1680" t="s">
        <v>3245</v>
      </c>
      <c r="G1680" t="s">
        <v>266</v>
      </c>
      <c r="H1680" t="s">
        <v>293</v>
      </c>
      <c r="I1680">
        <v>381</v>
      </c>
    </row>
    <row r="1681" spans="1:10" x14ac:dyDescent="0.2">
      <c r="A1681" t="s">
        <v>405</v>
      </c>
      <c r="B1681" t="s">
        <v>1689</v>
      </c>
      <c r="C1681" t="s">
        <v>264</v>
      </c>
      <c r="D1681" t="s">
        <v>265</v>
      </c>
      <c r="E1681">
        <v>1909</v>
      </c>
      <c r="F1681" t="s">
        <v>411</v>
      </c>
      <c r="G1681" t="s">
        <v>266</v>
      </c>
      <c r="H1681" t="s">
        <v>287</v>
      </c>
      <c r="I1681">
        <v>135</v>
      </c>
    </row>
    <row r="1682" spans="1:10" x14ac:dyDescent="0.2">
      <c r="A1682" t="s">
        <v>405</v>
      </c>
      <c r="B1682" t="s">
        <v>1689</v>
      </c>
      <c r="C1682" t="s">
        <v>264</v>
      </c>
      <c r="D1682" t="s">
        <v>265</v>
      </c>
      <c r="E1682">
        <v>1938</v>
      </c>
      <c r="F1682" t="s">
        <v>3246</v>
      </c>
      <c r="G1682" t="s">
        <v>274</v>
      </c>
      <c r="H1682" t="s">
        <v>293</v>
      </c>
      <c r="I1682">
        <v>337</v>
      </c>
    </row>
    <row r="1683" spans="1:10" x14ac:dyDescent="0.2">
      <c r="A1683" t="s">
        <v>405</v>
      </c>
      <c r="B1683" t="s">
        <v>1689</v>
      </c>
      <c r="C1683" t="s">
        <v>264</v>
      </c>
      <c r="D1683" t="s">
        <v>265</v>
      </c>
      <c r="E1683">
        <v>2349</v>
      </c>
      <c r="F1683" t="s">
        <v>661</v>
      </c>
      <c r="G1683" t="s">
        <v>270</v>
      </c>
      <c r="H1683" t="s">
        <v>277</v>
      </c>
      <c r="I1683">
        <v>181</v>
      </c>
    </row>
    <row r="1684" spans="1:10" x14ac:dyDescent="0.2">
      <c r="A1684" t="s">
        <v>405</v>
      </c>
      <c r="B1684" t="s">
        <v>1689</v>
      </c>
      <c r="C1684" t="s">
        <v>273</v>
      </c>
      <c r="D1684" t="s">
        <v>265</v>
      </c>
      <c r="E1684">
        <v>2573</v>
      </c>
      <c r="F1684" t="s">
        <v>3247</v>
      </c>
      <c r="G1684" t="s">
        <v>274</v>
      </c>
      <c r="H1684" t="s">
        <v>267</v>
      </c>
      <c r="I1684">
        <v>295</v>
      </c>
    </row>
    <row r="1685" spans="1:10" x14ac:dyDescent="0.2">
      <c r="A1685" t="s">
        <v>405</v>
      </c>
      <c r="B1685" t="s">
        <v>1689</v>
      </c>
      <c r="C1685" t="s">
        <v>264</v>
      </c>
      <c r="D1685" t="s">
        <v>265</v>
      </c>
      <c r="E1685">
        <v>2681</v>
      </c>
      <c r="F1685" t="s">
        <v>3248</v>
      </c>
      <c r="G1685" t="s">
        <v>266</v>
      </c>
      <c r="H1685" t="s">
        <v>276</v>
      </c>
      <c r="I1685">
        <v>564</v>
      </c>
    </row>
    <row r="1686" spans="1:10" x14ac:dyDescent="0.2">
      <c r="A1686" t="s">
        <v>405</v>
      </c>
      <c r="B1686" t="s">
        <v>1689</v>
      </c>
      <c r="C1686" t="s">
        <v>268</v>
      </c>
      <c r="D1686" t="s">
        <v>265</v>
      </c>
      <c r="E1686">
        <v>3176</v>
      </c>
      <c r="F1686" t="s">
        <v>3249</v>
      </c>
      <c r="G1686" t="s">
        <v>266</v>
      </c>
      <c r="H1686" t="s">
        <v>272</v>
      </c>
      <c r="I1686">
        <v>402</v>
      </c>
    </row>
    <row r="1687" spans="1:10" x14ac:dyDescent="0.2">
      <c r="A1687" t="s">
        <v>405</v>
      </c>
      <c r="B1687" t="s">
        <v>1689</v>
      </c>
      <c r="C1687" t="s">
        <v>264</v>
      </c>
      <c r="D1687" t="s">
        <v>265</v>
      </c>
      <c r="E1687">
        <v>3347</v>
      </c>
      <c r="F1687" t="s">
        <v>3250</v>
      </c>
      <c r="G1687" t="s">
        <v>274</v>
      </c>
      <c r="H1687" t="s">
        <v>276</v>
      </c>
      <c r="I1687">
        <v>59</v>
      </c>
    </row>
    <row r="1688" spans="1:10" x14ac:dyDescent="0.2">
      <c r="A1688" t="s">
        <v>405</v>
      </c>
      <c r="B1688" t="s">
        <v>1689</v>
      </c>
      <c r="C1688" t="s">
        <v>264</v>
      </c>
      <c r="D1688" t="s">
        <v>269</v>
      </c>
      <c r="E1688">
        <v>3409</v>
      </c>
      <c r="F1688" t="s">
        <v>3251</v>
      </c>
      <c r="G1688" t="s">
        <v>274</v>
      </c>
      <c r="H1688" t="s">
        <v>299</v>
      </c>
      <c r="I1688">
        <v>37</v>
      </c>
    </row>
    <row r="1689" spans="1:10" x14ac:dyDescent="0.2">
      <c r="A1689" t="s">
        <v>405</v>
      </c>
      <c r="B1689" t="s">
        <v>1689</v>
      </c>
      <c r="C1689" t="s">
        <v>264</v>
      </c>
      <c r="D1689" t="s">
        <v>265</v>
      </c>
      <c r="E1689">
        <v>3526</v>
      </c>
      <c r="F1689" t="s">
        <v>3252</v>
      </c>
      <c r="G1689" t="s">
        <v>266</v>
      </c>
      <c r="H1689" t="s">
        <v>296</v>
      </c>
      <c r="I1689">
        <v>85</v>
      </c>
    </row>
    <row r="1690" spans="1:10" x14ac:dyDescent="0.2">
      <c r="A1690" t="s">
        <v>405</v>
      </c>
      <c r="B1690" t="s">
        <v>1689</v>
      </c>
      <c r="C1690" t="s">
        <v>264</v>
      </c>
      <c r="D1690" t="s">
        <v>265</v>
      </c>
      <c r="E1690">
        <v>3583</v>
      </c>
      <c r="F1690" t="s">
        <v>3253</v>
      </c>
      <c r="G1690" t="s">
        <v>274</v>
      </c>
      <c r="H1690" t="s">
        <v>299</v>
      </c>
      <c r="I1690">
        <v>25</v>
      </c>
    </row>
    <row r="1691" spans="1:10" x14ac:dyDescent="0.2">
      <c r="A1691" t="s">
        <v>405</v>
      </c>
      <c r="B1691" t="s">
        <v>1689</v>
      </c>
      <c r="C1691" t="s">
        <v>264</v>
      </c>
      <c r="D1691" t="s">
        <v>265</v>
      </c>
      <c r="E1691">
        <v>3676</v>
      </c>
      <c r="F1691" t="s">
        <v>3254</v>
      </c>
      <c r="G1691" t="s">
        <v>266</v>
      </c>
      <c r="H1691" t="s">
        <v>277</v>
      </c>
      <c r="I1691">
        <v>251</v>
      </c>
    </row>
    <row r="1692" spans="1:10" x14ac:dyDescent="0.2">
      <c r="A1692" t="s">
        <v>405</v>
      </c>
      <c r="B1692" t="s">
        <v>1689</v>
      </c>
      <c r="C1692" t="s">
        <v>264</v>
      </c>
      <c r="D1692" t="s">
        <v>265</v>
      </c>
      <c r="E1692">
        <v>3842</v>
      </c>
      <c r="F1692" t="s">
        <v>3255</v>
      </c>
      <c r="G1692" t="s">
        <v>270</v>
      </c>
      <c r="H1692" t="s">
        <v>277</v>
      </c>
      <c r="I1692">
        <v>67</v>
      </c>
    </row>
    <row r="1693" spans="1:10" x14ac:dyDescent="0.2">
      <c r="A1693" t="s">
        <v>405</v>
      </c>
      <c r="B1693" t="s">
        <v>1689</v>
      </c>
      <c r="C1693" t="s">
        <v>264</v>
      </c>
      <c r="D1693" t="s">
        <v>265</v>
      </c>
      <c r="E1693">
        <v>4064</v>
      </c>
      <c r="F1693" t="s">
        <v>3256</v>
      </c>
      <c r="G1693" t="s">
        <v>266</v>
      </c>
      <c r="H1693" t="s">
        <v>279</v>
      </c>
      <c r="I1693">
        <v>119</v>
      </c>
    </row>
    <row r="1694" spans="1:10" x14ac:dyDescent="0.2">
      <c r="A1694" t="s">
        <v>405</v>
      </c>
      <c r="B1694" t="s">
        <v>1689</v>
      </c>
      <c r="C1694" t="s">
        <v>264</v>
      </c>
      <c r="D1694" t="s">
        <v>269</v>
      </c>
      <c r="E1694">
        <v>4080</v>
      </c>
      <c r="F1694" t="s">
        <v>531</v>
      </c>
      <c r="G1694" t="s">
        <v>270</v>
      </c>
      <c r="H1694" t="s">
        <v>279</v>
      </c>
      <c r="I1694">
        <v>281</v>
      </c>
    </row>
    <row r="1695" spans="1:10" x14ac:dyDescent="0.2">
      <c r="A1695" t="s">
        <v>405</v>
      </c>
      <c r="B1695" t="s">
        <v>1689</v>
      </c>
      <c r="C1695" t="s">
        <v>264</v>
      </c>
      <c r="D1695" t="s">
        <v>265</v>
      </c>
      <c r="E1695">
        <v>4093</v>
      </c>
      <c r="F1695" t="s">
        <v>3257</v>
      </c>
      <c r="G1695" t="s">
        <v>266</v>
      </c>
      <c r="H1695" t="s">
        <v>279</v>
      </c>
      <c r="I1695">
        <v>95</v>
      </c>
    </row>
    <row r="1696" spans="1:10" x14ac:dyDescent="0.2">
      <c r="A1696" t="s">
        <v>405</v>
      </c>
      <c r="B1696" t="s">
        <v>1689</v>
      </c>
      <c r="C1696" t="s">
        <v>264</v>
      </c>
      <c r="D1696" t="s">
        <v>265</v>
      </c>
      <c r="E1696">
        <v>4095</v>
      </c>
      <c r="F1696" t="s">
        <v>3258</v>
      </c>
      <c r="G1696" t="s">
        <v>266</v>
      </c>
      <c r="H1696" t="s">
        <v>279</v>
      </c>
      <c r="I1696" t="s">
        <v>297</v>
      </c>
      <c r="J1696" t="s">
        <v>4453</v>
      </c>
    </row>
    <row r="1697" spans="1:10" x14ac:dyDescent="0.2">
      <c r="A1697" t="s">
        <v>405</v>
      </c>
      <c r="B1697" t="s">
        <v>1689</v>
      </c>
      <c r="C1697" t="s">
        <v>264</v>
      </c>
      <c r="D1697" t="s">
        <v>265</v>
      </c>
      <c r="E1697">
        <v>4115</v>
      </c>
      <c r="F1697" t="s">
        <v>3259</v>
      </c>
      <c r="G1697" t="s">
        <v>274</v>
      </c>
      <c r="H1697" t="s">
        <v>279</v>
      </c>
      <c r="I1697">
        <v>140</v>
      </c>
    </row>
    <row r="1698" spans="1:10" x14ac:dyDescent="0.2">
      <c r="A1698" t="s">
        <v>405</v>
      </c>
      <c r="B1698" t="s">
        <v>1689</v>
      </c>
      <c r="C1698" t="s">
        <v>264</v>
      </c>
      <c r="D1698" t="s">
        <v>265</v>
      </c>
      <c r="E1698">
        <v>4364</v>
      </c>
      <c r="F1698" t="s">
        <v>3260</v>
      </c>
      <c r="G1698" t="s">
        <v>274</v>
      </c>
      <c r="H1698" t="s">
        <v>279</v>
      </c>
      <c r="I1698">
        <v>99</v>
      </c>
    </row>
    <row r="1699" spans="1:10" x14ac:dyDescent="0.2">
      <c r="A1699" t="s">
        <v>405</v>
      </c>
      <c r="B1699" t="s">
        <v>1689</v>
      </c>
      <c r="C1699" t="s">
        <v>264</v>
      </c>
      <c r="D1699" t="s">
        <v>265</v>
      </c>
      <c r="E1699">
        <v>4483</v>
      </c>
      <c r="F1699" t="s">
        <v>3261</v>
      </c>
      <c r="G1699" t="s">
        <v>278</v>
      </c>
      <c r="H1699" t="s">
        <v>277</v>
      </c>
      <c r="I1699" t="s">
        <v>297</v>
      </c>
      <c r="J1699" t="s">
        <v>4359</v>
      </c>
    </row>
    <row r="1700" spans="1:10" x14ac:dyDescent="0.2">
      <c r="A1700" t="s">
        <v>405</v>
      </c>
      <c r="B1700" t="s">
        <v>1689</v>
      </c>
      <c r="C1700" t="s">
        <v>264</v>
      </c>
      <c r="D1700" t="s">
        <v>265</v>
      </c>
      <c r="E1700">
        <v>4708</v>
      </c>
      <c r="F1700" t="s">
        <v>1774</v>
      </c>
      <c r="G1700" t="s">
        <v>266</v>
      </c>
      <c r="H1700" t="s">
        <v>271</v>
      </c>
      <c r="I1700" t="s">
        <v>297</v>
      </c>
      <c r="J1700" t="s">
        <v>5040</v>
      </c>
    </row>
    <row r="1701" spans="1:10" x14ac:dyDescent="0.2">
      <c r="A1701" t="s">
        <v>405</v>
      </c>
      <c r="B1701" t="s">
        <v>1689</v>
      </c>
      <c r="C1701" t="s">
        <v>264</v>
      </c>
      <c r="D1701" t="s">
        <v>269</v>
      </c>
      <c r="E1701">
        <v>4719</v>
      </c>
      <c r="F1701" t="s">
        <v>3262</v>
      </c>
      <c r="G1701" t="s">
        <v>266</v>
      </c>
      <c r="H1701" t="s">
        <v>277</v>
      </c>
      <c r="I1701">
        <v>412</v>
      </c>
    </row>
    <row r="1702" spans="1:10" x14ac:dyDescent="0.2">
      <c r="A1702" t="s">
        <v>405</v>
      </c>
      <c r="B1702" t="s">
        <v>1689</v>
      </c>
      <c r="C1702" t="s">
        <v>264</v>
      </c>
      <c r="D1702" t="s">
        <v>265</v>
      </c>
      <c r="E1702">
        <v>4734</v>
      </c>
      <c r="F1702" t="s">
        <v>3263</v>
      </c>
      <c r="G1702" t="s">
        <v>270</v>
      </c>
      <c r="H1702" t="s">
        <v>277</v>
      </c>
      <c r="I1702">
        <v>92</v>
      </c>
    </row>
    <row r="1703" spans="1:10" x14ac:dyDescent="0.2">
      <c r="A1703" t="s">
        <v>405</v>
      </c>
      <c r="B1703" t="s">
        <v>1689</v>
      </c>
      <c r="C1703" t="s">
        <v>264</v>
      </c>
      <c r="D1703" t="s">
        <v>265</v>
      </c>
      <c r="E1703">
        <v>5122</v>
      </c>
      <c r="F1703" t="s">
        <v>3264</v>
      </c>
      <c r="G1703" t="s">
        <v>266</v>
      </c>
      <c r="H1703" t="s">
        <v>535</v>
      </c>
      <c r="I1703">
        <v>794</v>
      </c>
    </row>
    <row r="1704" spans="1:10" x14ac:dyDescent="0.2">
      <c r="A1704" t="s">
        <v>405</v>
      </c>
      <c r="B1704" t="s">
        <v>1689</v>
      </c>
      <c r="C1704" t="s">
        <v>264</v>
      </c>
      <c r="D1704" t="s">
        <v>265</v>
      </c>
      <c r="E1704">
        <v>5210</v>
      </c>
      <c r="F1704" t="s">
        <v>3265</v>
      </c>
      <c r="G1704" t="s">
        <v>266</v>
      </c>
      <c r="H1704" t="s">
        <v>308</v>
      </c>
      <c r="I1704">
        <v>145</v>
      </c>
    </row>
    <row r="1705" spans="1:10" x14ac:dyDescent="0.2">
      <c r="A1705" t="s">
        <v>405</v>
      </c>
      <c r="B1705" t="s">
        <v>1689</v>
      </c>
      <c r="C1705" t="s">
        <v>264</v>
      </c>
      <c r="D1705" t="s">
        <v>265</v>
      </c>
      <c r="E1705">
        <v>5902</v>
      </c>
      <c r="F1705" t="s">
        <v>3266</v>
      </c>
      <c r="G1705" t="s">
        <v>266</v>
      </c>
      <c r="H1705" t="s">
        <v>281</v>
      </c>
      <c r="I1705">
        <v>277</v>
      </c>
    </row>
    <row r="1706" spans="1:10" x14ac:dyDescent="0.2">
      <c r="A1706" t="s">
        <v>405</v>
      </c>
      <c r="B1706" t="s">
        <v>1689</v>
      </c>
      <c r="C1706" t="s">
        <v>264</v>
      </c>
      <c r="D1706" t="s">
        <v>265</v>
      </c>
      <c r="E1706">
        <v>5973</v>
      </c>
      <c r="F1706" t="s">
        <v>3267</v>
      </c>
      <c r="G1706" t="s">
        <v>274</v>
      </c>
      <c r="H1706" t="s">
        <v>281</v>
      </c>
      <c r="I1706">
        <v>33</v>
      </c>
    </row>
    <row r="1707" spans="1:10" x14ac:dyDescent="0.2">
      <c r="A1707" t="s">
        <v>405</v>
      </c>
      <c r="B1707" t="s">
        <v>1689</v>
      </c>
      <c r="C1707" t="s">
        <v>264</v>
      </c>
      <c r="D1707" t="s">
        <v>265</v>
      </c>
      <c r="E1707">
        <v>5975</v>
      </c>
      <c r="F1707" t="s">
        <v>1869</v>
      </c>
      <c r="G1707" t="s">
        <v>266</v>
      </c>
      <c r="H1707" t="s">
        <v>281</v>
      </c>
      <c r="I1707">
        <v>941</v>
      </c>
    </row>
    <row r="1708" spans="1:10" x14ac:dyDescent="0.2">
      <c r="A1708" t="s">
        <v>405</v>
      </c>
      <c r="B1708" t="s">
        <v>1689</v>
      </c>
      <c r="C1708" t="s">
        <v>275</v>
      </c>
      <c r="D1708" t="s">
        <v>269</v>
      </c>
      <c r="E1708">
        <v>6031</v>
      </c>
      <c r="F1708" t="s">
        <v>3268</v>
      </c>
      <c r="G1708" t="s">
        <v>278</v>
      </c>
      <c r="H1708" t="s">
        <v>271</v>
      </c>
      <c r="I1708">
        <v>25</v>
      </c>
    </row>
    <row r="1709" spans="1:10" x14ac:dyDescent="0.2">
      <c r="A1709" t="s">
        <v>405</v>
      </c>
      <c r="B1709" t="s">
        <v>1689</v>
      </c>
      <c r="C1709" t="s">
        <v>264</v>
      </c>
      <c r="D1709" t="s">
        <v>269</v>
      </c>
      <c r="E1709">
        <v>6246</v>
      </c>
      <c r="F1709" t="s">
        <v>3269</v>
      </c>
      <c r="G1709" t="s">
        <v>274</v>
      </c>
      <c r="H1709" t="s">
        <v>287</v>
      </c>
      <c r="I1709">
        <v>120</v>
      </c>
    </row>
    <row r="1710" spans="1:10" x14ac:dyDescent="0.2">
      <c r="A1710" t="s">
        <v>405</v>
      </c>
      <c r="B1710" t="s">
        <v>1689</v>
      </c>
      <c r="C1710" t="s">
        <v>273</v>
      </c>
      <c r="D1710" t="s">
        <v>265</v>
      </c>
      <c r="E1710">
        <v>6268</v>
      </c>
      <c r="F1710" t="s">
        <v>1477</v>
      </c>
      <c r="G1710" t="s">
        <v>266</v>
      </c>
      <c r="H1710" t="s">
        <v>287</v>
      </c>
      <c r="I1710" t="s">
        <v>316</v>
      </c>
      <c r="J1710" t="s">
        <v>5041</v>
      </c>
    </row>
    <row r="1711" spans="1:10" x14ac:dyDescent="0.2">
      <c r="A1711" t="s">
        <v>405</v>
      </c>
      <c r="B1711" t="s">
        <v>1689</v>
      </c>
      <c r="C1711" t="s">
        <v>264</v>
      </c>
      <c r="D1711" t="s">
        <v>265</v>
      </c>
      <c r="E1711">
        <v>6333</v>
      </c>
      <c r="F1711" t="s">
        <v>3270</v>
      </c>
      <c r="G1711" t="s">
        <v>266</v>
      </c>
      <c r="H1711" t="s">
        <v>287</v>
      </c>
      <c r="I1711">
        <v>298</v>
      </c>
    </row>
    <row r="1712" spans="1:10" x14ac:dyDescent="0.2">
      <c r="A1712" t="s">
        <v>405</v>
      </c>
      <c r="B1712" t="s">
        <v>1689</v>
      </c>
      <c r="C1712" t="s">
        <v>264</v>
      </c>
      <c r="D1712" t="s">
        <v>265</v>
      </c>
      <c r="E1712">
        <v>6384</v>
      </c>
      <c r="F1712" t="s">
        <v>3271</v>
      </c>
      <c r="G1712" t="s">
        <v>270</v>
      </c>
      <c r="H1712" t="s">
        <v>287</v>
      </c>
      <c r="I1712">
        <v>118</v>
      </c>
    </row>
    <row r="1713" spans="1:9" x14ac:dyDescent="0.2">
      <c r="A1713" t="s">
        <v>405</v>
      </c>
      <c r="B1713" t="s">
        <v>1689</v>
      </c>
      <c r="C1713" t="s">
        <v>268</v>
      </c>
      <c r="D1713" t="s">
        <v>265</v>
      </c>
      <c r="E1713">
        <v>6466</v>
      </c>
      <c r="F1713" t="s">
        <v>3272</v>
      </c>
      <c r="G1713" t="s">
        <v>274</v>
      </c>
      <c r="H1713" t="s">
        <v>287</v>
      </c>
      <c r="I1713">
        <v>45</v>
      </c>
    </row>
    <row r="1714" spans="1:9" x14ac:dyDescent="0.2">
      <c r="A1714" t="s">
        <v>405</v>
      </c>
      <c r="B1714" t="s">
        <v>1689</v>
      </c>
      <c r="C1714" t="s">
        <v>264</v>
      </c>
      <c r="D1714" t="s">
        <v>269</v>
      </c>
      <c r="E1714">
        <v>6495</v>
      </c>
      <c r="F1714" t="s">
        <v>3273</v>
      </c>
      <c r="G1714" t="s">
        <v>274</v>
      </c>
      <c r="H1714" t="s">
        <v>287</v>
      </c>
      <c r="I1714">
        <v>59</v>
      </c>
    </row>
    <row r="1715" spans="1:9" x14ac:dyDescent="0.2">
      <c r="A1715" t="s">
        <v>405</v>
      </c>
      <c r="B1715" t="s">
        <v>1689</v>
      </c>
      <c r="C1715" t="s">
        <v>275</v>
      </c>
      <c r="D1715" t="s">
        <v>265</v>
      </c>
      <c r="E1715">
        <v>6662</v>
      </c>
      <c r="F1715" t="s">
        <v>662</v>
      </c>
      <c r="G1715" t="s">
        <v>270</v>
      </c>
      <c r="H1715" t="s">
        <v>291</v>
      </c>
      <c r="I1715">
        <v>44</v>
      </c>
    </row>
    <row r="1716" spans="1:9" x14ac:dyDescent="0.2">
      <c r="A1716" t="s">
        <v>405</v>
      </c>
      <c r="B1716" t="s">
        <v>1689</v>
      </c>
      <c r="C1716" t="s">
        <v>264</v>
      </c>
      <c r="D1716" t="s">
        <v>265</v>
      </c>
      <c r="E1716">
        <v>6834</v>
      </c>
      <c r="F1716" t="s">
        <v>1640</v>
      </c>
      <c r="G1716" t="s">
        <v>270</v>
      </c>
      <c r="H1716" t="s">
        <v>291</v>
      </c>
      <c r="I1716">
        <v>308</v>
      </c>
    </row>
    <row r="1717" spans="1:9" x14ac:dyDescent="0.2">
      <c r="A1717" t="s">
        <v>405</v>
      </c>
      <c r="B1717" t="s">
        <v>1689</v>
      </c>
      <c r="C1717" t="s">
        <v>264</v>
      </c>
      <c r="D1717" t="s">
        <v>269</v>
      </c>
      <c r="E1717">
        <v>6836</v>
      </c>
      <c r="F1717" t="s">
        <v>3274</v>
      </c>
      <c r="G1717" t="s">
        <v>274</v>
      </c>
      <c r="H1717" t="s">
        <v>291</v>
      </c>
      <c r="I1717">
        <v>21</v>
      </c>
    </row>
    <row r="1718" spans="1:9" x14ac:dyDescent="0.2">
      <c r="A1718" t="s">
        <v>405</v>
      </c>
      <c r="B1718" t="s">
        <v>1689</v>
      </c>
      <c r="C1718" t="s">
        <v>264</v>
      </c>
      <c r="D1718" t="s">
        <v>265</v>
      </c>
      <c r="E1718">
        <v>6901</v>
      </c>
      <c r="F1718" t="s">
        <v>1778</v>
      </c>
      <c r="G1718" t="s">
        <v>266</v>
      </c>
      <c r="H1718" t="s">
        <v>291</v>
      </c>
      <c r="I1718">
        <v>101</v>
      </c>
    </row>
    <row r="1719" spans="1:9" x14ac:dyDescent="0.2">
      <c r="A1719" t="s">
        <v>405</v>
      </c>
      <c r="B1719" t="s">
        <v>1689</v>
      </c>
      <c r="C1719" t="s">
        <v>264</v>
      </c>
      <c r="D1719" t="s">
        <v>265</v>
      </c>
      <c r="E1719">
        <v>6907</v>
      </c>
      <c r="F1719" t="s">
        <v>3275</v>
      </c>
      <c r="G1719" t="s">
        <v>270</v>
      </c>
      <c r="H1719" t="s">
        <v>291</v>
      </c>
      <c r="I1719">
        <v>60</v>
      </c>
    </row>
    <row r="1720" spans="1:9" x14ac:dyDescent="0.2">
      <c r="A1720" t="s">
        <v>405</v>
      </c>
      <c r="B1720" t="s">
        <v>1689</v>
      </c>
      <c r="C1720" t="s">
        <v>264</v>
      </c>
      <c r="D1720" t="s">
        <v>265</v>
      </c>
      <c r="E1720">
        <v>6927</v>
      </c>
      <c r="F1720" t="s">
        <v>3276</v>
      </c>
      <c r="G1720" t="s">
        <v>266</v>
      </c>
      <c r="H1720" t="s">
        <v>291</v>
      </c>
      <c r="I1720">
        <v>106</v>
      </c>
    </row>
    <row r="1721" spans="1:9" x14ac:dyDescent="0.2">
      <c r="A1721" t="s">
        <v>405</v>
      </c>
      <c r="B1721" t="s">
        <v>1689</v>
      </c>
      <c r="C1721" t="s">
        <v>264</v>
      </c>
      <c r="D1721" t="s">
        <v>265</v>
      </c>
      <c r="E1721">
        <v>6957</v>
      </c>
      <c r="F1721" t="s">
        <v>3277</v>
      </c>
      <c r="G1721" t="s">
        <v>270</v>
      </c>
      <c r="H1721" t="s">
        <v>291</v>
      </c>
      <c r="I1721">
        <v>239</v>
      </c>
    </row>
    <row r="1722" spans="1:9" x14ac:dyDescent="0.2">
      <c r="A1722" t="s">
        <v>405</v>
      </c>
      <c r="B1722" t="s">
        <v>1689</v>
      </c>
      <c r="C1722" t="s">
        <v>264</v>
      </c>
      <c r="D1722" t="s">
        <v>265</v>
      </c>
      <c r="E1722">
        <v>6964</v>
      </c>
      <c r="F1722" t="s">
        <v>3278</v>
      </c>
      <c r="G1722" t="s">
        <v>274</v>
      </c>
      <c r="H1722" t="s">
        <v>291</v>
      </c>
      <c r="I1722">
        <v>56</v>
      </c>
    </row>
    <row r="1723" spans="1:9" x14ac:dyDescent="0.2">
      <c r="A1723" t="s">
        <v>405</v>
      </c>
      <c r="B1723" t="s">
        <v>1689</v>
      </c>
      <c r="C1723" t="s">
        <v>264</v>
      </c>
      <c r="D1723" t="s">
        <v>265</v>
      </c>
      <c r="E1723">
        <v>7213</v>
      </c>
      <c r="F1723" t="s">
        <v>3279</v>
      </c>
      <c r="G1723" t="s">
        <v>266</v>
      </c>
      <c r="H1723" t="s">
        <v>296</v>
      </c>
      <c r="I1723">
        <v>97</v>
      </c>
    </row>
    <row r="1724" spans="1:9" x14ac:dyDescent="0.2">
      <c r="A1724" t="s">
        <v>405</v>
      </c>
      <c r="B1724" t="s">
        <v>1689</v>
      </c>
      <c r="C1724" t="s">
        <v>264</v>
      </c>
      <c r="D1724" t="s">
        <v>265</v>
      </c>
      <c r="E1724">
        <v>7322</v>
      </c>
      <c r="F1724" t="s">
        <v>3280</v>
      </c>
      <c r="G1724" t="s">
        <v>266</v>
      </c>
      <c r="H1724" t="s">
        <v>484</v>
      </c>
      <c r="I1724">
        <v>430</v>
      </c>
    </row>
    <row r="1725" spans="1:9" x14ac:dyDescent="0.2">
      <c r="A1725" t="s">
        <v>405</v>
      </c>
      <c r="B1725" t="s">
        <v>1689</v>
      </c>
      <c r="C1725" t="s">
        <v>264</v>
      </c>
      <c r="D1725" t="s">
        <v>265</v>
      </c>
      <c r="E1725">
        <v>7502</v>
      </c>
      <c r="F1725" t="s">
        <v>3281</v>
      </c>
      <c r="G1725" t="s">
        <v>270</v>
      </c>
      <c r="H1725" t="s">
        <v>271</v>
      </c>
      <c r="I1725">
        <v>52</v>
      </c>
    </row>
    <row r="1726" spans="1:9" x14ac:dyDescent="0.2">
      <c r="A1726" t="s">
        <v>405</v>
      </c>
      <c r="B1726" t="s">
        <v>1689</v>
      </c>
      <c r="C1726" t="s">
        <v>264</v>
      </c>
      <c r="D1726" t="s">
        <v>269</v>
      </c>
      <c r="E1726">
        <v>7578</v>
      </c>
      <c r="F1726" t="s">
        <v>3282</v>
      </c>
      <c r="G1726" t="s">
        <v>270</v>
      </c>
      <c r="H1726" t="s">
        <v>276</v>
      </c>
      <c r="I1726">
        <v>14</v>
      </c>
    </row>
    <row r="1727" spans="1:9" x14ac:dyDescent="0.2">
      <c r="A1727" t="s">
        <v>405</v>
      </c>
      <c r="B1727" t="s">
        <v>1689</v>
      </c>
      <c r="C1727" t="s">
        <v>264</v>
      </c>
      <c r="D1727" t="s">
        <v>269</v>
      </c>
      <c r="E1727">
        <v>7597</v>
      </c>
      <c r="F1727" t="s">
        <v>3283</v>
      </c>
      <c r="G1727" t="s">
        <v>270</v>
      </c>
      <c r="H1727" t="s">
        <v>272</v>
      </c>
      <c r="I1727">
        <v>12</v>
      </c>
    </row>
    <row r="1728" spans="1:9" x14ac:dyDescent="0.2">
      <c r="A1728" t="s">
        <v>405</v>
      </c>
      <c r="B1728" t="s">
        <v>1689</v>
      </c>
      <c r="C1728" t="s">
        <v>264</v>
      </c>
      <c r="D1728" t="s">
        <v>265</v>
      </c>
      <c r="E1728">
        <v>7612</v>
      </c>
      <c r="F1728" t="s">
        <v>3284</v>
      </c>
      <c r="G1728" t="s">
        <v>270</v>
      </c>
      <c r="H1728" t="s">
        <v>272</v>
      </c>
      <c r="I1728">
        <v>76</v>
      </c>
    </row>
    <row r="1729" spans="1:9" x14ac:dyDescent="0.2">
      <c r="A1729" t="s">
        <v>405</v>
      </c>
      <c r="B1729" t="s">
        <v>1689</v>
      </c>
      <c r="C1729" t="s">
        <v>264</v>
      </c>
      <c r="D1729" t="s">
        <v>265</v>
      </c>
      <c r="E1729">
        <v>7744</v>
      </c>
      <c r="F1729" t="s">
        <v>3285</v>
      </c>
      <c r="G1729" t="s">
        <v>266</v>
      </c>
      <c r="H1729" t="s">
        <v>342</v>
      </c>
      <c r="I1729">
        <v>571</v>
      </c>
    </row>
    <row r="1730" spans="1:9" x14ac:dyDescent="0.2">
      <c r="A1730" t="s">
        <v>405</v>
      </c>
      <c r="B1730" t="s">
        <v>1689</v>
      </c>
      <c r="C1730" t="s">
        <v>264</v>
      </c>
      <c r="D1730" t="s">
        <v>265</v>
      </c>
      <c r="E1730">
        <v>7871</v>
      </c>
      <c r="F1730" t="s">
        <v>3286</v>
      </c>
      <c r="G1730" t="s">
        <v>274</v>
      </c>
      <c r="H1730" t="s">
        <v>279</v>
      </c>
      <c r="I1730">
        <v>117</v>
      </c>
    </row>
    <row r="1731" spans="1:9" x14ac:dyDescent="0.2">
      <c r="A1731" t="s">
        <v>405</v>
      </c>
      <c r="B1731" t="s">
        <v>1689</v>
      </c>
      <c r="C1731" t="s">
        <v>264</v>
      </c>
      <c r="D1731" t="s">
        <v>265</v>
      </c>
      <c r="E1731">
        <v>8091</v>
      </c>
      <c r="F1731" t="s">
        <v>3287</v>
      </c>
      <c r="G1731" t="s">
        <v>266</v>
      </c>
      <c r="H1731" t="s">
        <v>272</v>
      </c>
      <c r="I1731">
        <v>77</v>
      </c>
    </row>
    <row r="1732" spans="1:9" x14ac:dyDescent="0.2">
      <c r="A1732" t="s">
        <v>405</v>
      </c>
      <c r="B1732" t="s">
        <v>1689</v>
      </c>
      <c r="C1732" t="s">
        <v>264</v>
      </c>
      <c r="D1732" t="s">
        <v>265</v>
      </c>
      <c r="E1732">
        <v>8159</v>
      </c>
      <c r="F1732" t="s">
        <v>3288</v>
      </c>
      <c r="G1732" t="s">
        <v>266</v>
      </c>
      <c r="H1732" t="s">
        <v>272</v>
      </c>
      <c r="I1732">
        <v>480</v>
      </c>
    </row>
    <row r="1733" spans="1:9" x14ac:dyDescent="0.2">
      <c r="A1733" t="s">
        <v>405</v>
      </c>
      <c r="B1733" t="s">
        <v>1689</v>
      </c>
      <c r="C1733" t="s">
        <v>264</v>
      </c>
      <c r="D1733" t="s">
        <v>265</v>
      </c>
      <c r="E1733">
        <v>9355</v>
      </c>
      <c r="F1733" t="s">
        <v>3289</v>
      </c>
      <c r="G1733" t="s">
        <v>274</v>
      </c>
      <c r="H1733" t="s">
        <v>556</v>
      </c>
      <c r="I1733">
        <v>60</v>
      </c>
    </row>
    <row r="1734" spans="1:9" x14ac:dyDescent="0.2">
      <c r="A1734" t="s">
        <v>405</v>
      </c>
      <c r="B1734" t="s">
        <v>1689</v>
      </c>
      <c r="C1734" t="s">
        <v>264</v>
      </c>
      <c r="D1734" t="s">
        <v>269</v>
      </c>
      <c r="E1734">
        <v>9723</v>
      </c>
      <c r="F1734" t="s">
        <v>3290</v>
      </c>
      <c r="G1734" t="s">
        <v>274</v>
      </c>
      <c r="H1734" t="s">
        <v>271</v>
      </c>
      <c r="I1734">
        <v>82</v>
      </c>
    </row>
    <row r="1735" spans="1:9" x14ac:dyDescent="0.2">
      <c r="A1735" t="s">
        <v>405</v>
      </c>
      <c r="B1735" t="s">
        <v>1689</v>
      </c>
      <c r="C1735" t="s">
        <v>264</v>
      </c>
      <c r="D1735" t="s">
        <v>265</v>
      </c>
      <c r="E1735">
        <v>9791</v>
      </c>
      <c r="F1735" t="s">
        <v>3291</v>
      </c>
      <c r="G1735" t="s">
        <v>274</v>
      </c>
      <c r="H1735" t="s">
        <v>271</v>
      </c>
      <c r="I1735">
        <v>85</v>
      </c>
    </row>
    <row r="1736" spans="1:9" x14ac:dyDescent="0.2">
      <c r="A1736" t="s">
        <v>405</v>
      </c>
      <c r="B1736" t="s">
        <v>1689</v>
      </c>
      <c r="C1736" t="s">
        <v>264</v>
      </c>
      <c r="D1736" t="s">
        <v>265</v>
      </c>
      <c r="E1736">
        <v>9895</v>
      </c>
      <c r="F1736" t="s">
        <v>3292</v>
      </c>
      <c r="G1736" t="s">
        <v>270</v>
      </c>
      <c r="H1736" t="s">
        <v>272</v>
      </c>
      <c r="I1736">
        <v>28</v>
      </c>
    </row>
    <row r="1737" spans="1:9" x14ac:dyDescent="0.2">
      <c r="A1737" t="s">
        <v>405</v>
      </c>
      <c r="B1737" t="s">
        <v>1931</v>
      </c>
      <c r="C1737" t="s">
        <v>264</v>
      </c>
      <c r="D1737" t="s">
        <v>265</v>
      </c>
      <c r="E1737">
        <v>7021</v>
      </c>
      <c r="F1737" t="s">
        <v>3293</v>
      </c>
      <c r="G1737" t="s">
        <v>274</v>
      </c>
      <c r="H1737" t="s">
        <v>287</v>
      </c>
      <c r="I1737">
        <v>34</v>
      </c>
    </row>
    <row r="1738" spans="1:9" x14ac:dyDescent="0.2">
      <c r="A1738" t="s">
        <v>405</v>
      </c>
      <c r="B1738" t="s">
        <v>1931</v>
      </c>
      <c r="C1738" t="s">
        <v>275</v>
      </c>
      <c r="D1738" t="s">
        <v>265</v>
      </c>
      <c r="E1738">
        <v>9028</v>
      </c>
      <c r="F1738" t="s">
        <v>1479</v>
      </c>
      <c r="G1738" t="s">
        <v>274</v>
      </c>
      <c r="H1738" t="s">
        <v>356</v>
      </c>
      <c r="I1738">
        <v>188</v>
      </c>
    </row>
    <row r="1739" spans="1:9" x14ac:dyDescent="0.2">
      <c r="A1739" t="s">
        <v>405</v>
      </c>
      <c r="B1739" t="s">
        <v>3294</v>
      </c>
      <c r="C1739" t="s">
        <v>273</v>
      </c>
      <c r="D1739" t="s">
        <v>265</v>
      </c>
      <c r="E1739">
        <v>2193</v>
      </c>
      <c r="F1739" t="s">
        <v>1637</v>
      </c>
      <c r="G1739" t="s">
        <v>266</v>
      </c>
      <c r="H1739" t="s">
        <v>271</v>
      </c>
      <c r="I1739">
        <v>370</v>
      </c>
    </row>
    <row r="1740" spans="1:9" x14ac:dyDescent="0.2">
      <c r="A1740" t="s">
        <v>405</v>
      </c>
      <c r="B1740" t="s">
        <v>3294</v>
      </c>
      <c r="C1740" t="s">
        <v>273</v>
      </c>
      <c r="D1740" t="s">
        <v>269</v>
      </c>
      <c r="E1740">
        <v>3948</v>
      </c>
      <c r="F1740" t="s">
        <v>3295</v>
      </c>
      <c r="G1740" t="s">
        <v>270</v>
      </c>
      <c r="H1740" t="s">
        <v>300</v>
      </c>
      <c r="I1740">
        <v>25</v>
      </c>
    </row>
    <row r="1741" spans="1:9" x14ac:dyDescent="0.2">
      <c r="A1741" t="s">
        <v>405</v>
      </c>
      <c r="B1741" t="s">
        <v>263</v>
      </c>
      <c r="C1741" t="s">
        <v>264</v>
      </c>
      <c r="D1741" t="s">
        <v>265</v>
      </c>
      <c r="E1741">
        <v>1518</v>
      </c>
      <c r="F1741" t="s">
        <v>3296</v>
      </c>
      <c r="G1741" t="s">
        <v>266</v>
      </c>
      <c r="H1741" t="s">
        <v>565</v>
      </c>
      <c r="I1741">
        <v>159</v>
      </c>
    </row>
    <row r="1742" spans="1:9" x14ac:dyDescent="0.2">
      <c r="A1742" t="s">
        <v>405</v>
      </c>
      <c r="B1742" t="s">
        <v>263</v>
      </c>
      <c r="C1742" t="s">
        <v>275</v>
      </c>
      <c r="D1742" t="s">
        <v>269</v>
      </c>
      <c r="E1742">
        <v>1739</v>
      </c>
      <c r="F1742" t="s">
        <v>3297</v>
      </c>
      <c r="G1742" t="s">
        <v>270</v>
      </c>
      <c r="H1742" t="s">
        <v>293</v>
      </c>
      <c r="I1742">
        <v>67</v>
      </c>
    </row>
    <row r="1743" spans="1:9" x14ac:dyDescent="0.2">
      <c r="A1743" t="s">
        <v>405</v>
      </c>
      <c r="B1743" t="s">
        <v>263</v>
      </c>
      <c r="C1743" t="s">
        <v>275</v>
      </c>
      <c r="D1743" t="s">
        <v>269</v>
      </c>
      <c r="E1743">
        <v>1764</v>
      </c>
      <c r="F1743" t="s">
        <v>3298</v>
      </c>
      <c r="G1743" t="s">
        <v>274</v>
      </c>
      <c r="H1743" t="s">
        <v>293</v>
      </c>
      <c r="I1743">
        <v>32</v>
      </c>
    </row>
    <row r="1744" spans="1:9" x14ac:dyDescent="0.2">
      <c r="A1744" t="s">
        <v>405</v>
      </c>
      <c r="B1744" t="s">
        <v>263</v>
      </c>
      <c r="C1744" t="s">
        <v>264</v>
      </c>
      <c r="D1744" t="s">
        <v>265</v>
      </c>
      <c r="E1744">
        <v>2344</v>
      </c>
      <c r="F1744" t="s">
        <v>3299</v>
      </c>
      <c r="G1744" t="s">
        <v>270</v>
      </c>
      <c r="H1744" t="s">
        <v>271</v>
      </c>
      <c r="I1744">
        <v>132</v>
      </c>
    </row>
    <row r="1745" spans="1:10" x14ac:dyDescent="0.2">
      <c r="A1745" t="s">
        <v>405</v>
      </c>
      <c r="B1745" t="s">
        <v>263</v>
      </c>
      <c r="C1745" t="s">
        <v>268</v>
      </c>
      <c r="D1745" t="s">
        <v>265</v>
      </c>
      <c r="E1745">
        <v>2362</v>
      </c>
      <c r="F1745" t="s">
        <v>3300</v>
      </c>
      <c r="G1745" t="s">
        <v>270</v>
      </c>
      <c r="H1745" t="s">
        <v>271</v>
      </c>
      <c r="I1745">
        <v>724</v>
      </c>
    </row>
    <row r="1746" spans="1:10" x14ac:dyDescent="0.2">
      <c r="A1746" t="s">
        <v>405</v>
      </c>
      <c r="B1746" t="s">
        <v>263</v>
      </c>
      <c r="C1746" t="s">
        <v>264</v>
      </c>
      <c r="D1746" t="s">
        <v>265</v>
      </c>
      <c r="E1746">
        <v>2454</v>
      </c>
      <c r="F1746" t="s">
        <v>747</v>
      </c>
      <c r="G1746" t="s">
        <v>270</v>
      </c>
      <c r="H1746" t="s">
        <v>271</v>
      </c>
      <c r="I1746">
        <v>104</v>
      </c>
    </row>
    <row r="1747" spans="1:10" x14ac:dyDescent="0.2">
      <c r="A1747" t="s">
        <v>405</v>
      </c>
      <c r="B1747" t="s">
        <v>263</v>
      </c>
      <c r="C1747" t="s">
        <v>264</v>
      </c>
      <c r="D1747" t="s">
        <v>265</v>
      </c>
      <c r="E1747">
        <v>3111</v>
      </c>
      <c r="F1747" t="s">
        <v>3301</v>
      </c>
      <c r="G1747" t="s">
        <v>274</v>
      </c>
      <c r="H1747" t="s">
        <v>299</v>
      </c>
      <c r="I1747">
        <v>47</v>
      </c>
    </row>
    <row r="1748" spans="1:10" x14ac:dyDescent="0.2">
      <c r="A1748" t="s">
        <v>405</v>
      </c>
      <c r="B1748" t="s">
        <v>263</v>
      </c>
      <c r="C1748" t="s">
        <v>264</v>
      </c>
      <c r="D1748" t="s">
        <v>265</v>
      </c>
      <c r="E1748">
        <v>3224</v>
      </c>
      <c r="F1748" t="s">
        <v>3302</v>
      </c>
      <c r="G1748" t="s">
        <v>278</v>
      </c>
      <c r="H1748" t="s">
        <v>276</v>
      </c>
      <c r="I1748">
        <v>32</v>
      </c>
    </row>
    <row r="1749" spans="1:10" x14ac:dyDescent="0.2">
      <c r="A1749" t="s">
        <v>405</v>
      </c>
      <c r="B1749" t="s">
        <v>263</v>
      </c>
      <c r="C1749" t="s">
        <v>264</v>
      </c>
      <c r="D1749" t="s">
        <v>265</v>
      </c>
      <c r="E1749">
        <v>3315</v>
      </c>
      <c r="F1749" t="s">
        <v>3303</v>
      </c>
      <c r="G1749" t="s">
        <v>266</v>
      </c>
      <c r="H1749" t="s">
        <v>1442</v>
      </c>
      <c r="I1749">
        <v>239</v>
      </c>
    </row>
    <row r="1750" spans="1:10" x14ac:dyDescent="0.2">
      <c r="A1750" t="s">
        <v>405</v>
      </c>
      <c r="B1750" t="s">
        <v>263</v>
      </c>
      <c r="C1750" t="s">
        <v>264</v>
      </c>
      <c r="D1750" t="s">
        <v>265</v>
      </c>
      <c r="E1750">
        <v>3360</v>
      </c>
      <c r="F1750" t="s">
        <v>3304</v>
      </c>
      <c r="G1750" t="s">
        <v>266</v>
      </c>
      <c r="H1750" t="s">
        <v>272</v>
      </c>
      <c r="I1750" t="s">
        <v>289</v>
      </c>
      <c r="J1750" t="s">
        <v>4923</v>
      </c>
    </row>
    <row r="1751" spans="1:10" x14ac:dyDescent="0.2">
      <c r="A1751" t="s">
        <v>405</v>
      </c>
      <c r="B1751" t="s">
        <v>263</v>
      </c>
      <c r="C1751" t="s">
        <v>273</v>
      </c>
      <c r="D1751" t="s">
        <v>269</v>
      </c>
      <c r="E1751">
        <v>3566</v>
      </c>
      <c r="F1751" t="s">
        <v>3305</v>
      </c>
      <c r="G1751" t="s">
        <v>278</v>
      </c>
      <c r="H1751" t="s">
        <v>276</v>
      </c>
      <c r="I1751">
        <v>36</v>
      </c>
    </row>
    <row r="1752" spans="1:10" x14ac:dyDescent="0.2">
      <c r="A1752" t="s">
        <v>405</v>
      </c>
      <c r="B1752" t="s">
        <v>263</v>
      </c>
      <c r="C1752" t="s">
        <v>275</v>
      </c>
      <c r="D1752" t="s">
        <v>265</v>
      </c>
      <c r="E1752">
        <v>3628</v>
      </c>
      <c r="F1752" t="s">
        <v>1771</v>
      </c>
      <c r="G1752" t="s">
        <v>278</v>
      </c>
      <c r="H1752" t="s">
        <v>277</v>
      </c>
      <c r="I1752">
        <v>92</v>
      </c>
    </row>
    <row r="1753" spans="1:10" x14ac:dyDescent="0.2">
      <c r="A1753" t="s">
        <v>405</v>
      </c>
      <c r="B1753" t="s">
        <v>263</v>
      </c>
      <c r="C1753" t="s">
        <v>264</v>
      </c>
      <c r="D1753" t="s">
        <v>265</v>
      </c>
      <c r="E1753">
        <v>3766</v>
      </c>
      <c r="F1753" t="s">
        <v>416</v>
      </c>
      <c r="G1753" t="s">
        <v>270</v>
      </c>
      <c r="H1753" t="s">
        <v>277</v>
      </c>
      <c r="I1753">
        <v>29</v>
      </c>
    </row>
    <row r="1754" spans="1:10" x14ac:dyDescent="0.2">
      <c r="A1754" t="s">
        <v>405</v>
      </c>
      <c r="B1754" t="s">
        <v>263</v>
      </c>
      <c r="C1754" t="s">
        <v>264</v>
      </c>
      <c r="D1754" t="s">
        <v>265</v>
      </c>
      <c r="E1754">
        <v>3848</v>
      </c>
      <c r="F1754" t="s">
        <v>3306</v>
      </c>
      <c r="G1754" t="s">
        <v>270</v>
      </c>
      <c r="H1754" t="s">
        <v>277</v>
      </c>
      <c r="I1754">
        <v>65</v>
      </c>
    </row>
    <row r="1755" spans="1:10" x14ac:dyDescent="0.2">
      <c r="A1755" t="s">
        <v>405</v>
      </c>
      <c r="B1755" t="s">
        <v>263</v>
      </c>
      <c r="C1755" t="s">
        <v>264</v>
      </c>
      <c r="D1755" t="s">
        <v>265</v>
      </c>
      <c r="E1755">
        <v>3857</v>
      </c>
      <c r="F1755" t="s">
        <v>3307</v>
      </c>
      <c r="G1755" t="s">
        <v>270</v>
      </c>
      <c r="H1755" t="s">
        <v>277</v>
      </c>
      <c r="I1755">
        <v>320</v>
      </c>
    </row>
    <row r="1756" spans="1:10" x14ac:dyDescent="0.2">
      <c r="A1756" t="s">
        <v>405</v>
      </c>
      <c r="B1756" t="s">
        <v>263</v>
      </c>
      <c r="C1756" t="s">
        <v>264</v>
      </c>
      <c r="D1756" t="s">
        <v>265</v>
      </c>
      <c r="E1756">
        <v>3896</v>
      </c>
      <c r="F1756" t="s">
        <v>575</v>
      </c>
      <c r="G1756" t="s">
        <v>266</v>
      </c>
      <c r="H1756" t="s">
        <v>300</v>
      </c>
      <c r="I1756">
        <v>55</v>
      </c>
    </row>
    <row r="1757" spans="1:10" x14ac:dyDescent="0.2">
      <c r="A1757" t="s">
        <v>405</v>
      </c>
      <c r="B1757" t="s">
        <v>263</v>
      </c>
      <c r="C1757" t="s">
        <v>273</v>
      </c>
      <c r="D1757" t="s">
        <v>269</v>
      </c>
      <c r="E1757">
        <v>4588</v>
      </c>
      <c r="F1757" t="s">
        <v>418</v>
      </c>
      <c r="G1757" t="s">
        <v>278</v>
      </c>
      <c r="H1757" t="s">
        <v>311</v>
      </c>
      <c r="I1757">
        <v>265</v>
      </c>
    </row>
    <row r="1758" spans="1:10" x14ac:dyDescent="0.2">
      <c r="A1758" t="s">
        <v>405</v>
      </c>
      <c r="B1758" t="s">
        <v>263</v>
      </c>
      <c r="C1758" t="s">
        <v>264</v>
      </c>
      <c r="D1758" t="s">
        <v>265</v>
      </c>
      <c r="E1758">
        <v>4623</v>
      </c>
      <c r="F1758" t="s">
        <v>3308</v>
      </c>
      <c r="G1758" t="s">
        <v>274</v>
      </c>
      <c r="H1758" t="s">
        <v>279</v>
      </c>
      <c r="I1758">
        <v>79</v>
      </c>
    </row>
    <row r="1759" spans="1:10" x14ac:dyDescent="0.2">
      <c r="A1759" t="s">
        <v>405</v>
      </c>
      <c r="B1759" t="s">
        <v>263</v>
      </c>
      <c r="C1759" t="s">
        <v>268</v>
      </c>
      <c r="D1759" t="s">
        <v>265</v>
      </c>
      <c r="E1759">
        <v>4769</v>
      </c>
      <c r="F1759" t="s">
        <v>3309</v>
      </c>
      <c r="G1759" t="s">
        <v>270</v>
      </c>
      <c r="H1759" t="s">
        <v>277</v>
      </c>
      <c r="I1759">
        <v>78</v>
      </c>
    </row>
    <row r="1760" spans="1:10" x14ac:dyDescent="0.2">
      <c r="A1760" t="s">
        <v>405</v>
      </c>
      <c r="B1760" t="s">
        <v>263</v>
      </c>
      <c r="C1760" t="s">
        <v>273</v>
      </c>
      <c r="D1760" t="s">
        <v>265</v>
      </c>
      <c r="E1760">
        <v>4848</v>
      </c>
      <c r="F1760" t="s">
        <v>3310</v>
      </c>
      <c r="G1760" t="s">
        <v>266</v>
      </c>
      <c r="H1760" t="s">
        <v>271</v>
      </c>
      <c r="I1760">
        <v>954</v>
      </c>
    </row>
    <row r="1761" spans="1:10" x14ac:dyDescent="0.2">
      <c r="A1761" t="s">
        <v>405</v>
      </c>
      <c r="B1761" t="s">
        <v>263</v>
      </c>
      <c r="C1761" t="s">
        <v>268</v>
      </c>
      <c r="D1761" t="s">
        <v>269</v>
      </c>
      <c r="E1761">
        <v>4931</v>
      </c>
      <c r="F1761" t="s">
        <v>1775</v>
      </c>
      <c r="G1761" t="s">
        <v>278</v>
      </c>
      <c r="H1761" t="s">
        <v>279</v>
      </c>
      <c r="I1761">
        <v>301</v>
      </c>
    </row>
    <row r="1762" spans="1:10" x14ac:dyDescent="0.2">
      <c r="A1762" t="s">
        <v>405</v>
      </c>
      <c r="B1762" t="s">
        <v>263</v>
      </c>
      <c r="C1762" t="s">
        <v>268</v>
      </c>
      <c r="D1762" t="s">
        <v>265</v>
      </c>
      <c r="E1762">
        <v>5724</v>
      </c>
      <c r="F1762" t="s">
        <v>3311</v>
      </c>
      <c r="G1762" t="s">
        <v>270</v>
      </c>
      <c r="H1762" t="s">
        <v>373</v>
      </c>
      <c r="I1762">
        <v>37</v>
      </c>
    </row>
    <row r="1763" spans="1:10" x14ac:dyDescent="0.2">
      <c r="A1763" t="s">
        <v>405</v>
      </c>
      <c r="B1763" t="s">
        <v>263</v>
      </c>
      <c r="C1763" t="s">
        <v>264</v>
      </c>
      <c r="D1763" t="s">
        <v>265</v>
      </c>
      <c r="E1763">
        <v>5969</v>
      </c>
      <c r="F1763" t="s">
        <v>3312</v>
      </c>
      <c r="G1763" t="s">
        <v>274</v>
      </c>
      <c r="H1763" t="s">
        <v>281</v>
      </c>
      <c r="I1763">
        <v>21</v>
      </c>
    </row>
    <row r="1764" spans="1:10" x14ac:dyDescent="0.2">
      <c r="A1764" t="s">
        <v>405</v>
      </c>
      <c r="B1764" t="s">
        <v>263</v>
      </c>
      <c r="C1764" t="s">
        <v>264</v>
      </c>
      <c r="D1764" t="s">
        <v>265</v>
      </c>
      <c r="E1764">
        <v>6055</v>
      </c>
      <c r="F1764" t="s">
        <v>3313</v>
      </c>
      <c r="G1764" t="s">
        <v>266</v>
      </c>
      <c r="H1764" t="s">
        <v>271</v>
      </c>
      <c r="I1764" t="s">
        <v>297</v>
      </c>
      <c r="J1764" t="s">
        <v>4356</v>
      </c>
    </row>
    <row r="1765" spans="1:10" x14ac:dyDescent="0.2">
      <c r="A1765" t="s">
        <v>405</v>
      </c>
      <c r="B1765" t="s">
        <v>263</v>
      </c>
      <c r="C1765" t="s">
        <v>264</v>
      </c>
      <c r="D1765" t="s">
        <v>265</v>
      </c>
      <c r="E1765">
        <v>6147</v>
      </c>
      <c r="F1765" t="s">
        <v>3314</v>
      </c>
      <c r="G1765" t="s">
        <v>270</v>
      </c>
      <c r="H1765" t="s">
        <v>287</v>
      </c>
      <c r="I1765">
        <v>19</v>
      </c>
    </row>
    <row r="1766" spans="1:10" x14ac:dyDescent="0.2">
      <c r="A1766" t="s">
        <v>405</v>
      </c>
      <c r="B1766" t="s">
        <v>263</v>
      </c>
      <c r="C1766" t="s">
        <v>264</v>
      </c>
      <c r="D1766" t="s">
        <v>265</v>
      </c>
      <c r="E1766">
        <v>6193</v>
      </c>
      <c r="F1766" t="s">
        <v>3315</v>
      </c>
      <c r="G1766" t="s">
        <v>278</v>
      </c>
      <c r="H1766" t="s">
        <v>271</v>
      </c>
      <c r="I1766">
        <v>21</v>
      </c>
    </row>
    <row r="1767" spans="1:10" x14ac:dyDescent="0.2">
      <c r="A1767" t="s">
        <v>405</v>
      </c>
      <c r="B1767" t="s">
        <v>263</v>
      </c>
      <c r="C1767" t="s">
        <v>264</v>
      </c>
      <c r="D1767" t="s">
        <v>265</v>
      </c>
      <c r="E1767">
        <v>7040</v>
      </c>
      <c r="F1767" t="s">
        <v>4502</v>
      </c>
      <c r="G1767" t="s">
        <v>270</v>
      </c>
      <c r="H1767" t="s">
        <v>271</v>
      </c>
      <c r="I1767">
        <v>67</v>
      </c>
    </row>
    <row r="1768" spans="1:10" x14ac:dyDescent="0.2">
      <c r="A1768" t="s">
        <v>405</v>
      </c>
      <c r="B1768" t="s">
        <v>263</v>
      </c>
      <c r="C1768" t="s">
        <v>264</v>
      </c>
      <c r="D1768" t="s">
        <v>269</v>
      </c>
      <c r="E1768">
        <v>7079</v>
      </c>
      <c r="F1768" t="s">
        <v>1873</v>
      </c>
      <c r="G1768" t="s">
        <v>278</v>
      </c>
      <c r="H1768" t="s">
        <v>271</v>
      </c>
      <c r="I1768">
        <v>72</v>
      </c>
    </row>
    <row r="1769" spans="1:10" x14ac:dyDescent="0.2">
      <c r="A1769" t="s">
        <v>405</v>
      </c>
      <c r="B1769" t="s">
        <v>263</v>
      </c>
      <c r="C1769" t="s">
        <v>264</v>
      </c>
      <c r="D1769" t="s">
        <v>265</v>
      </c>
      <c r="E1769">
        <v>7647</v>
      </c>
      <c r="F1769" t="s">
        <v>3316</v>
      </c>
      <c r="G1769" t="s">
        <v>274</v>
      </c>
      <c r="H1769" t="s">
        <v>276</v>
      </c>
      <c r="I1769">
        <v>54</v>
      </c>
    </row>
    <row r="1770" spans="1:10" x14ac:dyDescent="0.2">
      <c r="A1770" t="s">
        <v>405</v>
      </c>
      <c r="B1770" t="s">
        <v>263</v>
      </c>
      <c r="C1770" t="s">
        <v>264</v>
      </c>
      <c r="D1770" t="s">
        <v>265</v>
      </c>
      <c r="E1770">
        <v>7769</v>
      </c>
      <c r="F1770" t="s">
        <v>3317</v>
      </c>
      <c r="G1770" t="s">
        <v>266</v>
      </c>
      <c r="H1770" t="s">
        <v>342</v>
      </c>
      <c r="I1770">
        <v>78</v>
      </c>
    </row>
    <row r="1771" spans="1:10" x14ac:dyDescent="0.2">
      <c r="A1771" t="s">
        <v>405</v>
      </c>
      <c r="B1771" t="s">
        <v>263</v>
      </c>
      <c r="C1771" t="s">
        <v>264</v>
      </c>
      <c r="D1771" t="s">
        <v>269</v>
      </c>
      <c r="E1771">
        <v>7863</v>
      </c>
      <c r="F1771" t="s">
        <v>3318</v>
      </c>
      <c r="G1771" t="s">
        <v>270</v>
      </c>
      <c r="H1771" t="s">
        <v>288</v>
      </c>
      <c r="I1771">
        <v>20</v>
      </c>
    </row>
    <row r="1772" spans="1:10" x14ac:dyDescent="0.2">
      <c r="A1772" t="s">
        <v>405</v>
      </c>
      <c r="B1772" t="s">
        <v>263</v>
      </c>
      <c r="C1772" t="s">
        <v>264</v>
      </c>
      <c r="D1772" t="s">
        <v>265</v>
      </c>
      <c r="E1772">
        <v>8089</v>
      </c>
      <c r="F1772" t="s">
        <v>3319</v>
      </c>
      <c r="G1772" t="s">
        <v>266</v>
      </c>
      <c r="H1772" t="s">
        <v>272</v>
      </c>
      <c r="I1772">
        <v>127</v>
      </c>
    </row>
    <row r="1773" spans="1:10" x14ac:dyDescent="0.2">
      <c r="A1773" t="s">
        <v>405</v>
      </c>
      <c r="B1773" t="s">
        <v>263</v>
      </c>
      <c r="C1773" t="s">
        <v>264</v>
      </c>
      <c r="D1773" t="s">
        <v>265</v>
      </c>
      <c r="E1773">
        <v>8107</v>
      </c>
      <c r="F1773" t="s">
        <v>3320</v>
      </c>
      <c r="G1773" t="s">
        <v>266</v>
      </c>
      <c r="H1773" t="s">
        <v>299</v>
      </c>
      <c r="I1773">
        <v>35</v>
      </c>
    </row>
    <row r="1774" spans="1:10" x14ac:dyDescent="0.2">
      <c r="A1774" t="s">
        <v>405</v>
      </c>
      <c r="B1774" t="s">
        <v>263</v>
      </c>
      <c r="C1774" t="s">
        <v>264</v>
      </c>
      <c r="D1774" t="s">
        <v>269</v>
      </c>
      <c r="E1774">
        <v>8298</v>
      </c>
      <c r="F1774" t="s">
        <v>3321</v>
      </c>
      <c r="G1774" t="s">
        <v>270</v>
      </c>
      <c r="H1774" t="s">
        <v>276</v>
      </c>
      <c r="I1774">
        <v>30</v>
      </c>
    </row>
    <row r="1775" spans="1:10" x14ac:dyDescent="0.2">
      <c r="A1775" t="s">
        <v>405</v>
      </c>
      <c r="B1775" t="s">
        <v>263</v>
      </c>
      <c r="C1775" t="s">
        <v>264</v>
      </c>
      <c r="D1775" t="s">
        <v>265</v>
      </c>
      <c r="E1775">
        <v>9994</v>
      </c>
      <c r="F1775" t="s">
        <v>425</v>
      </c>
      <c r="G1775" t="s">
        <v>266</v>
      </c>
      <c r="H1775" t="s">
        <v>276</v>
      </c>
      <c r="I1775">
        <v>242</v>
      </c>
    </row>
    <row r="1776" spans="1:10" x14ac:dyDescent="0.2">
      <c r="A1776" t="s">
        <v>426</v>
      </c>
      <c r="B1776" t="s">
        <v>1915</v>
      </c>
      <c r="C1776" t="s">
        <v>268</v>
      </c>
      <c r="D1776" t="s">
        <v>265</v>
      </c>
      <c r="E1776">
        <v>1795</v>
      </c>
      <c r="F1776" t="s">
        <v>3322</v>
      </c>
      <c r="G1776" t="s">
        <v>270</v>
      </c>
      <c r="H1776" t="s">
        <v>293</v>
      </c>
      <c r="I1776">
        <v>29</v>
      </c>
    </row>
    <row r="1777" spans="1:10" x14ac:dyDescent="0.2">
      <c r="A1777" t="s">
        <v>426</v>
      </c>
      <c r="B1777" t="s">
        <v>1915</v>
      </c>
      <c r="C1777" t="s">
        <v>273</v>
      </c>
      <c r="D1777" t="s">
        <v>265</v>
      </c>
      <c r="E1777">
        <v>3261</v>
      </c>
      <c r="F1777" t="s">
        <v>3323</v>
      </c>
      <c r="G1777" t="s">
        <v>278</v>
      </c>
      <c r="H1777" t="s">
        <v>292</v>
      </c>
      <c r="I1777">
        <v>20</v>
      </c>
    </row>
    <row r="1778" spans="1:10" x14ac:dyDescent="0.2">
      <c r="A1778" t="s">
        <v>426</v>
      </c>
      <c r="B1778" t="s">
        <v>684</v>
      </c>
      <c r="C1778" t="s">
        <v>264</v>
      </c>
      <c r="D1778" t="s">
        <v>265</v>
      </c>
      <c r="E1778">
        <v>2433</v>
      </c>
      <c r="F1778" t="s">
        <v>3324</v>
      </c>
      <c r="G1778" t="s">
        <v>266</v>
      </c>
      <c r="H1778" t="s">
        <v>271</v>
      </c>
      <c r="I1778" t="s">
        <v>325</v>
      </c>
      <c r="J1778" t="s">
        <v>5022</v>
      </c>
    </row>
    <row r="1779" spans="1:10" x14ac:dyDescent="0.2">
      <c r="A1779" t="s">
        <v>426</v>
      </c>
      <c r="B1779" t="s">
        <v>684</v>
      </c>
      <c r="C1779" t="s">
        <v>273</v>
      </c>
      <c r="D1779" t="s">
        <v>265</v>
      </c>
      <c r="E1779">
        <v>9384</v>
      </c>
      <c r="F1779" t="s">
        <v>3325</v>
      </c>
      <c r="G1779" t="s">
        <v>266</v>
      </c>
      <c r="H1779" t="s">
        <v>556</v>
      </c>
      <c r="I1779">
        <v>147</v>
      </c>
    </row>
    <row r="1780" spans="1:10" x14ac:dyDescent="0.2">
      <c r="A1780" t="s">
        <v>426</v>
      </c>
      <c r="B1780" t="s">
        <v>1481</v>
      </c>
      <c r="C1780" t="s">
        <v>273</v>
      </c>
      <c r="D1780" t="s">
        <v>265</v>
      </c>
      <c r="E1780">
        <v>2384</v>
      </c>
      <c r="F1780" t="s">
        <v>648</v>
      </c>
      <c r="G1780" t="s">
        <v>266</v>
      </c>
      <c r="H1780" t="s">
        <v>356</v>
      </c>
      <c r="I1780">
        <v>773</v>
      </c>
    </row>
    <row r="1781" spans="1:10" x14ac:dyDescent="0.2">
      <c r="A1781" t="s">
        <v>426</v>
      </c>
      <c r="B1781" t="s">
        <v>1481</v>
      </c>
      <c r="C1781" t="s">
        <v>264</v>
      </c>
      <c r="D1781" t="s">
        <v>265</v>
      </c>
      <c r="E1781">
        <v>2897</v>
      </c>
      <c r="F1781" t="s">
        <v>3326</v>
      </c>
      <c r="G1781" t="s">
        <v>266</v>
      </c>
      <c r="H1781" t="s">
        <v>267</v>
      </c>
      <c r="I1781" t="s">
        <v>343</v>
      </c>
      <c r="J1781" t="s">
        <v>4268</v>
      </c>
    </row>
    <row r="1782" spans="1:10" x14ac:dyDescent="0.2">
      <c r="A1782" t="s">
        <v>426</v>
      </c>
      <c r="B1782" t="s">
        <v>1481</v>
      </c>
      <c r="C1782" t="s">
        <v>264</v>
      </c>
      <c r="D1782" t="s">
        <v>265</v>
      </c>
      <c r="E1782">
        <v>3402</v>
      </c>
      <c r="F1782" t="s">
        <v>3327</v>
      </c>
      <c r="G1782" t="s">
        <v>266</v>
      </c>
      <c r="H1782" t="s">
        <v>299</v>
      </c>
      <c r="I1782" t="s">
        <v>545</v>
      </c>
      <c r="J1782" t="s">
        <v>4347</v>
      </c>
    </row>
    <row r="1783" spans="1:10" x14ac:dyDescent="0.2">
      <c r="A1783" t="s">
        <v>426</v>
      </c>
      <c r="B1783" t="s">
        <v>1481</v>
      </c>
      <c r="C1783" t="s">
        <v>264</v>
      </c>
      <c r="D1783" t="s">
        <v>269</v>
      </c>
      <c r="E1783">
        <v>4538</v>
      </c>
      <c r="F1783" t="s">
        <v>3328</v>
      </c>
      <c r="G1783" t="s">
        <v>266</v>
      </c>
      <c r="H1783" t="s">
        <v>311</v>
      </c>
      <c r="I1783">
        <v>191</v>
      </c>
    </row>
    <row r="1784" spans="1:10" x14ac:dyDescent="0.2">
      <c r="A1784" t="s">
        <v>426</v>
      </c>
      <c r="B1784" t="s">
        <v>1481</v>
      </c>
      <c r="C1784" t="s">
        <v>264</v>
      </c>
      <c r="D1784" t="s">
        <v>265</v>
      </c>
      <c r="E1784">
        <v>4998</v>
      </c>
      <c r="F1784" t="s">
        <v>3329</v>
      </c>
      <c r="G1784" t="s">
        <v>274</v>
      </c>
      <c r="H1784" t="s">
        <v>279</v>
      </c>
      <c r="I1784">
        <v>207</v>
      </c>
    </row>
    <row r="1785" spans="1:10" x14ac:dyDescent="0.2">
      <c r="A1785" t="s">
        <v>426</v>
      </c>
      <c r="B1785" t="s">
        <v>1481</v>
      </c>
      <c r="C1785" t="s">
        <v>264</v>
      </c>
      <c r="D1785" t="s">
        <v>265</v>
      </c>
      <c r="E1785">
        <v>5988</v>
      </c>
      <c r="F1785" t="s">
        <v>3330</v>
      </c>
      <c r="G1785" t="s">
        <v>266</v>
      </c>
      <c r="H1785" t="s">
        <v>281</v>
      </c>
      <c r="I1785">
        <v>837</v>
      </c>
    </row>
    <row r="1786" spans="1:10" x14ac:dyDescent="0.2">
      <c r="A1786" t="s">
        <v>426</v>
      </c>
      <c r="B1786" t="s">
        <v>1481</v>
      </c>
      <c r="C1786" t="s">
        <v>264</v>
      </c>
      <c r="D1786" t="s">
        <v>265</v>
      </c>
      <c r="E1786">
        <v>7966</v>
      </c>
      <c r="F1786" t="s">
        <v>1792</v>
      </c>
      <c r="G1786" t="s">
        <v>266</v>
      </c>
      <c r="H1786" t="s">
        <v>288</v>
      </c>
      <c r="I1786" t="s">
        <v>297</v>
      </c>
      <c r="J1786" t="s">
        <v>5042</v>
      </c>
    </row>
    <row r="1787" spans="1:10" x14ac:dyDescent="0.2">
      <c r="A1787" t="s">
        <v>426</v>
      </c>
      <c r="B1787" t="s">
        <v>1481</v>
      </c>
      <c r="C1787" t="s">
        <v>273</v>
      </c>
      <c r="D1787" t="s">
        <v>265</v>
      </c>
      <c r="E1787">
        <v>9631</v>
      </c>
      <c r="F1787" t="s">
        <v>4504</v>
      </c>
      <c r="G1787" t="s">
        <v>274</v>
      </c>
      <c r="H1787" t="s">
        <v>271</v>
      </c>
      <c r="I1787">
        <v>332</v>
      </c>
    </row>
    <row r="1788" spans="1:10" x14ac:dyDescent="0.2">
      <c r="A1788" t="s">
        <v>426</v>
      </c>
      <c r="B1788" t="s">
        <v>1481</v>
      </c>
      <c r="C1788" t="s">
        <v>273</v>
      </c>
      <c r="D1788" t="s">
        <v>265</v>
      </c>
      <c r="E1788">
        <v>9830</v>
      </c>
      <c r="F1788" t="s">
        <v>1482</v>
      </c>
      <c r="G1788" t="s">
        <v>266</v>
      </c>
      <c r="H1788" t="s">
        <v>272</v>
      </c>
      <c r="I1788" t="s">
        <v>297</v>
      </c>
      <c r="J1788" t="s">
        <v>5043</v>
      </c>
    </row>
    <row r="1789" spans="1:10" x14ac:dyDescent="0.2">
      <c r="A1789" t="s">
        <v>426</v>
      </c>
      <c r="B1789" t="s">
        <v>686</v>
      </c>
      <c r="C1789" t="s">
        <v>264</v>
      </c>
      <c r="D1789" t="s">
        <v>265</v>
      </c>
      <c r="E1789">
        <v>1662</v>
      </c>
      <c r="F1789" t="s">
        <v>3331</v>
      </c>
      <c r="G1789" t="s">
        <v>266</v>
      </c>
      <c r="H1789" t="s">
        <v>565</v>
      </c>
      <c r="I1789" t="s">
        <v>297</v>
      </c>
      <c r="J1789" t="s">
        <v>5044</v>
      </c>
    </row>
    <row r="1790" spans="1:10" x14ac:dyDescent="0.2">
      <c r="A1790" t="s">
        <v>426</v>
      </c>
      <c r="B1790" t="s">
        <v>686</v>
      </c>
      <c r="C1790" t="s">
        <v>264</v>
      </c>
      <c r="D1790" t="s">
        <v>265</v>
      </c>
      <c r="E1790">
        <v>1879</v>
      </c>
      <c r="F1790" t="s">
        <v>4505</v>
      </c>
      <c r="G1790" t="s">
        <v>266</v>
      </c>
      <c r="H1790" t="s">
        <v>293</v>
      </c>
      <c r="I1790">
        <v>570</v>
      </c>
    </row>
    <row r="1791" spans="1:10" x14ac:dyDescent="0.2">
      <c r="A1791" t="s">
        <v>426</v>
      </c>
      <c r="B1791" t="s">
        <v>686</v>
      </c>
      <c r="C1791" t="s">
        <v>264</v>
      </c>
      <c r="D1791" t="s">
        <v>265</v>
      </c>
      <c r="E1791">
        <v>2108</v>
      </c>
      <c r="F1791" t="s">
        <v>522</v>
      </c>
      <c r="G1791" t="s">
        <v>266</v>
      </c>
      <c r="H1791" t="s">
        <v>267</v>
      </c>
      <c r="I1791">
        <v>303</v>
      </c>
    </row>
    <row r="1792" spans="1:10" x14ac:dyDescent="0.2">
      <c r="A1792" t="s">
        <v>426</v>
      </c>
      <c r="B1792" t="s">
        <v>686</v>
      </c>
      <c r="C1792" t="s">
        <v>264</v>
      </c>
      <c r="D1792" t="s">
        <v>265</v>
      </c>
      <c r="E1792">
        <v>3864</v>
      </c>
      <c r="F1792" t="s">
        <v>3332</v>
      </c>
      <c r="G1792" t="s">
        <v>266</v>
      </c>
      <c r="H1792" t="s">
        <v>300</v>
      </c>
      <c r="I1792">
        <v>213</v>
      </c>
    </row>
    <row r="1793" spans="1:10" x14ac:dyDescent="0.2">
      <c r="A1793" t="s">
        <v>426</v>
      </c>
      <c r="B1793" t="s">
        <v>686</v>
      </c>
      <c r="C1793" t="s">
        <v>264</v>
      </c>
      <c r="D1793" t="s">
        <v>265</v>
      </c>
      <c r="E1793">
        <v>4218</v>
      </c>
      <c r="F1793" t="s">
        <v>3333</v>
      </c>
      <c r="G1793" t="s">
        <v>266</v>
      </c>
      <c r="H1793" t="s">
        <v>279</v>
      </c>
      <c r="I1793">
        <v>378</v>
      </c>
    </row>
    <row r="1794" spans="1:10" x14ac:dyDescent="0.2">
      <c r="A1794" t="s">
        <v>426</v>
      </c>
      <c r="B1794" t="s">
        <v>686</v>
      </c>
      <c r="C1794" t="s">
        <v>264</v>
      </c>
      <c r="D1794" t="s">
        <v>265</v>
      </c>
      <c r="E1794">
        <v>4621</v>
      </c>
      <c r="F1794" t="s">
        <v>3334</v>
      </c>
      <c r="G1794" t="s">
        <v>274</v>
      </c>
      <c r="H1794" t="s">
        <v>279</v>
      </c>
      <c r="I1794">
        <v>181</v>
      </c>
    </row>
    <row r="1795" spans="1:10" x14ac:dyDescent="0.2">
      <c r="A1795" t="s">
        <v>426</v>
      </c>
      <c r="B1795" t="s">
        <v>686</v>
      </c>
      <c r="C1795" t="s">
        <v>264</v>
      </c>
      <c r="D1795" t="s">
        <v>265</v>
      </c>
      <c r="E1795">
        <v>4994</v>
      </c>
      <c r="F1795" t="s">
        <v>3335</v>
      </c>
      <c r="G1795" t="s">
        <v>266</v>
      </c>
      <c r="H1795" t="s">
        <v>279</v>
      </c>
      <c r="I1795">
        <v>204</v>
      </c>
    </row>
    <row r="1796" spans="1:10" x14ac:dyDescent="0.2">
      <c r="A1796" t="s">
        <v>426</v>
      </c>
      <c r="B1796" t="s">
        <v>686</v>
      </c>
      <c r="C1796" t="s">
        <v>264</v>
      </c>
      <c r="D1796" t="s">
        <v>265</v>
      </c>
      <c r="E1796">
        <v>5142</v>
      </c>
      <c r="F1796" t="s">
        <v>3336</v>
      </c>
      <c r="G1796" t="s">
        <v>266</v>
      </c>
      <c r="H1796" t="s">
        <v>279</v>
      </c>
      <c r="I1796">
        <v>291</v>
      </c>
    </row>
    <row r="1797" spans="1:10" x14ac:dyDescent="0.2">
      <c r="A1797" t="s">
        <v>426</v>
      </c>
      <c r="B1797" t="s">
        <v>686</v>
      </c>
      <c r="C1797" t="s">
        <v>264</v>
      </c>
      <c r="D1797" t="s">
        <v>265</v>
      </c>
      <c r="E1797">
        <v>5269</v>
      </c>
      <c r="F1797" t="s">
        <v>3337</v>
      </c>
      <c r="G1797" t="s">
        <v>266</v>
      </c>
      <c r="H1797" t="s">
        <v>308</v>
      </c>
      <c r="I1797">
        <v>171</v>
      </c>
    </row>
    <row r="1798" spans="1:10" x14ac:dyDescent="0.2">
      <c r="A1798" t="s">
        <v>426</v>
      </c>
      <c r="B1798" t="s">
        <v>686</v>
      </c>
      <c r="C1798" t="s">
        <v>264</v>
      </c>
      <c r="D1798" t="s">
        <v>265</v>
      </c>
      <c r="E1798">
        <v>7255</v>
      </c>
      <c r="F1798" t="s">
        <v>3338</v>
      </c>
      <c r="G1798" t="s">
        <v>270</v>
      </c>
      <c r="H1798" t="s">
        <v>296</v>
      </c>
      <c r="I1798">
        <v>22</v>
      </c>
    </row>
    <row r="1799" spans="1:10" x14ac:dyDescent="0.2">
      <c r="A1799" t="s">
        <v>426</v>
      </c>
      <c r="B1799" t="s">
        <v>686</v>
      </c>
      <c r="C1799" t="s">
        <v>264</v>
      </c>
      <c r="D1799" t="s">
        <v>265</v>
      </c>
      <c r="E1799">
        <v>7490</v>
      </c>
      <c r="F1799" t="s">
        <v>3339</v>
      </c>
      <c r="G1799" t="s">
        <v>274</v>
      </c>
      <c r="H1799" t="s">
        <v>272</v>
      </c>
      <c r="I1799">
        <v>68</v>
      </c>
    </row>
    <row r="1800" spans="1:10" x14ac:dyDescent="0.2">
      <c r="A1800" t="s">
        <v>426</v>
      </c>
      <c r="B1800" t="s">
        <v>686</v>
      </c>
      <c r="C1800" t="s">
        <v>264</v>
      </c>
      <c r="D1800" t="s">
        <v>265</v>
      </c>
      <c r="E1800">
        <v>7619</v>
      </c>
      <c r="F1800" t="s">
        <v>3340</v>
      </c>
      <c r="G1800" t="s">
        <v>266</v>
      </c>
      <c r="H1800" t="s">
        <v>272</v>
      </c>
      <c r="I1800">
        <v>67</v>
      </c>
    </row>
    <row r="1801" spans="1:10" x14ac:dyDescent="0.2">
      <c r="A1801" t="s">
        <v>426</v>
      </c>
      <c r="B1801" t="s">
        <v>686</v>
      </c>
      <c r="C1801" t="s">
        <v>264</v>
      </c>
      <c r="D1801" t="s">
        <v>265</v>
      </c>
      <c r="E1801">
        <v>8061</v>
      </c>
      <c r="F1801" t="s">
        <v>3341</v>
      </c>
      <c r="G1801" t="s">
        <v>266</v>
      </c>
      <c r="H1801" t="s">
        <v>272</v>
      </c>
      <c r="I1801">
        <v>173</v>
      </c>
    </row>
    <row r="1802" spans="1:10" x14ac:dyDescent="0.2">
      <c r="A1802" t="s">
        <v>426</v>
      </c>
      <c r="B1802" t="s">
        <v>686</v>
      </c>
      <c r="C1802" t="s">
        <v>264</v>
      </c>
      <c r="D1802" t="s">
        <v>265</v>
      </c>
      <c r="E1802">
        <v>8869</v>
      </c>
      <c r="F1802" t="s">
        <v>3342</v>
      </c>
      <c r="G1802" t="s">
        <v>266</v>
      </c>
      <c r="H1802" t="s">
        <v>292</v>
      </c>
      <c r="I1802">
        <v>158</v>
      </c>
    </row>
    <row r="1803" spans="1:10" x14ac:dyDescent="0.2">
      <c r="A1803" t="s">
        <v>426</v>
      </c>
      <c r="B1803" t="s">
        <v>686</v>
      </c>
      <c r="C1803" t="s">
        <v>264</v>
      </c>
      <c r="D1803" t="s">
        <v>265</v>
      </c>
      <c r="E1803">
        <v>9017</v>
      </c>
      <c r="F1803" t="s">
        <v>3343</v>
      </c>
      <c r="G1803" t="s">
        <v>274</v>
      </c>
      <c r="H1803" t="s">
        <v>356</v>
      </c>
      <c r="I1803">
        <v>82</v>
      </c>
    </row>
    <row r="1804" spans="1:10" x14ac:dyDescent="0.2">
      <c r="A1804" t="s">
        <v>426</v>
      </c>
      <c r="B1804" t="s">
        <v>327</v>
      </c>
      <c r="C1804" t="s">
        <v>273</v>
      </c>
      <c r="D1804" t="s">
        <v>265</v>
      </c>
      <c r="E1804">
        <v>1413</v>
      </c>
      <c r="F1804" t="s">
        <v>1786</v>
      </c>
      <c r="G1804" t="s">
        <v>266</v>
      </c>
      <c r="H1804" t="s">
        <v>293</v>
      </c>
      <c r="I1804">
        <v>289</v>
      </c>
    </row>
    <row r="1805" spans="1:10" x14ac:dyDescent="0.2">
      <c r="A1805" t="s">
        <v>426</v>
      </c>
      <c r="B1805" t="s">
        <v>327</v>
      </c>
      <c r="C1805" t="s">
        <v>275</v>
      </c>
      <c r="D1805" t="s">
        <v>265</v>
      </c>
      <c r="E1805">
        <v>1414</v>
      </c>
      <c r="F1805" t="s">
        <v>3344</v>
      </c>
      <c r="G1805" t="s">
        <v>266</v>
      </c>
      <c r="H1805" t="s">
        <v>293</v>
      </c>
      <c r="I1805" t="s">
        <v>289</v>
      </c>
      <c r="J1805" t="s">
        <v>4948</v>
      </c>
    </row>
    <row r="1806" spans="1:10" x14ac:dyDescent="0.2">
      <c r="A1806" t="s">
        <v>426</v>
      </c>
      <c r="B1806" t="s">
        <v>327</v>
      </c>
      <c r="C1806" t="s">
        <v>273</v>
      </c>
      <c r="D1806" t="s">
        <v>269</v>
      </c>
      <c r="E1806">
        <v>1429</v>
      </c>
      <c r="F1806" t="s">
        <v>3345</v>
      </c>
      <c r="G1806" t="s">
        <v>266</v>
      </c>
      <c r="H1806" t="s">
        <v>293</v>
      </c>
      <c r="I1806">
        <v>213</v>
      </c>
    </row>
    <row r="1807" spans="1:10" x14ac:dyDescent="0.2">
      <c r="A1807" t="s">
        <v>426</v>
      </c>
      <c r="B1807" t="s">
        <v>327</v>
      </c>
      <c r="C1807" t="s">
        <v>264</v>
      </c>
      <c r="D1807" t="s">
        <v>265</v>
      </c>
      <c r="E1807">
        <v>1451</v>
      </c>
      <c r="F1807" t="s">
        <v>563</v>
      </c>
      <c r="G1807" t="s">
        <v>274</v>
      </c>
      <c r="H1807" t="s">
        <v>293</v>
      </c>
      <c r="I1807">
        <v>38</v>
      </c>
    </row>
    <row r="1808" spans="1:10" x14ac:dyDescent="0.2">
      <c r="A1808" t="s">
        <v>426</v>
      </c>
      <c r="B1808" t="s">
        <v>327</v>
      </c>
      <c r="C1808" t="s">
        <v>264</v>
      </c>
      <c r="D1808" t="s">
        <v>265</v>
      </c>
      <c r="E1808">
        <v>1861</v>
      </c>
      <c r="F1808" t="s">
        <v>3346</v>
      </c>
      <c r="G1808" t="s">
        <v>266</v>
      </c>
      <c r="H1808" t="s">
        <v>293</v>
      </c>
      <c r="I1808" t="s">
        <v>297</v>
      </c>
      <c r="J1808" t="s">
        <v>4425</v>
      </c>
    </row>
    <row r="1809" spans="1:10" x14ac:dyDescent="0.2">
      <c r="A1809" t="s">
        <v>426</v>
      </c>
      <c r="B1809" t="s">
        <v>327</v>
      </c>
      <c r="C1809" t="s">
        <v>264</v>
      </c>
      <c r="D1809" t="s">
        <v>265</v>
      </c>
      <c r="E1809">
        <v>1906</v>
      </c>
      <c r="F1809" t="s">
        <v>3347</v>
      </c>
      <c r="G1809" t="s">
        <v>270</v>
      </c>
      <c r="H1809" t="s">
        <v>293</v>
      </c>
      <c r="I1809">
        <v>25</v>
      </c>
    </row>
    <row r="1810" spans="1:10" x14ac:dyDescent="0.2">
      <c r="A1810" t="s">
        <v>426</v>
      </c>
      <c r="B1810" t="s">
        <v>327</v>
      </c>
      <c r="C1810" t="s">
        <v>264</v>
      </c>
      <c r="D1810" t="s">
        <v>265</v>
      </c>
      <c r="E1810">
        <v>1979</v>
      </c>
      <c r="F1810" t="s">
        <v>427</v>
      </c>
      <c r="G1810" t="s">
        <v>266</v>
      </c>
      <c r="H1810" t="s">
        <v>293</v>
      </c>
      <c r="I1810" t="s">
        <v>297</v>
      </c>
      <c r="J1810" t="s">
        <v>5045</v>
      </c>
    </row>
    <row r="1811" spans="1:10" x14ac:dyDescent="0.2">
      <c r="A1811" t="s">
        <v>426</v>
      </c>
      <c r="B1811" t="s">
        <v>327</v>
      </c>
      <c r="C1811" t="s">
        <v>264</v>
      </c>
      <c r="D1811" t="s">
        <v>265</v>
      </c>
      <c r="E1811">
        <v>1992</v>
      </c>
      <c r="F1811" t="s">
        <v>3348</v>
      </c>
      <c r="G1811" t="s">
        <v>270</v>
      </c>
      <c r="H1811" t="s">
        <v>293</v>
      </c>
      <c r="I1811">
        <v>30</v>
      </c>
    </row>
    <row r="1812" spans="1:10" x14ac:dyDescent="0.2">
      <c r="A1812" t="s">
        <v>426</v>
      </c>
      <c r="B1812" t="s">
        <v>327</v>
      </c>
      <c r="C1812" t="s">
        <v>264</v>
      </c>
      <c r="D1812" t="s">
        <v>265</v>
      </c>
      <c r="E1812">
        <v>2201</v>
      </c>
      <c r="F1812" t="s">
        <v>647</v>
      </c>
      <c r="G1812" t="s">
        <v>266</v>
      </c>
      <c r="H1812" t="s">
        <v>267</v>
      </c>
      <c r="I1812" t="s">
        <v>289</v>
      </c>
      <c r="J1812" t="s">
        <v>4650</v>
      </c>
    </row>
    <row r="1813" spans="1:10" x14ac:dyDescent="0.2">
      <c r="A1813" t="s">
        <v>426</v>
      </c>
      <c r="B1813" t="s">
        <v>327</v>
      </c>
      <c r="C1813" t="s">
        <v>264</v>
      </c>
      <c r="D1813" t="s">
        <v>265</v>
      </c>
      <c r="E1813">
        <v>2221</v>
      </c>
      <c r="F1813" t="s">
        <v>3349</v>
      </c>
      <c r="G1813" t="s">
        <v>270</v>
      </c>
      <c r="H1813" t="s">
        <v>267</v>
      </c>
      <c r="I1813">
        <v>262</v>
      </c>
    </row>
    <row r="1814" spans="1:10" x14ac:dyDescent="0.2">
      <c r="A1814" t="s">
        <v>426</v>
      </c>
      <c r="B1814" t="s">
        <v>327</v>
      </c>
      <c r="C1814" t="s">
        <v>264</v>
      </c>
      <c r="D1814" t="s">
        <v>265</v>
      </c>
      <c r="E1814">
        <v>2224</v>
      </c>
      <c r="F1814" t="s">
        <v>3350</v>
      </c>
      <c r="G1814" t="s">
        <v>270</v>
      </c>
      <c r="H1814" t="s">
        <v>267</v>
      </c>
      <c r="I1814">
        <v>93</v>
      </c>
    </row>
    <row r="1815" spans="1:10" x14ac:dyDescent="0.2">
      <c r="A1815" t="s">
        <v>426</v>
      </c>
      <c r="B1815" t="s">
        <v>327</v>
      </c>
      <c r="C1815" t="s">
        <v>264</v>
      </c>
      <c r="D1815" t="s">
        <v>265</v>
      </c>
      <c r="E1815">
        <v>2398</v>
      </c>
      <c r="F1815" t="s">
        <v>649</v>
      </c>
      <c r="G1815" t="s">
        <v>266</v>
      </c>
      <c r="H1815" t="s">
        <v>271</v>
      </c>
      <c r="I1815">
        <v>438</v>
      </c>
    </row>
    <row r="1816" spans="1:10" x14ac:dyDescent="0.2">
      <c r="A1816" t="s">
        <v>426</v>
      </c>
      <c r="B1816" t="s">
        <v>327</v>
      </c>
      <c r="C1816" t="s">
        <v>273</v>
      </c>
      <c r="D1816" t="s">
        <v>265</v>
      </c>
      <c r="E1816">
        <v>2429</v>
      </c>
      <c r="F1816" t="s">
        <v>3351</v>
      </c>
      <c r="G1816" t="s">
        <v>266</v>
      </c>
      <c r="H1816" t="s">
        <v>271</v>
      </c>
      <c r="I1816">
        <v>305</v>
      </c>
    </row>
    <row r="1817" spans="1:10" x14ac:dyDescent="0.2">
      <c r="A1817" t="s">
        <v>426</v>
      </c>
      <c r="B1817" t="s">
        <v>327</v>
      </c>
      <c r="C1817" t="s">
        <v>273</v>
      </c>
      <c r="D1817" t="s">
        <v>265</v>
      </c>
      <c r="E1817">
        <v>2461</v>
      </c>
      <c r="F1817" t="s">
        <v>3352</v>
      </c>
      <c r="G1817" t="s">
        <v>266</v>
      </c>
      <c r="H1817" t="s">
        <v>271</v>
      </c>
      <c r="I1817">
        <v>363</v>
      </c>
    </row>
    <row r="1818" spans="1:10" x14ac:dyDescent="0.2">
      <c r="A1818" t="s">
        <v>426</v>
      </c>
      <c r="B1818" t="s">
        <v>327</v>
      </c>
      <c r="C1818" t="s">
        <v>264</v>
      </c>
      <c r="D1818" t="s">
        <v>265</v>
      </c>
      <c r="E1818">
        <v>2483</v>
      </c>
      <c r="F1818" t="s">
        <v>3353</v>
      </c>
      <c r="G1818" t="s">
        <v>270</v>
      </c>
      <c r="H1818" t="s">
        <v>271</v>
      </c>
      <c r="I1818">
        <v>72</v>
      </c>
    </row>
    <row r="1819" spans="1:10" x14ac:dyDescent="0.2">
      <c r="A1819" t="s">
        <v>426</v>
      </c>
      <c r="B1819" t="s">
        <v>327</v>
      </c>
      <c r="C1819" t="s">
        <v>264</v>
      </c>
      <c r="D1819" t="s">
        <v>265</v>
      </c>
      <c r="E1819">
        <v>2780</v>
      </c>
      <c r="F1819" t="s">
        <v>3354</v>
      </c>
      <c r="G1819" t="s">
        <v>274</v>
      </c>
      <c r="H1819" t="s">
        <v>276</v>
      </c>
      <c r="I1819">
        <v>126</v>
      </c>
    </row>
    <row r="1820" spans="1:10" x14ac:dyDescent="0.2">
      <c r="A1820" t="s">
        <v>426</v>
      </c>
      <c r="B1820" t="s">
        <v>327</v>
      </c>
      <c r="C1820" t="s">
        <v>264</v>
      </c>
      <c r="D1820" t="s">
        <v>265</v>
      </c>
      <c r="E1820">
        <v>2882</v>
      </c>
      <c r="F1820" t="s">
        <v>3355</v>
      </c>
      <c r="G1820" t="s">
        <v>266</v>
      </c>
      <c r="H1820" t="s">
        <v>267</v>
      </c>
      <c r="I1820">
        <v>196</v>
      </c>
    </row>
    <row r="1821" spans="1:10" x14ac:dyDescent="0.2">
      <c r="A1821" t="s">
        <v>426</v>
      </c>
      <c r="B1821" t="s">
        <v>327</v>
      </c>
      <c r="C1821" t="s">
        <v>264</v>
      </c>
      <c r="D1821" t="s">
        <v>265</v>
      </c>
      <c r="E1821">
        <v>2915</v>
      </c>
      <c r="F1821" t="s">
        <v>752</v>
      </c>
      <c r="G1821" t="s">
        <v>266</v>
      </c>
      <c r="H1821" t="s">
        <v>267</v>
      </c>
      <c r="I1821">
        <v>415</v>
      </c>
    </row>
    <row r="1822" spans="1:10" x14ac:dyDescent="0.2">
      <c r="A1822" t="s">
        <v>426</v>
      </c>
      <c r="B1822" t="s">
        <v>327</v>
      </c>
      <c r="C1822" t="s">
        <v>268</v>
      </c>
      <c r="D1822" t="s">
        <v>265</v>
      </c>
      <c r="E1822">
        <v>2931</v>
      </c>
      <c r="F1822" t="s">
        <v>3356</v>
      </c>
      <c r="G1822" t="s">
        <v>266</v>
      </c>
      <c r="H1822" t="s">
        <v>267</v>
      </c>
      <c r="I1822">
        <v>717</v>
      </c>
    </row>
    <row r="1823" spans="1:10" x14ac:dyDescent="0.2">
      <c r="A1823" t="s">
        <v>426</v>
      </c>
      <c r="B1823" t="s">
        <v>327</v>
      </c>
      <c r="C1823" t="s">
        <v>264</v>
      </c>
      <c r="D1823" t="s">
        <v>265</v>
      </c>
      <c r="E1823">
        <v>3131</v>
      </c>
      <c r="F1823" t="s">
        <v>3357</v>
      </c>
      <c r="G1823" t="s">
        <v>270</v>
      </c>
      <c r="H1823" t="s">
        <v>272</v>
      </c>
      <c r="I1823">
        <v>36</v>
      </c>
    </row>
    <row r="1824" spans="1:10" x14ac:dyDescent="0.2">
      <c r="A1824" t="s">
        <v>426</v>
      </c>
      <c r="B1824" t="s">
        <v>327</v>
      </c>
      <c r="C1824" t="s">
        <v>264</v>
      </c>
      <c r="D1824" t="s">
        <v>269</v>
      </c>
      <c r="E1824">
        <v>3133</v>
      </c>
      <c r="F1824" t="s">
        <v>1641</v>
      </c>
      <c r="G1824" t="s">
        <v>278</v>
      </c>
      <c r="H1824" t="s">
        <v>276</v>
      </c>
      <c r="I1824">
        <v>27</v>
      </c>
    </row>
    <row r="1825" spans="1:10" x14ac:dyDescent="0.2">
      <c r="A1825" t="s">
        <v>426</v>
      </c>
      <c r="B1825" t="s">
        <v>327</v>
      </c>
      <c r="C1825" t="s">
        <v>264</v>
      </c>
      <c r="D1825" t="s">
        <v>265</v>
      </c>
      <c r="E1825">
        <v>3143</v>
      </c>
      <c r="F1825" t="s">
        <v>3358</v>
      </c>
      <c r="G1825" t="s">
        <v>274</v>
      </c>
      <c r="H1825" t="s">
        <v>272</v>
      </c>
      <c r="I1825">
        <v>39</v>
      </c>
    </row>
    <row r="1826" spans="1:10" x14ac:dyDescent="0.2">
      <c r="A1826" t="s">
        <v>426</v>
      </c>
      <c r="B1826" t="s">
        <v>327</v>
      </c>
      <c r="C1826" t="s">
        <v>264</v>
      </c>
      <c r="D1826" t="s">
        <v>265</v>
      </c>
      <c r="E1826">
        <v>3183</v>
      </c>
      <c r="F1826" t="s">
        <v>1483</v>
      </c>
      <c r="G1826" t="s">
        <v>266</v>
      </c>
      <c r="H1826" t="s">
        <v>272</v>
      </c>
      <c r="I1826">
        <v>405</v>
      </c>
    </row>
    <row r="1827" spans="1:10" x14ac:dyDescent="0.2">
      <c r="A1827" t="s">
        <v>426</v>
      </c>
      <c r="B1827" t="s">
        <v>327</v>
      </c>
      <c r="C1827" t="s">
        <v>273</v>
      </c>
      <c r="D1827" t="s">
        <v>265</v>
      </c>
      <c r="E1827">
        <v>3276</v>
      </c>
      <c r="F1827" t="s">
        <v>3359</v>
      </c>
      <c r="G1827" t="s">
        <v>266</v>
      </c>
      <c r="H1827" t="s">
        <v>292</v>
      </c>
      <c r="I1827">
        <v>247</v>
      </c>
    </row>
    <row r="1828" spans="1:10" x14ac:dyDescent="0.2">
      <c r="A1828" t="s">
        <v>426</v>
      </c>
      <c r="B1828" t="s">
        <v>327</v>
      </c>
      <c r="C1828" t="s">
        <v>275</v>
      </c>
      <c r="D1828" t="s">
        <v>265</v>
      </c>
      <c r="E1828">
        <v>3286</v>
      </c>
      <c r="F1828" t="s">
        <v>3360</v>
      </c>
      <c r="G1828" t="s">
        <v>278</v>
      </c>
      <c r="H1828" t="s">
        <v>292</v>
      </c>
      <c r="I1828">
        <v>21</v>
      </c>
    </row>
    <row r="1829" spans="1:10" x14ac:dyDescent="0.2">
      <c r="A1829" t="s">
        <v>426</v>
      </c>
      <c r="B1829" t="s">
        <v>327</v>
      </c>
      <c r="C1829" t="s">
        <v>264</v>
      </c>
      <c r="D1829" t="s">
        <v>265</v>
      </c>
      <c r="E1829">
        <v>3465</v>
      </c>
      <c r="F1829" t="s">
        <v>3361</v>
      </c>
      <c r="G1829" t="s">
        <v>266</v>
      </c>
      <c r="H1829" t="s">
        <v>292</v>
      </c>
      <c r="I1829">
        <v>293</v>
      </c>
    </row>
    <row r="1830" spans="1:10" x14ac:dyDescent="0.2">
      <c r="A1830" t="s">
        <v>426</v>
      </c>
      <c r="B1830" t="s">
        <v>327</v>
      </c>
      <c r="C1830" t="s">
        <v>264</v>
      </c>
      <c r="D1830" t="s">
        <v>265</v>
      </c>
      <c r="E1830">
        <v>3604</v>
      </c>
      <c r="F1830" t="s">
        <v>3362</v>
      </c>
      <c r="G1830" t="s">
        <v>274</v>
      </c>
      <c r="H1830" t="s">
        <v>299</v>
      </c>
      <c r="I1830">
        <v>47</v>
      </c>
    </row>
    <row r="1831" spans="1:10" x14ac:dyDescent="0.2">
      <c r="A1831" t="s">
        <v>426</v>
      </c>
      <c r="B1831" t="s">
        <v>327</v>
      </c>
      <c r="C1831" t="s">
        <v>273</v>
      </c>
      <c r="D1831" t="s">
        <v>265</v>
      </c>
      <c r="E1831">
        <v>3606</v>
      </c>
      <c r="F1831" t="s">
        <v>573</v>
      </c>
      <c r="G1831" t="s">
        <v>266</v>
      </c>
      <c r="H1831" t="s">
        <v>299</v>
      </c>
      <c r="I1831">
        <v>113</v>
      </c>
    </row>
    <row r="1832" spans="1:10" x14ac:dyDescent="0.2">
      <c r="A1832" t="s">
        <v>426</v>
      </c>
      <c r="B1832" t="s">
        <v>327</v>
      </c>
      <c r="C1832" t="s">
        <v>264</v>
      </c>
      <c r="D1832" t="s">
        <v>269</v>
      </c>
      <c r="E1832">
        <v>3741</v>
      </c>
      <c r="F1832" t="s">
        <v>760</v>
      </c>
      <c r="G1832" t="s">
        <v>266</v>
      </c>
      <c r="H1832" t="s">
        <v>277</v>
      </c>
      <c r="I1832">
        <v>205</v>
      </c>
    </row>
    <row r="1833" spans="1:10" x14ac:dyDescent="0.2">
      <c r="A1833" t="s">
        <v>426</v>
      </c>
      <c r="B1833" t="s">
        <v>327</v>
      </c>
      <c r="C1833" t="s">
        <v>273</v>
      </c>
      <c r="D1833" t="s">
        <v>265</v>
      </c>
      <c r="E1833">
        <v>3902</v>
      </c>
      <c r="F1833" t="s">
        <v>576</v>
      </c>
      <c r="G1833" t="s">
        <v>266</v>
      </c>
      <c r="H1833" t="s">
        <v>277</v>
      </c>
      <c r="I1833">
        <v>355</v>
      </c>
    </row>
    <row r="1834" spans="1:10" x14ac:dyDescent="0.2">
      <c r="A1834" t="s">
        <v>426</v>
      </c>
      <c r="B1834" t="s">
        <v>327</v>
      </c>
      <c r="C1834" t="s">
        <v>273</v>
      </c>
      <c r="D1834" t="s">
        <v>265</v>
      </c>
      <c r="E1834">
        <v>4025</v>
      </c>
      <c r="F1834" t="s">
        <v>3363</v>
      </c>
      <c r="G1834" t="s">
        <v>266</v>
      </c>
      <c r="H1834" t="s">
        <v>279</v>
      </c>
      <c r="I1834">
        <v>425</v>
      </c>
    </row>
    <row r="1835" spans="1:10" x14ac:dyDescent="0.2">
      <c r="A1835" t="s">
        <v>426</v>
      </c>
      <c r="B1835" t="s">
        <v>327</v>
      </c>
      <c r="C1835" t="s">
        <v>264</v>
      </c>
      <c r="D1835" t="s">
        <v>265</v>
      </c>
      <c r="E1835">
        <v>4100</v>
      </c>
      <c r="F1835" t="s">
        <v>3364</v>
      </c>
      <c r="G1835" t="s">
        <v>266</v>
      </c>
      <c r="H1835" t="s">
        <v>279</v>
      </c>
      <c r="I1835">
        <v>131</v>
      </c>
    </row>
    <row r="1836" spans="1:10" x14ac:dyDescent="0.2">
      <c r="A1836" t="s">
        <v>426</v>
      </c>
      <c r="B1836" t="s">
        <v>327</v>
      </c>
      <c r="C1836" t="s">
        <v>268</v>
      </c>
      <c r="D1836" t="s">
        <v>265</v>
      </c>
      <c r="E1836">
        <v>4243</v>
      </c>
      <c r="F1836" t="s">
        <v>3365</v>
      </c>
      <c r="G1836" t="s">
        <v>270</v>
      </c>
      <c r="H1836" t="s">
        <v>279</v>
      </c>
      <c r="I1836">
        <v>23</v>
      </c>
    </row>
    <row r="1837" spans="1:10" x14ac:dyDescent="0.2">
      <c r="A1837" t="s">
        <v>426</v>
      </c>
      <c r="B1837" t="s">
        <v>327</v>
      </c>
      <c r="C1837" t="s">
        <v>264</v>
      </c>
      <c r="D1837" t="s">
        <v>269</v>
      </c>
      <c r="E1837">
        <v>4288</v>
      </c>
      <c r="F1837" t="s">
        <v>3366</v>
      </c>
      <c r="G1837" t="s">
        <v>270</v>
      </c>
      <c r="H1837" t="s">
        <v>277</v>
      </c>
      <c r="I1837">
        <v>91</v>
      </c>
    </row>
    <row r="1838" spans="1:10" x14ac:dyDescent="0.2">
      <c r="A1838" t="s">
        <v>426</v>
      </c>
      <c r="B1838" t="s">
        <v>327</v>
      </c>
      <c r="C1838" t="s">
        <v>264</v>
      </c>
      <c r="D1838" t="s">
        <v>265</v>
      </c>
      <c r="E1838">
        <v>4544</v>
      </c>
      <c r="F1838" t="s">
        <v>3367</v>
      </c>
      <c r="G1838" t="s">
        <v>266</v>
      </c>
      <c r="H1838" t="s">
        <v>271</v>
      </c>
      <c r="I1838" t="s">
        <v>297</v>
      </c>
      <c r="J1838" t="s">
        <v>4527</v>
      </c>
    </row>
    <row r="1839" spans="1:10" x14ac:dyDescent="0.2">
      <c r="A1839" t="s">
        <v>426</v>
      </c>
      <c r="B1839" t="s">
        <v>327</v>
      </c>
      <c r="C1839" t="s">
        <v>264</v>
      </c>
      <c r="D1839" t="s">
        <v>265</v>
      </c>
      <c r="E1839">
        <v>4574</v>
      </c>
      <c r="F1839" t="s">
        <v>1789</v>
      </c>
      <c r="G1839" t="s">
        <v>266</v>
      </c>
      <c r="H1839" t="s">
        <v>311</v>
      </c>
      <c r="I1839">
        <v>561</v>
      </c>
    </row>
    <row r="1840" spans="1:10" x14ac:dyDescent="0.2">
      <c r="A1840" t="s">
        <v>426</v>
      </c>
      <c r="B1840" t="s">
        <v>327</v>
      </c>
      <c r="C1840" t="s">
        <v>264</v>
      </c>
      <c r="D1840" t="s">
        <v>265</v>
      </c>
      <c r="E1840">
        <v>4628</v>
      </c>
      <c r="F1840" t="s">
        <v>3368</v>
      </c>
      <c r="G1840" t="s">
        <v>270</v>
      </c>
      <c r="H1840" t="s">
        <v>279</v>
      </c>
      <c r="I1840" t="s">
        <v>297</v>
      </c>
      <c r="J1840" t="s">
        <v>4703</v>
      </c>
    </row>
    <row r="1841" spans="1:10" x14ac:dyDescent="0.2">
      <c r="A1841" t="s">
        <v>426</v>
      </c>
      <c r="B1841" t="s">
        <v>327</v>
      </c>
      <c r="C1841" t="s">
        <v>273</v>
      </c>
      <c r="D1841" t="s">
        <v>265</v>
      </c>
      <c r="E1841">
        <v>4784</v>
      </c>
      <c r="F1841" t="s">
        <v>3369</v>
      </c>
      <c r="G1841" t="s">
        <v>270</v>
      </c>
      <c r="H1841" t="s">
        <v>271</v>
      </c>
      <c r="I1841">
        <v>65</v>
      </c>
    </row>
    <row r="1842" spans="1:10" x14ac:dyDescent="0.2">
      <c r="A1842" t="s">
        <v>426</v>
      </c>
      <c r="B1842" t="s">
        <v>327</v>
      </c>
      <c r="C1842" t="s">
        <v>273</v>
      </c>
      <c r="D1842" t="s">
        <v>265</v>
      </c>
      <c r="E1842">
        <v>4812</v>
      </c>
      <c r="F1842" t="s">
        <v>3370</v>
      </c>
      <c r="G1842" t="s">
        <v>266</v>
      </c>
      <c r="H1842" t="s">
        <v>277</v>
      </c>
      <c r="I1842" t="s">
        <v>297</v>
      </c>
      <c r="J1842" t="s">
        <v>5046</v>
      </c>
    </row>
    <row r="1843" spans="1:10" x14ac:dyDescent="0.2">
      <c r="A1843" t="s">
        <v>426</v>
      </c>
      <c r="B1843" t="s">
        <v>327</v>
      </c>
      <c r="C1843" t="s">
        <v>264</v>
      </c>
      <c r="D1843" t="s">
        <v>265</v>
      </c>
      <c r="E1843">
        <v>4819</v>
      </c>
      <c r="F1843" t="s">
        <v>3371</v>
      </c>
      <c r="G1843" t="s">
        <v>266</v>
      </c>
      <c r="H1843" t="s">
        <v>277</v>
      </c>
      <c r="I1843" t="s">
        <v>289</v>
      </c>
      <c r="J1843" t="s">
        <v>4659</v>
      </c>
    </row>
    <row r="1844" spans="1:10" x14ac:dyDescent="0.2">
      <c r="A1844" t="s">
        <v>426</v>
      </c>
      <c r="B1844" t="s">
        <v>327</v>
      </c>
      <c r="C1844" t="s">
        <v>273</v>
      </c>
      <c r="D1844" t="s">
        <v>265</v>
      </c>
      <c r="E1844">
        <v>4955</v>
      </c>
      <c r="F1844" t="s">
        <v>3372</v>
      </c>
      <c r="G1844" t="s">
        <v>266</v>
      </c>
      <c r="H1844" t="s">
        <v>279</v>
      </c>
      <c r="I1844">
        <v>203</v>
      </c>
    </row>
    <row r="1845" spans="1:10" x14ac:dyDescent="0.2">
      <c r="A1845" t="s">
        <v>426</v>
      </c>
      <c r="B1845" t="s">
        <v>327</v>
      </c>
      <c r="C1845" t="s">
        <v>264</v>
      </c>
      <c r="D1845" t="s">
        <v>265</v>
      </c>
      <c r="E1845">
        <v>4962</v>
      </c>
      <c r="F1845" t="s">
        <v>3373</v>
      </c>
      <c r="G1845" t="s">
        <v>274</v>
      </c>
      <c r="H1845" t="s">
        <v>279</v>
      </c>
      <c r="I1845">
        <v>90</v>
      </c>
    </row>
    <row r="1846" spans="1:10" x14ac:dyDescent="0.2">
      <c r="A1846" t="s">
        <v>426</v>
      </c>
      <c r="B1846" t="s">
        <v>327</v>
      </c>
      <c r="C1846" t="s">
        <v>264</v>
      </c>
      <c r="D1846" t="s">
        <v>265</v>
      </c>
      <c r="E1846">
        <v>4966</v>
      </c>
      <c r="F1846" t="s">
        <v>3374</v>
      </c>
      <c r="G1846" t="s">
        <v>274</v>
      </c>
      <c r="H1846" t="s">
        <v>279</v>
      </c>
      <c r="I1846">
        <v>804</v>
      </c>
    </row>
    <row r="1847" spans="1:10" x14ac:dyDescent="0.2">
      <c r="A1847" t="s">
        <v>426</v>
      </c>
      <c r="B1847" t="s">
        <v>327</v>
      </c>
      <c r="C1847" t="s">
        <v>264</v>
      </c>
      <c r="D1847" t="s">
        <v>265</v>
      </c>
      <c r="E1847">
        <v>4977</v>
      </c>
      <c r="F1847" t="s">
        <v>3375</v>
      </c>
      <c r="G1847" t="s">
        <v>266</v>
      </c>
      <c r="H1847" t="s">
        <v>279</v>
      </c>
      <c r="I1847">
        <v>123</v>
      </c>
    </row>
    <row r="1848" spans="1:10" x14ac:dyDescent="0.2">
      <c r="A1848" t="s">
        <v>426</v>
      </c>
      <c r="B1848" t="s">
        <v>327</v>
      </c>
      <c r="C1848" t="s">
        <v>273</v>
      </c>
      <c r="D1848" t="s">
        <v>269</v>
      </c>
      <c r="E1848">
        <v>5015</v>
      </c>
      <c r="F1848" t="s">
        <v>3376</v>
      </c>
      <c r="G1848" t="s">
        <v>266</v>
      </c>
      <c r="H1848" t="s">
        <v>1442</v>
      </c>
      <c r="I1848">
        <v>336</v>
      </c>
    </row>
    <row r="1849" spans="1:10" x14ac:dyDescent="0.2">
      <c r="A1849" t="s">
        <v>426</v>
      </c>
      <c r="B1849" t="s">
        <v>327</v>
      </c>
      <c r="C1849" t="s">
        <v>275</v>
      </c>
      <c r="D1849" t="s">
        <v>265</v>
      </c>
      <c r="E1849">
        <v>5283</v>
      </c>
      <c r="F1849" t="s">
        <v>3377</v>
      </c>
      <c r="G1849" t="s">
        <v>270</v>
      </c>
      <c r="H1849" t="s">
        <v>272</v>
      </c>
      <c r="I1849">
        <v>33</v>
      </c>
    </row>
    <row r="1850" spans="1:10" x14ac:dyDescent="0.2">
      <c r="A1850" t="s">
        <v>426</v>
      </c>
      <c r="B1850" t="s">
        <v>327</v>
      </c>
      <c r="C1850" t="s">
        <v>273</v>
      </c>
      <c r="D1850" t="s">
        <v>265</v>
      </c>
      <c r="E1850">
        <v>5302</v>
      </c>
      <c r="F1850" t="s">
        <v>3378</v>
      </c>
      <c r="G1850" t="s">
        <v>266</v>
      </c>
      <c r="H1850" t="s">
        <v>308</v>
      </c>
      <c r="I1850">
        <v>468</v>
      </c>
    </row>
    <row r="1851" spans="1:10" x14ac:dyDescent="0.2">
      <c r="A1851" t="s">
        <v>426</v>
      </c>
      <c r="B1851" t="s">
        <v>327</v>
      </c>
      <c r="C1851" t="s">
        <v>264</v>
      </c>
      <c r="D1851" t="s">
        <v>265</v>
      </c>
      <c r="E1851">
        <v>5393</v>
      </c>
      <c r="F1851" t="s">
        <v>3379</v>
      </c>
      <c r="G1851" t="s">
        <v>266</v>
      </c>
      <c r="H1851" t="s">
        <v>308</v>
      </c>
      <c r="I1851" t="s">
        <v>297</v>
      </c>
      <c r="J1851" t="s">
        <v>4960</v>
      </c>
    </row>
    <row r="1852" spans="1:10" x14ac:dyDescent="0.2">
      <c r="A1852" t="s">
        <v>426</v>
      </c>
      <c r="B1852" t="s">
        <v>327</v>
      </c>
      <c r="C1852" t="s">
        <v>273</v>
      </c>
      <c r="D1852" t="s">
        <v>265</v>
      </c>
      <c r="E1852">
        <v>5563</v>
      </c>
      <c r="F1852" t="s">
        <v>1790</v>
      </c>
      <c r="G1852" t="s">
        <v>266</v>
      </c>
      <c r="H1852" t="s">
        <v>726</v>
      </c>
      <c r="I1852">
        <v>246</v>
      </c>
    </row>
    <row r="1853" spans="1:10" x14ac:dyDescent="0.2">
      <c r="A1853" t="s">
        <v>426</v>
      </c>
      <c r="B1853" t="s">
        <v>327</v>
      </c>
      <c r="C1853" t="s">
        <v>264</v>
      </c>
      <c r="D1853" t="s">
        <v>265</v>
      </c>
      <c r="E1853">
        <v>5631</v>
      </c>
      <c r="F1853" t="s">
        <v>3380</v>
      </c>
      <c r="G1853" t="s">
        <v>266</v>
      </c>
      <c r="H1853" t="s">
        <v>287</v>
      </c>
      <c r="I1853" t="s">
        <v>297</v>
      </c>
      <c r="J1853" t="s">
        <v>5047</v>
      </c>
    </row>
    <row r="1854" spans="1:10" x14ac:dyDescent="0.2">
      <c r="A1854" t="s">
        <v>426</v>
      </c>
      <c r="B1854" t="s">
        <v>327</v>
      </c>
      <c r="C1854" t="s">
        <v>264</v>
      </c>
      <c r="D1854" t="s">
        <v>265</v>
      </c>
      <c r="E1854">
        <v>5707</v>
      </c>
      <c r="F1854" t="s">
        <v>3381</v>
      </c>
      <c r="G1854" t="s">
        <v>266</v>
      </c>
      <c r="H1854" t="s">
        <v>373</v>
      </c>
      <c r="I1854">
        <v>281</v>
      </c>
    </row>
    <row r="1855" spans="1:10" x14ac:dyDescent="0.2">
      <c r="A1855" t="s">
        <v>426</v>
      </c>
      <c r="B1855" t="s">
        <v>327</v>
      </c>
      <c r="C1855" t="s">
        <v>264</v>
      </c>
      <c r="D1855" t="s">
        <v>265</v>
      </c>
      <c r="E1855">
        <v>5852</v>
      </c>
      <c r="F1855" t="s">
        <v>3382</v>
      </c>
      <c r="G1855" t="s">
        <v>266</v>
      </c>
      <c r="H1855" t="s">
        <v>373</v>
      </c>
      <c r="I1855">
        <v>145</v>
      </c>
    </row>
    <row r="1856" spans="1:10" x14ac:dyDescent="0.2">
      <c r="A1856" t="s">
        <v>426</v>
      </c>
      <c r="B1856" t="s">
        <v>327</v>
      </c>
      <c r="C1856" t="s">
        <v>273</v>
      </c>
      <c r="D1856" t="s">
        <v>265</v>
      </c>
      <c r="E1856">
        <v>6029</v>
      </c>
      <c r="F1856" t="s">
        <v>3383</v>
      </c>
      <c r="G1856" t="s">
        <v>266</v>
      </c>
      <c r="H1856" t="s">
        <v>271</v>
      </c>
      <c r="I1856">
        <v>30</v>
      </c>
    </row>
    <row r="1857" spans="1:10" x14ac:dyDescent="0.2">
      <c r="A1857" t="s">
        <v>426</v>
      </c>
      <c r="B1857" t="s">
        <v>327</v>
      </c>
      <c r="C1857" t="s">
        <v>264</v>
      </c>
      <c r="D1857" t="s">
        <v>265</v>
      </c>
      <c r="E1857">
        <v>6155</v>
      </c>
      <c r="F1857" t="s">
        <v>1484</v>
      </c>
      <c r="G1857" t="s">
        <v>274</v>
      </c>
      <c r="H1857" t="s">
        <v>287</v>
      </c>
      <c r="I1857">
        <v>98</v>
      </c>
    </row>
    <row r="1858" spans="1:10" x14ac:dyDescent="0.2">
      <c r="A1858" t="s">
        <v>426</v>
      </c>
      <c r="B1858" t="s">
        <v>327</v>
      </c>
      <c r="C1858" t="s">
        <v>275</v>
      </c>
      <c r="D1858" t="s">
        <v>269</v>
      </c>
      <c r="E1858">
        <v>6156</v>
      </c>
      <c r="F1858" t="s">
        <v>3384</v>
      </c>
      <c r="G1858" t="s">
        <v>270</v>
      </c>
      <c r="H1858" t="s">
        <v>287</v>
      </c>
      <c r="I1858">
        <v>84</v>
      </c>
    </row>
    <row r="1859" spans="1:10" x14ac:dyDescent="0.2">
      <c r="A1859" t="s">
        <v>426</v>
      </c>
      <c r="B1859" t="s">
        <v>327</v>
      </c>
      <c r="C1859" t="s">
        <v>268</v>
      </c>
      <c r="D1859" t="s">
        <v>265</v>
      </c>
      <c r="E1859">
        <v>6316</v>
      </c>
      <c r="F1859" t="s">
        <v>3385</v>
      </c>
      <c r="G1859" t="s">
        <v>266</v>
      </c>
      <c r="H1859" t="s">
        <v>287</v>
      </c>
      <c r="I1859">
        <v>60</v>
      </c>
    </row>
    <row r="1860" spans="1:10" x14ac:dyDescent="0.2">
      <c r="A1860" t="s">
        <v>426</v>
      </c>
      <c r="B1860" t="s">
        <v>327</v>
      </c>
      <c r="C1860" t="s">
        <v>264</v>
      </c>
      <c r="D1860" t="s">
        <v>265</v>
      </c>
      <c r="E1860">
        <v>6324</v>
      </c>
      <c r="F1860" t="s">
        <v>727</v>
      </c>
      <c r="G1860" t="s">
        <v>270</v>
      </c>
      <c r="H1860" t="s">
        <v>287</v>
      </c>
      <c r="I1860" t="s">
        <v>283</v>
      </c>
      <c r="J1860" t="s">
        <v>5048</v>
      </c>
    </row>
    <row r="1861" spans="1:10" x14ac:dyDescent="0.2">
      <c r="A1861" t="s">
        <v>426</v>
      </c>
      <c r="B1861" t="s">
        <v>327</v>
      </c>
      <c r="C1861" t="s">
        <v>264</v>
      </c>
      <c r="D1861" t="s">
        <v>265</v>
      </c>
      <c r="E1861">
        <v>6370</v>
      </c>
      <c r="F1861" t="s">
        <v>3386</v>
      </c>
      <c r="G1861" t="s">
        <v>266</v>
      </c>
      <c r="H1861" t="s">
        <v>287</v>
      </c>
      <c r="I1861" t="s">
        <v>333</v>
      </c>
      <c r="J1861" t="s">
        <v>4470</v>
      </c>
    </row>
    <row r="1862" spans="1:10" x14ac:dyDescent="0.2">
      <c r="A1862" t="s">
        <v>426</v>
      </c>
      <c r="B1862" t="s">
        <v>327</v>
      </c>
      <c r="C1862" t="s">
        <v>264</v>
      </c>
      <c r="D1862" t="s">
        <v>265</v>
      </c>
      <c r="E1862">
        <v>6381</v>
      </c>
      <c r="F1862" t="s">
        <v>3387</v>
      </c>
      <c r="G1862" t="s">
        <v>266</v>
      </c>
      <c r="H1862" t="s">
        <v>287</v>
      </c>
      <c r="I1862">
        <v>436</v>
      </c>
    </row>
    <row r="1863" spans="1:10" x14ac:dyDescent="0.2">
      <c r="A1863" t="s">
        <v>426</v>
      </c>
      <c r="B1863" t="s">
        <v>327</v>
      </c>
      <c r="C1863" t="s">
        <v>264</v>
      </c>
      <c r="D1863" t="s">
        <v>269</v>
      </c>
      <c r="E1863">
        <v>6402</v>
      </c>
      <c r="F1863" t="s">
        <v>3388</v>
      </c>
      <c r="G1863" t="s">
        <v>274</v>
      </c>
      <c r="H1863" t="s">
        <v>287</v>
      </c>
      <c r="I1863">
        <v>75</v>
      </c>
    </row>
    <row r="1864" spans="1:10" x14ac:dyDescent="0.2">
      <c r="A1864" t="s">
        <v>426</v>
      </c>
      <c r="B1864" t="s">
        <v>327</v>
      </c>
      <c r="C1864" t="s">
        <v>264</v>
      </c>
      <c r="D1864" t="s">
        <v>265</v>
      </c>
      <c r="E1864">
        <v>6412</v>
      </c>
      <c r="F1864" t="s">
        <v>3389</v>
      </c>
      <c r="G1864" t="s">
        <v>266</v>
      </c>
      <c r="H1864" t="s">
        <v>287</v>
      </c>
      <c r="I1864" t="s">
        <v>289</v>
      </c>
      <c r="J1864" t="s">
        <v>4276</v>
      </c>
    </row>
    <row r="1865" spans="1:10" x14ac:dyDescent="0.2">
      <c r="A1865" t="s">
        <v>426</v>
      </c>
      <c r="B1865" t="s">
        <v>327</v>
      </c>
      <c r="C1865" t="s">
        <v>273</v>
      </c>
      <c r="D1865" t="s">
        <v>265</v>
      </c>
      <c r="E1865">
        <v>6465</v>
      </c>
      <c r="F1865" t="s">
        <v>3460</v>
      </c>
      <c r="G1865" t="s">
        <v>266</v>
      </c>
      <c r="H1865" t="s">
        <v>287</v>
      </c>
      <c r="I1865" t="s">
        <v>518</v>
      </c>
      <c r="J1865" t="s">
        <v>5049</v>
      </c>
    </row>
    <row r="1866" spans="1:10" x14ac:dyDescent="0.2">
      <c r="A1866" t="s">
        <v>426</v>
      </c>
      <c r="B1866" t="s">
        <v>327</v>
      </c>
      <c r="C1866" t="s">
        <v>275</v>
      </c>
      <c r="D1866" t="s">
        <v>265</v>
      </c>
      <c r="E1866">
        <v>6542</v>
      </c>
      <c r="F1866" t="s">
        <v>3390</v>
      </c>
      <c r="G1866" t="s">
        <v>270</v>
      </c>
      <c r="H1866" t="s">
        <v>271</v>
      </c>
      <c r="I1866">
        <v>51</v>
      </c>
    </row>
    <row r="1867" spans="1:10" x14ac:dyDescent="0.2">
      <c r="A1867" t="s">
        <v>426</v>
      </c>
      <c r="B1867" t="s">
        <v>327</v>
      </c>
      <c r="C1867" t="s">
        <v>264</v>
      </c>
      <c r="D1867" t="s">
        <v>265</v>
      </c>
      <c r="E1867">
        <v>6626</v>
      </c>
      <c r="F1867" t="s">
        <v>3391</v>
      </c>
      <c r="G1867" t="s">
        <v>270</v>
      </c>
      <c r="H1867" t="s">
        <v>291</v>
      </c>
      <c r="I1867">
        <v>89</v>
      </c>
    </row>
    <row r="1868" spans="1:10" x14ac:dyDescent="0.2">
      <c r="A1868" t="s">
        <v>426</v>
      </c>
      <c r="B1868" t="s">
        <v>327</v>
      </c>
      <c r="C1868" t="s">
        <v>264</v>
      </c>
      <c r="D1868" t="s">
        <v>265</v>
      </c>
      <c r="E1868">
        <v>6651</v>
      </c>
      <c r="F1868" t="s">
        <v>3392</v>
      </c>
      <c r="G1868" t="s">
        <v>266</v>
      </c>
      <c r="H1868" t="s">
        <v>291</v>
      </c>
      <c r="I1868" t="s">
        <v>297</v>
      </c>
      <c r="J1868" t="s">
        <v>4541</v>
      </c>
    </row>
    <row r="1869" spans="1:10" x14ac:dyDescent="0.2">
      <c r="A1869" t="s">
        <v>426</v>
      </c>
      <c r="B1869" t="s">
        <v>327</v>
      </c>
      <c r="C1869" t="s">
        <v>264</v>
      </c>
      <c r="D1869" t="s">
        <v>265</v>
      </c>
      <c r="E1869">
        <v>6666</v>
      </c>
      <c r="F1869" t="s">
        <v>3393</v>
      </c>
      <c r="G1869" t="s">
        <v>270</v>
      </c>
      <c r="H1869" t="s">
        <v>291</v>
      </c>
      <c r="I1869">
        <v>39</v>
      </c>
    </row>
    <row r="1870" spans="1:10" x14ac:dyDescent="0.2">
      <c r="A1870" t="s">
        <v>426</v>
      </c>
      <c r="B1870" t="s">
        <v>327</v>
      </c>
      <c r="C1870" t="s">
        <v>268</v>
      </c>
      <c r="D1870" t="s">
        <v>265</v>
      </c>
      <c r="E1870">
        <v>6677</v>
      </c>
      <c r="F1870" t="s">
        <v>3394</v>
      </c>
      <c r="G1870" t="s">
        <v>270</v>
      </c>
      <c r="H1870" t="s">
        <v>291</v>
      </c>
      <c r="I1870">
        <v>231</v>
      </c>
    </row>
    <row r="1871" spans="1:10" x14ac:dyDescent="0.2">
      <c r="A1871" t="s">
        <v>426</v>
      </c>
      <c r="B1871" t="s">
        <v>327</v>
      </c>
      <c r="C1871" t="s">
        <v>264</v>
      </c>
      <c r="D1871" t="s">
        <v>265</v>
      </c>
      <c r="E1871">
        <v>6698</v>
      </c>
      <c r="F1871" t="s">
        <v>3395</v>
      </c>
      <c r="G1871" t="s">
        <v>274</v>
      </c>
      <c r="H1871" t="s">
        <v>291</v>
      </c>
      <c r="I1871">
        <v>89</v>
      </c>
    </row>
    <row r="1872" spans="1:10" x14ac:dyDescent="0.2">
      <c r="A1872" t="s">
        <v>426</v>
      </c>
      <c r="B1872" t="s">
        <v>327</v>
      </c>
      <c r="C1872" t="s">
        <v>275</v>
      </c>
      <c r="D1872" t="s">
        <v>265</v>
      </c>
      <c r="E1872">
        <v>6785</v>
      </c>
      <c r="F1872" t="s">
        <v>3396</v>
      </c>
      <c r="G1872" t="s">
        <v>266</v>
      </c>
      <c r="H1872" t="s">
        <v>291</v>
      </c>
      <c r="I1872">
        <v>114</v>
      </c>
    </row>
    <row r="1873" spans="1:10" x14ac:dyDescent="0.2">
      <c r="A1873" t="s">
        <v>426</v>
      </c>
      <c r="B1873" t="s">
        <v>327</v>
      </c>
      <c r="C1873" t="s">
        <v>273</v>
      </c>
      <c r="D1873" t="s">
        <v>265</v>
      </c>
      <c r="E1873">
        <v>6870</v>
      </c>
      <c r="F1873" t="s">
        <v>600</v>
      </c>
      <c r="G1873" t="s">
        <v>274</v>
      </c>
      <c r="H1873" t="s">
        <v>291</v>
      </c>
      <c r="I1873">
        <v>86</v>
      </c>
    </row>
    <row r="1874" spans="1:10" x14ac:dyDescent="0.2">
      <c r="A1874" t="s">
        <v>426</v>
      </c>
      <c r="B1874" t="s">
        <v>327</v>
      </c>
      <c r="C1874" t="s">
        <v>268</v>
      </c>
      <c r="D1874" t="s">
        <v>265</v>
      </c>
      <c r="E1874">
        <v>6965</v>
      </c>
      <c r="F1874" t="s">
        <v>3397</v>
      </c>
      <c r="G1874" t="s">
        <v>266</v>
      </c>
      <c r="H1874" t="s">
        <v>291</v>
      </c>
      <c r="I1874" t="s">
        <v>518</v>
      </c>
      <c r="J1874" t="s">
        <v>4912</v>
      </c>
    </row>
    <row r="1875" spans="1:10" x14ac:dyDescent="0.2">
      <c r="A1875" t="s">
        <v>426</v>
      </c>
      <c r="B1875" t="s">
        <v>327</v>
      </c>
      <c r="C1875" t="s">
        <v>264</v>
      </c>
      <c r="D1875" t="s">
        <v>265</v>
      </c>
      <c r="E1875">
        <v>7003</v>
      </c>
      <c r="F1875" t="s">
        <v>3398</v>
      </c>
      <c r="G1875" t="s">
        <v>266</v>
      </c>
      <c r="H1875" t="s">
        <v>296</v>
      </c>
      <c r="I1875">
        <v>836</v>
      </c>
    </row>
    <row r="1876" spans="1:10" x14ac:dyDescent="0.2">
      <c r="A1876" t="s">
        <v>426</v>
      </c>
      <c r="B1876" t="s">
        <v>327</v>
      </c>
      <c r="C1876" t="s">
        <v>273</v>
      </c>
      <c r="D1876" t="s">
        <v>265</v>
      </c>
      <c r="E1876">
        <v>7172</v>
      </c>
      <c r="F1876" t="s">
        <v>3399</v>
      </c>
      <c r="G1876" t="s">
        <v>278</v>
      </c>
      <c r="H1876" t="s">
        <v>1448</v>
      </c>
      <c r="I1876">
        <v>421</v>
      </c>
    </row>
    <row r="1877" spans="1:10" x14ac:dyDescent="0.2">
      <c r="A1877" t="s">
        <v>426</v>
      </c>
      <c r="B1877" t="s">
        <v>327</v>
      </c>
      <c r="C1877" t="s">
        <v>264</v>
      </c>
      <c r="D1877" t="s">
        <v>269</v>
      </c>
      <c r="E1877">
        <v>7183</v>
      </c>
      <c r="F1877" t="s">
        <v>3400</v>
      </c>
      <c r="G1877" t="s">
        <v>278</v>
      </c>
      <c r="H1877" t="s">
        <v>302</v>
      </c>
      <c r="I1877">
        <v>61</v>
      </c>
    </row>
    <row r="1878" spans="1:10" x14ac:dyDescent="0.2">
      <c r="A1878" t="s">
        <v>426</v>
      </c>
      <c r="B1878" t="s">
        <v>327</v>
      </c>
      <c r="C1878" t="s">
        <v>264</v>
      </c>
      <c r="D1878" t="s">
        <v>265</v>
      </c>
      <c r="E1878">
        <v>7215</v>
      </c>
      <c r="F1878" t="s">
        <v>1485</v>
      </c>
      <c r="G1878" t="s">
        <v>266</v>
      </c>
      <c r="H1878" t="s">
        <v>296</v>
      </c>
      <c r="I1878">
        <v>106</v>
      </c>
    </row>
    <row r="1879" spans="1:10" x14ac:dyDescent="0.2">
      <c r="A1879" t="s">
        <v>426</v>
      </c>
      <c r="B1879" t="s">
        <v>327</v>
      </c>
      <c r="C1879" t="s">
        <v>264</v>
      </c>
      <c r="D1879" t="s">
        <v>265</v>
      </c>
      <c r="E1879">
        <v>7277</v>
      </c>
      <c r="F1879" t="s">
        <v>3401</v>
      </c>
      <c r="G1879" t="s">
        <v>266</v>
      </c>
      <c r="H1879" t="s">
        <v>296</v>
      </c>
      <c r="I1879">
        <v>142</v>
      </c>
    </row>
    <row r="1880" spans="1:10" x14ac:dyDescent="0.2">
      <c r="A1880" t="s">
        <v>426</v>
      </c>
      <c r="B1880" t="s">
        <v>327</v>
      </c>
      <c r="C1880" t="s">
        <v>264</v>
      </c>
      <c r="D1880" t="s">
        <v>265</v>
      </c>
      <c r="E1880">
        <v>7291</v>
      </c>
      <c r="F1880" t="s">
        <v>3402</v>
      </c>
      <c r="G1880" t="s">
        <v>266</v>
      </c>
      <c r="H1880" t="s">
        <v>296</v>
      </c>
      <c r="I1880">
        <v>137</v>
      </c>
    </row>
    <row r="1881" spans="1:10" x14ac:dyDescent="0.2">
      <c r="A1881" t="s">
        <v>426</v>
      </c>
      <c r="B1881" t="s">
        <v>327</v>
      </c>
      <c r="C1881" t="s">
        <v>264</v>
      </c>
      <c r="D1881" t="s">
        <v>265</v>
      </c>
      <c r="E1881">
        <v>7315</v>
      </c>
      <c r="F1881" t="s">
        <v>3403</v>
      </c>
      <c r="G1881" t="s">
        <v>274</v>
      </c>
      <c r="H1881" t="s">
        <v>296</v>
      </c>
      <c r="I1881">
        <v>353</v>
      </c>
    </row>
    <row r="1882" spans="1:10" x14ac:dyDescent="0.2">
      <c r="A1882" t="s">
        <v>426</v>
      </c>
      <c r="B1882" t="s">
        <v>327</v>
      </c>
      <c r="C1882" t="s">
        <v>264</v>
      </c>
      <c r="D1882" t="s">
        <v>269</v>
      </c>
      <c r="E1882">
        <v>7426</v>
      </c>
      <c r="F1882" t="s">
        <v>3404</v>
      </c>
      <c r="G1882" t="s">
        <v>270</v>
      </c>
      <c r="H1882" t="s">
        <v>272</v>
      </c>
      <c r="I1882">
        <v>10</v>
      </c>
    </row>
    <row r="1883" spans="1:10" x14ac:dyDescent="0.2">
      <c r="A1883" t="s">
        <v>426</v>
      </c>
      <c r="B1883" t="s">
        <v>327</v>
      </c>
      <c r="C1883" t="s">
        <v>264</v>
      </c>
      <c r="D1883" t="s">
        <v>265</v>
      </c>
      <c r="E1883">
        <v>7461</v>
      </c>
      <c r="F1883" t="s">
        <v>3405</v>
      </c>
      <c r="G1883" t="s">
        <v>270</v>
      </c>
      <c r="H1883" t="s">
        <v>272</v>
      </c>
      <c r="I1883">
        <v>76</v>
      </c>
    </row>
    <row r="1884" spans="1:10" x14ac:dyDescent="0.2">
      <c r="A1884" t="s">
        <v>426</v>
      </c>
      <c r="B1884" t="s">
        <v>327</v>
      </c>
      <c r="C1884" t="s">
        <v>273</v>
      </c>
      <c r="D1884" t="s">
        <v>265</v>
      </c>
      <c r="E1884">
        <v>7587</v>
      </c>
      <c r="F1884" t="s">
        <v>3406</v>
      </c>
      <c r="G1884" t="s">
        <v>274</v>
      </c>
      <c r="H1884" t="s">
        <v>272</v>
      </c>
      <c r="I1884">
        <v>70</v>
      </c>
    </row>
    <row r="1885" spans="1:10" x14ac:dyDescent="0.2">
      <c r="A1885" t="s">
        <v>426</v>
      </c>
      <c r="B1885" t="s">
        <v>327</v>
      </c>
      <c r="C1885" t="s">
        <v>275</v>
      </c>
      <c r="D1885" t="s">
        <v>269</v>
      </c>
      <c r="E1885">
        <v>7636</v>
      </c>
      <c r="F1885" t="s">
        <v>3407</v>
      </c>
      <c r="G1885" t="s">
        <v>270</v>
      </c>
      <c r="H1885" t="s">
        <v>276</v>
      </c>
      <c r="I1885">
        <v>200</v>
      </c>
    </row>
    <row r="1886" spans="1:10" x14ac:dyDescent="0.2">
      <c r="A1886" t="s">
        <v>426</v>
      </c>
      <c r="B1886" t="s">
        <v>327</v>
      </c>
      <c r="C1886" t="s">
        <v>264</v>
      </c>
      <c r="D1886" t="s">
        <v>265</v>
      </c>
      <c r="E1886">
        <v>7717</v>
      </c>
      <c r="F1886" t="s">
        <v>3408</v>
      </c>
      <c r="G1886" t="s">
        <v>266</v>
      </c>
      <c r="H1886" t="s">
        <v>342</v>
      </c>
      <c r="I1886">
        <v>532</v>
      </c>
    </row>
    <row r="1887" spans="1:10" x14ac:dyDescent="0.2">
      <c r="A1887" t="s">
        <v>426</v>
      </c>
      <c r="B1887" t="s">
        <v>327</v>
      </c>
      <c r="C1887" t="s">
        <v>275</v>
      </c>
      <c r="D1887" t="s">
        <v>265</v>
      </c>
      <c r="E1887">
        <v>7813</v>
      </c>
      <c r="F1887" t="s">
        <v>548</v>
      </c>
      <c r="G1887" t="s">
        <v>278</v>
      </c>
      <c r="H1887" t="s">
        <v>288</v>
      </c>
      <c r="I1887">
        <v>60</v>
      </c>
    </row>
    <row r="1888" spans="1:10" x14ac:dyDescent="0.2">
      <c r="A1888" t="s">
        <v>426</v>
      </c>
      <c r="B1888" t="s">
        <v>327</v>
      </c>
      <c r="C1888" t="s">
        <v>273</v>
      </c>
      <c r="D1888" t="s">
        <v>265</v>
      </c>
      <c r="E1888">
        <v>7833</v>
      </c>
      <c r="F1888" t="s">
        <v>3409</v>
      </c>
      <c r="G1888" t="s">
        <v>266</v>
      </c>
      <c r="H1888" t="s">
        <v>288</v>
      </c>
      <c r="I1888">
        <v>79</v>
      </c>
    </row>
    <row r="1889" spans="1:10" x14ac:dyDescent="0.2">
      <c r="A1889" t="s">
        <v>426</v>
      </c>
      <c r="B1889" t="s">
        <v>327</v>
      </c>
      <c r="C1889" t="s">
        <v>264</v>
      </c>
      <c r="D1889" t="s">
        <v>265</v>
      </c>
      <c r="E1889">
        <v>7895</v>
      </c>
      <c r="F1889" t="s">
        <v>3410</v>
      </c>
      <c r="G1889" t="s">
        <v>270</v>
      </c>
      <c r="H1889" t="s">
        <v>279</v>
      </c>
      <c r="I1889">
        <v>138</v>
      </c>
    </row>
    <row r="1890" spans="1:10" x14ac:dyDescent="0.2">
      <c r="A1890" t="s">
        <v>426</v>
      </c>
      <c r="B1890" t="s">
        <v>327</v>
      </c>
      <c r="C1890" t="s">
        <v>264</v>
      </c>
      <c r="D1890" t="s">
        <v>269</v>
      </c>
      <c r="E1890">
        <v>7902</v>
      </c>
      <c r="F1890" t="s">
        <v>3411</v>
      </c>
      <c r="G1890" t="s">
        <v>270</v>
      </c>
      <c r="H1890" t="s">
        <v>288</v>
      </c>
      <c r="I1890">
        <v>44</v>
      </c>
    </row>
    <row r="1891" spans="1:10" x14ac:dyDescent="0.2">
      <c r="A1891" t="s">
        <v>426</v>
      </c>
      <c r="B1891" t="s">
        <v>327</v>
      </c>
      <c r="C1891" t="s">
        <v>264</v>
      </c>
      <c r="D1891" t="s">
        <v>265</v>
      </c>
      <c r="E1891">
        <v>8039</v>
      </c>
      <c r="F1891" t="s">
        <v>3412</v>
      </c>
      <c r="G1891" t="s">
        <v>274</v>
      </c>
      <c r="H1891" t="s">
        <v>272</v>
      </c>
      <c r="I1891">
        <v>22</v>
      </c>
    </row>
    <row r="1892" spans="1:10" x14ac:dyDescent="0.2">
      <c r="A1892" t="s">
        <v>426</v>
      </c>
      <c r="B1892" t="s">
        <v>327</v>
      </c>
      <c r="C1892" t="s">
        <v>264</v>
      </c>
      <c r="D1892" t="s">
        <v>265</v>
      </c>
      <c r="E1892">
        <v>8152</v>
      </c>
      <c r="F1892" t="s">
        <v>613</v>
      </c>
      <c r="G1892" t="s">
        <v>274</v>
      </c>
      <c r="H1892" t="s">
        <v>272</v>
      </c>
      <c r="I1892">
        <v>37</v>
      </c>
    </row>
    <row r="1893" spans="1:10" x14ac:dyDescent="0.2">
      <c r="A1893" t="s">
        <v>426</v>
      </c>
      <c r="B1893" t="s">
        <v>327</v>
      </c>
      <c r="C1893" t="s">
        <v>264</v>
      </c>
      <c r="D1893" t="s">
        <v>265</v>
      </c>
      <c r="E1893">
        <v>8207</v>
      </c>
      <c r="F1893" t="s">
        <v>3413</v>
      </c>
      <c r="G1893" t="s">
        <v>266</v>
      </c>
      <c r="H1893" t="s">
        <v>276</v>
      </c>
      <c r="I1893">
        <v>117</v>
      </c>
    </row>
    <row r="1894" spans="1:10" x14ac:dyDescent="0.2">
      <c r="A1894" t="s">
        <v>426</v>
      </c>
      <c r="B1894" t="s">
        <v>327</v>
      </c>
      <c r="C1894" t="s">
        <v>264</v>
      </c>
      <c r="D1894" t="s">
        <v>265</v>
      </c>
      <c r="E1894">
        <v>8215</v>
      </c>
      <c r="F1894" t="s">
        <v>3414</v>
      </c>
      <c r="G1894" t="s">
        <v>270</v>
      </c>
      <c r="H1894" t="s">
        <v>276</v>
      </c>
      <c r="I1894">
        <v>31</v>
      </c>
    </row>
    <row r="1895" spans="1:10" x14ac:dyDescent="0.2">
      <c r="A1895" t="s">
        <v>426</v>
      </c>
      <c r="B1895" t="s">
        <v>327</v>
      </c>
      <c r="C1895" t="s">
        <v>264</v>
      </c>
      <c r="D1895" t="s">
        <v>265</v>
      </c>
      <c r="E1895">
        <v>8225</v>
      </c>
      <c r="F1895" t="s">
        <v>3415</v>
      </c>
      <c r="G1895" t="s">
        <v>270</v>
      </c>
      <c r="H1895" t="s">
        <v>272</v>
      </c>
      <c r="I1895">
        <v>12</v>
      </c>
    </row>
    <row r="1896" spans="1:10" x14ac:dyDescent="0.2">
      <c r="A1896" t="s">
        <v>426</v>
      </c>
      <c r="B1896" t="s">
        <v>327</v>
      </c>
      <c r="C1896" t="s">
        <v>264</v>
      </c>
      <c r="D1896" t="s">
        <v>265</v>
      </c>
      <c r="E1896">
        <v>8279</v>
      </c>
      <c r="F1896" t="s">
        <v>3416</v>
      </c>
      <c r="G1896" t="s">
        <v>266</v>
      </c>
      <c r="H1896" t="s">
        <v>276</v>
      </c>
      <c r="I1896" t="s">
        <v>289</v>
      </c>
      <c r="J1896" t="s">
        <v>4413</v>
      </c>
    </row>
    <row r="1897" spans="1:10" x14ac:dyDescent="0.2">
      <c r="A1897" t="s">
        <v>426</v>
      </c>
      <c r="B1897" t="s">
        <v>327</v>
      </c>
      <c r="C1897" t="s">
        <v>264</v>
      </c>
      <c r="D1897" t="s">
        <v>265</v>
      </c>
      <c r="E1897">
        <v>8392</v>
      </c>
      <c r="F1897" t="s">
        <v>3417</v>
      </c>
      <c r="G1897" t="s">
        <v>266</v>
      </c>
      <c r="H1897" t="s">
        <v>484</v>
      </c>
      <c r="I1897">
        <v>436</v>
      </c>
    </row>
    <row r="1898" spans="1:10" x14ac:dyDescent="0.2">
      <c r="A1898" t="s">
        <v>426</v>
      </c>
      <c r="B1898" t="s">
        <v>327</v>
      </c>
      <c r="C1898" t="s">
        <v>264</v>
      </c>
      <c r="D1898" t="s">
        <v>265</v>
      </c>
      <c r="E1898">
        <v>8515</v>
      </c>
      <c r="F1898" t="s">
        <v>4508</v>
      </c>
      <c r="G1898" t="s">
        <v>266</v>
      </c>
      <c r="H1898" t="s">
        <v>302</v>
      </c>
      <c r="I1898" t="s">
        <v>297</v>
      </c>
      <c r="J1898" t="s">
        <v>4643</v>
      </c>
    </row>
    <row r="1899" spans="1:10" x14ac:dyDescent="0.2">
      <c r="A1899" t="s">
        <v>426</v>
      </c>
      <c r="B1899" t="s">
        <v>327</v>
      </c>
      <c r="C1899" t="s">
        <v>264</v>
      </c>
      <c r="D1899" t="s">
        <v>265</v>
      </c>
      <c r="E1899">
        <v>8802</v>
      </c>
      <c r="F1899" t="s">
        <v>3418</v>
      </c>
      <c r="G1899" t="s">
        <v>266</v>
      </c>
      <c r="H1899" t="s">
        <v>292</v>
      </c>
      <c r="I1899" t="s">
        <v>2863</v>
      </c>
      <c r="J1899" t="s">
        <v>4683</v>
      </c>
    </row>
    <row r="1900" spans="1:10" x14ac:dyDescent="0.2">
      <c r="A1900" t="s">
        <v>426</v>
      </c>
      <c r="B1900" t="s">
        <v>327</v>
      </c>
      <c r="C1900" t="s">
        <v>264</v>
      </c>
      <c r="D1900" t="s">
        <v>265</v>
      </c>
      <c r="E1900">
        <v>8999</v>
      </c>
      <c r="F1900" t="s">
        <v>3419</v>
      </c>
      <c r="G1900" t="s">
        <v>266</v>
      </c>
      <c r="H1900" t="s">
        <v>292</v>
      </c>
      <c r="I1900">
        <v>155</v>
      </c>
    </row>
    <row r="1901" spans="1:10" x14ac:dyDescent="0.2">
      <c r="A1901" t="s">
        <v>426</v>
      </c>
      <c r="B1901" t="s">
        <v>327</v>
      </c>
      <c r="C1901" t="s">
        <v>264</v>
      </c>
      <c r="D1901" t="s">
        <v>265</v>
      </c>
      <c r="E1901">
        <v>9068</v>
      </c>
      <c r="F1901" t="s">
        <v>3420</v>
      </c>
      <c r="G1901" t="s">
        <v>266</v>
      </c>
      <c r="H1901" t="s">
        <v>356</v>
      </c>
      <c r="I1901">
        <v>651</v>
      </c>
    </row>
    <row r="1902" spans="1:10" x14ac:dyDescent="0.2">
      <c r="A1902" t="s">
        <v>426</v>
      </c>
      <c r="B1902" t="s">
        <v>327</v>
      </c>
      <c r="C1902" t="s">
        <v>264</v>
      </c>
      <c r="D1902" t="s">
        <v>265</v>
      </c>
      <c r="E1902">
        <v>9083</v>
      </c>
      <c r="F1902" t="s">
        <v>3421</v>
      </c>
      <c r="G1902" t="s">
        <v>274</v>
      </c>
      <c r="H1902" t="s">
        <v>356</v>
      </c>
      <c r="I1902">
        <v>250</v>
      </c>
    </row>
    <row r="1903" spans="1:10" x14ac:dyDescent="0.2">
      <c r="A1903" t="s">
        <v>426</v>
      </c>
      <c r="B1903" t="s">
        <v>327</v>
      </c>
      <c r="C1903" t="s">
        <v>264</v>
      </c>
      <c r="D1903" t="s">
        <v>265</v>
      </c>
      <c r="E1903">
        <v>9142</v>
      </c>
      <c r="F1903" t="s">
        <v>3422</v>
      </c>
      <c r="G1903" t="s">
        <v>266</v>
      </c>
      <c r="H1903" t="s">
        <v>356</v>
      </c>
      <c r="I1903" t="s">
        <v>283</v>
      </c>
      <c r="J1903" t="s">
        <v>4298</v>
      </c>
    </row>
    <row r="1904" spans="1:10" x14ac:dyDescent="0.2">
      <c r="A1904" t="s">
        <v>426</v>
      </c>
      <c r="B1904" t="s">
        <v>327</v>
      </c>
      <c r="C1904" t="s">
        <v>264</v>
      </c>
      <c r="D1904" t="s">
        <v>265</v>
      </c>
      <c r="E1904">
        <v>9322</v>
      </c>
      <c r="F1904" t="s">
        <v>3423</v>
      </c>
      <c r="G1904" t="s">
        <v>266</v>
      </c>
      <c r="H1904" t="s">
        <v>556</v>
      </c>
      <c r="I1904">
        <v>87</v>
      </c>
    </row>
    <row r="1905" spans="1:10" x14ac:dyDescent="0.2">
      <c r="A1905" t="s">
        <v>426</v>
      </c>
      <c r="B1905" t="s">
        <v>327</v>
      </c>
      <c r="C1905" t="s">
        <v>264</v>
      </c>
      <c r="D1905" t="s">
        <v>269</v>
      </c>
      <c r="E1905">
        <v>9625</v>
      </c>
      <c r="F1905" t="s">
        <v>3424</v>
      </c>
      <c r="G1905" t="s">
        <v>270</v>
      </c>
      <c r="H1905" t="s">
        <v>271</v>
      </c>
      <c r="I1905">
        <v>111</v>
      </c>
    </row>
    <row r="1906" spans="1:10" x14ac:dyDescent="0.2">
      <c r="A1906" t="s">
        <v>426</v>
      </c>
      <c r="B1906" t="s">
        <v>327</v>
      </c>
      <c r="C1906" t="s">
        <v>264</v>
      </c>
      <c r="D1906" t="s">
        <v>265</v>
      </c>
      <c r="E1906">
        <v>9769</v>
      </c>
      <c r="F1906" t="s">
        <v>3425</v>
      </c>
      <c r="G1906" t="s">
        <v>266</v>
      </c>
      <c r="H1906" t="s">
        <v>271</v>
      </c>
      <c r="I1906">
        <v>162</v>
      </c>
    </row>
    <row r="1907" spans="1:10" x14ac:dyDescent="0.2">
      <c r="A1907" t="s">
        <v>426</v>
      </c>
      <c r="B1907" t="s">
        <v>327</v>
      </c>
      <c r="C1907" t="s">
        <v>264</v>
      </c>
      <c r="D1907" t="s">
        <v>265</v>
      </c>
      <c r="E1907">
        <v>9854</v>
      </c>
      <c r="F1907" t="s">
        <v>3426</v>
      </c>
      <c r="G1907" t="s">
        <v>266</v>
      </c>
      <c r="H1907" t="s">
        <v>276</v>
      </c>
      <c r="I1907">
        <v>53</v>
      </c>
    </row>
    <row r="1908" spans="1:10" x14ac:dyDescent="0.2">
      <c r="A1908" t="s">
        <v>426</v>
      </c>
      <c r="B1908" t="s">
        <v>327</v>
      </c>
      <c r="C1908" t="s">
        <v>264</v>
      </c>
      <c r="D1908" t="s">
        <v>265</v>
      </c>
      <c r="E1908">
        <v>9900</v>
      </c>
      <c r="F1908" t="s">
        <v>3427</v>
      </c>
      <c r="G1908" t="s">
        <v>266</v>
      </c>
      <c r="H1908" t="s">
        <v>276</v>
      </c>
      <c r="I1908">
        <v>364</v>
      </c>
    </row>
    <row r="1909" spans="1:10" x14ac:dyDescent="0.2">
      <c r="A1909" t="s">
        <v>426</v>
      </c>
      <c r="B1909" t="s">
        <v>327</v>
      </c>
      <c r="C1909" t="s">
        <v>264</v>
      </c>
      <c r="D1909" t="s">
        <v>265</v>
      </c>
      <c r="E1909">
        <v>9913</v>
      </c>
      <c r="F1909" t="s">
        <v>3428</v>
      </c>
      <c r="G1909" t="s">
        <v>270</v>
      </c>
      <c r="H1909" t="s">
        <v>272</v>
      </c>
      <c r="I1909">
        <v>58</v>
      </c>
    </row>
    <row r="1910" spans="1:10" x14ac:dyDescent="0.2">
      <c r="A1910" t="s">
        <v>426</v>
      </c>
      <c r="B1910" t="s">
        <v>290</v>
      </c>
      <c r="C1910" t="s">
        <v>273</v>
      </c>
      <c r="D1910" t="s">
        <v>265</v>
      </c>
      <c r="E1910">
        <v>1439</v>
      </c>
      <c r="F1910" t="s">
        <v>1787</v>
      </c>
      <c r="G1910" t="s">
        <v>270</v>
      </c>
      <c r="H1910" t="s">
        <v>293</v>
      </c>
      <c r="I1910">
        <v>17</v>
      </c>
    </row>
    <row r="1911" spans="1:10" x14ac:dyDescent="0.2">
      <c r="A1911" t="s">
        <v>426</v>
      </c>
      <c r="B1911" t="s">
        <v>1689</v>
      </c>
      <c r="C1911" t="s">
        <v>273</v>
      </c>
      <c r="D1911" t="s">
        <v>265</v>
      </c>
      <c r="E1911">
        <v>1663</v>
      </c>
      <c r="F1911" t="s">
        <v>3429</v>
      </c>
      <c r="G1911" t="s">
        <v>266</v>
      </c>
      <c r="H1911" t="s">
        <v>565</v>
      </c>
      <c r="I1911">
        <v>471</v>
      </c>
    </row>
    <row r="1912" spans="1:10" x14ac:dyDescent="0.2">
      <c r="A1912" t="s">
        <v>426</v>
      </c>
      <c r="B1912" t="s">
        <v>1689</v>
      </c>
      <c r="C1912" t="s">
        <v>264</v>
      </c>
      <c r="D1912" t="s">
        <v>265</v>
      </c>
      <c r="E1912">
        <v>1711</v>
      </c>
      <c r="F1912" t="s">
        <v>1788</v>
      </c>
      <c r="G1912" t="s">
        <v>274</v>
      </c>
      <c r="H1912" t="s">
        <v>293</v>
      </c>
      <c r="I1912">
        <v>15</v>
      </c>
    </row>
    <row r="1913" spans="1:10" x14ac:dyDescent="0.2">
      <c r="A1913" t="s">
        <v>426</v>
      </c>
      <c r="B1913" t="s">
        <v>1689</v>
      </c>
      <c r="C1913" t="s">
        <v>264</v>
      </c>
      <c r="D1913" t="s">
        <v>265</v>
      </c>
      <c r="E1913">
        <v>1888</v>
      </c>
      <c r="F1913" t="s">
        <v>3430</v>
      </c>
      <c r="G1913" t="s">
        <v>266</v>
      </c>
      <c r="H1913" t="s">
        <v>293</v>
      </c>
      <c r="I1913">
        <v>226</v>
      </c>
    </row>
    <row r="1914" spans="1:10" x14ac:dyDescent="0.2">
      <c r="A1914" t="s">
        <v>426</v>
      </c>
      <c r="B1914" t="s">
        <v>1689</v>
      </c>
      <c r="C1914" t="s">
        <v>264</v>
      </c>
      <c r="D1914" t="s">
        <v>265</v>
      </c>
      <c r="E1914">
        <v>2901</v>
      </c>
      <c r="F1914" t="s">
        <v>3431</v>
      </c>
      <c r="G1914" t="s">
        <v>270</v>
      </c>
      <c r="H1914" t="s">
        <v>267</v>
      </c>
      <c r="I1914">
        <v>11</v>
      </c>
    </row>
    <row r="1915" spans="1:10" x14ac:dyDescent="0.2">
      <c r="A1915" t="s">
        <v>426</v>
      </c>
      <c r="B1915" t="s">
        <v>1689</v>
      </c>
      <c r="C1915" t="s">
        <v>264</v>
      </c>
      <c r="D1915" t="s">
        <v>265</v>
      </c>
      <c r="E1915">
        <v>3291</v>
      </c>
      <c r="F1915" t="s">
        <v>762</v>
      </c>
      <c r="G1915" t="s">
        <v>266</v>
      </c>
      <c r="H1915" t="s">
        <v>292</v>
      </c>
      <c r="I1915" t="s">
        <v>283</v>
      </c>
      <c r="J1915" t="s">
        <v>4970</v>
      </c>
    </row>
    <row r="1916" spans="1:10" x14ac:dyDescent="0.2">
      <c r="A1916" t="s">
        <v>426</v>
      </c>
      <c r="B1916" t="s">
        <v>1689</v>
      </c>
      <c r="C1916" t="s">
        <v>264</v>
      </c>
      <c r="D1916" t="s">
        <v>265</v>
      </c>
      <c r="E1916">
        <v>3641</v>
      </c>
      <c r="F1916" t="s">
        <v>3432</v>
      </c>
      <c r="G1916" t="s">
        <v>270</v>
      </c>
      <c r="H1916" t="s">
        <v>277</v>
      </c>
      <c r="I1916">
        <v>204</v>
      </c>
    </row>
    <row r="1917" spans="1:10" x14ac:dyDescent="0.2">
      <c r="A1917" t="s">
        <v>426</v>
      </c>
      <c r="B1917" t="s">
        <v>1689</v>
      </c>
      <c r="C1917" t="s">
        <v>264</v>
      </c>
      <c r="D1917" t="s">
        <v>265</v>
      </c>
      <c r="E1917">
        <v>3772</v>
      </c>
      <c r="F1917" t="s">
        <v>3433</v>
      </c>
      <c r="G1917" t="s">
        <v>274</v>
      </c>
      <c r="H1917" t="s">
        <v>292</v>
      </c>
      <c r="I1917">
        <v>183</v>
      </c>
    </row>
    <row r="1918" spans="1:10" x14ac:dyDescent="0.2">
      <c r="A1918" t="s">
        <v>426</v>
      </c>
      <c r="B1918" t="s">
        <v>1689</v>
      </c>
      <c r="C1918" t="s">
        <v>264</v>
      </c>
      <c r="D1918" t="s">
        <v>269</v>
      </c>
      <c r="E1918">
        <v>4274</v>
      </c>
      <c r="F1918" t="s">
        <v>3434</v>
      </c>
      <c r="G1918" t="s">
        <v>270</v>
      </c>
      <c r="H1918" t="s">
        <v>279</v>
      </c>
      <c r="I1918">
        <v>40</v>
      </c>
    </row>
    <row r="1919" spans="1:10" x14ac:dyDescent="0.2">
      <c r="A1919" t="s">
        <v>426</v>
      </c>
      <c r="B1919" t="s">
        <v>1689</v>
      </c>
      <c r="C1919" t="s">
        <v>264</v>
      </c>
      <c r="D1919" t="s">
        <v>265</v>
      </c>
      <c r="E1919">
        <v>4814</v>
      </c>
      <c r="F1919" t="s">
        <v>3435</v>
      </c>
      <c r="G1919" t="s">
        <v>270</v>
      </c>
      <c r="H1919" t="s">
        <v>277</v>
      </c>
      <c r="I1919">
        <v>36</v>
      </c>
    </row>
    <row r="1920" spans="1:10" x14ac:dyDescent="0.2">
      <c r="A1920" t="s">
        <v>426</v>
      </c>
      <c r="B1920" t="s">
        <v>1689</v>
      </c>
      <c r="C1920" t="s">
        <v>264</v>
      </c>
      <c r="D1920" t="s">
        <v>265</v>
      </c>
      <c r="E1920">
        <v>4925</v>
      </c>
      <c r="F1920" t="s">
        <v>3436</v>
      </c>
      <c r="G1920" t="s">
        <v>270</v>
      </c>
      <c r="H1920" t="s">
        <v>279</v>
      </c>
      <c r="I1920">
        <v>320</v>
      </c>
    </row>
    <row r="1921" spans="1:9" x14ac:dyDescent="0.2">
      <c r="A1921" t="s">
        <v>426</v>
      </c>
      <c r="B1921" t="s">
        <v>1689</v>
      </c>
      <c r="C1921" t="s">
        <v>264</v>
      </c>
      <c r="D1921" t="s">
        <v>265</v>
      </c>
      <c r="E1921">
        <v>5970</v>
      </c>
      <c r="F1921" t="s">
        <v>3437</v>
      </c>
      <c r="G1921" t="s">
        <v>266</v>
      </c>
      <c r="H1921" t="s">
        <v>281</v>
      </c>
      <c r="I1921">
        <v>754</v>
      </c>
    </row>
    <row r="1922" spans="1:9" x14ac:dyDescent="0.2">
      <c r="A1922" t="s">
        <v>426</v>
      </c>
      <c r="B1922" t="s">
        <v>1689</v>
      </c>
      <c r="C1922" t="s">
        <v>264</v>
      </c>
      <c r="D1922" t="s">
        <v>265</v>
      </c>
      <c r="E1922">
        <v>5998</v>
      </c>
      <c r="F1922" t="s">
        <v>3438</v>
      </c>
      <c r="G1922" t="s">
        <v>266</v>
      </c>
      <c r="H1922" t="s">
        <v>281</v>
      </c>
      <c r="I1922">
        <v>70</v>
      </c>
    </row>
    <row r="1923" spans="1:9" x14ac:dyDescent="0.2">
      <c r="A1923" t="s">
        <v>426</v>
      </c>
      <c r="B1923" t="s">
        <v>1689</v>
      </c>
      <c r="C1923" t="s">
        <v>268</v>
      </c>
      <c r="D1923" t="s">
        <v>265</v>
      </c>
      <c r="E1923">
        <v>6284</v>
      </c>
      <c r="F1923" t="s">
        <v>3439</v>
      </c>
      <c r="G1923" t="s">
        <v>266</v>
      </c>
      <c r="H1923" t="s">
        <v>287</v>
      </c>
      <c r="I1923">
        <v>660</v>
      </c>
    </row>
    <row r="1924" spans="1:9" x14ac:dyDescent="0.2">
      <c r="A1924" t="s">
        <v>426</v>
      </c>
      <c r="B1924" t="s">
        <v>1689</v>
      </c>
      <c r="C1924" t="s">
        <v>264</v>
      </c>
      <c r="D1924" t="s">
        <v>265</v>
      </c>
      <c r="E1924">
        <v>6420</v>
      </c>
      <c r="F1924" t="s">
        <v>3440</v>
      </c>
      <c r="G1924" t="s">
        <v>266</v>
      </c>
      <c r="H1924" t="s">
        <v>287</v>
      </c>
      <c r="I1924">
        <v>912</v>
      </c>
    </row>
    <row r="1925" spans="1:9" x14ac:dyDescent="0.2">
      <c r="A1925" t="s">
        <v>426</v>
      </c>
      <c r="B1925" t="s">
        <v>1689</v>
      </c>
      <c r="C1925" t="s">
        <v>264</v>
      </c>
      <c r="D1925" t="s">
        <v>265</v>
      </c>
      <c r="E1925">
        <v>6776</v>
      </c>
      <c r="F1925" t="s">
        <v>3441</v>
      </c>
      <c r="G1925" t="s">
        <v>274</v>
      </c>
      <c r="H1925" t="s">
        <v>279</v>
      </c>
      <c r="I1925">
        <v>94</v>
      </c>
    </row>
    <row r="1926" spans="1:9" x14ac:dyDescent="0.2">
      <c r="A1926" t="s">
        <v>426</v>
      </c>
      <c r="B1926" t="s">
        <v>1689</v>
      </c>
      <c r="C1926" t="s">
        <v>264</v>
      </c>
      <c r="D1926" t="s">
        <v>265</v>
      </c>
      <c r="E1926">
        <v>6839</v>
      </c>
      <c r="F1926" t="s">
        <v>3442</v>
      </c>
      <c r="G1926" t="s">
        <v>266</v>
      </c>
      <c r="H1926" t="s">
        <v>291</v>
      </c>
      <c r="I1926">
        <v>248</v>
      </c>
    </row>
    <row r="1927" spans="1:9" x14ac:dyDescent="0.2">
      <c r="A1927" t="s">
        <v>426</v>
      </c>
      <c r="B1927" t="s">
        <v>1689</v>
      </c>
      <c r="C1927" t="s">
        <v>264</v>
      </c>
      <c r="D1927" t="s">
        <v>265</v>
      </c>
      <c r="E1927">
        <v>7247</v>
      </c>
      <c r="F1927" t="s">
        <v>3443</v>
      </c>
      <c r="G1927" t="s">
        <v>266</v>
      </c>
      <c r="H1927" t="s">
        <v>296</v>
      </c>
      <c r="I1927">
        <v>121</v>
      </c>
    </row>
    <row r="1928" spans="1:9" x14ac:dyDescent="0.2">
      <c r="A1928" t="s">
        <v>426</v>
      </c>
      <c r="B1928" t="s">
        <v>1689</v>
      </c>
      <c r="C1928" t="s">
        <v>264</v>
      </c>
      <c r="D1928" t="s">
        <v>265</v>
      </c>
      <c r="E1928">
        <v>7256</v>
      </c>
      <c r="F1928" t="s">
        <v>3444</v>
      </c>
      <c r="G1928" t="s">
        <v>266</v>
      </c>
      <c r="H1928" t="s">
        <v>296</v>
      </c>
      <c r="I1928">
        <v>330</v>
      </c>
    </row>
    <row r="1929" spans="1:9" x14ac:dyDescent="0.2">
      <c r="A1929" t="s">
        <v>426</v>
      </c>
      <c r="B1929" t="s">
        <v>1689</v>
      </c>
      <c r="C1929" t="s">
        <v>275</v>
      </c>
      <c r="D1929" t="s">
        <v>265</v>
      </c>
      <c r="E1929">
        <v>7320</v>
      </c>
      <c r="F1929" t="s">
        <v>650</v>
      </c>
      <c r="G1929" t="s">
        <v>278</v>
      </c>
      <c r="H1929" t="s">
        <v>302</v>
      </c>
      <c r="I1929">
        <v>71</v>
      </c>
    </row>
    <row r="1930" spans="1:9" x14ac:dyDescent="0.2">
      <c r="A1930" t="s">
        <v>426</v>
      </c>
      <c r="B1930" t="s">
        <v>1689</v>
      </c>
      <c r="C1930" t="s">
        <v>264</v>
      </c>
      <c r="D1930" t="s">
        <v>265</v>
      </c>
      <c r="E1930">
        <v>7444</v>
      </c>
      <c r="F1930" t="s">
        <v>3445</v>
      </c>
      <c r="G1930" t="s">
        <v>274</v>
      </c>
      <c r="H1930" t="s">
        <v>272</v>
      </c>
      <c r="I1930">
        <v>96</v>
      </c>
    </row>
    <row r="1931" spans="1:9" x14ac:dyDescent="0.2">
      <c r="A1931" t="s">
        <v>426</v>
      </c>
      <c r="B1931" t="s">
        <v>1689</v>
      </c>
      <c r="C1931" t="s">
        <v>264</v>
      </c>
      <c r="D1931" t="s">
        <v>265</v>
      </c>
      <c r="E1931">
        <v>7562</v>
      </c>
      <c r="F1931" t="s">
        <v>3446</v>
      </c>
      <c r="G1931" t="s">
        <v>274</v>
      </c>
      <c r="H1931" t="s">
        <v>276</v>
      </c>
      <c r="I1931">
        <v>111</v>
      </c>
    </row>
    <row r="1932" spans="1:9" x14ac:dyDescent="0.2">
      <c r="A1932" t="s">
        <v>426</v>
      </c>
      <c r="B1932" t="s">
        <v>1689</v>
      </c>
      <c r="C1932" t="s">
        <v>264</v>
      </c>
      <c r="D1932" t="s">
        <v>265</v>
      </c>
      <c r="E1932">
        <v>7678</v>
      </c>
      <c r="F1932" t="s">
        <v>3447</v>
      </c>
      <c r="G1932" t="s">
        <v>270</v>
      </c>
      <c r="H1932" t="s">
        <v>276</v>
      </c>
      <c r="I1932">
        <v>95</v>
      </c>
    </row>
    <row r="1933" spans="1:9" x14ac:dyDescent="0.2">
      <c r="A1933" t="s">
        <v>426</v>
      </c>
      <c r="B1933" t="s">
        <v>1689</v>
      </c>
      <c r="C1933" t="s">
        <v>264</v>
      </c>
      <c r="D1933" t="s">
        <v>265</v>
      </c>
      <c r="E1933">
        <v>7722</v>
      </c>
      <c r="F1933" t="s">
        <v>1791</v>
      </c>
      <c r="G1933" t="s">
        <v>270</v>
      </c>
      <c r="H1933" t="s">
        <v>342</v>
      </c>
      <c r="I1933">
        <v>110</v>
      </c>
    </row>
    <row r="1934" spans="1:9" x14ac:dyDescent="0.2">
      <c r="A1934" t="s">
        <v>426</v>
      </c>
      <c r="B1934" t="s">
        <v>1689</v>
      </c>
      <c r="C1934" t="s">
        <v>264</v>
      </c>
      <c r="D1934" t="s">
        <v>265</v>
      </c>
      <c r="E1934">
        <v>7822</v>
      </c>
      <c r="F1934" t="s">
        <v>3448</v>
      </c>
      <c r="G1934" t="s">
        <v>266</v>
      </c>
      <c r="H1934" t="s">
        <v>288</v>
      </c>
      <c r="I1934">
        <v>163</v>
      </c>
    </row>
    <row r="1935" spans="1:9" x14ac:dyDescent="0.2">
      <c r="A1935" t="s">
        <v>426</v>
      </c>
      <c r="B1935" t="s">
        <v>1689</v>
      </c>
      <c r="C1935" t="s">
        <v>264</v>
      </c>
      <c r="D1935" t="s">
        <v>265</v>
      </c>
      <c r="E1935">
        <v>7872</v>
      </c>
      <c r="F1935" t="s">
        <v>3449</v>
      </c>
      <c r="G1935" t="s">
        <v>266</v>
      </c>
      <c r="H1935" t="s">
        <v>288</v>
      </c>
      <c r="I1935">
        <v>81</v>
      </c>
    </row>
    <row r="1936" spans="1:9" x14ac:dyDescent="0.2">
      <c r="A1936" t="s">
        <v>426</v>
      </c>
      <c r="B1936" t="s">
        <v>1689</v>
      </c>
      <c r="C1936" t="s">
        <v>264</v>
      </c>
      <c r="D1936" t="s">
        <v>265</v>
      </c>
      <c r="E1936">
        <v>7877</v>
      </c>
      <c r="F1936" t="s">
        <v>3450</v>
      </c>
      <c r="G1936" t="s">
        <v>270</v>
      </c>
      <c r="H1936" t="s">
        <v>279</v>
      </c>
      <c r="I1936">
        <v>25</v>
      </c>
    </row>
    <row r="1937" spans="1:9" x14ac:dyDescent="0.2">
      <c r="A1937" t="s">
        <v>426</v>
      </c>
      <c r="B1937" t="s">
        <v>1689</v>
      </c>
      <c r="C1937" t="s">
        <v>264</v>
      </c>
      <c r="D1937" t="s">
        <v>265</v>
      </c>
      <c r="E1937">
        <v>7916</v>
      </c>
      <c r="F1937" t="s">
        <v>3451</v>
      </c>
      <c r="G1937" t="s">
        <v>266</v>
      </c>
      <c r="H1937" t="s">
        <v>288</v>
      </c>
      <c r="I1937">
        <v>53</v>
      </c>
    </row>
    <row r="1938" spans="1:9" x14ac:dyDescent="0.2">
      <c r="A1938" t="s">
        <v>426</v>
      </c>
      <c r="B1938" t="s">
        <v>1689</v>
      </c>
      <c r="C1938" t="s">
        <v>264</v>
      </c>
      <c r="D1938" t="s">
        <v>265</v>
      </c>
      <c r="E1938">
        <v>8524</v>
      </c>
      <c r="F1938" t="s">
        <v>3452</v>
      </c>
      <c r="G1938" t="s">
        <v>266</v>
      </c>
      <c r="H1938" t="s">
        <v>484</v>
      </c>
      <c r="I1938">
        <v>902</v>
      </c>
    </row>
    <row r="1939" spans="1:9" x14ac:dyDescent="0.2">
      <c r="A1939" t="s">
        <v>426</v>
      </c>
      <c r="B1939" t="s">
        <v>1689</v>
      </c>
      <c r="C1939" t="s">
        <v>264</v>
      </c>
      <c r="D1939" t="s">
        <v>265</v>
      </c>
      <c r="E1939">
        <v>9479</v>
      </c>
      <c r="F1939" t="s">
        <v>1486</v>
      </c>
      <c r="G1939" t="s">
        <v>266</v>
      </c>
      <c r="H1939" t="s">
        <v>277</v>
      </c>
      <c r="I1939">
        <v>68</v>
      </c>
    </row>
    <row r="1940" spans="1:9" x14ac:dyDescent="0.2">
      <c r="A1940" t="s">
        <v>426</v>
      </c>
      <c r="B1940" t="s">
        <v>1689</v>
      </c>
      <c r="C1940" t="s">
        <v>264</v>
      </c>
      <c r="D1940" t="s">
        <v>265</v>
      </c>
      <c r="E1940">
        <v>9635</v>
      </c>
      <c r="F1940" t="s">
        <v>3453</v>
      </c>
      <c r="G1940" t="s">
        <v>274</v>
      </c>
      <c r="H1940" t="s">
        <v>271</v>
      </c>
      <c r="I1940">
        <v>26</v>
      </c>
    </row>
    <row r="1941" spans="1:9" x14ac:dyDescent="0.2">
      <c r="A1941" t="s">
        <v>426</v>
      </c>
      <c r="B1941" t="s">
        <v>1689</v>
      </c>
      <c r="C1941" t="s">
        <v>264</v>
      </c>
      <c r="D1941" t="s">
        <v>265</v>
      </c>
      <c r="E1941">
        <v>9845</v>
      </c>
      <c r="F1941" t="s">
        <v>3454</v>
      </c>
      <c r="G1941" t="s">
        <v>274</v>
      </c>
      <c r="H1941" t="s">
        <v>279</v>
      </c>
      <c r="I1941">
        <v>153</v>
      </c>
    </row>
    <row r="1942" spans="1:9" x14ac:dyDescent="0.2">
      <c r="A1942" t="s">
        <v>426</v>
      </c>
      <c r="B1942" t="s">
        <v>4372</v>
      </c>
      <c r="C1942" t="s">
        <v>275</v>
      </c>
      <c r="D1942" t="s">
        <v>269</v>
      </c>
      <c r="E1942">
        <v>6036</v>
      </c>
      <c r="F1942" t="s">
        <v>3459</v>
      </c>
      <c r="G1942" t="s">
        <v>266</v>
      </c>
      <c r="H1942" t="s">
        <v>271</v>
      </c>
      <c r="I1942">
        <v>192</v>
      </c>
    </row>
    <row r="1943" spans="1:9" x14ac:dyDescent="0.2">
      <c r="A1943" t="s">
        <v>426</v>
      </c>
      <c r="B1943" t="s">
        <v>1931</v>
      </c>
      <c r="C1943" t="s">
        <v>264</v>
      </c>
      <c r="D1943" t="s">
        <v>265</v>
      </c>
      <c r="E1943">
        <v>6137</v>
      </c>
      <c r="F1943" t="s">
        <v>3455</v>
      </c>
      <c r="G1943" t="s">
        <v>274</v>
      </c>
      <c r="H1943" t="s">
        <v>287</v>
      </c>
      <c r="I1943">
        <v>115</v>
      </c>
    </row>
    <row r="1944" spans="1:9" x14ac:dyDescent="0.2">
      <c r="A1944" t="s">
        <v>426</v>
      </c>
      <c r="B1944" t="s">
        <v>263</v>
      </c>
      <c r="C1944" t="s">
        <v>268</v>
      </c>
      <c r="D1944" t="s">
        <v>265</v>
      </c>
      <c r="E1944">
        <v>2304</v>
      </c>
      <c r="F1944" t="s">
        <v>3456</v>
      </c>
      <c r="G1944" t="s">
        <v>270</v>
      </c>
      <c r="H1944" t="s">
        <v>271</v>
      </c>
      <c r="I1944">
        <v>21</v>
      </c>
    </row>
    <row r="1945" spans="1:9" x14ac:dyDescent="0.2">
      <c r="A1945" t="s">
        <v>426</v>
      </c>
      <c r="B1945" t="s">
        <v>263</v>
      </c>
      <c r="C1945" t="s">
        <v>273</v>
      </c>
      <c r="D1945" t="s">
        <v>265</v>
      </c>
      <c r="E1945">
        <v>2777</v>
      </c>
      <c r="F1945" t="s">
        <v>3457</v>
      </c>
      <c r="G1945" t="s">
        <v>270</v>
      </c>
      <c r="H1945" t="s">
        <v>272</v>
      </c>
      <c r="I1945">
        <v>35</v>
      </c>
    </row>
    <row r="1946" spans="1:9" x14ac:dyDescent="0.2">
      <c r="A1946" t="s">
        <v>426</v>
      </c>
      <c r="B1946" t="s">
        <v>263</v>
      </c>
      <c r="C1946" t="s">
        <v>264</v>
      </c>
      <c r="D1946" t="s">
        <v>265</v>
      </c>
      <c r="E1946">
        <v>3561</v>
      </c>
      <c r="F1946" t="s">
        <v>3458</v>
      </c>
      <c r="G1946" t="s">
        <v>266</v>
      </c>
      <c r="H1946" t="s">
        <v>276</v>
      </c>
      <c r="I1946">
        <v>265</v>
      </c>
    </row>
    <row r="1947" spans="1:9" x14ac:dyDescent="0.2">
      <c r="A1947" t="s">
        <v>426</v>
      </c>
      <c r="B1947" t="s">
        <v>263</v>
      </c>
      <c r="C1947" t="s">
        <v>264</v>
      </c>
      <c r="D1947" t="s">
        <v>265</v>
      </c>
      <c r="E1947">
        <v>6548</v>
      </c>
      <c r="F1947" t="s">
        <v>3461</v>
      </c>
      <c r="G1947" t="s">
        <v>278</v>
      </c>
      <c r="H1947" t="s">
        <v>271</v>
      </c>
      <c r="I1947">
        <v>105</v>
      </c>
    </row>
    <row r="1948" spans="1:9" x14ac:dyDescent="0.2">
      <c r="A1948" t="s">
        <v>426</v>
      </c>
      <c r="B1948" t="s">
        <v>263</v>
      </c>
      <c r="C1948" t="s">
        <v>264</v>
      </c>
      <c r="D1948" t="s">
        <v>265</v>
      </c>
      <c r="E1948">
        <v>7266</v>
      </c>
      <c r="F1948" t="s">
        <v>3462</v>
      </c>
      <c r="G1948" t="s">
        <v>266</v>
      </c>
      <c r="H1948" t="s">
        <v>296</v>
      </c>
      <c r="I1948">
        <v>202</v>
      </c>
    </row>
    <row r="1949" spans="1:9" x14ac:dyDescent="0.2">
      <c r="A1949" t="s">
        <v>426</v>
      </c>
      <c r="B1949" t="s">
        <v>263</v>
      </c>
      <c r="C1949" t="s">
        <v>264</v>
      </c>
      <c r="D1949" t="s">
        <v>265</v>
      </c>
      <c r="E1949">
        <v>7868</v>
      </c>
      <c r="F1949" t="s">
        <v>3463</v>
      </c>
      <c r="G1949" t="s">
        <v>266</v>
      </c>
      <c r="H1949" t="s">
        <v>288</v>
      </c>
      <c r="I1949">
        <v>210</v>
      </c>
    </row>
    <row r="1950" spans="1:9" x14ac:dyDescent="0.2">
      <c r="A1950" t="s">
        <v>426</v>
      </c>
      <c r="B1950" t="s">
        <v>263</v>
      </c>
      <c r="C1950" t="s">
        <v>264</v>
      </c>
      <c r="D1950" t="s">
        <v>265</v>
      </c>
      <c r="E1950">
        <v>8108</v>
      </c>
      <c r="F1950" t="s">
        <v>428</v>
      </c>
      <c r="G1950" t="s">
        <v>429</v>
      </c>
      <c r="H1950" t="s">
        <v>272</v>
      </c>
      <c r="I1950">
        <v>268</v>
      </c>
    </row>
    <row r="1951" spans="1:9" x14ac:dyDescent="0.2">
      <c r="A1951" t="s">
        <v>426</v>
      </c>
      <c r="B1951" t="s">
        <v>263</v>
      </c>
      <c r="C1951" t="s">
        <v>264</v>
      </c>
      <c r="D1951" t="s">
        <v>265</v>
      </c>
      <c r="E1951">
        <v>8115</v>
      </c>
      <c r="F1951" t="s">
        <v>3464</v>
      </c>
      <c r="G1951" t="s">
        <v>274</v>
      </c>
      <c r="H1951" t="s">
        <v>272</v>
      </c>
      <c r="I1951">
        <v>44</v>
      </c>
    </row>
    <row r="1952" spans="1:9" x14ac:dyDescent="0.2">
      <c r="A1952" t="s">
        <v>426</v>
      </c>
      <c r="B1952" t="s">
        <v>263</v>
      </c>
      <c r="C1952" t="s">
        <v>264</v>
      </c>
      <c r="D1952" t="s">
        <v>265</v>
      </c>
      <c r="E1952">
        <v>8713</v>
      </c>
      <c r="F1952" t="s">
        <v>3465</v>
      </c>
      <c r="G1952" t="s">
        <v>266</v>
      </c>
      <c r="H1952" t="s">
        <v>484</v>
      </c>
      <c r="I1952">
        <v>234</v>
      </c>
    </row>
    <row r="1953" spans="1:10" x14ac:dyDescent="0.2">
      <c r="A1953" t="s">
        <v>426</v>
      </c>
      <c r="B1953" t="s">
        <v>263</v>
      </c>
      <c r="C1953" t="s">
        <v>264</v>
      </c>
      <c r="D1953" t="s">
        <v>265</v>
      </c>
      <c r="E1953">
        <v>9078</v>
      </c>
      <c r="F1953" t="s">
        <v>4509</v>
      </c>
      <c r="G1953" t="s">
        <v>266</v>
      </c>
      <c r="H1953" t="s">
        <v>356</v>
      </c>
      <c r="I1953">
        <v>115</v>
      </c>
    </row>
    <row r="1954" spans="1:10" x14ac:dyDescent="0.2">
      <c r="A1954" t="s">
        <v>426</v>
      </c>
      <c r="B1954" t="s">
        <v>263</v>
      </c>
      <c r="C1954" t="s">
        <v>264</v>
      </c>
      <c r="D1954" t="s">
        <v>265</v>
      </c>
      <c r="E1954">
        <v>9517</v>
      </c>
      <c r="F1954" t="s">
        <v>3466</v>
      </c>
      <c r="G1954" t="s">
        <v>266</v>
      </c>
      <c r="H1954" t="s">
        <v>489</v>
      </c>
      <c r="I1954">
        <v>871</v>
      </c>
    </row>
    <row r="1955" spans="1:10" x14ac:dyDescent="0.2">
      <c r="A1955" t="s">
        <v>430</v>
      </c>
      <c r="B1955" t="s">
        <v>1977</v>
      </c>
      <c r="C1955" t="s">
        <v>273</v>
      </c>
      <c r="D1955" t="s">
        <v>265</v>
      </c>
      <c r="E1955">
        <v>2389</v>
      </c>
      <c r="F1955" t="s">
        <v>3467</v>
      </c>
      <c r="G1955" t="s">
        <v>266</v>
      </c>
      <c r="H1955" t="s">
        <v>271</v>
      </c>
      <c r="I1955">
        <v>384</v>
      </c>
    </row>
    <row r="1956" spans="1:10" x14ac:dyDescent="0.2">
      <c r="A1956" t="s">
        <v>430</v>
      </c>
      <c r="B1956" t="s">
        <v>1915</v>
      </c>
      <c r="C1956" t="s">
        <v>264</v>
      </c>
      <c r="D1956" t="s">
        <v>265</v>
      </c>
      <c r="E1956">
        <v>1921</v>
      </c>
      <c r="F1956" t="s">
        <v>3468</v>
      </c>
      <c r="G1956" t="s">
        <v>266</v>
      </c>
      <c r="H1956" t="s">
        <v>293</v>
      </c>
      <c r="I1956">
        <v>196</v>
      </c>
    </row>
    <row r="1957" spans="1:10" x14ac:dyDescent="0.2">
      <c r="A1957" t="s">
        <v>430</v>
      </c>
      <c r="B1957" t="s">
        <v>1915</v>
      </c>
      <c r="C1957" t="s">
        <v>273</v>
      </c>
      <c r="D1957" t="s">
        <v>265</v>
      </c>
      <c r="E1957">
        <v>1994</v>
      </c>
      <c r="F1957" t="s">
        <v>3469</v>
      </c>
      <c r="G1957" t="s">
        <v>270</v>
      </c>
      <c r="H1957" t="s">
        <v>293</v>
      </c>
      <c r="I1957">
        <v>75</v>
      </c>
    </row>
    <row r="1958" spans="1:10" x14ac:dyDescent="0.2">
      <c r="A1958" t="s">
        <v>430</v>
      </c>
      <c r="B1958" t="s">
        <v>1915</v>
      </c>
      <c r="C1958" t="s">
        <v>273</v>
      </c>
      <c r="D1958" t="s">
        <v>265</v>
      </c>
      <c r="E1958">
        <v>5187</v>
      </c>
      <c r="F1958" t="s">
        <v>1491</v>
      </c>
      <c r="G1958" t="s">
        <v>266</v>
      </c>
      <c r="H1958" t="s">
        <v>342</v>
      </c>
      <c r="I1958">
        <v>103</v>
      </c>
    </row>
    <row r="1959" spans="1:10" x14ac:dyDescent="0.2">
      <c r="A1959" t="s">
        <v>430</v>
      </c>
      <c r="B1959" t="s">
        <v>1915</v>
      </c>
      <c r="C1959" t="s">
        <v>264</v>
      </c>
      <c r="D1959" t="s">
        <v>265</v>
      </c>
      <c r="E1959">
        <v>6513</v>
      </c>
      <c r="F1959" t="s">
        <v>3470</v>
      </c>
      <c r="G1959" t="s">
        <v>266</v>
      </c>
      <c r="H1959" t="s">
        <v>291</v>
      </c>
      <c r="I1959">
        <v>112</v>
      </c>
    </row>
    <row r="1960" spans="1:10" x14ac:dyDescent="0.2">
      <c r="A1960" t="s">
        <v>430</v>
      </c>
      <c r="B1960" t="s">
        <v>1915</v>
      </c>
      <c r="C1960" t="s">
        <v>264</v>
      </c>
      <c r="D1960" t="s">
        <v>265</v>
      </c>
      <c r="E1960">
        <v>9964</v>
      </c>
      <c r="F1960" t="s">
        <v>436</v>
      </c>
      <c r="G1960" t="s">
        <v>270</v>
      </c>
      <c r="H1960" t="s">
        <v>272</v>
      </c>
      <c r="I1960">
        <v>202</v>
      </c>
    </row>
    <row r="1961" spans="1:10" x14ac:dyDescent="0.2">
      <c r="A1961" t="s">
        <v>430</v>
      </c>
      <c r="B1961" t="s">
        <v>684</v>
      </c>
      <c r="C1961" t="s">
        <v>264</v>
      </c>
      <c r="D1961" t="s">
        <v>265</v>
      </c>
      <c r="E1961">
        <v>1802</v>
      </c>
      <c r="F1961" t="s">
        <v>3471</v>
      </c>
      <c r="G1961" t="s">
        <v>266</v>
      </c>
      <c r="H1961" t="s">
        <v>293</v>
      </c>
      <c r="I1961" t="s">
        <v>343</v>
      </c>
      <c r="J1961" t="s">
        <v>5012</v>
      </c>
    </row>
    <row r="1962" spans="1:10" x14ac:dyDescent="0.2">
      <c r="A1962" t="s">
        <v>430</v>
      </c>
      <c r="B1962" t="s">
        <v>684</v>
      </c>
      <c r="C1962" t="s">
        <v>264</v>
      </c>
      <c r="D1962" t="s">
        <v>265</v>
      </c>
      <c r="E1962">
        <v>1812</v>
      </c>
      <c r="F1962" t="s">
        <v>517</v>
      </c>
      <c r="G1962" t="s">
        <v>266</v>
      </c>
      <c r="H1962" t="s">
        <v>293</v>
      </c>
      <c r="I1962" t="s">
        <v>518</v>
      </c>
      <c r="J1962" t="s">
        <v>4734</v>
      </c>
    </row>
    <row r="1963" spans="1:10" x14ac:dyDescent="0.2">
      <c r="A1963" t="s">
        <v>430</v>
      </c>
      <c r="B1963" t="s">
        <v>684</v>
      </c>
      <c r="C1963" t="s">
        <v>264</v>
      </c>
      <c r="D1963" t="s">
        <v>265</v>
      </c>
      <c r="E1963">
        <v>3036</v>
      </c>
      <c r="F1963" t="s">
        <v>3472</v>
      </c>
      <c r="G1963" t="s">
        <v>266</v>
      </c>
      <c r="H1963" t="s">
        <v>272</v>
      </c>
      <c r="I1963">
        <v>371</v>
      </c>
    </row>
    <row r="1964" spans="1:10" x14ac:dyDescent="0.2">
      <c r="A1964" t="s">
        <v>430</v>
      </c>
      <c r="B1964" t="s">
        <v>684</v>
      </c>
      <c r="C1964" t="s">
        <v>273</v>
      </c>
      <c r="D1964" t="s">
        <v>265</v>
      </c>
      <c r="E1964">
        <v>3138</v>
      </c>
      <c r="F1964" t="s">
        <v>3473</v>
      </c>
      <c r="G1964" t="s">
        <v>278</v>
      </c>
      <c r="H1964" t="s">
        <v>276</v>
      </c>
      <c r="I1964">
        <v>33</v>
      </c>
    </row>
    <row r="1965" spans="1:10" x14ac:dyDescent="0.2">
      <c r="A1965" t="s">
        <v>430</v>
      </c>
      <c r="B1965" t="s">
        <v>684</v>
      </c>
      <c r="C1965" t="s">
        <v>273</v>
      </c>
      <c r="D1965" t="s">
        <v>269</v>
      </c>
      <c r="E1965">
        <v>4595</v>
      </c>
      <c r="F1965" t="s">
        <v>3474</v>
      </c>
      <c r="G1965" t="s">
        <v>274</v>
      </c>
      <c r="H1965" t="s">
        <v>311</v>
      </c>
      <c r="I1965">
        <v>249</v>
      </c>
    </row>
    <row r="1966" spans="1:10" x14ac:dyDescent="0.2">
      <c r="A1966" t="s">
        <v>430</v>
      </c>
      <c r="B1966" t="s">
        <v>684</v>
      </c>
      <c r="C1966" t="s">
        <v>264</v>
      </c>
      <c r="D1966" t="s">
        <v>265</v>
      </c>
      <c r="E1966">
        <v>6059</v>
      </c>
      <c r="F1966" t="s">
        <v>1531</v>
      </c>
      <c r="G1966" t="s">
        <v>266</v>
      </c>
      <c r="H1966" t="s">
        <v>271</v>
      </c>
      <c r="I1966">
        <v>119</v>
      </c>
    </row>
    <row r="1967" spans="1:10" x14ac:dyDescent="0.2">
      <c r="A1967" t="s">
        <v>430</v>
      </c>
      <c r="B1967" t="s">
        <v>684</v>
      </c>
      <c r="C1967" t="s">
        <v>264</v>
      </c>
      <c r="D1967" t="s">
        <v>265</v>
      </c>
      <c r="E1967">
        <v>6800</v>
      </c>
      <c r="F1967" t="s">
        <v>1793</v>
      </c>
      <c r="G1967" t="s">
        <v>266</v>
      </c>
      <c r="H1967" t="s">
        <v>291</v>
      </c>
      <c r="I1967">
        <v>689</v>
      </c>
    </row>
    <row r="1968" spans="1:10" x14ac:dyDescent="0.2">
      <c r="A1968" t="s">
        <v>430</v>
      </c>
      <c r="B1968" t="s">
        <v>1481</v>
      </c>
      <c r="C1968" t="s">
        <v>264</v>
      </c>
      <c r="D1968" t="s">
        <v>265</v>
      </c>
      <c r="E1968">
        <v>1776</v>
      </c>
      <c r="F1968" t="s">
        <v>3475</v>
      </c>
      <c r="G1968" t="s">
        <v>274</v>
      </c>
      <c r="H1968" t="s">
        <v>293</v>
      </c>
      <c r="I1968">
        <v>94</v>
      </c>
    </row>
    <row r="1969" spans="1:10" x14ac:dyDescent="0.2">
      <c r="A1969" t="s">
        <v>430</v>
      </c>
      <c r="B1969" t="s">
        <v>1481</v>
      </c>
      <c r="C1969" t="s">
        <v>264</v>
      </c>
      <c r="D1969" t="s">
        <v>265</v>
      </c>
      <c r="E1969">
        <v>1807</v>
      </c>
      <c r="F1969" t="s">
        <v>3476</v>
      </c>
      <c r="G1969" t="s">
        <v>270</v>
      </c>
      <c r="H1969" t="s">
        <v>293</v>
      </c>
      <c r="I1969">
        <v>73</v>
      </c>
    </row>
    <row r="1970" spans="1:10" x14ac:dyDescent="0.2">
      <c r="A1970" t="s">
        <v>430</v>
      </c>
      <c r="B1970" t="s">
        <v>1481</v>
      </c>
      <c r="C1970" t="s">
        <v>264</v>
      </c>
      <c r="D1970" t="s">
        <v>265</v>
      </c>
      <c r="E1970">
        <v>1884</v>
      </c>
      <c r="F1970" t="s">
        <v>3477</v>
      </c>
      <c r="G1970" t="s">
        <v>266</v>
      </c>
      <c r="H1970" t="s">
        <v>293</v>
      </c>
      <c r="I1970">
        <v>703</v>
      </c>
    </row>
    <row r="1971" spans="1:10" x14ac:dyDescent="0.2">
      <c r="A1971" t="s">
        <v>430</v>
      </c>
      <c r="B1971" t="s">
        <v>1481</v>
      </c>
      <c r="C1971" t="s">
        <v>273</v>
      </c>
      <c r="D1971" t="s">
        <v>269</v>
      </c>
      <c r="E1971">
        <v>2216</v>
      </c>
      <c r="F1971" t="s">
        <v>3478</v>
      </c>
      <c r="G1971" t="s">
        <v>274</v>
      </c>
      <c r="H1971" t="s">
        <v>267</v>
      </c>
      <c r="I1971">
        <v>122</v>
      </c>
    </row>
    <row r="1972" spans="1:10" x14ac:dyDescent="0.2">
      <c r="A1972" t="s">
        <v>430</v>
      </c>
      <c r="B1972" t="s">
        <v>1481</v>
      </c>
      <c r="C1972" t="s">
        <v>268</v>
      </c>
      <c r="D1972" t="s">
        <v>269</v>
      </c>
      <c r="E1972">
        <v>3461</v>
      </c>
      <c r="F1972" t="s">
        <v>3479</v>
      </c>
      <c r="G1972" t="s">
        <v>278</v>
      </c>
      <c r="H1972" t="s">
        <v>292</v>
      </c>
      <c r="I1972">
        <v>76</v>
      </c>
    </row>
    <row r="1973" spans="1:10" x14ac:dyDescent="0.2">
      <c r="A1973" t="s">
        <v>430</v>
      </c>
      <c r="B1973" t="s">
        <v>1481</v>
      </c>
      <c r="C1973" t="s">
        <v>264</v>
      </c>
      <c r="D1973" t="s">
        <v>265</v>
      </c>
      <c r="E1973">
        <v>7264</v>
      </c>
      <c r="F1973" t="s">
        <v>3480</v>
      </c>
      <c r="G1973" t="s">
        <v>270</v>
      </c>
      <c r="H1973" t="s">
        <v>296</v>
      </c>
      <c r="I1973">
        <v>91</v>
      </c>
    </row>
    <row r="1974" spans="1:10" x14ac:dyDescent="0.2">
      <c r="A1974" t="s">
        <v>430</v>
      </c>
      <c r="B1974" t="s">
        <v>1481</v>
      </c>
      <c r="C1974" t="s">
        <v>264</v>
      </c>
      <c r="D1974" t="s">
        <v>265</v>
      </c>
      <c r="E1974">
        <v>8078</v>
      </c>
      <c r="F1974" t="s">
        <v>3481</v>
      </c>
      <c r="G1974" t="s">
        <v>266</v>
      </c>
      <c r="H1974" t="s">
        <v>272</v>
      </c>
      <c r="I1974" t="s">
        <v>297</v>
      </c>
      <c r="J1974" t="s">
        <v>5050</v>
      </c>
    </row>
    <row r="1975" spans="1:10" x14ac:dyDescent="0.2">
      <c r="A1975" t="s">
        <v>430</v>
      </c>
      <c r="B1975" t="s">
        <v>686</v>
      </c>
      <c r="C1975" t="s">
        <v>264</v>
      </c>
      <c r="D1975" t="s">
        <v>265</v>
      </c>
      <c r="E1975">
        <v>1719</v>
      </c>
      <c r="F1975" t="s">
        <v>516</v>
      </c>
      <c r="G1975" t="s">
        <v>266</v>
      </c>
      <c r="H1975" t="s">
        <v>293</v>
      </c>
      <c r="I1975" t="s">
        <v>297</v>
      </c>
      <c r="J1975" t="s">
        <v>4679</v>
      </c>
    </row>
    <row r="1976" spans="1:10" x14ac:dyDescent="0.2">
      <c r="A1976" t="s">
        <v>430</v>
      </c>
      <c r="B1976" t="s">
        <v>686</v>
      </c>
      <c r="C1976" t="s">
        <v>264</v>
      </c>
      <c r="D1976" t="s">
        <v>265</v>
      </c>
      <c r="E1976">
        <v>4625</v>
      </c>
      <c r="F1976" t="s">
        <v>3482</v>
      </c>
      <c r="G1976" t="s">
        <v>270</v>
      </c>
      <c r="H1976" t="s">
        <v>279</v>
      </c>
      <c r="I1976">
        <v>52</v>
      </c>
    </row>
    <row r="1977" spans="1:10" x14ac:dyDescent="0.2">
      <c r="A1977" t="s">
        <v>430</v>
      </c>
      <c r="B1977" t="s">
        <v>686</v>
      </c>
      <c r="C1977" t="s">
        <v>273</v>
      </c>
      <c r="D1977" t="s">
        <v>265</v>
      </c>
      <c r="E1977">
        <v>5950</v>
      </c>
      <c r="F1977" t="s">
        <v>3483</v>
      </c>
      <c r="G1977" t="s">
        <v>274</v>
      </c>
      <c r="H1977" t="s">
        <v>281</v>
      </c>
      <c r="I1977">
        <v>28</v>
      </c>
    </row>
    <row r="1978" spans="1:10" x14ac:dyDescent="0.2">
      <c r="A1978" t="s">
        <v>430</v>
      </c>
      <c r="B1978" t="s">
        <v>686</v>
      </c>
      <c r="C1978" t="s">
        <v>264</v>
      </c>
      <c r="D1978" t="s">
        <v>265</v>
      </c>
      <c r="E1978">
        <v>6461</v>
      </c>
      <c r="F1978" t="s">
        <v>1643</v>
      </c>
      <c r="G1978" t="s">
        <v>266</v>
      </c>
      <c r="H1978" t="s">
        <v>287</v>
      </c>
      <c r="I1978">
        <v>133</v>
      </c>
    </row>
    <row r="1979" spans="1:10" x14ac:dyDescent="0.2">
      <c r="A1979" t="s">
        <v>430</v>
      </c>
      <c r="B1979" t="s">
        <v>686</v>
      </c>
      <c r="C1979" t="s">
        <v>264</v>
      </c>
      <c r="D1979" t="s">
        <v>265</v>
      </c>
      <c r="E1979">
        <v>7990</v>
      </c>
      <c r="F1979" t="s">
        <v>3484</v>
      </c>
      <c r="G1979" t="s">
        <v>266</v>
      </c>
      <c r="H1979" t="s">
        <v>288</v>
      </c>
      <c r="I1979">
        <v>304</v>
      </c>
    </row>
    <row r="1980" spans="1:10" x14ac:dyDescent="0.2">
      <c r="A1980" t="s">
        <v>430</v>
      </c>
      <c r="B1980" t="s">
        <v>686</v>
      </c>
      <c r="C1980" t="s">
        <v>264</v>
      </c>
      <c r="D1980" t="s">
        <v>265</v>
      </c>
      <c r="E1980">
        <v>9033</v>
      </c>
      <c r="F1980" t="s">
        <v>3485</v>
      </c>
      <c r="G1980" t="s">
        <v>274</v>
      </c>
      <c r="H1980" t="s">
        <v>356</v>
      </c>
      <c r="I1980">
        <v>341</v>
      </c>
    </row>
    <row r="1981" spans="1:10" x14ac:dyDescent="0.2">
      <c r="A1981" t="s">
        <v>430</v>
      </c>
      <c r="B1981" t="s">
        <v>686</v>
      </c>
      <c r="C1981" t="s">
        <v>264</v>
      </c>
      <c r="D1981" t="s">
        <v>265</v>
      </c>
      <c r="E1981">
        <v>9041</v>
      </c>
      <c r="F1981" t="s">
        <v>3486</v>
      </c>
      <c r="G1981" t="s">
        <v>266</v>
      </c>
      <c r="H1981" t="s">
        <v>356</v>
      </c>
      <c r="I1981" t="s">
        <v>490</v>
      </c>
      <c r="J1981" t="s">
        <v>4368</v>
      </c>
    </row>
    <row r="1982" spans="1:10" x14ac:dyDescent="0.2">
      <c r="A1982" t="s">
        <v>430</v>
      </c>
      <c r="B1982" t="s">
        <v>686</v>
      </c>
      <c r="C1982" t="s">
        <v>264</v>
      </c>
      <c r="D1982" t="s">
        <v>265</v>
      </c>
      <c r="E1982">
        <v>9193</v>
      </c>
      <c r="F1982" t="s">
        <v>3487</v>
      </c>
      <c r="G1982" t="s">
        <v>274</v>
      </c>
      <c r="H1982" t="s">
        <v>556</v>
      </c>
      <c r="I1982">
        <v>77</v>
      </c>
    </row>
    <row r="1983" spans="1:10" x14ac:dyDescent="0.2">
      <c r="A1983" t="s">
        <v>430</v>
      </c>
      <c r="B1983" t="s">
        <v>686</v>
      </c>
      <c r="C1983" t="s">
        <v>264</v>
      </c>
      <c r="D1983" t="s">
        <v>265</v>
      </c>
      <c r="E1983">
        <v>9365</v>
      </c>
      <c r="F1983" t="s">
        <v>3488</v>
      </c>
      <c r="G1983" t="s">
        <v>274</v>
      </c>
      <c r="H1983" t="s">
        <v>556</v>
      </c>
      <c r="I1983">
        <v>21</v>
      </c>
    </row>
    <row r="1984" spans="1:10" x14ac:dyDescent="0.2">
      <c r="A1984" t="s">
        <v>430</v>
      </c>
      <c r="B1984" t="s">
        <v>327</v>
      </c>
      <c r="C1984" t="s">
        <v>273</v>
      </c>
      <c r="D1984" t="s">
        <v>265</v>
      </c>
      <c r="E1984">
        <v>1605</v>
      </c>
      <c r="F1984" t="s">
        <v>564</v>
      </c>
      <c r="G1984" t="s">
        <v>266</v>
      </c>
      <c r="H1984" t="s">
        <v>565</v>
      </c>
      <c r="I1984" t="s">
        <v>294</v>
      </c>
      <c r="J1984" t="s">
        <v>5051</v>
      </c>
    </row>
    <row r="1985" spans="1:10" x14ac:dyDescent="0.2">
      <c r="A1985" t="s">
        <v>430</v>
      </c>
      <c r="B1985" t="s">
        <v>327</v>
      </c>
      <c r="C1985" t="s">
        <v>268</v>
      </c>
      <c r="D1985" t="s">
        <v>265</v>
      </c>
      <c r="E1985">
        <v>1743</v>
      </c>
      <c r="F1985" t="s">
        <v>3489</v>
      </c>
      <c r="G1985" t="s">
        <v>274</v>
      </c>
      <c r="H1985" t="s">
        <v>293</v>
      </c>
      <c r="I1985">
        <v>30</v>
      </c>
    </row>
    <row r="1986" spans="1:10" x14ac:dyDescent="0.2">
      <c r="A1986" t="s">
        <v>430</v>
      </c>
      <c r="B1986" t="s">
        <v>327</v>
      </c>
      <c r="C1986" t="s">
        <v>264</v>
      </c>
      <c r="D1986" t="s">
        <v>265</v>
      </c>
      <c r="E1986">
        <v>1768</v>
      </c>
      <c r="F1986" t="s">
        <v>3490</v>
      </c>
      <c r="G1986" t="s">
        <v>266</v>
      </c>
      <c r="H1986" t="s">
        <v>293</v>
      </c>
      <c r="I1986">
        <v>61</v>
      </c>
    </row>
    <row r="1987" spans="1:10" x14ac:dyDescent="0.2">
      <c r="A1987" t="s">
        <v>430</v>
      </c>
      <c r="B1987" t="s">
        <v>327</v>
      </c>
      <c r="C1987" t="s">
        <v>264</v>
      </c>
      <c r="D1987" t="s">
        <v>265</v>
      </c>
      <c r="E1987">
        <v>1821</v>
      </c>
      <c r="F1987" t="s">
        <v>432</v>
      </c>
      <c r="G1987" t="s">
        <v>266</v>
      </c>
      <c r="H1987" t="s">
        <v>293</v>
      </c>
      <c r="I1987" t="s">
        <v>297</v>
      </c>
      <c r="J1987" t="s">
        <v>4354</v>
      </c>
    </row>
    <row r="1988" spans="1:10" x14ac:dyDescent="0.2">
      <c r="A1988" t="s">
        <v>430</v>
      </c>
      <c r="B1988" t="s">
        <v>327</v>
      </c>
      <c r="C1988" t="s">
        <v>264</v>
      </c>
      <c r="D1988" t="s">
        <v>265</v>
      </c>
      <c r="E1988">
        <v>1866</v>
      </c>
      <c r="F1988" t="s">
        <v>566</v>
      </c>
      <c r="G1988" t="s">
        <v>266</v>
      </c>
      <c r="H1988" t="s">
        <v>293</v>
      </c>
      <c r="I1988">
        <v>181</v>
      </c>
    </row>
    <row r="1989" spans="1:10" x14ac:dyDescent="0.2">
      <c r="A1989" t="s">
        <v>430</v>
      </c>
      <c r="B1989" t="s">
        <v>327</v>
      </c>
      <c r="C1989" t="s">
        <v>268</v>
      </c>
      <c r="D1989" t="s">
        <v>265</v>
      </c>
      <c r="E1989">
        <v>2122</v>
      </c>
      <c r="F1989" t="s">
        <v>1488</v>
      </c>
      <c r="G1989" t="s">
        <v>278</v>
      </c>
      <c r="H1989" t="s">
        <v>271</v>
      </c>
      <c r="I1989">
        <v>75</v>
      </c>
    </row>
    <row r="1990" spans="1:10" x14ac:dyDescent="0.2">
      <c r="A1990" t="s">
        <v>430</v>
      </c>
      <c r="B1990" t="s">
        <v>327</v>
      </c>
      <c r="C1990" t="s">
        <v>264</v>
      </c>
      <c r="D1990" t="s">
        <v>265</v>
      </c>
      <c r="E1990">
        <v>2156</v>
      </c>
      <c r="F1990" t="s">
        <v>3491</v>
      </c>
      <c r="G1990" t="s">
        <v>270</v>
      </c>
      <c r="H1990" t="s">
        <v>271</v>
      </c>
      <c r="I1990">
        <v>19</v>
      </c>
    </row>
    <row r="1991" spans="1:10" x14ac:dyDescent="0.2">
      <c r="A1991" t="s">
        <v>430</v>
      </c>
      <c r="B1991" t="s">
        <v>327</v>
      </c>
      <c r="C1991" t="s">
        <v>273</v>
      </c>
      <c r="D1991" t="s">
        <v>265</v>
      </c>
      <c r="E1991">
        <v>2311</v>
      </c>
      <c r="F1991" t="s">
        <v>3492</v>
      </c>
      <c r="G1991" t="s">
        <v>266</v>
      </c>
      <c r="H1991" t="s">
        <v>271</v>
      </c>
      <c r="I1991">
        <v>132</v>
      </c>
    </row>
    <row r="1992" spans="1:10" x14ac:dyDescent="0.2">
      <c r="A1992" t="s">
        <v>430</v>
      </c>
      <c r="B1992" t="s">
        <v>327</v>
      </c>
      <c r="C1992" t="s">
        <v>275</v>
      </c>
      <c r="D1992" t="s">
        <v>265</v>
      </c>
      <c r="E1992">
        <v>2385</v>
      </c>
      <c r="F1992" t="s">
        <v>1527</v>
      </c>
      <c r="G1992" t="s">
        <v>278</v>
      </c>
      <c r="H1992" t="s">
        <v>271</v>
      </c>
      <c r="I1992">
        <v>148</v>
      </c>
    </row>
    <row r="1993" spans="1:10" x14ac:dyDescent="0.2">
      <c r="A1993" t="s">
        <v>430</v>
      </c>
      <c r="B1993" t="s">
        <v>327</v>
      </c>
      <c r="C1993" t="s">
        <v>273</v>
      </c>
      <c r="D1993" t="s">
        <v>265</v>
      </c>
      <c r="E1993">
        <v>2436</v>
      </c>
      <c r="F1993" t="s">
        <v>652</v>
      </c>
      <c r="G1993" t="s">
        <v>270</v>
      </c>
      <c r="H1993" t="s">
        <v>271</v>
      </c>
      <c r="I1993">
        <v>50</v>
      </c>
    </row>
    <row r="1994" spans="1:10" x14ac:dyDescent="0.2">
      <c r="A1994" t="s">
        <v>430</v>
      </c>
      <c r="B1994" t="s">
        <v>327</v>
      </c>
      <c r="C1994" t="s">
        <v>264</v>
      </c>
      <c r="D1994" t="s">
        <v>265</v>
      </c>
      <c r="E1994">
        <v>2705</v>
      </c>
      <c r="F1994" t="s">
        <v>433</v>
      </c>
      <c r="G1994" t="s">
        <v>270</v>
      </c>
      <c r="H1994" t="s">
        <v>276</v>
      </c>
      <c r="I1994">
        <v>182</v>
      </c>
    </row>
    <row r="1995" spans="1:10" x14ac:dyDescent="0.2">
      <c r="A1995" t="s">
        <v>430</v>
      </c>
      <c r="B1995" t="s">
        <v>327</v>
      </c>
      <c r="C1995" t="s">
        <v>275</v>
      </c>
      <c r="D1995" t="s">
        <v>269</v>
      </c>
      <c r="E1995">
        <v>2820</v>
      </c>
      <c r="F1995" t="s">
        <v>3493</v>
      </c>
      <c r="G1995" t="s">
        <v>266</v>
      </c>
      <c r="H1995" t="s">
        <v>267</v>
      </c>
      <c r="I1995">
        <v>169</v>
      </c>
    </row>
    <row r="1996" spans="1:10" x14ac:dyDescent="0.2">
      <c r="A1996" t="s">
        <v>430</v>
      </c>
      <c r="B1996" t="s">
        <v>327</v>
      </c>
      <c r="C1996" t="s">
        <v>264</v>
      </c>
      <c r="D1996" t="s">
        <v>265</v>
      </c>
      <c r="E1996">
        <v>2831</v>
      </c>
      <c r="F1996" t="s">
        <v>761</v>
      </c>
      <c r="G1996" t="s">
        <v>274</v>
      </c>
      <c r="H1996" t="s">
        <v>267</v>
      </c>
      <c r="I1996">
        <v>276</v>
      </c>
    </row>
    <row r="1997" spans="1:10" x14ac:dyDescent="0.2">
      <c r="A1997" t="s">
        <v>430</v>
      </c>
      <c r="B1997" t="s">
        <v>327</v>
      </c>
      <c r="C1997" t="s">
        <v>268</v>
      </c>
      <c r="D1997" t="s">
        <v>265</v>
      </c>
      <c r="E1997">
        <v>2917</v>
      </c>
      <c r="F1997" t="s">
        <v>3494</v>
      </c>
      <c r="G1997" t="s">
        <v>270</v>
      </c>
      <c r="H1997" t="s">
        <v>267</v>
      </c>
      <c r="I1997">
        <v>41</v>
      </c>
    </row>
    <row r="1998" spans="1:10" x14ac:dyDescent="0.2">
      <c r="A1998" t="s">
        <v>430</v>
      </c>
      <c r="B1998" t="s">
        <v>327</v>
      </c>
      <c r="C1998" t="s">
        <v>264</v>
      </c>
      <c r="D1998" t="s">
        <v>265</v>
      </c>
      <c r="E1998">
        <v>3068</v>
      </c>
      <c r="F1998" t="s">
        <v>3495</v>
      </c>
      <c r="G1998" t="s">
        <v>270</v>
      </c>
      <c r="H1998" t="s">
        <v>276</v>
      </c>
      <c r="I1998">
        <v>126</v>
      </c>
    </row>
    <row r="1999" spans="1:10" x14ac:dyDescent="0.2">
      <c r="A1999" t="s">
        <v>430</v>
      </c>
      <c r="B1999" t="s">
        <v>327</v>
      </c>
      <c r="C1999" t="s">
        <v>275</v>
      </c>
      <c r="D1999" t="s">
        <v>265</v>
      </c>
      <c r="E1999">
        <v>3140</v>
      </c>
      <c r="F1999" t="s">
        <v>3496</v>
      </c>
      <c r="G1999" t="s">
        <v>270</v>
      </c>
      <c r="H1999" t="s">
        <v>272</v>
      </c>
      <c r="I1999">
        <v>147</v>
      </c>
    </row>
    <row r="2000" spans="1:10" x14ac:dyDescent="0.2">
      <c r="A2000" t="s">
        <v>430</v>
      </c>
      <c r="B2000" t="s">
        <v>327</v>
      </c>
      <c r="C2000" t="s">
        <v>264</v>
      </c>
      <c r="D2000" t="s">
        <v>265</v>
      </c>
      <c r="E2000">
        <v>3156</v>
      </c>
      <c r="F2000" t="s">
        <v>3497</v>
      </c>
      <c r="G2000" t="s">
        <v>266</v>
      </c>
      <c r="H2000" t="s">
        <v>272</v>
      </c>
      <c r="I2000">
        <v>626</v>
      </c>
    </row>
    <row r="2001" spans="1:10" x14ac:dyDescent="0.2">
      <c r="A2001" t="s">
        <v>430</v>
      </c>
      <c r="B2001" t="s">
        <v>327</v>
      </c>
      <c r="C2001" t="s">
        <v>264</v>
      </c>
      <c r="D2001" t="s">
        <v>265</v>
      </c>
      <c r="E2001">
        <v>3185</v>
      </c>
      <c r="F2001" t="s">
        <v>3498</v>
      </c>
      <c r="G2001" t="s">
        <v>278</v>
      </c>
      <c r="H2001" t="s">
        <v>276</v>
      </c>
      <c r="I2001">
        <v>60</v>
      </c>
    </row>
    <row r="2002" spans="1:10" x14ac:dyDescent="0.2">
      <c r="A2002" t="s">
        <v>430</v>
      </c>
      <c r="B2002" t="s">
        <v>327</v>
      </c>
      <c r="C2002" t="s">
        <v>264</v>
      </c>
      <c r="D2002" t="s">
        <v>265</v>
      </c>
      <c r="E2002">
        <v>3205</v>
      </c>
      <c r="F2002" t="s">
        <v>3499</v>
      </c>
      <c r="G2002" t="s">
        <v>266</v>
      </c>
      <c r="H2002" t="s">
        <v>299</v>
      </c>
      <c r="I2002">
        <v>104</v>
      </c>
    </row>
    <row r="2003" spans="1:10" x14ac:dyDescent="0.2">
      <c r="A2003" t="s">
        <v>430</v>
      </c>
      <c r="B2003" t="s">
        <v>327</v>
      </c>
      <c r="C2003" t="s">
        <v>268</v>
      </c>
      <c r="D2003" t="s">
        <v>265</v>
      </c>
      <c r="E2003">
        <v>3245</v>
      </c>
      <c r="F2003" t="s">
        <v>3500</v>
      </c>
      <c r="G2003" t="s">
        <v>266</v>
      </c>
      <c r="H2003" t="s">
        <v>292</v>
      </c>
      <c r="I2003">
        <v>249</v>
      </c>
    </row>
    <row r="2004" spans="1:10" x14ac:dyDescent="0.2">
      <c r="A2004" t="s">
        <v>430</v>
      </c>
      <c r="B2004" t="s">
        <v>327</v>
      </c>
      <c r="C2004" t="s">
        <v>264</v>
      </c>
      <c r="D2004" t="s">
        <v>265</v>
      </c>
      <c r="E2004">
        <v>3306</v>
      </c>
      <c r="F2004" t="s">
        <v>3501</v>
      </c>
      <c r="G2004" t="s">
        <v>274</v>
      </c>
      <c r="H2004" t="s">
        <v>272</v>
      </c>
      <c r="I2004">
        <v>12</v>
      </c>
    </row>
    <row r="2005" spans="1:10" x14ac:dyDescent="0.2">
      <c r="A2005" t="s">
        <v>430</v>
      </c>
      <c r="B2005" t="s">
        <v>327</v>
      </c>
      <c r="C2005" t="s">
        <v>273</v>
      </c>
      <c r="D2005" t="s">
        <v>265</v>
      </c>
      <c r="E2005">
        <v>3449</v>
      </c>
      <c r="F2005" t="s">
        <v>1523</v>
      </c>
      <c r="G2005" t="s">
        <v>274</v>
      </c>
      <c r="H2005" t="s">
        <v>281</v>
      </c>
      <c r="I2005">
        <v>288</v>
      </c>
    </row>
    <row r="2006" spans="1:10" x14ac:dyDescent="0.2">
      <c r="A2006" t="s">
        <v>430</v>
      </c>
      <c r="B2006" t="s">
        <v>327</v>
      </c>
      <c r="C2006" t="s">
        <v>275</v>
      </c>
      <c r="D2006" t="s">
        <v>265</v>
      </c>
      <c r="E2006">
        <v>3457</v>
      </c>
      <c r="F2006" t="s">
        <v>3502</v>
      </c>
      <c r="G2006" t="s">
        <v>266</v>
      </c>
      <c r="H2006" t="s">
        <v>292</v>
      </c>
      <c r="I2006">
        <v>276</v>
      </c>
    </row>
    <row r="2007" spans="1:10" x14ac:dyDescent="0.2">
      <c r="A2007" t="s">
        <v>430</v>
      </c>
      <c r="B2007" t="s">
        <v>327</v>
      </c>
      <c r="C2007" t="s">
        <v>264</v>
      </c>
      <c r="D2007" t="s">
        <v>265</v>
      </c>
      <c r="E2007">
        <v>3578</v>
      </c>
      <c r="F2007" t="s">
        <v>3503</v>
      </c>
      <c r="G2007" t="s">
        <v>274</v>
      </c>
      <c r="H2007" t="s">
        <v>299</v>
      </c>
      <c r="I2007">
        <v>10</v>
      </c>
    </row>
    <row r="2008" spans="1:10" x14ac:dyDescent="0.2">
      <c r="A2008" t="s">
        <v>430</v>
      </c>
      <c r="B2008" t="s">
        <v>327</v>
      </c>
      <c r="C2008" t="s">
        <v>264</v>
      </c>
      <c r="D2008" t="s">
        <v>265</v>
      </c>
      <c r="E2008">
        <v>3646</v>
      </c>
      <c r="F2008" t="s">
        <v>3504</v>
      </c>
      <c r="G2008" t="s">
        <v>278</v>
      </c>
      <c r="H2008" t="s">
        <v>277</v>
      </c>
      <c r="I2008">
        <v>44</v>
      </c>
    </row>
    <row r="2009" spans="1:10" x14ac:dyDescent="0.2">
      <c r="A2009" t="s">
        <v>430</v>
      </c>
      <c r="B2009" t="s">
        <v>327</v>
      </c>
      <c r="C2009" t="s">
        <v>264</v>
      </c>
      <c r="D2009" t="s">
        <v>269</v>
      </c>
      <c r="E2009">
        <v>3652</v>
      </c>
      <c r="F2009" t="s">
        <v>764</v>
      </c>
      <c r="G2009" t="s">
        <v>278</v>
      </c>
      <c r="H2009" t="s">
        <v>277</v>
      </c>
      <c r="I2009">
        <v>124</v>
      </c>
    </row>
    <row r="2010" spans="1:10" x14ac:dyDescent="0.2">
      <c r="A2010" t="s">
        <v>430</v>
      </c>
      <c r="B2010" t="s">
        <v>327</v>
      </c>
      <c r="C2010" t="s">
        <v>273</v>
      </c>
      <c r="D2010" t="s">
        <v>265</v>
      </c>
      <c r="E2010">
        <v>3681</v>
      </c>
      <c r="F2010" t="s">
        <v>3505</v>
      </c>
      <c r="G2010" t="s">
        <v>266</v>
      </c>
      <c r="H2010" t="s">
        <v>277</v>
      </c>
      <c r="I2010">
        <v>148</v>
      </c>
    </row>
    <row r="2011" spans="1:10" x14ac:dyDescent="0.2">
      <c r="A2011" t="s">
        <v>430</v>
      </c>
      <c r="B2011" t="s">
        <v>327</v>
      </c>
      <c r="C2011" t="s">
        <v>273</v>
      </c>
      <c r="D2011" t="s">
        <v>265</v>
      </c>
      <c r="E2011">
        <v>3688</v>
      </c>
      <c r="F2011" t="s">
        <v>1797</v>
      </c>
      <c r="G2011" t="s">
        <v>266</v>
      </c>
      <c r="H2011" t="s">
        <v>277</v>
      </c>
      <c r="I2011">
        <v>283</v>
      </c>
    </row>
    <row r="2012" spans="1:10" x14ac:dyDescent="0.2">
      <c r="A2012" t="s">
        <v>430</v>
      </c>
      <c r="B2012" t="s">
        <v>327</v>
      </c>
      <c r="C2012" t="s">
        <v>268</v>
      </c>
      <c r="D2012" t="s">
        <v>265</v>
      </c>
      <c r="E2012">
        <v>3769</v>
      </c>
      <c r="F2012" t="s">
        <v>3506</v>
      </c>
      <c r="G2012" t="s">
        <v>266</v>
      </c>
      <c r="H2012" t="s">
        <v>277</v>
      </c>
      <c r="I2012" t="s">
        <v>283</v>
      </c>
      <c r="J2012" t="s">
        <v>5052</v>
      </c>
    </row>
    <row r="2013" spans="1:10" x14ac:dyDescent="0.2">
      <c r="A2013" t="s">
        <v>430</v>
      </c>
      <c r="B2013" t="s">
        <v>327</v>
      </c>
      <c r="C2013" t="s">
        <v>273</v>
      </c>
      <c r="D2013" t="s">
        <v>265</v>
      </c>
      <c r="E2013">
        <v>3784</v>
      </c>
      <c r="F2013" t="s">
        <v>728</v>
      </c>
      <c r="G2013" t="s">
        <v>266</v>
      </c>
      <c r="H2013" t="s">
        <v>277</v>
      </c>
      <c r="I2013">
        <v>215</v>
      </c>
    </row>
    <row r="2014" spans="1:10" x14ac:dyDescent="0.2">
      <c r="A2014" t="s">
        <v>430</v>
      </c>
      <c r="B2014" t="s">
        <v>327</v>
      </c>
      <c r="C2014" t="s">
        <v>273</v>
      </c>
      <c r="D2014" t="s">
        <v>265</v>
      </c>
      <c r="E2014">
        <v>3788</v>
      </c>
      <c r="F2014" t="s">
        <v>3507</v>
      </c>
      <c r="G2014" t="s">
        <v>266</v>
      </c>
      <c r="H2014" t="s">
        <v>277</v>
      </c>
      <c r="I2014">
        <v>303</v>
      </c>
    </row>
    <row r="2015" spans="1:10" x14ac:dyDescent="0.2">
      <c r="A2015" t="s">
        <v>430</v>
      </c>
      <c r="B2015" t="s">
        <v>327</v>
      </c>
      <c r="C2015" t="s">
        <v>264</v>
      </c>
      <c r="D2015" t="s">
        <v>265</v>
      </c>
      <c r="E2015">
        <v>3847</v>
      </c>
      <c r="F2015" t="s">
        <v>3508</v>
      </c>
      <c r="G2015" t="s">
        <v>270</v>
      </c>
      <c r="H2015" t="s">
        <v>277</v>
      </c>
      <c r="I2015">
        <v>50</v>
      </c>
    </row>
    <row r="2016" spans="1:10" x14ac:dyDescent="0.2">
      <c r="A2016" t="s">
        <v>430</v>
      </c>
      <c r="B2016" t="s">
        <v>327</v>
      </c>
      <c r="C2016" t="s">
        <v>273</v>
      </c>
      <c r="D2016" t="s">
        <v>269</v>
      </c>
      <c r="E2016">
        <v>3852</v>
      </c>
      <c r="F2016" t="s">
        <v>3509</v>
      </c>
      <c r="G2016" t="s">
        <v>266</v>
      </c>
      <c r="H2016" t="s">
        <v>277</v>
      </c>
      <c r="I2016">
        <v>186</v>
      </c>
    </row>
    <row r="2017" spans="1:10" x14ac:dyDescent="0.2">
      <c r="A2017" t="s">
        <v>430</v>
      </c>
      <c r="B2017" t="s">
        <v>327</v>
      </c>
      <c r="C2017" t="s">
        <v>264</v>
      </c>
      <c r="D2017" t="s">
        <v>269</v>
      </c>
      <c r="E2017">
        <v>3924</v>
      </c>
      <c r="F2017" t="s">
        <v>3510</v>
      </c>
      <c r="G2017" t="s">
        <v>266</v>
      </c>
      <c r="H2017" t="s">
        <v>277</v>
      </c>
      <c r="I2017">
        <v>72</v>
      </c>
    </row>
    <row r="2018" spans="1:10" x14ac:dyDescent="0.2">
      <c r="A2018" t="s">
        <v>430</v>
      </c>
      <c r="B2018" t="s">
        <v>327</v>
      </c>
      <c r="C2018" t="s">
        <v>264</v>
      </c>
      <c r="D2018" t="s">
        <v>269</v>
      </c>
      <c r="E2018">
        <v>3927</v>
      </c>
      <c r="F2018" t="s">
        <v>3511</v>
      </c>
      <c r="G2018" t="s">
        <v>278</v>
      </c>
      <c r="H2018" t="s">
        <v>277</v>
      </c>
      <c r="I2018">
        <v>46</v>
      </c>
    </row>
    <row r="2019" spans="1:10" x14ac:dyDescent="0.2">
      <c r="A2019" t="s">
        <v>430</v>
      </c>
      <c r="B2019" t="s">
        <v>327</v>
      </c>
      <c r="C2019" t="s">
        <v>264</v>
      </c>
      <c r="D2019" t="s">
        <v>265</v>
      </c>
      <c r="E2019">
        <v>3951</v>
      </c>
      <c r="F2019" t="s">
        <v>3512</v>
      </c>
      <c r="G2019" t="s">
        <v>274</v>
      </c>
      <c r="H2019" t="s">
        <v>300</v>
      </c>
      <c r="I2019">
        <v>238</v>
      </c>
    </row>
    <row r="2020" spans="1:10" x14ac:dyDescent="0.2">
      <c r="A2020" t="s">
        <v>430</v>
      </c>
      <c r="B2020" t="s">
        <v>327</v>
      </c>
      <c r="C2020" t="s">
        <v>264</v>
      </c>
      <c r="D2020" t="s">
        <v>269</v>
      </c>
      <c r="E2020">
        <v>3953</v>
      </c>
      <c r="F2020" t="s">
        <v>3513</v>
      </c>
      <c r="G2020" t="s">
        <v>270</v>
      </c>
      <c r="H2020" t="s">
        <v>300</v>
      </c>
      <c r="I2020">
        <v>44</v>
      </c>
    </row>
    <row r="2021" spans="1:10" x14ac:dyDescent="0.2">
      <c r="A2021" t="s">
        <v>430</v>
      </c>
      <c r="B2021" t="s">
        <v>327</v>
      </c>
      <c r="C2021" t="s">
        <v>268</v>
      </c>
      <c r="D2021" t="s">
        <v>265</v>
      </c>
      <c r="E2021">
        <v>3962</v>
      </c>
      <c r="F2021" t="s">
        <v>3514</v>
      </c>
      <c r="G2021" t="s">
        <v>266</v>
      </c>
      <c r="H2021" t="s">
        <v>277</v>
      </c>
      <c r="I2021">
        <v>504</v>
      </c>
    </row>
    <row r="2022" spans="1:10" x14ac:dyDescent="0.2">
      <c r="A2022" t="s">
        <v>430</v>
      </c>
      <c r="B2022" t="s">
        <v>327</v>
      </c>
      <c r="C2022" t="s">
        <v>273</v>
      </c>
      <c r="D2022" t="s">
        <v>265</v>
      </c>
      <c r="E2022">
        <v>3966</v>
      </c>
      <c r="F2022" t="s">
        <v>3515</v>
      </c>
      <c r="G2022" t="s">
        <v>278</v>
      </c>
      <c r="H2022" t="s">
        <v>277</v>
      </c>
      <c r="I2022">
        <v>818</v>
      </c>
    </row>
    <row r="2023" spans="1:10" x14ac:dyDescent="0.2">
      <c r="A2023" t="s">
        <v>430</v>
      </c>
      <c r="B2023" t="s">
        <v>327</v>
      </c>
      <c r="C2023" t="s">
        <v>275</v>
      </c>
      <c r="D2023" t="s">
        <v>265</v>
      </c>
      <c r="E2023">
        <v>3978</v>
      </c>
      <c r="F2023" t="s">
        <v>3516</v>
      </c>
      <c r="G2023" t="s">
        <v>266</v>
      </c>
      <c r="H2023" t="s">
        <v>277</v>
      </c>
      <c r="I2023">
        <v>443</v>
      </c>
    </row>
    <row r="2024" spans="1:10" x14ac:dyDescent="0.2">
      <c r="A2024" t="s">
        <v>430</v>
      </c>
      <c r="B2024" t="s">
        <v>327</v>
      </c>
      <c r="C2024" t="s">
        <v>275</v>
      </c>
      <c r="D2024" t="s">
        <v>269</v>
      </c>
      <c r="E2024">
        <v>3986</v>
      </c>
      <c r="F2024" t="s">
        <v>4510</v>
      </c>
      <c r="G2024" t="s">
        <v>278</v>
      </c>
      <c r="H2024" t="s">
        <v>277</v>
      </c>
      <c r="I2024">
        <v>32</v>
      </c>
    </row>
    <row r="2025" spans="1:10" x14ac:dyDescent="0.2">
      <c r="A2025" t="s">
        <v>430</v>
      </c>
      <c r="B2025" t="s">
        <v>327</v>
      </c>
      <c r="C2025" t="s">
        <v>268</v>
      </c>
      <c r="D2025" t="s">
        <v>265</v>
      </c>
      <c r="E2025">
        <v>3989</v>
      </c>
      <c r="F2025" t="s">
        <v>3517</v>
      </c>
      <c r="G2025" t="s">
        <v>278</v>
      </c>
      <c r="H2025" t="s">
        <v>277</v>
      </c>
      <c r="I2025">
        <v>74</v>
      </c>
    </row>
    <row r="2026" spans="1:10" x14ac:dyDescent="0.2">
      <c r="A2026" t="s">
        <v>430</v>
      </c>
      <c r="B2026" t="s">
        <v>327</v>
      </c>
      <c r="C2026" t="s">
        <v>264</v>
      </c>
      <c r="D2026" t="s">
        <v>265</v>
      </c>
      <c r="E2026">
        <v>4028</v>
      </c>
      <c r="F2026" t="s">
        <v>3518</v>
      </c>
      <c r="G2026" t="s">
        <v>266</v>
      </c>
      <c r="H2026" t="s">
        <v>279</v>
      </c>
      <c r="I2026">
        <v>417</v>
      </c>
    </row>
    <row r="2027" spans="1:10" x14ac:dyDescent="0.2">
      <c r="A2027" t="s">
        <v>430</v>
      </c>
      <c r="B2027" t="s">
        <v>327</v>
      </c>
      <c r="C2027" t="s">
        <v>264</v>
      </c>
      <c r="D2027" t="s">
        <v>265</v>
      </c>
      <c r="E2027">
        <v>4097</v>
      </c>
      <c r="F2027" t="s">
        <v>3519</v>
      </c>
      <c r="G2027" t="s">
        <v>266</v>
      </c>
      <c r="H2027" t="s">
        <v>279</v>
      </c>
      <c r="I2027">
        <v>475</v>
      </c>
    </row>
    <row r="2028" spans="1:10" x14ac:dyDescent="0.2">
      <c r="A2028" t="s">
        <v>430</v>
      </c>
      <c r="B2028" t="s">
        <v>327</v>
      </c>
      <c r="C2028" t="s">
        <v>264</v>
      </c>
      <c r="D2028" t="s">
        <v>265</v>
      </c>
      <c r="E2028">
        <v>4246</v>
      </c>
      <c r="F2028" t="s">
        <v>3520</v>
      </c>
      <c r="G2028" t="s">
        <v>266</v>
      </c>
      <c r="H2028" t="s">
        <v>279</v>
      </c>
      <c r="I2028">
        <v>612</v>
      </c>
    </row>
    <row r="2029" spans="1:10" x14ac:dyDescent="0.2">
      <c r="A2029" t="s">
        <v>430</v>
      </c>
      <c r="B2029" t="s">
        <v>327</v>
      </c>
      <c r="C2029" t="s">
        <v>273</v>
      </c>
      <c r="D2029" t="s">
        <v>265</v>
      </c>
      <c r="E2029">
        <v>4321</v>
      </c>
      <c r="F2029" t="s">
        <v>3521</v>
      </c>
      <c r="G2029" t="s">
        <v>266</v>
      </c>
      <c r="H2029" t="s">
        <v>271</v>
      </c>
      <c r="I2029" t="s">
        <v>297</v>
      </c>
      <c r="J2029" t="s">
        <v>4859</v>
      </c>
    </row>
    <row r="2030" spans="1:10" x14ac:dyDescent="0.2">
      <c r="A2030" t="s">
        <v>430</v>
      </c>
      <c r="B2030" t="s">
        <v>327</v>
      </c>
      <c r="C2030" t="s">
        <v>275</v>
      </c>
      <c r="D2030" t="s">
        <v>265</v>
      </c>
      <c r="E2030">
        <v>4396</v>
      </c>
      <c r="F2030" t="s">
        <v>3522</v>
      </c>
      <c r="G2030" t="s">
        <v>266</v>
      </c>
      <c r="H2030" t="s">
        <v>277</v>
      </c>
      <c r="I2030">
        <v>127</v>
      </c>
    </row>
    <row r="2031" spans="1:10" x14ac:dyDescent="0.2">
      <c r="A2031" t="s">
        <v>430</v>
      </c>
      <c r="B2031" t="s">
        <v>327</v>
      </c>
      <c r="C2031" t="s">
        <v>273</v>
      </c>
      <c r="D2031" t="s">
        <v>269</v>
      </c>
      <c r="E2031">
        <v>4438</v>
      </c>
      <c r="F2031" t="s">
        <v>1490</v>
      </c>
      <c r="G2031" t="s">
        <v>278</v>
      </c>
      <c r="H2031" t="s">
        <v>277</v>
      </c>
      <c r="I2031">
        <v>146</v>
      </c>
    </row>
    <row r="2032" spans="1:10" x14ac:dyDescent="0.2">
      <c r="A2032" t="s">
        <v>430</v>
      </c>
      <c r="B2032" t="s">
        <v>327</v>
      </c>
      <c r="C2032" t="s">
        <v>268</v>
      </c>
      <c r="D2032" t="s">
        <v>265</v>
      </c>
      <c r="E2032">
        <v>4475</v>
      </c>
      <c r="F2032" t="s">
        <v>586</v>
      </c>
      <c r="G2032" t="s">
        <v>278</v>
      </c>
      <c r="H2032" t="s">
        <v>277</v>
      </c>
      <c r="I2032">
        <v>315</v>
      </c>
    </row>
    <row r="2033" spans="1:10" x14ac:dyDescent="0.2">
      <c r="A2033" t="s">
        <v>430</v>
      </c>
      <c r="B2033" t="s">
        <v>327</v>
      </c>
      <c r="C2033" t="s">
        <v>264</v>
      </c>
      <c r="D2033" t="s">
        <v>265</v>
      </c>
      <c r="E2033">
        <v>4527</v>
      </c>
      <c r="F2033" t="s">
        <v>3523</v>
      </c>
      <c r="G2033" t="s">
        <v>266</v>
      </c>
      <c r="H2033" t="s">
        <v>311</v>
      </c>
      <c r="I2033" t="s">
        <v>333</v>
      </c>
      <c r="J2033" t="s">
        <v>4649</v>
      </c>
    </row>
    <row r="2034" spans="1:10" x14ac:dyDescent="0.2">
      <c r="A2034" t="s">
        <v>430</v>
      </c>
      <c r="B2034" t="s">
        <v>327</v>
      </c>
      <c r="C2034" t="s">
        <v>264</v>
      </c>
      <c r="D2034" t="s">
        <v>265</v>
      </c>
      <c r="E2034">
        <v>4553</v>
      </c>
      <c r="F2034" t="s">
        <v>3524</v>
      </c>
      <c r="G2034" t="s">
        <v>266</v>
      </c>
      <c r="H2034" t="s">
        <v>311</v>
      </c>
      <c r="I2034" t="s">
        <v>297</v>
      </c>
      <c r="J2034" t="s">
        <v>4304</v>
      </c>
    </row>
    <row r="2035" spans="1:10" x14ac:dyDescent="0.2">
      <c r="A2035" t="s">
        <v>430</v>
      </c>
      <c r="B2035" t="s">
        <v>327</v>
      </c>
      <c r="C2035" t="s">
        <v>275</v>
      </c>
      <c r="D2035" t="s">
        <v>269</v>
      </c>
      <c r="E2035">
        <v>4575</v>
      </c>
      <c r="F2035" t="s">
        <v>3525</v>
      </c>
      <c r="G2035" t="s">
        <v>278</v>
      </c>
      <c r="H2035" t="s">
        <v>311</v>
      </c>
      <c r="I2035">
        <v>66</v>
      </c>
    </row>
    <row r="2036" spans="1:10" x14ac:dyDescent="0.2">
      <c r="A2036" t="s">
        <v>430</v>
      </c>
      <c r="B2036" t="s">
        <v>327</v>
      </c>
      <c r="C2036" t="s">
        <v>264</v>
      </c>
      <c r="D2036" t="s">
        <v>265</v>
      </c>
      <c r="E2036">
        <v>4650</v>
      </c>
      <c r="F2036" t="s">
        <v>3526</v>
      </c>
      <c r="G2036" t="s">
        <v>270</v>
      </c>
      <c r="H2036" t="s">
        <v>271</v>
      </c>
      <c r="I2036">
        <v>48</v>
      </c>
    </row>
    <row r="2037" spans="1:10" x14ac:dyDescent="0.2">
      <c r="A2037" t="s">
        <v>430</v>
      </c>
      <c r="B2037" t="s">
        <v>327</v>
      </c>
      <c r="C2037" t="s">
        <v>275</v>
      </c>
      <c r="D2037" t="s">
        <v>269</v>
      </c>
      <c r="E2037">
        <v>4748</v>
      </c>
      <c r="F2037" t="s">
        <v>3527</v>
      </c>
      <c r="G2037" t="s">
        <v>270</v>
      </c>
      <c r="H2037" t="s">
        <v>277</v>
      </c>
      <c r="I2037">
        <v>197</v>
      </c>
    </row>
    <row r="2038" spans="1:10" x14ac:dyDescent="0.2">
      <c r="A2038" t="s">
        <v>430</v>
      </c>
      <c r="B2038" t="s">
        <v>327</v>
      </c>
      <c r="C2038" t="s">
        <v>264</v>
      </c>
      <c r="D2038" t="s">
        <v>265</v>
      </c>
      <c r="E2038">
        <v>4781</v>
      </c>
      <c r="F2038" t="s">
        <v>3528</v>
      </c>
      <c r="G2038" t="s">
        <v>274</v>
      </c>
      <c r="H2038" t="s">
        <v>271</v>
      </c>
      <c r="I2038">
        <v>560</v>
      </c>
    </row>
    <row r="2039" spans="1:10" x14ac:dyDescent="0.2">
      <c r="A2039" t="s">
        <v>430</v>
      </c>
      <c r="B2039" t="s">
        <v>327</v>
      </c>
      <c r="C2039" t="s">
        <v>264</v>
      </c>
      <c r="D2039" t="s">
        <v>265</v>
      </c>
      <c r="E2039">
        <v>4849</v>
      </c>
      <c r="F2039" t="s">
        <v>3529</v>
      </c>
      <c r="G2039" t="s">
        <v>266</v>
      </c>
      <c r="H2039" t="s">
        <v>271</v>
      </c>
      <c r="I2039" t="s">
        <v>289</v>
      </c>
      <c r="J2039" t="s">
        <v>5053</v>
      </c>
    </row>
    <row r="2040" spans="1:10" x14ac:dyDescent="0.2">
      <c r="A2040" t="s">
        <v>430</v>
      </c>
      <c r="B2040" t="s">
        <v>327</v>
      </c>
      <c r="C2040" t="s">
        <v>273</v>
      </c>
      <c r="D2040" t="s">
        <v>265</v>
      </c>
      <c r="E2040">
        <v>4919</v>
      </c>
      <c r="F2040" t="s">
        <v>3530</v>
      </c>
      <c r="G2040" t="s">
        <v>266</v>
      </c>
      <c r="H2040" t="s">
        <v>279</v>
      </c>
      <c r="I2040" t="s">
        <v>289</v>
      </c>
      <c r="J2040" t="s">
        <v>4490</v>
      </c>
    </row>
    <row r="2041" spans="1:10" x14ac:dyDescent="0.2">
      <c r="A2041" t="s">
        <v>430</v>
      </c>
      <c r="B2041" t="s">
        <v>327</v>
      </c>
      <c r="C2041" t="s">
        <v>275</v>
      </c>
      <c r="D2041" t="s">
        <v>265</v>
      </c>
      <c r="E2041">
        <v>4976</v>
      </c>
      <c r="F2041" t="s">
        <v>3531</v>
      </c>
      <c r="G2041" t="s">
        <v>270</v>
      </c>
      <c r="H2041" t="s">
        <v>279</v>
      </c>
      <c r="I2041">
        <v>37</v>
      </c>
    </row>
    <row r="2042" spans="1:10" x14ac:dyDescent="0.2">
      <c r="A2042" t="s">
        <v>430</v>
      </c>
      <c r="B2042" t="s">
        <v>327</v>
      </c>
      <c r="C2042" t="s">
        <v>264</v>
      </c>
      <c r="D2042" t="s">
        <v>265</v>
      </c>
      <c r="E2042">
        <v>4999</v>
      </c>
      <c r="F2042" t="s">
        <v>3532</v>
      </c>
      <c r="G2042" t="s">
        <v>274</v>
      </c>
      <c r="H2042" t="s">
        <v>279</v>
      </c>
      <c r="I2042">
        <v>125</v>
      </c>
    </row>
    <row r="2043" spans="1:10" x14ac:dyDescent="0.2">
      <c r="A2043" t="s">
        <v>430</v>
      </c>
      <c r="B2043" t="s">
        <v>327</v>
      </c>
      <c r="C2043" t="s">
        <v>264</v>
      </c>
      <c r="D2043" t="s">
        <v>265</v>
      </c>
      <c r="E2043">
        <v>5162</v>
      </c>
      <c r="F2043" t="s">
        <v>3533</v>
      </c>
      <c r="G2043" t="s">
        <v>270</v>
      </c>
      <c r="H2043" t="s">
        <v>535</v>
      </c>
      <c r="I2043">
        <v>42</v>
      </c>
    </row>
    <row r="2044" spans="1:10" x14ac:dyDescent="0.2">
      <c r="A2044" t="s">
        <v>430</v>
      </c>
      <c r="B2044" t="s">
        <v>327</v>
      </c>
      <c r="C2044" t="s">
        <v>273</v>
      </c>
      <c r="D2044" t="s">
        <v>265</v>
      </c>
      <c r="E2044">
        <v>5301</v>
      </c>
      <c r="F2044" t="s">
        <v>1798</v>
      </c>
      <c r="G2044" t="s">
        <v>266</v>
      </c>
      <c r="H2044" t="s">
        <v>308</v>
      </c>
      <c r="I2044" t="s">
        <v>289</v>
      </c>
      <c r="J2044" t="s">
        <v>4481</v>
      </c>
    </row>
    <row r="2045" spans="1:10" x14ac:dyDescent="0.2">
      <c r="A2045" t="s">
        <v>430</v>
      </c>
      <c r="B2045" t="s">
        <v>327</v>
      </c>
      <c r="C2045" t="s">
        <v>264</v>
      </c>
      <c r="D2045" t="s">
        <v>265</v>
      </c>
      <c r="E2045">
        <v>5411</v>
      </c>
      <c r="F2045" t="s">
        <v>3534</v>
      </c>
      <c r="G2045" t="s">
        <v>266</v>
      </c>
      <c r="H2045" t="s">
        <v>726</v>
      </c>
      <c r="I2045" t="s">
        <v>407</v>
      </c>
      <c r="J2045" t="s">
        <v>4524</v>
      </c>
    </row>
    <row r="2046" spans="1:10" x14ac:dyDescent="0.2">
      <c r="A2046" t="s">
        <v>430</v>
      </c>
      <c r="B2046" t="s">
        <v>327</v>
      </c>
      <c r="C2046" t="s">
        <v>264</v>
      </c>
      <c r="D2046" t="s">
        <v>265</v>
      </c>
      <c r="E2046">
        <v>5463</v>
      </c>
      <c r="F2046" t="s">
        <v>3535</v>
      </c>
      <c r="G2046" t="s">
        <v>266</v>
      </c>
      <c r="H2046" t="s">
        <v>726</v>
      </c>
      <c r="I2046" t="s">
        <v>289</v>
      </c>
      <c r="J2046" t="s">
        <v>5054</v>
      </c>
    </row>
    <row r="2047" spans="1:10" x14ac:dyDescent="0.2">
      <c r="A2047" t="s">
        <v>430</v>
      </c>
      <c r="B2047" t="s">
        <v>327</v>
      </c>
      <c r="C2047" t="s">
        <v>264</v>
      </c>
      <c r="D2047" t="s">
        <v>265</v>
      </c>
      <c r="E2047">
        <v>5644</v>
      </c>
      <c r="F2047" t="s">
        <v>3536</v>
      </c>
      <c r="G2047" t="s">
        <v>274</v>
      </c>
      <c r="H2047" t="s">
        <v>726</v>
      </c>
      <c r="I2047">
        <v>50</v>
      </c>
    </row>
    <row r="2048" spans="1:10" x14ac:dyDescent="0.2">
      <c r="A2048" t="s">
        <v>430</v>
      </c>
      <c r="B2048" t="s">
        <v>327</v>
      </c>
      <c r="C2048" t="s">
        <v>264</v>
      </c>
      <c r="D2048" t="s">
        <v>265</v>
      </c>
      <c r="E2048">
        <v>5706</v>
      </c>
      <c r="F2048" t="s">
        <v>1794</v>
      </c>
      <c r="G2048" t="s">
        <v>266</v>
      </c>
      <c r="H2048" t="s">
        <v>373</v>
      </c>
      <c r="I2048" t="s">
        <v>297</v>
      </c>
      <c r="J2048" t="s">
        <v>5055</v>
      </c>
    </row>
    <row r="2049" spans="1:10" x14ac:dyDescent="0.2">
      <c r="A2049" t="s">
        <v>430</v>
      </c>
      <c r="B2049" t="s">
        <v>327</v>
      </c>
      <c r="C2049" t="s">
        <v>264</v>
      </c>
      <c r="D2049" t="s">
        <v>265</v>
      </c>
      <c r="E2049">
        <v>5711</v>
      </c>
      <c r="F2049" t="s">
        <v>3537</v>
      </c>
      <c r="G2049" t="s">
        <v>266</v>
      </c>
      <c r="H2049" t="s">
        <v>373</v>
      </c>
      <c r="I2049" t="s">
        <v>333</v>
      </c>
      <c r="J2049" t="s">
        <v>5056</v>
      </c>
    </row>
    <row r="2050" spans="1:10" x14ac:dyDescent="0.2">
      <c r="A2050" t="s">
        <v>430</v>
      </c>
      <c r="B2050" t="s">
        <v>327</v>
      </c>
      <c r="C2050" t="s">
        <v>264</v>
      </c>
      <c r="D2050" t="s">
        <v>265</v>
      </c>
      <c r="E2050">
        <v>5714</v>
      </c>
      <c r="F2050" t="s">
        <v>434</v>
      </c>
      <c r="G2050" t="s">
        <v>266</v>
      </c>
      <c r="H2050" t="s">
        <v>373</v>
      </c>
      <c r="I2050" t="s">
        <v>289</v>
      </c>
      <c r="J2050" t="s">
        <v>5057</v>
      </c>
    </row>
    <row r="2051" spans="1:10" x14ac:dyDescent="0.2">
      <c r="A2051" t="s">
        <v>430</v>
      </c>
      <c r="B2051" t="s">
        <v>327</v>
      </c>
      <c r="C2051" t="s">
        <v>264</v>
      </c>
      <c r="D2051" t="s">
        <v>265</v>
      </c>
      <c r="E2051">
        <v>5915</v>
      </c>
      <c r="F2051" t="s">
        <v>3538</v>
      </c>
      <c r="G2051" t="s">
        <v>266</v>
      </c>
      <c r="H2051" t="s">
        <v>281</v>
      </c>
      <c r="I2051">
        <v>97</v>
      </c>
    </row>
    <row r="2052" spans="1:10" x14ac:dyDescent="0.2">
      <c r="A2052" t="s">
        <v>430</v>
      </c>
      <c r="B2052" t="s">
        <v>327</v>
      </c>
      <c r="C2052" t="s">
        <v>268</v>
      </c>
      <c r="D2052" t="s">
        <v>269</v>
      </c>
      <c r="E2052">
        <v>5921</v>
      </c>
      <c r="F2052" t="s">
        <v>3539</v>
      </c>
      <c r="G2052" t="s">
        <v>274</v>
      </c>
      <c r="H2052" t="s">
        <v>281</v>
      </c>
      <c r="I2052">
        <v>79</v>
      </c>
    </row>
    <row r="2053" spans="1:10" x14ac:dyDescent="0.2">
      <c r="A2053" t="s">
        <v>430</v>
      </c>
      <c r="B2053" t="s">
        <v>327</v>
      </c>
      <c r="C2053" t="s">
        <v>264</v>
      </c>
      <c r="D2053" t="s">
        <v>269</v>
      </c>
      <c r="E2053">
        <v>5939</v>
      </c>
      <c r="F2053" t="s">
        <v>3540</v>
      </c>
      <c r="G2053" t="s">
        <v>270</v>
      </c>
      <c r="H2053" t="s">
        <v>281</v>
      </c>
      <c r="I2053">
        <v>92</v>
      </c>
    </row>
    <row r="2054" spans="1:10" x14ac:dyDescent="0.2">
      <c r="A2054" t="s">
        <v>430</v>
      </c>
      <c r="B2054" t="s">
        <v>327</v>
      </c>
      <c r="C2054" t="s">
        <v>264</v>
      </c>
      <c r="D2054" t="s">
        <v>265</v>
      </c>
      <c r="E2054">
        <v>5947</v>
      </c>
      <c r="F2054" t="s">
        <v>3541</v>
      </c>
      <c r="G2054" t="s">
        <v>266</v>
      </c>
      <c r="H2054" t="s">
        <v>281</v>
      </c>
      <c r="I2054" t="s">
        <v>316</v>
      </c>
      <c r="J2054" t="s">
        <v>4632</v>
      </c>
    </row>
    <row r="2055" spans="1:10" x14ac:dyDescent="0.2">
      <c r="A2055" t="s">
        <v>430</v>
      </c>
      <c r="B2055" t="s">
        <v>327</v>
      </c>
      <c r="C2055" t="s">
        <v>264</v>
      </c>
      <c r="D2055" t="s">
        <v>269</v>
      </c>
      <c r="E2055">
        <v>5962</v>
      </c>
      <c r="F2055" t="s">
        <v>3542</v>
      </c>
      <c r="G2055" t="s">
        <v>274</v>
      </c>
      <c r="H2055" t="s">
        <v>288</v>
      </c>
      <c r="I2055">
        <v>19</v>
      </c>
    </row>
    <row r="2056" spans="1:10" x14ac:dyDescent="0.2">
      <c r="A2056" t="s">
        <v>430</v>
      </c>
      <c r="B2056" t="s">
        <v>327</v>
      </c>
      <c r="C2056" t="s">
        <v>264</v>
      </c>
      <c r="D2056" t="s">
        <v>265</v>
      </c>
      <c r="E2056">
        <v>5985</v>
      </c>
      <c r="F2056" t="s">
        <v>3543</v>
      </c>
      <c r="G2056" t="s">
        <v>266</v>
      </c>
      <c r="H2056" t="s">
        <v>281</v>
      </c>
      <c r="I2056">
        <v>191</v>
      </c>
    </row>
    <row r="2057" spans="1:10" x14ac:dyDescent="0.2">
      <c r="A2057" t="s">
        <v>430</v>
      </c>
      <c r="B2057" t="s">
        <v>327</v>
      </c>
      <c r="C2057" t="s">
        <v>264</v>
      </c>
      <c r="D2057" t="s">
        <v>265</v>
      </c>
      <c r="E2057">
        <v>6167</v>
      </c>
      <c r="F2057" t="s">
        <v>3544</v>
      </c>
      <c r="G2057" t="s">
        <v>266</v>
      </c>
      <c r="H2057" t="s">
        <v>287</v>
      </c>
      <c r="I2057">
        <v>157</v>
      </c>
    </row>
    <row r="2058" spans="1:10" x14ac:dyDescent="0.2">
      <c r="A2058" t="s">
        <v>430</v>
      </c>
      <c r="B2058" t="s">
        <v>327</v>
      </c>
      <c r="C2058" t="s">
        <v>275</v>
      </c>
      <c r="D2058" t="s">
        <v>269</v>
      </c>
      <c r="E2058">
        <v>6175</v>
      </c>
      <c r="F2058" t="s">
        <v>3545</v>
      </c>
      <c r="G2058" t="s">
        <v>266</v>
      </c>
      <c r="H2058" t="s">
        <v>271</v>
      </c>
      <c r="I2058">
        <v>152</v>
      </c>
    </row>
    <row r="2059" spans="1:10" x14ac:dyDescent="0.2">
      <c r="A2059" t="s">
        <v>430</v>
      </c>
      <c r="B2059" t="s">
        <v>327</v>
      </c>
      <c r="C2059" t="s">
        <v>264</v>
      </c>
      <c r="D2059" t="s">
        <v>269</v>
      </c>
      <c r="E2059">
        <v>6188</v>
      </c>
      <c r="F2059" t="s">
        <v>3546</v>
      </c>
      <c r="G2059" t="s">
        <v>274</v>
      </c>
      <c r="H2059" t="s">
        <v>271</v>
      </c>
      <c r="I2059">
        <v>67</v>
      </c>
    </row>
    <row r="2060" spans="1:10" x14ac:dyDescent="0.2">
      <c r="A2060" t="s">
        <v>430</v>
      </c>
      <c r="B2060" t="s">
        <v>327</v>
      </c>
      <c r="C2060" t="s">
        <v>268</v>
      </c>
      <c r="D2060" t="s">
        <v>269</v>
      </c>
      <c r="E2060">
        <v>6194</v>
      </c>
      <c r="F2060" t="s">
        <v>3547</v>
      </c>
      <c r="G2060" t="s">
        <v>266</v>
      </c>
      <c r="H2060" t="s">
        <v>271</v>
      </c>
      <c r="I2060">
        <v>523</v>
      </c>
    </row>
    <row r="2061" spans="1:10" x14ac:dyDescent="0.2">
      <c r="A2061" t="s">
        <v>430</v>
      </c>
      <c r="B2061" t="s">
        <v>327</v>
      </c>
      <c r="C2061" t="s">
        <v>264</v>
      </c>
      <c r="D2061" t="s">
        <v>265</v>
      </c>
      <c r="E2061">
        <v>6208</v>
      </c>
      <c r="F2061" t="s">
        <v>4512</v>
      </c>
      <c r="G2061" t="s">
        <v>266</v>
      </c>
      <c r="H2061" t="s">
        <v>287</v>
      </c>
      <c r="I2061">
        <v>109</v>
      </c>
    </row>
    <row r="2062" spans="1:10" x14ac:dyDescent="0.2">
      <c r="A2062" t="s">
        <v>430</v>
      </c>
      <c r="B2062" t="s">
        <v>327</v>
      </c>
      <c r="C2062" t="s">
        <v>273</v>
      </c>
      <c r="D2062" t="s">
        <v>265</v>
      </c>
      <c r="E2062">
        <v>6250</v>
      </c>
      <c r="F2062" t="s">
        <v>3548</v>
      </c>
      <c r="G2062" t="s">
        <v>266</v>
      </c>
      <c r="H2062" t="s">
        <v>287</v>
      </c>
      <c r="I2062">
        <v>505</v>
      </c>
    </row>
    <row r="2063" spans="1:10" x14ac:dyDescent="0.2">
      <c r="A2063" t="s">
        <v>430</v>
      </c>
      <c r="B2063" t="s">
        <v>327</v>
      </c>
      <c r="C2063" t="s">
        <v>264</v>
      </c>
      <c r="D2063" t="s">
        <v>265</v>
      </c>
      <c r="E2063">
        <v>6273</v>
      </c>
      <c r="F2063" t="s">
        <v>3549</v>
      </c>
      <c r="G2063" t="s">
        <v>266</v>
      </c>
      <c r="H2063" t="s">
        <v>287</v>
      </c>
      <c r="I2063" t="s">
        <v>2576</v>
      </c>
      <c r="J2063" t="s">
        <v>5058</v>
      </c>
    </row>
    <row r="2064" spans="1:10" x14ac:dyDescent="0.2">
      <c r="A2064" t="s">
        <v>430</v>
      </c>
      <c r="B2064" t="s">
        <v>327</v>
      </c>
      <c r="C2064" t="s">
        <v>273</v>
      </c>
      <c r="D2064" t="s">
        <v>265</v>
      </c>
      <c r="E2064">
        <v>6274</v>
      </c>
      <c r="F2064" t="s">
        <v>2963</v>
      </c>
      <c r="G2064" t="s">
        <v>266</v>
      </c>
      <c r="H2064" t="s">
        <v>287</v>
      </c>
      <c r="I2064">
        <v>255</v>
      </c>
    </row>
    <row r="2065" spans="1:10" x14ac:dyDescent="0.2">
      <c r="A2065" t="s">
        <v>430</v>
      </c>
      <c r="B2065" t="s">
        <v>327</v>
      </c>
      <c r="C2065" t="s">
        <v>264</v>
      </c>
      <c r="D2065" t="s">
        <v>265</v>
      </c>
      <c r="E2065">
        <v>6286</v>
      </c>
      <c r="F2065" t="s">
        <v>3550</v>
      </c>
      <c r="G2065" t="s">
        <v>270</v>
      </c>
      <c r="H2065" t="s">
        <v>287</v>
      </c>
      <c r="I2065">
        <v>39</v>
      </c>
    </row>
    <row r="2066" spans="1:10" x14ac:dyDescent="0.2">
      <c r="A2066" t="s">
        <v>430</v>
      </c>
      <c r="B2066" t="s">
        <v>327</v>
      </c>
      <c r="C2066" t="s">
        <v>264</v>
      </c>
      <c r="D2066" t="s">
        <v>265</v>
      </c>
      <c r="E2066">
        <v>6306</v>
      </c>
      <c r="F2066" t="s">
        <v>3551</v>
      </c>
      <c r="G2066" t="s">
        <v>266</v>
      </c>
      <c r="H2066" t="s">
        <v>287</v>
      </c>
      <c r="I2066">
        <v>330</v>
      </c>
    </row>
    <row r="2067" spans="1:10" x14ac:dyDescent="0.2">
      <c r="A2067" t="s">
        <v>430</v>
      </c>
      <c r="B2067" t="s">
        <v>327</v>
      </c>
      <c r="C2067" t="s">
        <v>268</v>
      </c>
      <c r="D2067" t="s">
        <v>265</v>
      </c>
      <c r="E2067">
        <v>6338</v>
      </c>
      <c r="F2067" t="s">
        <v>3552</v>
      </c>
      <c r="G2067" t="s">
        <v>274</v>
      </c>
      <c r="H2067" t="s">
        <v>287</v>
      </c>
      <c r="I2067">
        <v>34</v>
      </c>
    </row>
    <row r="2068" spans="1:10" x14ac:dyDescent="0.2">
      <c r="A2068" t="s">
        <v>430</v>
      </c>
      <c r="B2068" t="s">
        <v>327</v>
      </c>
      <c r="C2068" t="s">
        <v>273</v>
      </c>
      <c r="D2068" t="s">
        <v>265</v>
      </c>
      <c r="E2068">
        <v>6361</v>
      </c>
      <c r="F2068" t="s">
        <v>3553</v>
      </c>
      <c r="G2068" t="s">
        <v>266</v>
      </c>
      <c r="H2068" t="s">
        <v>287</v>
      </c>
      <c r="I2068" t="s">
        <v>333</v>
      </c>
      <c r="J2068" t="s">
        <v>4369</v>
      </c>
    </row>
    <row r="2069" spans="1:10" x14ac:dyDescent="0.2">
      <c r="A2069" t="s">
        <v>430</v>
      </c>
      <c r="B2069" t="s">
        <v>327</v>
      </c>
      <c r="C2069" t="s">
        <v>264</v>
      </c>
      <c r="D2069" t="s">
        <v>265</v>
      </c>
      <c r="E2069">
        <v>6367</v>
      </c>
      <c r="F2069" t="s">
        <v>3554</v>
      </c>
      <c r="G2069" t="s">
        <v>266</v>
      </c>
      <c r="H2069" t="s">
        <v>287</v>
      </c>
      <c r="I2069" t="s">
        <v>4540</v>
      </c>
      <c r="J2069" t="s">
        <v>4707</v>
      </c>
    </row>
    <row r="2070" spans="1:10" x14ac:dyDescent="0.2">
      <c r="A2070" t="s">
        <v>430</v>
      </c>
      <c r="B2070" t="s">
        <v>327</v>
      </c>
      <c r="C2070" t="s">
        <v>264</v>
      </c>
      <c r="D2070" t="s">
        <v>265</v>
      </c>
      <c r="E2070">
        <v>6407</v>
      </c>
      <c r="F2070" t="s">
        <v>1642</v>
      </c>
      <c r="G2070" t="s">
        <v>266</v>
      </c>
      <c r="H2070" t="s">
        <v>287</v>
      </c>
      <c r="I2070" t="s">
        <v>297</v>
      </c>
      <c r="J2070" t="s">
        <v>4687</v>
      </c>
    </row>
    <row r="2071" spans="1:10" x14ac:dyDescent="0.2">
      <c r="A2071" t="s">
        <v>430</v>
      </c>
      <c r="B2071" t="s">
        <v>327</v>
      </c>
      <c r="C2071" t="s">
        <v>264</v>
      </c>
      <c r="D2071" t="s">
        <v>265</v>
      </c>
      <c r="E2071">
        <v>6408</v>
      </c>
      <c r="F2071" t="s">
        <v>593</v>
      </c>
      <c r="G2071" t="s">
        <v>270</v>
      </c>
      <c r="H2071" t="s">
        <v>287</v>
      </c>
      <c r="I2071">
        <v>122</v>
      </c>
    </row>
    <row r="2072" spans="1:10" x14ac:dyDescent="0.2">
      <c r="A2072" t="s">
        <v>430</v>
      </c>
      <c r="B2072" t="s">
        <v>327</v>
      </c>
      <c r="C2072" t="s">
        <v>264</v>
      </c>
      <c r="D2072" t="s">
        <v>265</v>
      </c>
      <c r="E2072">
        <v>6409</v>
      </c>
      <c r="F2072" t="s">
        <v>3555</v>
      </c>
      <c r="G2072" t="s">
        <v>266</v>
      </c>
      <c r="H2072" t="s">
        <v>287</v>
      </c>
      <c r="I2072">
        <v>459</v>
      </c>
    </row>
    <row r="2073" spans="1:10" x14ac:dyDescent="0.2">
      <c r="A2073" t="s">
        <v>430</v>
      </c>
      <c r="B2073" t="s">
        <v>327</v>
      </c>
      <c r="C2073" t="s">
        <v>264</v>
      </c>
      <c r="D2073" t="s">
        <v>265</v>
      </c>
      <c r="E2073">
        <v>6418</v>
      </c>
      <c r="F2073" t="s">
        <v>3556</v>
      </c>
      <c r="G2073" t="s">
        <v>266</v>
      </c>
      <c r="H2073" t="s">
        <v>287</v>
      </c>
      <c r="I2073">
        <v>264</v>
      </c>
    </row>
    <row r="2074" spans="1:10" x14ac:dyDescent="0.2">
      <c r="A2074" t="s">
        <v>430</v>
      </c>
      <c r="B2074" t="s">
        <v>327</v>
      </c>
      <c r="C2074" t="s">
        <v>273</v>
      </c>
      <c r="D2074" t="s">
        <v>265</v>
      </c>
      <c r="E2074">
        <v>6440</v>
      </c>
      <c r="F2074" t="s">
        <v>1800</v>
      </c>
      <c r="G2074" t="s">
        <v>266</v>
      </c>
      <c r="H2074" t="s">
        <v>287</v>
      </c>
      <c r="I2074">
        <v>252</v>
      </c>
    </row>
    <row r="2075" spans="1:10" x14ac:dyDescent="0.2">
      <c r="A2075" t="s">
        <v>430</v>
      </c>
      <c r="B2075" t="s">
        <v>327</v>
      </c>
      <c r="C2075" t="s">
        <v>264</v>
      </c>
      <c r="D2075" t="s">
        <v>265</v>
      </c>
      <c r="E2075">
        <v>6463</v>
      </c>
      <c r="F2075" t="s">
        <v>3557</v>
      </c>
      <c r="G2075" t="s">
        <v>266</v>
      </c>
      <c r="H2075" t="s">
        <v>287</v>
      </c>
      <c r="I2075">
        <v>722</v>
      </c>
    </row>
    <row r="2076" spans="1:10" x14ac:dyDescent="0.2">
      <c r="A2076" t="s">
        <v>430</v>
      </c>
      <c r="B2076" t="s">
        <v>327</v>
      </c>
      <c r="C2076" t="s">
        <v>264</v>
      </c>
      <c r="D2076" t="s">
        <v>265</v>
      </c>
      <c r="E2076">
        <v>6480</v>
      </c>
      <c r="F2076" t="s">
        <v>3558</v>
      </c>
      <c r="G2076" t="s">
        <v>266</v>
      </c>
      <c r="H2076" t="s">
        <v>287</v>
      </c>
      <c r="I2076">
        <v>361</v>
      </c>
    </row>
    <row r="2077" spans="1:10" x14ac:dyDescent="0.2">
      <c r="A2077" t="s">
        <v>430</v>
      </c>
      <c r="B2077" t="s">
        <v>327</v>
      </c>
      <c r="C2077" t="s">
        <v>273</v>
      </c>
      <c r="D2077" t="s">
        <v>265</v>
      </c>
      <c r="E2077">
        <v>6627</v>
      </c>
      <c r="F2077" t="s">
        <v>729</v>
      </c>
      <c r="G2077" t="s">
        <v>278</v>
      </c>
      <c r="H2077" t="s">
        <v>291</v>
      </c>
      <c r="I2077">
        <v>100</v>
      </c>
    </row>
    <row r="2078" spans="1:10" x14ac:dyDescent="0.2">
      <c r="A2078" t="s">
        <v>430</v>
      </c>
      <c r="B2078" t="s">
        <v>327</v>
      </c>
      <c r="C2078" t="s">
        <v>264</v>
      </c>
      <c r="D2078" t="s">
        <v>265</v>
      </c>
      <c r="E2078">
        <v>6704</v>
      </c>
      <c r="F2078" t="s">
        <v>1644</v>
      </c>
      <c r="G2078" t="s">
        <v>266</v>
      </c>
      <c r="H2078" t="s">
        <v>291</v>
      </c>
      <c r="I2078">
        <v>84</v>
      </c>
    </row>
    <row r="2079" spans="1:10" x14ac:dyDescent="0.2">
      <c r="A2079" t="s">
        <v>430</v>
      </c>
      <c r="B2079" t="s">
        <v>327</v>
      </c>
      <c r="C2079" t="s">
        <v>273</v>
      </c>
      <c r="D2079" t="s">
        <v>265</v>
      </c>
      <c r="E2079">
        <v>6723</v>
      </c>
      <c r="F2079" t="s">
        <v>3559</v>
      </c>
      <c r="G2079" t="s">
        <v>266</v>
      </c>
      <c r="H2079" t="s">
        <v>291</v>
      </c>
      <c r="I2079" t="s">
        <v>446</v>
      </c>
      <c r="J2079" t="s">
        <v>4640</v>
      </c>
    </row>
    <row r="2080" spans="1:10" x14ac:dyDescent="0.2">
      <c r="A2080" t="s">
        <v>430</v>
      </c>
      <c r="B2080" t="s">
        <v>327</v>
      </c>
      <c r="C2080" t="s">
        <v>264</v>
      </c>
      <c r="D2080" t="s">
        <v>265</v>
      </c>
      <c r="E2080">
        <v>6741</v>
      </c>
      <c r="F2080" t="s">
        <v>3560</v>
      </c>
      <c r="G2080" t="s">
        <v>266</v>
      </c>
      <c r="H2080" t="s">
        <v>291</v>
      </c>
      <c r="I2080">
        <v>983</v>
      </c>
    </row>
    <row r="2081" spans="1:10" x14ac:dyDescent="0.2">
      <c r="A2081" t="s">
        <v>430</v>
      </c>
      <c r="B2081" t="s">
        <v>327</v>
      </c>
      <c r="C2081" t="s">
        <v>264</v>
      </c>
      <c r="D2081" t="s">
        <v>265</v>
      </c>
      <c r="E2081">
        <v>6772</v>
      </c>
      <c r="F2081" t="s">
        <v>3561</v>
      </c>
      <c r="G2081" t="s">
        <v>274</v>
      </c>
      <c r="H2081" t="s">
        <v>291</v>
      </c>
      <c r="I2081">
        <v>18</v>
      </c>
    </row>
    <row r="2082" spans="1:10" x14ac:dyDescent="0.2">
      <c r="A2082" t="s">
        <v>430</v>
      </c>
      <c r="B2082" t="s">
        <v>327</v>
      </c>
      <c r="C2082" t="s">
        <v>264</v>
      </c>
      <c r="D2082" t="s">
        <v>265</v>
      </c>
      <c r="E2082">
        <v>6775</v>
      </c>
      <c r="F2082" t="s">
        <v>3562</v>
      </c>
      <c r="G2082" t="s">
        <v>274</v>
      </c>
      <c r="H2082" t="s">
        <v>291</v>
      </c>
      <c r="I2082">
        <v>30</v>
      </c>
    </row>
    <row r="2083" spans="1:10" x14ac:dyDescent="0.2">
      <c r="A2083" t="s">
        <v>430</v>
      </c>
      <c r="B2083" t="s">
        <v>327</v>
      </c>
      <c r="C2083" t="s">
        <v>275</v>
      </c>
      <c r="D2083" t="s">
        <v>265</v>
      </c>
      <c r="E2083">
        <v>6916</v>
      </c>
      <c r="F2083" t="s">
        <v>1801</v>
      </c>
      <c r="G2083" t="s">
        <v>266</v>
      </c>
      <c r="H2083" t="s">
        <v>291</v>
      </c>
      <c r="I2083">
        <v>151</v>
      </c>
    </row>
    <row r="2084" spans="1:10" x14ac:dyDescent="0.2">
      <c r="A2084" t="s">
        <v>430</v>
      </c>
      <c r="B2084" t="s">
        <v>327</v>
      </c>
      <c r="C2084" t="s">
        <v>264</v>
      </c>
      <c r="D2084" t="s">
        <v>265</v>
      </c>
      <c r="E2084">
        <v>6926</v>
      </c>
      <c r="F2084" t="s">
        <v>3563</v>
      </c>
      <c r="G2084" t="s">
        <v>266</v>
      </c>
      <c r="H2084" t="s">
        <v>291</v>
      </c>
      <c r="I2084">
        <v>88</v>
      </c>
    </row>
    <row r="2085" spans="1:10" x14ac:dyDescent="0.2">
      <c r="A2085" t="s">
        <v>430</v>
      </c>
      <c r="B2085" t="s">
        <v>327</v>
      </c>
      <c r="C2085" t="s">
        <v>264</v>
      </c>
      <c r="D2085" t="s">
        <v>265</v>
      </c>
      <c r="E2085">
        <v>6962</v>
      </c>
      <c r="F2085" t="s">
        <v>3564</v>
      </c>
      <c r="G2085" t="s">
        <v>266</v>
      </c>
      <c r="H2085" t="s">
        <v>291</v>
      </c>
      <c r="I2085">
        <v>178</v>
      </c>
    </row>
    <row r="2086" spans="1:10" x14ac:dyDescent="0.2">
      <c r="A2086" t="s">
        <v>430</v>
      </c>
      <c r="B2086" t="s">
        <v>327</v>
      </c>
      <c r="C2086" t="s">
        <v>273</v>
      </c>
      <c r="D2086" t="s">
        <v>265</v>
      </c>
      <c r="E2086">
        <v>7037</v>
      </c>
      <c r="F2086" t="s">
        <v>3565</v>
      </c>
      <c r="G2086" t="s">
        <v>278</v>
      </c>
      <c r="H2086" t="s">
        <v>271</v>
      </c>
      <c r="I2086">
        <v>59</v>
      </c>
    </row>
    <row r="2087" spans="1:10" x14ac:dyDescent="0.2">
      <c r="A2087" t="s">
        <v>430</v>
      </c>
      <c r="B2087" t="s">
        <v>327</v>
      </c>
      <c r="C2087" t="s">
        <v>264</v>
      </c>
      <c r="D2087" t="s">
        <v>269</v>
      </c>
      <c r="E2087">
        <v>7047</v>
      </c>
      <c r="F2087" t="s">
        <v>3566</v>
      </c>
      <c r="G2087" t="s">
        <v>278</v>
      </c>
      <c r="H2087" t="s">
        <v>271</v>
      </c>
      <c r="I2087">
        <v>110</v>
      </c>
    </row>
    <row r="2088" spans="1:10" x14ac:dyDescent="0.2">
      <c r="A2088" t="s">
        <v>430</v>
      </c>
      <c r="B2088" t="s">
        <v>327</v>
      </c>
      <c r="C2088" t="s">
        <v>264</v>
      </c>
      <c r="D2088" t="s">
        <v>265</v>
      </c>
      <c r="E2088">
        <v>7058</v>
      </c>
      <c r="F2088" t="s">
        <v>512</v>
      </c>
      <c r="G2088" t="s">
        <v>270</v>
      </c>
      <c r="H2088" t="s">
        <v>271</v>
      </c>
      <c r="I2088">
        <v>89</v>
      </c>
    </row>
    <row r="2089" spans="1:10" x14ac:dyDescent="0.2">
      <c r="A2089" t="s">
        <v>430</v>
      </c>
      <c r="B2089" t="s">
        <v>327</v>
      </c>
      <c r="C2089" t="s">
        <v>268</v>
      </c>
      <c r="D2089" t="s">
        <v>269</v>
      </c>
      <c r="E2089">
        <v>7066</v>
      </c>
      <c r="F2089" t="s">
        <v>3567</v>
      </c>
      <c r="G2089" t="s">
        <v>278</v>
      </c>
      <c r="H2089" t="s">
        <v>271</v>
      </c>
      <c r="I2089">
        <v>50</v>
      </c>
    </row>
    <row r="2090" spans="1:10" x14ac:dyDescent="0.2">
      <c r="A2090" t="s">
        <v>430</v>
      </c>
      <c r="B2090" t="s">
        <v>327</v>
      </c>
      <c r="C2090" t="s">
        <v>268</v>
      </c>
      <c r="D2090" t="s">
        <v>265</v>
      </c>
      <c r="E2090">
        <v>7069</v>
      </c>
      <c r="F2090" t="s">
        <v>1487</v>
      </c>
      <c r="G2090" t="s">
        <v>278</v>
      </c>
      <c r="H2090" t="s">
        <v>271</v>
      </c>
      <c r="I2090">
        <v>263</v>
      </c>
    </row>
    <row r="2091" spans="1:10" x14ac:dyDescent="0.2">
      <c r="A2091" t="s">
        <v>430</v>
      </c>
      <c r="B2091" t="s">
        <v>327</v>
      </c>
      <c r="C2091" t="s">
        <v>264</v>
      </c>
      <c r="D2091" t="s">
        <v>269</v>
      </c>
      <c r="E2091">
        <v>7157</v>
      </c>
      <c r="F2091" t="s">
        <v>3568</v>
      </c>
      <c r="G2091" t="s">
        <v>278</v>
      </c>
      <c r="H2091" t="s">
        <v>665</v>
      </c>
      <c r="I2091">
        <v>366</v>
      </c>
    </row>
    <row r="2092" spans="1:10" x14ac:dyDescent="0.2">
      <c r="A2092" t="s">
        <v>430</v>
      </c>
      <c r="B2092" t="s">
        <v>327</v>
      </c>
      <c r="C2092" t="s">
        <v>273</v>
      </c>
      <c r="D2092" t="s">
        <v>265</v>
      </c>
      <c r="E2092">
        <v>7272</v>
      </c>
      <c r="F2092" t="s">
        <v>3569</v>
      </c>
      <c r="G2092" t="s">
        <v>266</v>
      </c>
      <c r="H2092" t="s">
        <v>296</v>
      </c>
      <c r="I2092" t="s">
        <v>518</v>
      </c>
      <c r="J2092" t="s">
        <v>5036</v>
      </c>
    </row>
    <row r="2093" spans="1:10" x14ac:dyDescent="0.2">
      <c r="A2093" t="s">
        <v>430</v>
      </c>
      <c r="B2093" t="s">
        <v>327</v>
      </c>
      <c r="C2093" t="s">
        <v>264</v>
      </c>
      <c r="D2093" t="s">
        <v>265</v>
      </c>
      <c r="E2093">
        <v>7294</v>
      </c>
      <c r="F2093" t="s">
        <v>435</v>
      </c>
      <c r="G2093" t="s">
        <v>266</v>
      </c>
      <c r="H2093" t="s">
        <v>296</v>
      </c>
      <c r="I2093">
        <v>366</v>
      </c>
    </row>
    <row r="2094" spans="1:10" x14ac:dyDescent="0.2">
      <c r="A2094" t="s">
        <v>430</v>
      </c>
      <c r="B2094" t="s">
        <v>327</v>
      </c>
      <c r="C2094" t="s">
        <v>273</v>
      </c>
      <c r="D2094" t="s">
        <v>265</v>
      </c>
      <c r="E2094">
        <v>7309</v>
      </c>
      <c r="F2094" t="s">
        <v>3570</v>
      </c>
      <c r="G2094" t="s">
        <v>266</v>
      </c>
      <c r="H2094" t="s">
        <v>296</v>
      </c>
      <c r="I2094" t="s">
        <v>294</v>
      </c>
      <c r="J2094" t="s">
        <v>4303</v>
      </c>
    </row>
    <row r="2095" spans="1:10" x14ac:dyDescent="0.2">
      <c r="A2095" t="s">
        <v>430</v>
      </c>
      <c r="B2095" t="s">
        <v>327</v>
      </c>
      <c r="C2095" t="s">
        <v>264</v>
      </c>
      <c r="D2095" t="s">
        <v>265</v>
      </c>
      <c r="E2095">
        <v>7413</v>
      </c>
      <c r="F2095" t="s">
        <v>3571</v>
      </c>
      <c r="G2095" t="s">
        <v>270</v>
      </c>
      <c r="H2095" t="s">
        <v>272</v>
      </c>
      <c r="I2095">
        <v>14</v>
      </c>
    </row>
    <row r="2096" spans="1:10" x14ac:dyDescent="0.2">
      <c r="A2096" t="s">
        <v>430</v>
      </c>
      <c r="B2096" t="s">
        <v>327</v>
      </c>
      <c r="C2096" t="s">
        <v>264</v>
      </c>
      <c r="D2096" t="s">
        <v>269</v>
      </c>
      <c r="E2096">
        <v>7448</v>
      </c>
      <c r="F2096" t="s">
        <v>3572</v>
      </c>
      <c r="G2096" t="s">
        <v>266</v>
      </c>
      <c r="H2096" t="s">
        <v>276</v>
      </c>
      <c r="I2096">
        <v>50</v>
      </c>
    </row>
    <row r="2097" spans="1:10" x14ac:dyDescent="0.2">
      <c r="A2097" t="s">
        <v>430</v>
      </c>
      <c r="B2097" t="s">
        <v>327</v>
      </c>
      <c r="C2097" t="s">
        <v>264</v>
      </c>
      <c r="D2097" t="s">
        <v>265</v>
      </c>
      <c r="E2097">
        <v>7472</v>
      </c>
      <c r="F2097" t="s">
        <v>3573</v>
      </c>
      <c r="G2097" t="s">
        <v>270</v>
      </c>
      <c r="H2097" t="s">
        <v>272</v>
      </c>
      <c r="I2097">
        <v>153</v>
      </c>
    </row>
    <row r="2098" spans="1:10" x14ac:dyDescent="0.2">
      <c r="A2098" t="s">
        <v>430</v>
      </c>
      <c r="B2098" t="s">
        <v>327</v>
      </c>
      <c r="C2098" t="s">
        <v>264</v>
      </c>
      <c r="D2098" t="s">
        <v>269</v>
      </c>
      <c r="E2098">
        <v>7481</v>
      </c>
      <c r="F2098" t="s">
        <v>546</v>
      </c>
      <c r="G2098" t="s">
        <v>266</v>
      </c>
      <c r="H2098" t="s">
        <v>272</v>
      </c>
      <c r="I2098">
        <v>130</v>
      </c>
    </row>
    <row r="2099" spans="1:10" x14ac:dyDescent="0.2">
      <c r="A2099" t="s">
        <v>430</v>
      </c>
      <c r="B2099" t="s">
        <v>327</v>
      </c>
      <c r="C2099" t="s">
        <v>264</v>
      </c>
      <c r="D2099" t="s">
        <v>265</v>
      </c>
      <c r="E2099">
        <v>7523</v>
      </c>
      <c r="F2099" t="s">
        <v>3574</v>
      </c>
      <c r="G2099" t="s">
        <v>270</v>
      </c>
      <c r="H2099" t="s">
        <v>276</v>
      </c>
      <c r="I2099">
        <v>106</v>
      </c>
    </row>
    <row r="2100" spans="1:10" x14ac:dyDescent="0.2">
      <c r="A2100" t="s">
        <v>430</v>
      </c>
      <c r="B2100" t="s">
        <v>327</v>
      </c>
      <c r="C2100" t="s">
        <v>264</v>
      </c>
      <c r="D2100" t="s">
        <v>269</v>
      </c>
      <c r="E2100">
        <v>7577</v>
      </c>
      <c r="F2100" t="s">
        <v>3575</v>
      </c>
      <c r="G2100" t="s">
        <v>270</v>
      </c>
      <c r="H2100" t="s">
        <v>276</v>
      </c>
      <c r="I2100">
        <v>40</v>
      </c>
    </row>
    <row r="2101" spans="1:10" x14ac:dyDescent="0.2">
      <c r="A2101" t="s">
        <v>430</v>
      </c>
      <c r="B2101" t="s">
        <v>327</v>
      </c>
      <c r="C2101" t="s">
        <v>264</v>
      </c>
      <c r="D2101" t="s">
        <v>265</v>
      </c>
      <c r="E2101">
        <v>7602</v>
      </c>
      <c r="F2101" t="s">
        <v>3576</v>
      </c>
      <c r="G2101" t="s">
        <v>274</v>
      </c>
      <c r="H2101" t="s">
        <v>272</v>
      </c>
      <c r="I2101">
        <v>106</v>
      </c>
    </row>
    <row r="2102" spans="1:10" x14ac:dyDescent="0.2">
      <c r="A2102" t="s">
        <v>430</v>
      </c>
      <c r="B2102" t="s">
        <v>327</v>
      </c>
      <c r="C2102" t="s">
        <v>273</v>
      </c>
      <c r="D2102" t="s">
        <v>265</v>
      </c>
      <c r="E2102">
        <v>7625</v>
      </c>
      <c r="F2102" t="s">
        <v>3577</v>
      </c>
      <c r="G2102" t="s">
        <v>274</v>
      </c>
      <c r="H2102" t="s">
        <v>276</v>
      </c>
      <c r="I2102">
        <v>23</v>
      </c>
    </row>
    <row r="2103" spans="1:10" x14ac:dyDescent="0.2">
      <c r="A2103" t="s">
        <v>430</v>
      </c>
      <c r="B2103" t="s">
        <v>327</v>
      </c>
      <c r="C2103" t="s">
        <v>264</v>
      </c>
      <c r="D2103" t="s">
        <v>265</v>
      </c>
      <c r="E2103">
        <v>7734</v>
      </c>
      <c r="F2103" t="s">
        <v>3578</v>
      </c>
      <c r="G2103" t="s">
        <v>266</v>
      </c>
      <c r="H2103" t="s">
        <v>342</v>
      </c>
      <c r="I2103">
        <v>524</v>
      </c>
    </row>
    <row r="2104" spans="1:10" x14ac:dyDescent="0.2">
      <c r="A2104" t="s">
        <v>430</v>
      </c>
      <c r="B2104" t="s">
        <v>327</v>
      </c>
      <c r="C2104" t="s">
        <v>264</v>
      </c>
      <c r="D2104" t="s">
        <v>265</v>
      </c>
      <c r="E2104">
        <v>7762</v>
      </c>
      <c r="F2104" t="s">
        <v>1875</v>
      </c>
      <c r="G2104" t="s">
        <v>266</v>
      </c>
      <c r="H2104" t="s">
        <v>342</v>
      </c>
      <c r="I2104" t="s">
        <v>297</v>
      </c>
      <c r="J2104" t="s">
        <v>5059</v>
      </c>
    </row>
    <row r="2105" spans="1:10" x14ac:dyDescent="0.2">
      <c r="A2105" t="s">
        <v>430</v>
      </c>
      <c r="B2105" t="s">
        <v>327</v>
      </c>
      <c r="C2105" t="s">
        <v>275</v>
      </c>
      <c r="D2105" t="s">
        <v>265</v>
      </c>
      <c r="E2105">
        <v>7812</v>
      </c>
      <c r="F2105" t="s">
        <v>3579</v>
      </c>
      <c r="G2105" t="s">
        <v>274</v>
      </c>
      <c r="H2105" t="s">
        <v>288</v>
      </c>
      <c r="I2105">
        <v>40</v>
      </c>
    </row>
    <row r="2106" spans="1:10" x14ac:dyDescent="0.2">
      <c r="A2106" t="s">
        <v>430</v>
      </c>
      <c r="B2106" t="s">
        <v>327</v>
      </c>
      <c r="C2106" t="s">
        <v>264</v>
      </c>
      <c r="D2106" t="s">
        <v>265</v>
      </c>
      <c r="E2106">
        <v>7867</v>
      </c>
      <c r="F2106" t="s">
        <v>3580</v>
      </c>
      <c r="G2106" t="s">
        <v>266</v>
      </c>
      <c r="H2106" t="s">
        <v>288</v>
      </c>
      <c r="I2106" t="s">
        <v>297</v>
      </c>
      <c r="J2106" t="s">
        <v>5060</v>
      </c>
    </row>
    <row r="2107" spans="1:10" x14ac:dyDescent="0.2">
      <c r="A2107" t="s">
        <v>430</v>
      </c>
      <c r="B2107" t="s">
        <v>327</v>
      </c>
      <c r="C2107" t="s">
        <v>264</v>
      </c>
      <c r="D2107" t="s">
        <v>265</v>
      </c>
      <c r="E2107">
        <v>7875</v>
      </c>
      <c r="F2107" t="s">
        <v>3581</v>
      </c>
      <c r="G2107" t="s">
        <v>274</v>
      </c>
      <c r="H2107" t="s">
        <v>288</v>
      </c>
      <c r="I2107">
        <v>71</v>
      </c>
    </row>
    <row r="2108" spans="1:10" x14ac:dyDescent="0.2">
      <c r="A2108" t="s">
        <v>430</v>
      </c>
      <c r="B2108" t="s">
        <v>327</v>
      </c>
      <c r="C2108" t="s">
        <v>264</v>
      </c>
      <c r="D2108" t="s">
        <v>265</v>
      </c>
      <c r="E2108">
        <v>7886</v>
      </c>
      <c r="F2108" t="s">
        <v>3582</v>
      </c>
      <c r="G2108" t="s">
        <v>270</v>
      </c>
      <c r="H2108" t="s">
        <v>279</v>
      </c>
      <c r="I2108">
        <v>9</v>
      </c>
    </row>
    <row r="2109" spans="1:10" x14ac:dyDescent="0.2">
      <c r="A2109" t="s">
        <v>430</v>
      </c>
      <c r="B2109" t="s">
        <v>327</v>
      </c>
      <c r="C2109" t="s">
        <v>264</v>
      </c>
      <c r="D2109" t="s">
        <v>265</v>
      </c>
      <c r="E2109">
        <v>7911</v>
      </c>
      <c r="F2109" t="s">
        <v>3583</v>
      </c>
      <c r="G2109" t="s">
        <v>266</v>
      </c>
      <c r="H2109" t="s">
        <v>288</v>
      </c>
      <c r="I2109" t="s">
        <v>518</v>
      </c>
      <c r="J2109" t="s">
        <v>5061</v>
      </c>
    </row>
    <row r="2110" spans="1:10" x14ac:dyDescent="0.2">
      <c r="A2110" t="s">
        <v>430</v>
      </c>
      <c r="B2110" t="s">
        <v>327</v>
      </c>
      <c r="C2110" t="s">
        <v>273</v>
      </c>
      <c r="D2110" t="s">
        <v>265</v>
      </c>
      <c r="E2110">
        <v>7963</v>
      </c>
      <c r="F2110" t="s">
        <v>549</v>
      </c>
      <c r="G2110" t="s">
        <v>270</v>
      </c>
      <c r="H2110" t="s">
        <v>288</v>
      </c>
      <c r="I2110">
        <v>104</v>
      </c>
    </row>
    <row r="2111" spans="1:10" x14ac:dyDescent="0.2">
      <c r="A2111" t="s">
        <v>430</v>
      </c>
      <c r="B2111" t="s">
        <v>327</v>
      </c>
      <c r="C2111" t="s">
        <v>264</v>
      </c>
      <c r="D2111" t="s">
        <v>265</v>
      </c>
      <c r="E2111">
        <v>8097</v>
      </c>
      <c r="F2111" t="s">
        <v>3584</v>
      </c>
      <c r="G2111" t="s">
        <v>266</v>
      </c>
      <c r="H2111" t="s">
        <v>272</v>
      </c>
      <c r="I2111">
        <v>814</v>
      </c>
    </row>
    <row r="2112" spans="1:10" x14ac:dyDescent="0.2">
      <c r="A2112" t="s">
        <v>430</v>
      </c>
      <c r="B2112" t="s">
        <v>327</v>
      </c>
      <c r="C2112" t="s">
        <v>264</v>
      </c>
      <c r="D2112" t="s">
        <v>265</v>
      </c>
      <c r="E2112">
        <v>8105</v>
      </c>
      <c r="F2112" t="s">
        <v>3585</v>
      </c>
      <c r="G2112" t="s">
        <v>274</v>
      </c>
      <c r="H2112" t="s">
        <v>272</v>
      </c>
      <c r="I2112">
        <v>58</v>
      </c>
    </row>
    <row r="2113" spans="1:10" x14ac:dyDescent="0.2">
      <c r="A2113" t="s">
        <v>430</v>
      </c>
      <c r="B2113" t="s">
        <v>327</v>
      </c>
      <c r="C2113" t="s">
        <v>264</v>
      </c>
      <c r="D2113" t="s">
        <v>265</v>
      </c>
      <c r="E2113">
        <v>8275</v>
      </c>
      <c r="F2113" t="s">
        <v>3586</v>
      </c>
      <c r="G2113" t="s">
        <v>266</v>
      </c>
      <c r="H2113" t="s">
        <v>272</v>
      </c>
      <c r="I2113">
        <v>325</v>
      </c>
    </row>
    <row r="2114" spans="1:10" x14ac:dyDescent="0.2">
      <c r="A2114" t="s">
        <v>430</v>
      </c>
      <c r="B2114" t="s">
        <v>327</v>
      </c>
      <c r="C2114" t="s">
        <v>264</v>
      </c>
      <c r="D2114" t="s">
        <v>265</v>
      </c>
      <c r="E2114">
        <v>8416</v>
      </c>
      <c r="F2114" t="s">
        <v>3587</v>
      </c>
      <c r="G2114" t="s">
        <v>266</v>
      </c>
      <c r="H2114" t="s">
        <v>484</v>
      </c>
      <c r="I2114">
        <v>90</v>
      </c>
    </row>
    <row r="2115" spans="1:10" x14ac:dyDescent="0.2">
      <c r="A2115" t="s">
        <v>430</v>
      </c>
      <c r="B2115" t="s">
        <v>327</v>
      </c>
      <c r="C2115" t="s">
        <v>264</v>
      </c>
      <c r="D2115" t="s">
        <v>265</v>
      </c>
      <c r="E2115">
        <v>8844</v>
      </c>
      <c r="F2115" t="s">
        <v>3588</v>
      </c>
      <c r="G2115" t="s">
        <v>270</v>
      </c>
      <c r="H2115" t="s">
        <v>292</v>
      </c>
      <c r="I2115">
        <v>255</v>
      </c>
    </row>
    <row r="2116" spans="1:10" x14ac:dyDescent="0.2">
      <c r="A2116" t="s">
        <v>430</v>
      </c>
      <c r="B2116" t="s">
        <v>327</v>
      </c>
      <c r="C2116" t="s">
        <v>264</v>
      </c>
      <c r="D2116" t="s">
        <v>265</v>
      </c>
      <c r="E2116">
        <v>8850</v>
      </c>
      <c r="F2116" t="s">
        <v>3589</v>
      </c>
      <c r="G2116" t="s">
        <v>266</v>
      </c>
      <c r="H2116" t="s">
        <v>292</v>
      </c>
      <c r="I2116" t="s">
        <v>297</v>
      </c>
      <c r="J2116" t="s">
        <v>5062</v>
      </c>
    </row>
    <row r="2117" spans="1:10" x14ac:dyDescent="0.2">
      <c r="A2117" t="s">
        <v>430</v>
      </c>
      <c r="B2117" t="s">
        <v>327</v>
      </c>
      <c r="C2117" t="s">
        <v>275</v>
      </c>
      <c r="D2117" t="s">
        <v>265</v>
      </c>
      <c r="E2117">
        <v>8928</v>
      </c>
      <c r="F2117" t="s">
        <v>666</v>
      </c>
      <c r="G2117" t="s">
        <v>266</v>
      </c>
      <c r="H2117" t="s">
        <v>292</v>
      </c>
      <c r="I2117">
        <v>201</v>
      </c>
    </row>
    <row r="2118" spans="1:10" x14ac:dyDescent="0.2">
      <c r="A2118" t="s">
        <v>430</v>
      </c>
      <c r="B2118" t="s">
        <v>327</v>
      </c>
      <c r="C2118" t="s">
        <v>264</v>
      </c>
      <c r="D2118" t="s">
        <v>265</v>
      </c>
      <c r="E2118">
        <v>9005</v>
      </c>
      <c r="F2118" t="s">
        <v>3590</v>
      </c>
      <c r="G2118" t="s">
        <v>266</v>
      </c>
      <c r="H2118" t="s">
        <v>356</v>
      </c>
      <c r="I2118" t="s">
        <v>545</v>
      </c>
      <c r="J2118" t="s">
        <v>4680</v>
      </c>
    </row>
    <row r="2119" spans="1:10" x14ac:dyDescent="0.2">
      <c r="A2119" t="s">
        <v>430</v>
      </c>
      <c r="B2119" t="s">
        <v>327</v>
      </c>
      <c r="C2119" t="s">
        <v>264</v>
      </c>
      <c r="D2119" t="s">
        <v>265</v>
      </c>
      <c r="E2119">
        <v>9073</v>
      </c>
      <c r="F2119" t="s">
        <v>3591</v>
      </c>
      <c r="G2119" t="s">
        <v>270</v>
      </c>
      <c r="H2119" t="s">
        <v>356</v>
      </c>
      <c r="I2119">
        <v>17</v>
      </c>
    </row>
    <row r="2120" spans="1:10" x14ac:dyDescent="0.2">
      <c r="A2120" t="s">
        <v>430</v>
      </c>
      <c r="B2120" t="s">
        <v>327</v>
      </c>
      <c r="C2120" t="s">
        <v>264</v>
      </c>
      <c r="D2120" t="s">
        <v>265</v>
      </c>
      <c r="E2120">
        <v>9082</v>
      </c>
      <c r="F2120" t="s">
        <v>3592</v>
      </c>
      <c r="G2120" t="s">
        <v>274</v>
      </c>
      <c r="H2120" t="s">
        <v>356</v>
      </c>
      <c r="I2120">
        <v>66</v>
      </c>
    </row>
    <row r="2121" spans="1:10" x14ac:dyDescent="0.2">
      <c r="A2121" t="s">
        <v>430</v>
      </c>
      <c r="B2121" t="s">
        <v>327</v>
      </c>
      <c r="C2121" t="s">
        <v>275</v>
      </c>
      <c r="D2121" t="s">
        <v>265</v>
      </c>
      <c r="E2121">
        <v>9273</v>
      </c>
      <c r="F2121" t="s">
        <v>3593</v>
      </c>
      <c r="G2121" t="s">
        <v>274</v>
      </c>
      <c r="H2121" t="s">
        <v>272</v>
      </c>
      <c r="I2121">
        <v>89</v>
      </c>
    </row>
    <row r="2122" spans="1:10" x14ac:dyDescent="0.2">
      <c r="A2122" t="s">
        <v>430</v>
      </c>
      <c r="B2122" t="s">
        <v>327</v>
      </c>
      <c r="C2122" t="s">
        <v>264</v>
      </c>
      <c r="D2122" t="s">
        <v>265</v>
      </c>
      <c r="E2122">
        <v>9310</v>
      </c>
      <c r="F2122" t="s">
        <v>3594</v>
      </c>
      <c r="G2122" t="s">
        <v>266</v>
      </c>
      <c r="H2122" t="s">
        <v>556</v>
      </c>
      <c r="I2122">
        <v>341</v>
      </c>
    </row>
    <row r="2123" spans="1:10" x14ac:dyDescent="0.2">
      <c r="A2123" t="s">
        <v>430</v>
      </c>
      <c r="B2123" t="s">
        <v>327</v>
      </c>
      <c r="C2123" t="s">
        <v>264</v>
      </c>
      <c r="D2123" t="s">
        <v>269</v>
      </c>
      <c r="E2123">
        <v>9363</v>
      </c>
      <c r="F2123" t="s">
        <v>3595</v>
      </c>
      <c r="G2123" t="s">
        <v>274</v>
      </c>
      <c r="H2123" t="s">
        <v>556</v>
      </c>
      <c r="I2123">
        <v>19</v>
      </c>
    </row>
    <row r="2124" spans="1:10" x14ac:dyDescent="0.2">
      <c r="A2124" t="s">
        <v>430</v>
      </c>
      <c r="B2124" t="s">
        <v>327</v>
      </c>
      <c r="C2124" t="s">
        <v>264</v>
      </c>
      <c r="D2124" t="s">
        <v>265</v>
      </c>
      <c r="E2124">
        <v>9423</v>
      </c>
      <c r="F2124" t="s">
        <v>3596</v>
      </c>
      <c r="G2124" t="s">
        <v>270</v>
      </c>
      <c r="H2124" t="s">
        <v>277</v>
      </c>
      <c r="I2124">
        <v>23</v>
      </c>
    </row>
    <row r="2125" spans="1:10" x14ac:dyDescent="0.2">
      <c r="A2125" t="s">
        <v>430</v>
      </c>
      <c r="B2125" t="s">
        <v>327</v>
      </c>
      <c r="C2125" t="s">
        <v>264</v>
      </c>
      <c r="D2125" t="s">
        <v>265</v>
      </c>
      <c r="E2125">
        <v>9445</v>
      </c>
      <c r="F2125" t="s">
        <v>3597</v>
      </c>
      <c r="G2125" t="s">
        <v>274</v>
      </c>
      <c r="H2125" t="s">
        <v>277</v>
      </c>
      <c r="I2125">
        <v>80</v>
      </c>
    </row>
    <row r="2126" spans="1:10" x14ac:dyDescent="0.2">
      <c r="A2126" t="s">
        <v>430</v>
      </c>
      <c r="B2126" t="s">
        <v>327</v>
      </c>
      <c r="C2126" t="s">
        <v>273</v>
      </c>
      <c r="D2126" t="s">
        <v>265</v>
      </c>
      <c r="E2126">
        <v>9449</v>
      </c>
      <c r="F2126" t="s">
        <v>3598</v>
      </c>
      <c r="G2126" t="s">
        <v>266</v>
      </c>
      <c r="H2126" t="s">
        <v>277</v>
      </c>
      <c r="I2126" t="s">
        <v>289</v>
      </c>
      <c r="J2126" t="s">
        <v>4938</v>
      </c>
    </row>
    <row r="2127" spans="1:10" x14ac:dyDescent="0.2">
      <c r="A2127" t="s">
        <v>430</v>
      </c>
      <c r="B2127" t="s">
        <v>327</v>
      </c>
      <c r="C2127" t="s">
        <v>275</v>
      </c>
      <c r="D2127" t="s">
        <v>265</v>
      </c>
      <c r="E2127">
        <v>9514</v>
      </c>
      <c r="F2127" t="s">
        <v>3599</v>
      </c>
      <c r="G2127" t="s">
        <v>266</v>
      </c>
      <c r="H2127" t="s">
        <v>489</v>
      </c>
      <c r="I2127">
        <v>175</v>
      </c>
    </row>
    <row r="2128" spans="1:10" x14ac:dyDescent="0.2">
      <c r="A2128" t="s">
        <v>430</v>
      </c>
      <c r="B2128" t="s">
        <v>327</v>
      </c>
      <c r="C2128" t="s">
        <v>264</v>
      </c>
      <c r="D2128" t="s">
        <v>265</v>
      </c>
      <c r="E2128">
        <v>9675</v>
      </c>
      <c r="F2128" t="s">
        <v>3600</v>
      </c>
      <c r="G2128" t="s">
        <v>266</v>
      </c>
      <c r="H2128" t="s">
        <v>271</v>
      </c>
      <c r="I2128">
        <v>148</v>
      </c>
    </row>
    <row r="2129" spans="1:10" x14ac:dyDescent="0.2">
      <c r="A2129" t="s">
        <v>430</v>
      </c>
      <c r="B2129" t="s">
        <v>327</v>
      </c>
      <c r="C2129" t="s">
        <v>264</v>
      </c>
      <c r="D2129" t="s">
        <v>269</v>
      </c>
      <c r="E2129">
        <v>9695</v>
      </c>
      <c r="F2129" t="s">
        <v>3601</v>
      </c>
      <c r="G2129" t="s">
        <v>270</v>
      </c>
      <c r="H2129" t="s">
        <v>271</v>
      </c>
      <c r="I2129">
        <v>37</v>
      </c>
    </row>
    <row r="2130" spans="1:10" x14ac:dyDescent="0.2">
      <c r="A2130" t="s">
        <v>430</v>
      </c>
      <c r="B2130" t="s">
        <v>327</v>
      </c>
      <c r="C2130" t="s">
        <v>264</v>
      </c>
      <c r="D2130" t="s">
        <v>265</v>
      </c>
      <c r="E2130">
        <v>9776</v>
      </c>
      <c r="F2130" t="s">
        <v>3602</v>
      </c>
      <c r="G2130" t="s">
        <v>270</v>
      </c>
      <c r="H2130" t="s">
        <v>271</v>
      </c>
      <c r="I2130">
        <v>81</v>
      </c>
    </row>
    <row r="2131" spans="1:10" x14ac:dyDescent="0.2">
      <c r="A2131" t="s">
        <v>430</v>
      </c>
      <c r="B2131" t="s">
        <v>327</v>
      </c>
      <c r="C2131" t="s">
        <v>264</v>
      </c>
      <c r="D2131" t="s">
        <v>265</v>
      </c>
      <c r="E2131">
        <v>9816</v>
      </c>
      <c r="F2131" t="s">
        <v>3604</v>
      </c>
      <c r="G2131" t="s">
        <v>270</v>
      </c>
      <c r="H2131" t="s">
        <v>292</v>
      </c>
      <c r="I2131">
        <v>34</v>
      </c>
    </row>
    <row r="2132" spans="1:10" x14ac:dyDescent="0.2">
      <c r="A2132" t="s">
        <v>430</v>
      </c>
      <c r="B2132" t="s">
        <v>327</v>
      </c>
      <c r="C2132" t="s">
        <v>264</v>
      </c>
      <c r="D2132" t="s">
        <v>265</v>
      </c>
      <c r="E2132">
        <v>9873</v>
      </c>
      <c r="F2132" t="s">
        <v>1647</v>
      </c>
      <c r="G2132" t="s">
        <v>274</v>
      </c>
      <c r="H2132" t="s">
        <v>276</v>
      </c>
      <c r="I2132">
        <v>719</v>
      </c>
    </row>
    <row r="2133" spans="1:10" x14ac:dyDescent="0.2">
      <c r="A2133" t="s">
        <v>430</v>
      </c>
      <c r="B2133" t="s">
        <v>327</v>
      </c>
      <c r="C2133" t="s">
        <v>264</v>
      </c>
      <c r="D2133" t="s">
        <v>265</v>
      </c>
      <c r="E2133">
        <v>9906</v>
      </c>
      <c r="F2133" t="s">
        <v>3605</v>
      </c>
      <c r="G2133" t="s">
        <v>270</v>
      </c>
      <c r="H2133" t="s">
        <v>272</v>
      </c>
      <c r="I2133">
        <v>160</v>
      </c>
    </row>
    <row r="2134" spans="1:10" x14ac:dyDescent="0.2">
      <c r="A2134" t="s">
        <v>430</v>
      </c>
      <c r="B2134" t="s">
        <v>327</v>
      </c>
      <c r="C2134" t="s">
        <v>275</v>
      </c>
      <c r="D2134" t="s">
        <v>269</v>
      </c>
      <c r="E2134">
        <v>9966</v>
      </c>
      <c r="F2134" t="s">
        <v>1795</v>
      </c>
      <c r="G2134" t="s">
        <v>266</v>
      </c>
      <c r="H2134" t="s">
        <v>276</v>
      </c>
      <c r="I2134">
        <v>31</v>
      </c>
    </row>
    <row r="2135" spans="1:10" x14ac:dyDescent="0.2">
      <c r="A2135" t="s">
        <v>430</v>
      </c>
      <c r="B2135" t="s">
        <v>327</v>
      </c>
      <c r="C2135" t="s">
        <v>264</v>
      </c>
      <c r="D2135" t="s">
        <v>265</v>
      </c>
      <c r="E2135">
        <v>9984</v>
      </c>
      <c r="F2135" t="s">
        <v>3606</v>
      </c>
      <c r="G2135" t="s">
        <v>266</v>
      </c>
      <c r="H2135" t="s">
        <v>277</v>
      </c>
      <c r="I2135" t="s">
        <v>4374</v>
      </c>
      <c r="J2135" t="s">
        <v>4935</v>
      </c>
    </row>
    <row r="2136" spans="1:10" x14ac:dyDescent="0.2">
      <c r="A2136" t="s">
        <v>430</v>
      </c>
      <c r="B2136" t="s">
        <v>290</v>
      </c>
      <c r="C2136" t="s">
        <v>273</v>
      </c>
      <c r="D2136" t="s">
        <v>265</v>
      </c>
      <c r="E2136">
        <v>2169</v>
      </c>
      <c r="F2136" t="s">
        <v>1796</v>
      </c>
      <c r="G2136" t="s">
        <v>266</v>
      </c>
      <c r="H2136" t="s">
        <v>271</v>
      </c>
      <c r="I2136">
        <v>111</v>
      </c>
    </row>
    <row r="2137" spans="1:10" x14ac:dyDescent="0.2">
      <c r="A2137" t="s">
        <v>430</v>
      </c>
      <c r="B2137" t="s">
        <v>1689</v>
      </c>
      <c r="C2137" t="s">
        <v>264</v>
      </c>
      <c r="D2137" t="s">
        <v>265</v>
      </c>
      <c r="E2137">
        <v>1762</v>
      </c>
      <c r="F2137" t="s">
        <v>431</v>
      </c>
      <c r="G2137" t="s">
        <v>266</v>
      </c>
      <c r="H2137" t="s">
        <v>293</v>
      </c>
      <c r="I2137" t="s">
        <v>297</v>
      </c>
      <c r="J2137" t="s">
        <v>4645</v>
      </c>
    </row>
    <row r="2138" spans="1:10" x14ac:dyDescent="0.2">
      <c r="A2138" t="s">
        <v>430</v>
      </c>
      <c r="B2138" t="s">
        <v>1689</v>
      </c>
      <c r="C2138" t="s">
        <v>264</v>
      </c>
      <c r="D2138" t="s">
        <v>265</v>
      </c>
      <c r="E2138">
        <v>1822</v>
      </c>
      <c r="F2138" t="s">
        <v>3607</v>
      </c>
      <c r="G2138" t="s">
        <v>266</v>
      </c>
      <c r="H2138" t="s">
        <v>293</v>
      </c>
      <c r="I2138">
        <v>494</v>
      </c>
    </row>
    <row r="2139" spans="1:10" x14ac:dyDescent="0.2">
      <c r="A2139" t="s">
        <v>430</v>
      </c>
      <c r="B2139" t="s">
        <v>1689</v>
      </c>
      <c r="C2139" t="s">
        <v>264</v>
      </c>
      <c r="D2139" t="s">
        <v>265</v>
      </c>
      <c r="E2139">
        <v>2196</v>
      </c>
      <c r="F2139" t="s">
        <v>651</v>
      </c>
      <c r="G2139" t="s">
        <v>266</v>
      </c>
      <c r="H2139" t="s">
        <v>271</v>
      </c>
      <c r="I2139">
        <v>98</v>
      </c>
    </row>
    <row r="2140" spans="1:10" x14ac:dyDescent="0.2">
      <c r="A2140" t="s">
        <v>430</v>
      </c>
      <c r="B2140" t="s">
        <v>1689</v>
      </c>
      <c r="C2140" t="s">
        <v>264</v>
      </c>
      <c r="D2140" t="s">
        <v>265</v>
      </c>
      <c r="E2140">
        <v>2293</v>
      </c>
      <c r="F2140" t="s">
        <v>3608</v>
      </c>
      <c r="G2140" t="s">
        <v>270</v>
      </c>
      <c r="H2140" t="s">
        <v>267</v>
      </c>
      <c r="I2140">
        <v>68</v>
      </c>
    </row>
    <row r="2141" spans="1:10" x14ac:dyDescent="0.2">
      <c r="A2141" t="s">
        <v>430</v>
      </c>
      <c r="B2141" t="s">
        <v>1689</v>
      </c>
      <c r="C2141" t="s">
        <v>264</v>
      </c>
      <c r="D2141" t="s">
        <v>265</v>
      </c>
      <c r="E2141">
        <v>3010</v>
      </c>
      <c r="F2141" t="s">
        <v>1489</v>
      </c>
      <c r="G2141" t="s">
        <v>274</v>
      </c>
      <c r="H2141" t="s">
        <v>271</v>
      </c>
      <c r="I2141">
        <v>90</v>
      </c>
    </row>
    <row r="2142" spans="1:10" x14ac:dyDescent="0.2">
      <c r="A2142" t="s">
        <v>430</v>
      </c>
      <c r="B2142" t="s">
        <v>1689</v>
      </c>
      <c r="C2142" t="s">
        <v>264</v>
      </c>
      <c r="D2142" t="s">
        <v>265</v>
      </c>
      <c r="E2142">
        <v>3069</v>
      </c>
      <c r="F2142" t="s">
        <v>3609</v>
      </c>
      <c r="G2142" t="s">
        <v>270</v>
      </c>
      <c r="H2142" t="s">
        <v>276</v>
      </c>
      <c r="I2142">
        <v>176</v>
      </c>
    </row>
    <row r="2143" spans="1:10" x14ac:dyDescent="0.2">
      <c r="A2143" t="s">
        <v>430</v>
      </c>
      <c r="B2143" t="s">
        <v>1689</v>
      </c>
      <c r="C2143" t="s">
        <v>264</v>
      </c>
      <c r="D2143" t="s">
        <v>265</v>
      </c>
      <c r="E2143">
        <v>3443</v>
      </c>
      <c r="F2143" t="s">
        <v>3610</v>
      </c>
      <c r="G2143" t="s">
        <v>266</v>
      </c>
      <c r="H2143" t="s">
        <v>281</v>
      </c>
      <c r="I2143">
        <v>389</v>
      </c>
    </row>
    <row r="2144" spans="1:10" x14ac:dyDescent="0.2">
      <c r="A2144" t="s">
        <v>430</v>
      </c>
      <c r="B2144" t="s">
        <v>1689</v>
      </c>
      <c r="C2144" t="s">
        <v>275</v>
      </c>
      <c r="D2144" t="s">
        <v>265</v>
      </c>
      <c r="E2144">
        <v>3469</v>
      </c>
      <c r="F2144" t="s">
        <v>3611</v>
      </c>
      <c r="G2144" t="s">
        <v>274</v>
      </c>
      <c r="H2144" t="s">
        <v>292</v>
      </c>
      <c r="I2144">
        <v>17</v>
      </c>
    </row>
    <row r="2145" spans="1:10" x14ac:dyDescent="0.2">
      <c r="A2145" t="s">
        <v>430</v>
      </c>
      <c r="B2145" t="s">
        <v>1689</v>
      </c>
      <c r="C2145" t="s">
        <v>264</v>
      </c>
      <c r="D2145" t="s">
        <v>269</v>
      </c>
      <c r="E2145">
        <v>3559</v>
      </c>
      <c r="F2145" t="s">
        <v>3612</v>
      </c>
      <c r="G2145" t="s">
        <v>266</v>
      </c>
      <c r="H2145" t="s">
        <v>272</v>
      </c>
      <c r="I2145">
        <v>60</v>
      </c>
    </row>
    <row r="2146" spans="1:10" x14ac:dyDescent="0.2">
      <c r="A2146" t="s">
        <v>430</v>
      </c>
      <c r="B2146" t="s">
        <v>1689</v>
      </c>
      <c r="C2146" t="s">
        <v>268</v>
      </c>
      <c r="D2146" t="s">
        <v>265</v>
      </c>
      <c r="E2146">
        <v>3677</v>
      </c>
      <c r="F2146" t="s">
        <v>3613</v>
      </c>
      <c r="G2146" t="s">
        <v>266</v>
      </c>
      <c r="H2146" t="s">
        <v>277</v>
      </c>
      <c r="I2146">
        <v>265</v>
      </c>
    </row>
    <row r="2147" spans="1:10" x14ac:dyDescent="0.2">
      <c r="A2147" t="s">
        <v>430</v>
      </c>
      <c r="B2147" t="s">
        <v>1689</v>
      </c>
      <c r="C2147" t="s">
        <v>273</v>
      </c>
      <c r="D2147" t="s">
        <v>269</v>
      </c>
      <c r="E2147">
        <v>3719</v>
      </c>
      <c r="F2147" t="s">
        <v>765</v>
      </c>
      <c r="G2147" t="s">
        <v>270</v>
      </c>
      <c r="H2147" t="s">
        <v>277</v>
      </c>
      <c r="I2147">
        <v>28</v>
      </c>
    </row>
    <row r="2148" spans="1:10" x14ac:dyDescent="0.2">
      <c r="A2148" t="s">
        <v>430</v>
      </c>
      <c r="B2148" t="s">
        <v>1689</v>
      </c>
      <c r="C2148" t="s">
        <v>264</v>
      </c>
      <c r="D2148" t="s">
        <v>265</v>
      </c>
      <c r="E2148">
        <v>4027</v>
      </c>
      <c r="F2148" t="s">
        <v>3614</v>
      </c>
      <c r="G2148" t="s">
        <v>266</v>
      </c>
      <c r="H2148" t="s">
        <v>279</v>
      </c>
      <c r="I2148">
        <v>513</v>
      </c>
    </row>
    <row r="2149" spans="1:10" x14ac:dyDescent="0.2">
      <c r="A2149" t="s">
        <v>430</v>
      </c>
      <c r="B2149" t="s">
        <v>1689</v>
      </c>
      <c r="C2149" t="s">
        <v>264</v>
      </c>
      <c r="D2149" t="s">
        <v>265</v>
      </c>
      <c r="E2149">
        <v>4118</v>
      </c>
      <c r="F2149" t="s">
        <v>3615</v>
      </c>
      <c r="G2149" t="s">
        <v>266</v>
      </c>
      <c r="H2149" t="s">
        <v>279</v>
      </c>
      <c r="I2149" t="s">
        <v>289</v>
      </c>
      <c r="J2149" t="s">
        <v>4978</v>
      </c>
    </row>
    <row r="2150" spans="1:10" x14ac:dyDescent="0.2">
      <c r="A2150" t="s">
        <v>430</v>
      </c>
      <c r="B2150" t="s">
        <v>1689</v>
      </c>
      <c r="C2150" t="s">
        <v>273</v>
      </c>
      <c r="D2150" t="s">
        <v>265</v>
      </c>
      <c r="E2150">
        <v>4696</v>
      </c>
      <c r="F2150" t="s">
        <v>3616</v>
      </c>
      <c r="G2150" t="s">
        <v>266</v>
      </c>
      <c r="H2150" t="s">
        <v>271</v>
      </c>
      <c r="I2150">
        <v>56</v>
      </c>
    </row>
    <row r="2151" spans="1:10" x14ac:dyDescent="0.2">
      <c r="A2151" t="s">
        <v>430</v>
      </c>
      <c r="B2151" t="s">
        <v>1689</v>
      </c>
      <c r="C2151" t="s">
        <v>264</v>
      </c>
      <c r="D2151" t="s">
        <v>269</v>
      </c>
      <c r="E2151">
        <v>4752</v>
      </c>
      <c r="F2151" t="s">
        <v>4514</v>
      </c>
      <c r="G2151" t="s">
        <v>270</v>
      </c>
      <c r="H2151" t="s">
        <v>277</v>
      </c>
      <c r="I2151">
        <v>38</v>
      </c>
    </row>
    <row r="2152" spans="1:10" x14ac:dyDescent="0.2">
      <c r="A2152" t="s">
        <v>430</v>
      </c>
      <c r="B2152" t="s">
        <v>1689</v>
      </c>
      <c r="C2152" t="s">
        <v>264</v>
      </c>
      <c r="D2152" t="s">
        <v>265</v>
      </c>
      <c r="E2152">
        <v>4820</v>
      </c>
      <c r="F2152" t="s">
        <v>3617</v>
      </c>
      <c r="G2152" t="s">
        <v>266</v>
      </c>
      <c r="H2152" t="s">
        <v>277</v>
      </c>
      <c r="I2152">
        <v>731</v>
      </c>
    </row>
    <row r="2153" spans="1:10" x14ac:dyDescent="0.2">
      <c r="A2153" t="s">
        <v>430</v>
      </c>
      <c r="B2153" t="s">
        <v>1689</v>
      </c>
      <c r="C2153" t="s">
        <v>264</v>
      </c>
      <c r="D2153" t="s">
        <v>269</v>
      </c>
      <c r="E2153">
        <v>4918</v>
      </c>
      <c r="F2153" t="s">
        <v>3618</v>
      </c>
      <c r="G2153" t="s">
        <v>270</v>
      </c>
      <c r="H2153" t="s">
        <v>279</v>
      </c>
      <c r="I2153">
        <v>51</v>
      </c>
    </row>
    <row r="2154" spans="1:10" x14ac:dyDescent="0.2">
      <c r="A2154" t="s">
        <v>430</v>
      </c>
      <c r="B2154" t="s">
        <v>1689</v>
      </c>
      <c r="C2154" t="s">
        <v>264</v>
      </c>
      <c r="D2154" t="s">
        <v>265</v>
      </c>
      <c r="E2154">
        <v>5922</v>
      </c>
      <c r="F2154" t="s">
        <v>3619</v>
      </c>
      <c r="G2154" t="s">
        <v>274</v>
      </c>
      <c r="H2154" t="s">
        <v>281</v>
      </c>
      <c r="I2154">
        <v>203</v>
      </c>
    </row>
    <row r="2155" spans="1:10" x14ac:dyDescent="0.2">
      <c r="A2155" t="s">
        <v>430</v>
      </c>
      <c r="B2155" t="s">
        <v>1689</v>
      </c>
      <c r="C2155" t="s">
        <v>264</v>
      </c>
      <c r="D2155" t="s">
        <v>265</v>
      </c>
      <c r="E2155">
        <v>5945</v>
      </c>
      <c r="F2155" t="s">
        <v>3620</v>
      </c>
      <c r="G2155" t="s">
        <v>270</v>
      </c>
      <c r="H2155" t="s">
        <v>281</v>
      </c>
      <c r="I2155">
        <v>178</v>
      </c>
    </row>
    <row r="2156" spans="1:10" x14ac:dyDescent="0.2">
      <c r="A2156" t="s">
        <v>430</v>
      </c>
      <c r="B2156" t="s">
        <v>1689</v>
      </c>
      <c r="C2156" t="s">
        <v>264</v>
      </c>
      <c r="D2156" t="s">
        <v>265</v>
      </c>
      <c r="E2156">
        <v>5949</v>
      </c>
      <c r="F2156" t="s">
        <v>4515</v>
      </c>
      <c r="G2156" t="s">
        <v>266</v>
      </c>
      <c r="H2156" t="s">
        <v>296</v>
      </c>
      <c r="I2156">
        <v>741</v>
      </c>
    </row>
    <row r="2157" spans="1:10" x14ac:dyDescent="0.2">
      <c r="A2157" t="s">
        <v>430</v>
      </c>
      <c r="B2157" t="s">
        <v>1689</v>
      </c>
      <c r="C2157" t="s">
        <v>275</v>
      </c>
      <c r="D2157" t="s">
        <v>265</v>
      </c>
      <c r="E2157">
        <v>6030</v>
      </c>
      <c r="F2157" t="s">
        <v>3621</v>
      </c>
      <c r="G2157" t="s">
        <v>278</v>
      </c>
      <c r="H2157" t="s">
        <v>271</v>
      </c>
      <c r="I2157">
        <v>307</v>
      </c>
    </row>
    <row r="2158" spans="1:10" x14ac:dyDescent="0.2">
      <c r="A2158" t="s">
        <v>430</v>
      </c>
      <c r="B2158" t="s">
        <v>1689</v>
      </c>
      <c r="C2158" t="s">
        <v>264</v>
      </c>
      <c r="D2158" t="s">
        <v>265</v>
      </c>
      <c r="E2158">
        <v>6118</v>
      </c>
      <c r="F2158" t="s">
        <v>3622</v>
      </c>
      <c r="G2158" t="s">
        <v>266</v>
      </c>
      <c r="H2158" t="s">
        <v>287</v>
      </c>
      <c r="I2158">
        <v>657</v>
      </c>
    </row>
    <row r="2159" spans="1:10" x14ac:dyDescent="0.2">
      <c r="A2159" t="s">
        <v>430</v>
      </c>
      <c r="B2159" t="s">
        <v>1689</v>
      </c>
      <c r="C2159" t="s">
        <v>264</v>
      </c>
      <c r="D2159" t="s">
        <v>265</v>
      </c>
      <c r="E2159">
        <v>6369</v>
      </c>
      <c r="F2159" t="s">
        <v>3623</v>
      </c>
      <c r="G2159" t="s">
        <v>266</v>
      </c>
      <c r="H2159" t="s">
        <v>287</v>
      </c>
      <c r="I2159">
        <v>217</v>
      </c>
    </row>
    <row r="2160" spans="1:10" x14ac:dyDescent="0.2">
      <c r="A2160" t="s">
        <v>430</v>
      </c>
      <c r="B2160" t="s">
        <v>1689</v>
      </c>
      <c r="C2160" t="s">
        <v>264</v>
      </c>
      <c r="D2160" t="s">
        <v>265</v>
      </c>
      <c r="E2160">
        <v>6428</v>
      </c>
      <c r="F2160" t="s">
        <v>3624</v>
      </c>
      <c r="G2160" t="s">
        <v>266</v>
      </c>
      <c r="H2160" t="s">
        <v>287</v>
      </c>
      <c r="I2160">
        <v>133</v>
      </c>
    </row>
    <row r="2161" spans="1:10" x14ac:dyDescent="0.2">
      <c r="A2161" t="s">
        <v>430</v>
      </c>
      <c r="B2161" t="s">
        <v>1689</v>
      </c>
      <c r="C2161" t="s">
        <v>264</v>
      </c>
      <c r="D2161" t="s">
        <v>265</v>
      </c>
      <c r="E2161">
        <v>6899</v>
      </c>
      <c r="F2161" t="s">
        <v>3625</v>
      </c>
      <c r="G2161" t="s">
        <v>274</v>
      </c>
      <c r="H2161" t="s">
        <v>291</v>
      </c>
      <c r="I2161">
        <v>70</v>
      </c>
    </row>
    <row r="2162" spans="1:10" x14ac:dyDescent="0.2">
      <c r="A2162" t="s">
        <v>430</v>
      </c>
      <c r="B2162" t="s">
        <v>1689</v>
      </c>
      <c r="C2162" t="s">
        <v>264</v>
      </c>
      <c r="D2162" t="s">
        <v>269</v>
      </c>
      <c r="E2162">
        <v>6969</v>
      </c>
      <c r="F2162" t="s">
        <v>3626</v>
      </c>
      <c r="G2162" t="s">
        <v>274</v>
      </c>
      <c r="H2162" t="s">
        <v>291</v>
      </c>
      <c r="I2162">
        <v>10</v>
      </c>
    </row>
    <row r="2163" spans="1:10" x14ac:dyDescent="0.2">
      <c r="A2163" t="s">
        <v>430</v>
      </c>
      <c r="B2163" t="s">
        <v>1689</v>
      </c>
      <c r="C2163" t="s">
        <v>264</v>
      </c>
      <c r="D2163" t="s">
        <v>265</v>
      </c>
      <c r="E2163">
        <v>6998</v>
      </c>
      <c r="F2163" t="s">
        <v>3627</v>
      </c>
      <c r="G2163" t="s">
        <v>274</v>
      </c>
      <c r="H2163" t="s">
        <v>291</v>
      </c>
      <c r="I2163">
        <v>52</v>
      </c>
    </row>
    <row r="2164" spans="1:10" x14ac:dyDescent="0.2">
      <c r="A2164" t="s">
        <v>430</v>
      </c>
      <c r="B2164" t="s">
        <v>1689</v>
      </c>
      <c r="C2164" t="s">
        <v>268</v>
      </c>
      <c r="D2164" t="s">
        <v>269</v>
      </c>
      <c r="E2164">
        <v>7030</v>
      </c>
      <c r="F2164" t="s">
        <v>1802</v>
      </c>
      <c r="G2164" t="s">
        <v>266</v>
      </c>
      <c r="H2164" t="s">
        <v>271</v>
      </c>
      <c r="I2164">
        <v>198</v>
      </c>
    </row>
    <row r="2165" spans="1:10" x14ac:dyDescent="0.2">
      <c r="A2165" t="s">
        <v>430</v>
      </c>
      <c r="B2165" t="s">
        <v>1689</v>
      </c>
      <c r="C2165" t="s">
        <v>264</v>
      </c>
      <c r="D2165" t="s">
        <v>265</v>
      </c>
      <c r="E2165">
        <v>7198</v>
      </c>
      <c r="F2165" t="s">
        <v>3628</v>
      </c>
      <c r="G2165" t="s">
        <v>266</v>
      </c>
      <c r="H2165" t="s">
        <v>302</v>
      </c>
      <c r="I2165">
        <v>826</v>
      </c>
    </row>
    <row r="2166" spans="1:10" x14ac:dyDescent="0.2">
      <c r="A2166" t="s">
        <v>430</v>
      </c>
      <c r="B2166" t="s">
        <v>1689</v>
      </c>
      <c r="C2166" t="s">
        <v>264</v>
      </c>
      <c r="D2166" t="s">
        <v>265</v>
      </c>
      <c r="E2166">
        <v>7235</v>
      </c>
      <c r="F2166" t="s">
        <v>3629</v>
      </c>
      <c r="G2166" t="s">
        <v>274</v>
      </c>
      <c r="H2166" t="s">
        <v>296</v>
      </c>
      <c r="I2166">
        <v>132</v>
      </c>
    </row>
    <row r="2167" spans="1:10" x14ac:dyDescent="0.2">
      <c r="A2167" t="s">
        <v>430</v>
      </c>
      <c r="B2167" t="s">
        <v>1689</v>
      </c>
      <c r="C2167" t="s">
        <v>264</v>
      </c>
      <c r="D2167" t="s">
        <v>265</v>
      </c>
      <c r="E2167">
        <v>7399</v>
      </c>
      <c r="F2167" t="s">
        <v>3630</v>
      </c>
      <c r="G2167" t="s">
        <v>270</v>
      </c>
      <c r="H2167" t="s">
        <v>296</v>
      </c>
      <c r="I2167">
        <v>46</v>
      </c>
    </row>
    <row r="2168" spans="1:10" x14ac:dyDescent="0.2">
      <c r="A2168" t="s">
        <v>430</v>
      </c>
      <c r="B2168" t="s">
        <v>1689</v>
      </c>
      <c r="C2168" t="s">
        <v>264</v>
      </c>
      <c r="D2168" t="s">
        <v>265</v>
      </c>
      <c r="E2168">
        <v>7456</v>
      </c>
      <c r="F2168" t="s">
        <v>3631</v>
      </c>
      <c r="G2168" t="s">
        <v>266</v>
      </c>
      <c r="H2168" t="s">
        <v>272</v>
      </c>
      <c r="I2168">
        <v>465</v>
      </c>
    </row>
    <row r="2169" spans="1:10" x14ac:dyDescent="0.2">
      <c r="A2169" t="s">
        <v>430</v>
      </c>
      <c r="B2169" t="s">
        <v>1689</v>
      </c>
      <c r="C2169" t="s">
        <v>264</v>
      </c>
      <c r="D2169" t="s">
        <v>265</v>
      </c>
      <c r="E2169">
        <v>7552</v>
      </c>
      <c r="F2169" t="s">
        <v>3632</v>
      </c>
      <c r="G2169" t="s">
        <v>266</v>
      </c>
      <c r="H2169" t="s">
        <v>272</v>
      </c>
      <c r="I2169">
        <v>332</v>
      </c>
    </row>
    <row r="2170" spans="1:10" x14ac:dyDescent="0.2">
      <c r="A2170" t="s">
        <v>430</v>
      </c>
      <c r="B2170" t="s">
        <v>1689</v>
      </c>
      <c r="C2170" t="s">
        <v>264</v>
      </c>
      <c r="D2170" t="s">
        <v>265</v>
      </c>
      <c r="E2170">
        <v>7561</v>
      </c>
      <c r="F2170" t="s">
        <v>1645</v>
      </c>
      <c r="G2170" t="s">
        <v>266</v>
      </c>
      <c r="H2170" t="s">
        <v>276</v>
      </c>
      <c r="I2170">
        <v>146</v>
      </c>
    </row>
    <row r="2171" spans="1:10" x14ac:dyDescent="0.2">
      <c r="A2171" t="s">
        <v>430</v>
      </c>
      <c r="B2171" t="s">
        <v>1689</v>
      </c>
      <c r="C2171" t="s">
        <v>264</v>
      </c>
      <c r="D2171" t="s">
        <v>265</v>
      </c>
      <c r="E2171">
        <v>7721</v>
      </c>
      <c r="F2171" t="s">
        <v>3633</v>
      </c>
      <c r="G2171" t="s">
        <v>266</v>
      </c>
      <c r="H2171" t="s">
        <v>342</v>
      </c>
      <c r="I2171">
        <v>186</v>
      </c>
    </row>
    <row r="2172" spans="1:10" x14ac:dyDescent="0.2">
      <c r="A2172" t="s">
        <v>430</v>
      </c>
      <c r="B2172" t="s">
        <v>1689</v>
      </c>
      <c r="C2172" t="s">
        <v>264</v>
      </c>
      <c r="D2172" t="s">
        <v>265</v>
      </c>
      <c r="E2172">
        <v>7771</v>
      </c>
      <c r="F2172" t="s">
        <v>3634</v>
      </c>
      <c r="G2172" t="s">
        <v>270</v>
      </c>
      <c r="H2172" t="s">
        <v>342</v>
      </c>
      <c r="I2172">
        <v>24</v>
      </c>
    </row>
    <row r="2173" spans="1:10" x14ac:dyDescent="0.2">
      <c r="A2173" t="s">
        <v>430</v>
      </c>
      <c r="B2173" t="s">
        <v>1689</v>
      </c>
      <c r="C2173" t="s">
        <v>273</v>
      </c>
      <c r="D2173" t="s">
        <v>265</v>
      </c>
      <c r="E2173">
        <v>7846</v>
      </c>
      <c r="F2173" t="s">
        <v>3635</v>
      </c>
      <c r="G2173" t="s">
        <v>266</v>
      </c>
      <c r="H2173" t="s">
        <v>288</v>
      </c>
      <c r="I2173" t="s">
        <v>297</v>
      </c>
      <c r="J2173" t="s">
        <v>4730</v>
      </c>
    </row>
    <row r="2174" spans="1:10" x14ac:dyDescent="0.2">
      <c r="A2174" t="s">
        <v>430</v>
      </c>
      <c r="B2174" t="s">
        <v>1689</v>
      </c>
      <c r="C2174" t="s">
        <v>264</v>
      </c>
      <c r="D2174" t="s">
        <v>265</v>
      </c>
      <c r="E2174">
        <v>7917</v>
      </c>
      <c r="F2174" t="s">
        <v>3636</v>
      </c>
      <c r="G2174" t="s">
        <v>266</v>
      </c>
      <c r="H2174" t="s">
        <v>279</v>
      </c>
      <c r="I2174">
        <v>674</v>
      </c>
    </row>
    <row r="2175" spans="1:10" x14ac:dyDescent="0.2">
      <c r="A2175" t="s">
        <v>430</v>
      </c>
      <c r="B2175" t="s">
        <v>1689</v>
      </c>
      <c r="C2175" t="s">
        <v>264</v>
      </c>
      <c r="D2175" t="s">
        <v>265</v>
      </c>
      <c r="E2175">
        <v>7918</v>
      </c>
      <c r="F2175" t="s">
        <v>3637</v>
      </c>
      <c r="G2175" t="s">
        <v>266</v>
      </c>
      <c r="H2175" t="s">
        <v>276</v>
      </c>
      <c r="I2175">
        <v>217</v>
      </c>
    </row>
    <row r="2176" spans="1:10" x14ac:dyDescent="0.2">
      <c r="A2176" t="s">
        <v>430</v>
      </c>
      <c r="B2176" t="s">
        <v>1689</v>
      </c>
      <c r="C2176" t="s">
        <v>264</v>
      </c>
      <c r="D2176" t="s">
        <v>265</v>
      </c>
      <c r="E2176">
        <v>8136</v>
      </c>
      <c r="F2176" t="s">
        <v>3638</v>
      </c>
      <c r="G2176" t="s">
        <v>266</v>
      </c>
      <c r="H2176" t="s">
        <v>272</v>
      </c>
      <c r="I2176" t="s">
        <v>297</v>
      </c>
      <c r="J2176" t="s">
        <v>4673</v>
      </c>
    </row>
    <row r="2177" spans="1:10" x14ac:dyDescent="0.2">
      <c r="A2177" t="s">
        <v>430</v>
      </c>
      <c r="B2177" t="s">
        <v>1689</v>
      </c>
      <c r="C2177" t="s">
        <v>264</v>
      </c>
      <c r="D2177" t="s">
        <v>265</v>
      </c>
      <c r="E2177">
        <v>9051</v>
      </c>
      <c r="F2177" t="s">
        <v>3639</v>
      </c>
      <c r="G2177" t="s">
        <v>270</v>
      </c>
      <c r="H2177" t="s">
        <v>356</v>
      </c>
      <c r="I2177">
        <v>43</v>
      </c>
    </row>
    <row r="2178" spans="1:10" x14ac:dyDescent="0.2">
      <c r="A2178" t="s">
        <v>430</v>
      </c>
      <c r="B2178" t="s">
        <v>1689</v>
      </c>
      <c r="C2178" t="s">
        <v>264</v>
      </c>
      <c r="D2178" t="s">
        <v>265</v>
      </c>
      <c r="E2178">
        <v>9319</v>
      </c>
      <c r="F2178" t="s">
        <v>3640</v>
      </c>
      <c r="G2178" t="s">
        <v>266</v>
      </c>
      <c r="H2178" t="s">
        <v>556</v>
      </c>
      <c r="I2178">
        <v>224</v>
      </c>
    </row>
    <row r="2179" spans="1:10" x14ac:dyDescent="0.2">
      <c r="A2179" t="s">
        <v>430</v>
      </c>
      <c r="B2179" t="s">
        <v>1689</v>
      </c>
      <c r="C2179" t="s">
        <v>264</v>
      </c>
      <c r="D2179" t="s">
        <v>265</v>
      </c>
      <c r="E2179">
        <v>9362</v>
      </c>
      <c r="F2179" t="s">
        <v>3641</v>
      </c>
      <c r="G2179" t="s">
        <v>274</v>
      </c>
      <c r="H2179" t="s">
        <v>556</v>
      </c>
      <c r="I2179">
        <v>17</v>
      </c>
    </row>
    <row r="2180" spans="1:10" x14ac:dyDescent="0.2">
      <c r="A2180" t="s">
        <v>430</v>
      </c>
      <c r="B2180" t="s">
        <v>1689</v>
      </c>
      <c r="C2180" t="s">
        <v>268</v>
      </c>
      <c r="D2180" t="s">
        <v>265</v>
      </c>
      <c r="E2180">
        <v>9624</v>
      </c>
      <c r="F2180" t="s">
        <v>3642</v>
      </c>
      <c r="G2180" t="s">
        <v>266</v>
      </c>
      <c r="H2180" t="s">
        <v>271</v>
      </c>
      <c r="I2180">
        <v>125</v>
      </c>
    </row>
    <row r="2181" spans="1:10" x14ac:dyDescent="0.2">
      <c r="A2181" t="s">
        <v>430</v>
      </c>
      <c r="B2181" t="s">
        <v>1931</v>
      </c>
      <c r="C2181" t="s">
        <v>264</v>
      </c>
      <c r="D2181" t="s">
        <v>265</v>
      </c>
      <c r="E2181">
        <v>3551</v>
      </c>
      <c r="F2181" t="s">
        <v>3643</v>
      </c>
      <c r="G2181" t="s">
        <v>266</v>
      </c>
      <c r="H2181" t="s">
        <v>299</v>
      </c>
      <c r="I2181">
        <v>73</v>
      </c>
    </row>
    <row r="2182" spans="1:10" x14ac:dyDescent="0.2">
      <c r="A2182" t="s">
        <v>430</v>
      </c>
      <c r="B2182" t="s">
        <v>1931</v>
      </c>
      <c r="C2182" t="s">
        <v>268</v>
      </c>
      <c r="D2182" t="s">
        <v>265</v>
      </c>
      <c r="E2182">
        <v>6877</v>
      </c>
      <c r="F2182" t="s">
        <v>3644</v>
      </c>
      <c r="G2182" t="s">
        <v>266</v>
      </c>
      <c r="H2182" t="s">
        <v>291</v>
      </c>
      <c r="I2182">
        <v>765</v>
      </c>
    </row>
    <row r="2183" spans="1:10" x14ac:dyDescent="0.2">
      <c r="A2183" t="s">
        <v>430</v>
      </c>
      <c r="B2183" t="s">
        <v>263</v>
      </c>
      <c r="C2183" t="s">
        <v>264</v>
      </c>
      <c r="D2183" t="s">
        <v>265</v>
      </c>
      <c r="E2183">
        <v>1811</v>
      </c>
      <c r="F2183" t="s">
        <v>3645</v>
      </c>
      <c r="G2183" t="s">
        <v>266</v>
      </c>
      <c r="H2183" t="s">
        <v>293</v>
      </c>
      <c r="I2183">
        <v>305</v>
      </c>
    </row>
    <row r="2184" spans="1:10" x14ac:dyDescent="0.2">
      <c r="A2184" t="s">
        <v>430</v>
      </c>
      <c r="B2184" t="s">
        <v>263</v>
      </c>
      <c r="C2184" t="s">
        <v>264</v>
      </c>
      <c r="D2184" t="s">
        <v>265</v>
      </c>
      <c r="E2184">
        <v>1904</v>
      </c>
      <c r="F2184" t="s">
        <v>3646</v>
      </c>
      <c r="G2184" t="s">
        <v>270</v>
      </c>
      <c r="H2184" t="s">
        <v>293</v>
      </c>
      <c r="I2184">
        <v>158</v>
      </c>
    </row>
    <row r="2185" spans="1:10" x14ac:dyDescent="0.2">
      <c r="A2185" t="s">
        <v>430</v>
      </c>
      <c r="B2185" t="s">
        <v>263</v>
      </c>
      <c r="C2185" t="s">
        <v>264</v>
      </c>
      <c r="D2185" t="s">
        <v>265</v>
      </c>
      <c r="E2185">
        <v>3571</v>
      </c>
      <c r="F2185" t="s">
        <v>756</v>
      </c>
      <c r="G2185" t="s">
        <v>266</v>
      </c>
      <c r="H2185" t="s">
        <v>299</v>
      </c>
      <c r="I2185">
        <v>135</v>
      </c>
    </row>
    <row r="2186" spans="1:10" x14ac:dyDescent="0.2">
      <c r="A2186" t="s">
        <v>430</v>
      </c>
      <c r="B2186" t="s">
        <v>263</v>
      </c>
      <c r="C2186" t="s">
        <v>264</v>
      </c>
      <c r="D2186" t="s">
        <v>269</v>
      </c>
      <c r="E2186">
        <v>3787</v>
      </c>
      <c r="F2186" t="s">
        <v>3647</v>
      </c>
      <c r="G2186" t="s">
        <v>274</v>
      </c>
      <c r="H2186" t="s">
        <v>277</v>
      </c>
      <c r="I2186">
        <v>34</v>
      </c>
    </row>
    <row r="2187" spans="1:10" x14ac:dyDescent="0.2">
      <c r="A2187" t="s">
        <v>430</v>
      </c>
      <c r="B2187" t="s">
        <v>263</v>
      </c>
      <c r="C2187" t="s">
        <v>264</v>
      </c>
      <c r="D2187" t="s">
        <v>265</v>
      </c>
      <c r="E2187">
        <v>3936</v>
      </c>
      <c r="F2187" t="s">
        <v>3648</v>
      </c>
      <c r="G2187" t="s">
        <v>278</v>
      </c>
      <c r="H2187" t="s">
        <v>277</v>
      </c>
      <c r="I2187">
        <v>22</v>
      </c>
    </row>
    <row r="2188" spans="1:10" x14ac:dyDescent="0.2">
      <c r="A2188" t="s">
        <v>430</v>
      </c>
      <c r="B2188" t="s">
        <v>263</v>
      </c>
      <c r="C2188" t="s">
        <v>264</v>
      </c>
      <c r="D2188" t="s">
        <v>265</v>
      </c>
      <c r="E2188">
        <v>3970</v>
      </c>
      <c r="F2188" t="s">
        <v>3649</v>
      </c>
      <c r="G2188" t="s">
        <v>278</v>
      </c>
      <c r="H2188" t="s">
        <v>277</v>
      </c>
      <c r="I2188">
        <v>49</v>
      </c>
    </row>
    <row r="2189" spans="1:10" x14ac:dyDescent="0.2">
      <c r="A2189" t="s">
        <v>430</v>
      </c>
      <c r="B2189" t="s">
        <v>263</v>
      </c>
      <c r="C2189" t="s">
        <v>268</v>
      </c>
      <c r="D2189" t="s">
        <v>269</v>
      </c>
      <c r="E2189">
        <v>3985</v>
      </c>
      <c r="F2189" t="s">
        <v>3650</v>
      </c>
      <c r="G2189" t="s">
        <v>266</v>
      </c>
      <c r="H2189" t="s">
        <v>277</v>
      </c>
      <c r="I2189">
        <v>63</v>
      </c>
    </row>
    <row r="2190" spans="1:10" x14ac:dyDescent="0.2">
      <c r="A2190" t="s">
        <v>430</v>
      </c>
      <c r="B2190" t="s">
        <v>263</v>
      </c>
      <c r="C2190" t="s">
        <v>268</v>
      </c>
      <c r="D2190" t="s">
        <v>265</v>
      </c>
      <c r="E2190">
        <v>4124</v>
      </c>
      <c r="F2190" t="s">
        <v>3651</v>
      </c>
      <c r="G2190" t="s">
        <v>270</v>
      </c>
      <c r="H2190" t="s">
        <v>279</v>
      </c>
      <c r="I2190">
        <v>14</v>
      </c>
    </row>
    <row r="2191" spans="1:10" x14ac:dyDescent="0.2">
      <c r="A2191" t="s">
        <v>430</v>
      </c>
      <c r="B2191" t="s">
        <v>263</v>
      </c>
      <c r="C2191" t="s">
        <v>264</v>
      </c>
      <c r="D2191" t="s">
        <v>265</v>
      </c>
      <c r="E2191">
        <v>4619</v>
      </c>
      <c r="F2191" t="s">
        <v>3652</v>
      </c>
      <c r="G2191" t="s">
        <v>266</v>
      </c>
      <c r="H2191" t="s">
        <v>279</v>
      </c>
      <c r="I2191">
        <v>337</v>
      </c>
    </row>
    <row r="2192" spans="1:10" x14ac:dyDescent="0.2">
      <c r="A2192" t="s">
        <v>430</v>
      </c>
      <c r="B2192" t="s">
        <v>263</v>
      </c>
      <c r="C2192" t="s">
        <v>264</v>
      </c>
      <c r="D2192" t="s">
        <v>265</v>
      </c>
      <c r="E2192">
        <v>4732</v>
      </c>
      <c r="F2192" t="s">
        <v>3653</v>
      </c>
      <c r="G2192" t="s">
        <v>266</v>
      </c>
      <c r="H2192" t="s">
        <v>271</v>
      </c>
      <c r="I2192" t="s">
        <v>325</v>
      </c>
      <c r="J2192" t="s">
        <v>4632</v>
      </c>
    </row>
    <row r="2193" spans="1:10" x14ac:dyDescent="0.2">
      <c r="A2193" t="s">
        <v>430</v>
      </c>
      <c r="B2193" t="s">
        <v>263</v>
      </c>
      <c r="C2193" t="s">
        <v>264</v>
      </c>
      <c r="D2193" t="s">
        <v>265</v>
      </c>
      <c r="E2193">
        <v>4837</v>
      </c>
      <c r="F2193" t="s">
        <v>3654</v>
      </c>
      <c r="G2193" t="s">
        <v>270</v>
      </c>
      <c r="H2193" t="s">
        <v>271</v>
      </c>
      <c r="I2193">
        <v>122</v>
      </c>
    </row>
    <row r="2194" spans="1:10" x14ac:dyDescent="0.2">
      <c r="A2194" t="s">
        <v>430</v>
      </c>
      <c r="B2194" t="s">
        <v>263</v>
      </c>
      <c r="C2194" t="s">
        <v>264</v>
      </c>
      <c r="D2194" t="s">
        <v>265</v>
      </c>
      <c r="E2194">
        <v>5984</v>
      </c>
      <c r="F2194" t="s">
        <v>3655</v>
      </c>
      <c r="G2194" t="s">
        <v>274</v>
      </c>
      <c r="H2194" t="s">
        <v>281</v>
      </c>
      <c r="I2194">
        <v>108</v>
      </c>
    </row>
    <row r="2195" spans="1:10" x14ac:dyDescent="0.2">
      <c r="A2195" t="s">
        <v>430</v>
      </c>
      <c r="B2195" t="s">
        <v>263</v>
      </c>
      <c r="C2195" t="s">
        <v>268</v>
      </c>
      <c r="D2195" t="s">
        <v>265</v>
      </c>
      <c r="E2195">
        <v>6087</v>
      </c>
      <c r="F2195" t="s">
        <v>1799</v>
      </c>
      <c r="G2195" t="s">
        <v>266</v>
      </c>
      <c r="H2195" t="s">
        <v>271</v>
      </c>
      <c r="I2195">
        <v>109</v>
      </c>
    </row>
    <row r="2196" spans="1:10" x14ac:dyDescent="0.2">
      <c r="A2196" t="s">
        <v>430</v>
      </c>
      <c r="B2196" t="s">
        <v>263</v>
      </c>
      <c r="C2196" t="s">
        <v>264</v>
      </c>
      <c r="D2196" t="s">
        <v>265</v>
      </c>
      <c r="E2196">
        <v>6254</v>
      </c>
      <c r="F2196" t="s">
        <v>3656</v>
      </c>
      <c r="G2196" t="s">
        <v>270</v>
      </c>
      <c r="H2196" t="s">
        <v>287</v>
      </c>
      <c r="I2196">
        <v>115</v>
      </c>
    </row>
    <row r="2197" spans="1:10" x14ac:dyDescent="0.2">
      <c r="A2197" t="s">
        <v>430</v>
      </c>
      <c r="B2197" t="s">
        <v>263</v>
      </c>
      <c r="C2197" t="s">
        <v>264</v>
      </c>
      <c r="D2197" t="s">
        <v>265</v>
      </c>
      <c r="E2197">
        <v>6430</v>
      </c>
      <c r="F2197" t="s">
        <v>3657</v>
      </c>
      <c r="G2197" t="s">
        <v>266</v>
      </c>
      <c r="H2197" t="s">
        <v>287</v>
      </c>
      <c r="I2197">
        <v>247</v>
      </c>
    </row>
    <row r="2198" spans="1:10" x14ac:dyDescent="0.2">
      <c r="A2198" t="s">
        <v>430</v>
      </c>
      <c r="B2198" t="s">
        <v>263</v>
      </c>
      <c r="C2198" t="s">
        <v>273</v>
      </c>
      <c r="D2198" t="s">
        <v>265</v>
      </c>
      <c r="E2198">
        <v>6464</v>
      </c>
      <c r="F2198" t="s">
        <v>1871</v>
      </c>
      <c r="G2198" t="s">
        <v>266</v>
      </c>
      <c r="H2198" t="s">
        <v>287</v>
      </c>
      <c r="I2198">
        <v>595</v>
      </c>
    </row>
    <row r="2199" spans="1:10" x14ac:dyDescent="0.2">
      <c r="A2199" t="s">
        <v>430</v>
      </c>
      <c r="B2199" t="s">
        <v>263</v>
      </c>
      <c r="C2199" t="s">
        <v>264</v>
      </c>
      <c r="D2199" t="s">
        <v>269</v>
      </c>
      <c r="E2199">
        <v>6579</v>
      </c>
      <c r="F2199" t="s">
        <v>3658</v>
      </c>
      <c r="G2199" t="s">
        <v>278</v>
      </c>
      <c r="H2199" t="s">
        <v>271</v>
      </c>
      <c r="I2199">
        <v>43</v>
      </c>
    </row>
    <row r="2200" spans="1:10" x14ac:dyDescent="0.2">
      <c r="A2200" t="s">
        <v>430</v>
      </c>
      <c r="B2200" t="s">
        <v>263</v>
      </c>
      <c r="C2200" t="s">
        <v>273</v>
      </c>
      <c r="D2200" t="s">
        <v>269</v>
      </c>
      <c r="E2200">
        <v>7039</v>
      </c>
      <c r="F2200" t="s">
        <v>3659</v>
      </c>
      <c r="G2200" t="s">
        <v>278</v>
      </c>
      <c r="H2200" t="s">
        <v>271</v>
      </c>
      <c r="I2200">
        <v>76</v>
      </c>
    </row>
    <row r="2201" spans="1:10" x14ac:dyDescent="0.2">
      <c r="A2201" t="s">
        <v>430</v>
      </c>
      <c r="B2201" t="s">
        <v>263</v>
      </c>
      <c r="C2201" t="s">
        <v>264</v>
      </c>
      <c r="D2201" t="s">
        <v>265</v>
      </c>
      <c r="E2201">
        <v>7567</v>
      </c>
      <c r="F2201" t="s">
        <v>3660</v>
      </c>
      <c r="G2201" t="s">
        <v>270</v>
      </c>
      <c r="H2201" t="s">
        <v>272</v>
      </c>
      <c r="I2201">
        <v>32</v>
      </c>
    </row>
    <row r="2202" spans="1:10" x14ac:dyDescent="0.2">
      <c r="A2202" t="s">
        <v>430</v>
      </c>
      <c r="B2202" t="s">
        <v>263</v>
      </c>
      <c r="C2202" t="s">
        <v>264</v>
      </c>
      <c r="D2202" t="s">
        <v>265</v>
      </c>
      <c r="E2202">
        <v>7637</v>
      </c>
      <c r="F2202" t="s">
        <v>3661</v>
      </c>
      <c r="G2202" t="s">
        <v>266</v>
      </c>
      <c r="H2202" t="s">
        <v>272</v>
      </c>
      <c r="I2202">
        <v>173</v>
      </c>
    </row>
    <row r="2203" spans="1:10" x14ac:dyDescent="0.2">
      <c r="A2203" t="s">
        <v>430</v>
      </c>
      <c r="B2203" t="s">
        <v>263</v>
      </c>
      <c r="C2203" t="s">
        <v>268</v>
      </c>
      <c r="D2203" t="s">
        <v>265</v>
      </c>
      <c r="E2203">
        <v>8789</v>
      </c>
      <c r="F2203" t="s">
        <v>1646</v>
      </c>
      <c r="G2203" t="s">
        <v>278</v>
      </c>
      <c r="H2203" t="s">
        <v>302</v>
      </c>
      <c r="I2203">
        <v>141</v>
      </c>
    </row>
    <row r="2204" spans="1:10" x14ac:dyDescent="0.2">
      <c r="A2204" t="s">
        <v>430</v>
      </c>
      <c r="B2204" t="s">
        <v>263</v>
      </c>
      <c r="C2204" t="s">
        <v>273</v>
      </c>
      <c r="D2204" t="s">
        <v>265</v>
      </c>
      <c r="E2204">
        <v>9416</v>
      </c>
      <c r="F2204" t="s">
        <v>3662</v>
      </c>
      <c r="G2204" t="s">
        <v>266</v>
      </c>
      <c r="H2204" t="s">
        <v>277</v>
      </c>
      <c r="I2204">
        <v>850</v>
      </c>
    </row>
    <row r="2205" spans="1:10" x14ac:dyDescent="0.2">
      <c r="A2205" t="s">
        <v>430</v>
      </c>
      <c r="B2205" t="s">
        <v>263</v>
      </c>
      <c r="C2205" t="s">
        <v>273</v>
      </c>
      <c r="D2205" t="s">
        <v>265</v>
      </c>
      <c r="E2205">
        <v>9441</v>
      </c>
      <c r="F2205" t="s">
        <v>3663</v>
      </c>
      <c r="G2205" t="s">
        <v>270</v>
      </c>
      <c r="H2205" t="s">
        <v>277</v>
      </c>
      <c r="I2205">
        <v>292</v>
      </c>
    </row>
    <row r="2206" spans="1:10" x14ac:dyDescent="0.2">
      <c r="A2206" t="s">
        <v>437</v>
      </c>
      <c r="B2206" t="s">
        <v>1915</v>
      </c>
      <c r="C2206" t="s">
        <v>275</v>
      </c>
      <c r="D2206" t="s">
        <v>269</v>
      </c>
      <c r="E2206">
        <v>1431</v>
      </c>
      <c r="F2206" t="s">
        <v>3664</v>
      </c>
      <c r="G2206" t="s">
        <v>278</v>
      </c>
      <c r="H2206" t="s">
        <v>293</v>
      </c>
      <c r="I2206">
        <v>103</v>
      </c>
    </row>
    <row r="2207" spans="1:10" x14ac:dyDescent="0.2">
      <c r="A2207" t="s">
        <v>437</v>
      </c>
      <c r="B2207" t="s">
        <v>1915</v>
      </c>
      <c r="C2207" t="s">
        <v>264</v>
      </c>
      <c r="D2207" t="s">
        <v>265</v>
      </c>
      <c r="E2207">
        <v>1963</v>
      </c>
      <c r="F2207" t="s">
        <v>3665</v>
      </c>
      <c r="G2207" t="s">
        <v>266</v>
      </c>
      <c r="H2207" t="s">
        <v>293</v>
      </c>
      <c r="I2207" t="s">
        <v>316</v>
      </c>
      <c r="J2207" t="s">
        <v>4667</v>
      </c>
    </row>
    <row r="2208" spans="1:10" x14ac:dyDescent="0.2">
      <c r="A2208" t="s">
        <v>437</v>
      </c>
      <c r="B2208" t="s">
        <v>1915</v>
      </c>
      <c r="C2208" t="s">
        <v>273</v>
      </c>
      <c r="D2208" t="s">
        <v>265</v>
      </c>
      <c r="E2208">
        <v>3105</v>
      </c>
      <c r="F2208" t="s">
        <v>3666</v>
      </c>
      <c r="G2208" t="s">
        <v>266</v>
      </c>
      <c r="H2208" t="s">
        <v>291</v>
      </c>
      <c r="I2208" t="s">
        <v>297</v>
      </c>
      <c r="J2208" t="s">
        <v>4423</v>
      </c>
    </row>
    <row r="2209" spans="1:10" x14ac:dyDescent="0.2">
      <c r="A2209" t="s">
        <v>437</v>
      </c>
      <c r="B2209" t="s">
        <v>1915</v>
      </c>
      <c r="C2209" t="s">
        <v>273</v>
      </c>
      <c r="D2209" t="s">
        <v>265</v>
      </c>
      <c r="E2209">
        <v>3405</v>
      </c>
      <c r="F2209" t="s">
        <v>3667</v>
      </c>
      <c r="G2209" t="s">
        <v>266</v>
      </c>
      <c r="H2209" t="s">
        <v>279</v>
      </c>
      <c r="I2209" t="s">
        <v>316</v>
      </c>
      <c r="J2209" t="s">
        <v>4460</v>
      </c>
    </row>
    <row r="2210" spans="1:10" x14ac:dyDescent="0.2">
      <c r="A2210" t="s">
        <v>437</v>
      </c>
      <c r="B2210" t="s">
        <v>1915</v>
      </c>
      <c r="C2210" t="s">
        <v>273</v>
      </c>
      <c r="D2210" t="s">
        <v>265</v>
      </c>
      <c r="E2210">
        <v>4404</v>
      </c>
      <c r="F2210" t="s">
        <v>3668</v>
      </c>
      <c r="G2210" t="s">
        <v>266</v>
      </c>
      <c r="H2210" t="s">
        <v>267</v>
      </c>
      <c r="I2210">
        <v>124</v>
      </c>
    </row>
    <row r="2211" spans="1:10" x14ac:dyDescent="0.2">
      <c r="A2211" t="s">
        <v>437</v>
      </c>
      <c r="B2211" t="s">
        <v>1915</v>
      </c>
      <c r="C2211" t="s">
        <v>264</v>
      </c>
      <c r="D2211" t="s">
        <v>265</v>
      </c>
      <c r="E2211">
        <v>4709</v>
      </c>
      <c r="F2211" t="s">
        <v>3669</v>
      </c>
      <c r="G2211" t="s">
        <v>266</v>
      </c>
      <c r="H2211" t="s">
        <v>277</v>
      </c>
      <c r="I2211">
        <v>199</v>
      </c>
    </row>
    <row r="2212" spans="1:10" x14ac:dyDescent="0.2">
      <c r="A2212" t="s">
        <v>437</v>
      </c>
      <c r="B2212" t="s">
        <v>1915</v>
      </c>
      <c r="C2212" t="s">
        <v>264</v>
      </c>
      <c r="D2212" t="s">
        <v>265</v>
      </c>
      <c r="E2212">
        <v>6330</v>
      </c>
      <c r="F2212" t="s">
        <v>3670</v>
      </c>
      <c r="G2212" t="s">
        <v>266</v>
      </c>
      <c r="H2212" t="s">
        <v>293</v>
      </c>
      <c r="I2212">
        <v>241</v>
      </c>
    </row>
    <row r="2213" spans="1:10" x14ac:dyDescent="0.2">
      <c r="A2213" t="s">
        <v>437</v>
      </c>
      <c r="B2213" t="s">
        <v>684</v>
      </c>
      <c r="C2213" t="s">
        <v>268</v>
      </c>
      <c r="D2213" t="s">
        <v>265</v>
      </c>
      <c r="E2213">
        <v>2874</v>
      </c>
      <c r="F2213" t="s">
        <v>3671</v>
      </c>
      <c r="G2213" t="s">
        <v>266</v>
      </c>
      <c r="H2213" t="s">
        <v>272</v>
      </c>
      <c r="I2213">
        <v>579</v>
      </c>
    </row>
    <row r="2214" spans="1:10" x14ac:dyDescent="0.2">
      <c r="A2214" t="s">
        <v>437</v>
      </c>
      <c r="B2214" t="s">
        <v>684</v>
      </c>
      <c r="C2214" t="s">
        <v>264</v>
      </c>
      <c r="D2214" t="s">
        <v>265</v>
      </c>
      <c r="E2214">
        <v>3880</v>
      </c>
      <c r="F2214" t="s">
        <v>3672</v>
      </c>
      <c r="G2214" t="s">
        <v>266</v>
      </c>
      <c r="H2214" t="s">
        <v>300</v>
      </c>
      <c r="I2214" t="s">
        <v>289</v>
      </c>
      <c r="J2214" t="s">
        <v>4370</v>
      </c>
    </row>
    <row r="2215" spans="1:10" x14ac:dyDescent="0.2">
      <c r="A2215" t="s">
        <v>437</v>
      </c>
      <c r="B2215" t="s">
        <v>684</v>
      </c>
      <c r="C2215" t="s">
        <v>273</v>
      </c>
      <c r="D2215" t="s">
        <v>265</v>
      </c>
      <c r="E2215">
        <v>6099</v>
      </c>
      <c r="F2215" t="s">
        <v>3673</v>
      </c>
      <c r="G2215" t="s">
        <v>266</v>
      </c>
      <c r="H2215" t="s">
        <v>271</v>
      </c>
      <c r="I2215">
        <v>525</v>
      </c>
    </row>
    <row r="2216" spans="1:10" x14ac:dyDescent="0.2">
      <c r="A2216" t="s">
        <v>437</v>
      </c>
      <c r="B2216" t="s">
        <v>684</v>
      </c>
      <c r="C2216" t="s">
        <v>273</v>
      </c>
      <c r="D2216" t="s">
        <v>265</v>
      </c>
      <c r="E2216">
        <v>7984</v>
      </c>
      <c r="F2216" t="s">
        <v>3674</v>
      </c>
      <c r="G2216" t="s">
        <v>266</v>
      </c>
      <c r="H2216" t="s">
        <v>288</v>
      </c>
      <c r="I2216" t="s">
        <v>289</v>
      </c>
      <c r="J2216" t="s">
        <v>4710</v>
      </c>
    </row>
    <row r="2217" spans="1:10" x14ac:dyDescent="0.2">
      <c r="A2217" t="s">
        <v>437</v>
      </c>
      <c r="B2217" t="s">
        <v>1481</v>
      </c>
      <c r="C2217" t="s">
        <v>264</v>
      </c>
      <c r="D2217" t="s">
        <v>265</v>
      </c>
      <c r="E2217">
        <v>1952</v>
      </c>
      <c r="F2217" t="s">
        <v>568</v>
      </c>
      <c r="G2217" t="s">
        <v>266</v>
      </c>
      <c r="H2217" t="s">
        <v>293</v>
      </c>
      <c r="I2217">
        <v>518</v>
      </c>
    </row>
    <row r="2218" spans="1:10" x14ac:dyDescent="0.2">
      <c r="A2218" t="s">
        <v>437</v>
      </c>
      <c r="B2218" t="s">
        <v>1481</v>
      </c>
      <c r="C2218" t="s">
        <v>264</v>
      </c>
      <c r="D2218" t="s">
        <v>269</v>
      </c>
      <c r="E2218">
        <v>3477</v>
      </c>
      <c r="F2218" t="s">
        <v>730</v>
      </c>
      <c r="G2218" t="s">
        <v>278</v>
      </c>
      <c r="H2218" t="s">
        <v>292</v>
      </c>
      <c r="I2218">
        <v>24</v>
      </c>
    </row>
    <row r="2219" spans="1:10" x14ac:dyDescent="0.2">
      <c r="A2219" t="s">
        <v>437</v>
      </c>
      <c r="B2219" t="s">
        <v>1481</v>
      </c>
      <c r="C2219" t="s">
        <v>264</v>
      </c>
      <c r="D2219" t="s">
        <v>265</v>
      </c>
      <c r="E2219">
        <v>4119</v>
      </c>
      <c r="F2219" t="s">
        <v>3675</v>
      </c>
      <c r="G2219" t="s">
        <v>274</v>
      </c>
      <c r="H2219" t="s">
        <v>279</v>
      </c>
      <c r="I2219">
        <v>38</v>
      </c>
    </row>
    <row r="2220" spans="1:10" x14ac:dyDescent="0.2">
      <c r="A2220" t="s">
        <v>437</v>
      </c>
      <c r="B2220" t="s">
        <v>1481</v>
      </c>
      <c r="C2220" t="s">
        <v>264</v>
      </c>
      <c r="D2220" t="s">
        <v>265</v>
      </c>
      <c r="E2220">
        <v>4249</v>
      </c>
      <c r="F2220" t="s">
        <v>3676</v>
      </c>
      <c r="G2220" t="s">
        <v>266</v>
      </c>
      <c r="H2220" t="s">
        <v>279</v>
      </c>
      <c r="I2220">
        <v>396</v>
      </c>
    </row>
    <row r="2221" spans="1:10" x14ac:dyDescent="0.2">
      <c r="A2221" t="s">
        <v>437</v>
      </c>
      <c r="B2221" t="s">
        <v>1481</v>
      </c>
      <c r="C2221" t="s">
        <v>264</v>
      </c>
      <c r="D2221" t="s">
        <v>265</v>
      </c>
      <c r="E2221">
        <v>4336</v>
      </c>
      <c r="F2221" t="s">
        <v>3677</v>
      </c>
      <c r="G2221" t="s">
        <v>270</v>
      </c>
      <c r="H2221" t="s">
        <v>271</v>
      </c>
      <c r="I2221">
        <v>16</v>
      </c>
    </row>
    <row r="2222" spans="1:10" x14ac:dyDescent="0.2">
      <c r="A2222" t="s">
        <v>437</v>
      </c>
      <c r="B2222" t="s">
        <v>1481</v>
      </c>
      <c r="C2222" t="s">
        <v>264</v>
      </c>
      <c r="D2222" t="s">
        <v>265</v>
      </c>
      <c r="E2222">
        <v>4337</v>
      </c>
      <c r="F2222" t="s">
        <v>3678</v>
      </c>
      <c r="G2222" t="s">
        <v>266</v>
      </c>
      <c r="H2222" t="s">
        <v>271</v>
      </c>
      <c r="I2222">
        <v>682</v>
      </c>
    </row>
    <row r="2223" spans="1:10" x14ac:dyDescent="0.2">
      <c r="A2223" t="s">
        <v>437</v>
      </c>
      <c r="B2223" t="s">
        <v>1481</v>
      </c>
      <c r="C2223" t="s">
        <v>264</v>
      </c>
      <c r="D2223" t="s">
        <v>265</v>
      </c>
      <c r="E2223">
        <v>4524</v>
      </c>
      <c r="F2223" t="s">
        <v>3679</v>
      </c>
      <c r="G2223" t="s">
        <v>274</v>
      </c>
      <c r="H2223" t="s">
        <v>311</v>
      </c>
      <c r="I2223">
        <v>88</v>
      </c>
    </row>
    <row r="2224" spans="1:10" x14ac:dyDescent="0.2">
      <c r="A2224" t="s">
        <v>437</v>
      </c>
      <c r="B2224" t="s">
        <v>1481</v>
      </c>
      <c r="C2224" t="s">
        <v>264</v>
      </c>
      <c r="D2224" t="s">
        <v>265</v>
      </c>
      <c r="E2224">
        <v>5020</v>
      </c>
      <c r="F2224" t="s">
        <v>3680</v>
      </c>
      <c r="G2224" t="s">
        <v>266</v>
      </c>
      <c r="H2224" t="s">
        <v>1442</v>
      </c>
      <c r="I2224" t="s">
        <v>1856</v>
      </c>
      <c r="J2224" t="s">
        <v>5029</v>
      </c>
    </row>
    <row r="2225" spans="1:10" x14ac:dyDescent="0.2">
      <c r="A2225" t="s">
        <v>437</v>
      </c>
      <c r="B2225" t="s">
        <v>1481</v>
      </c>
      <c r="C2225" t="s">
        <v>273</v>
      </c>
      <c r="D2225" t="s">
        <v>265</v>
      </c>
      <c r="E2225">
        <v>5851</v>
      </c>
      <c r="F2225" t="s">
        <v>3681</v>
      </c>
      <c r="G2225" t="s">
        <v>266</v>
      </c>
      <c r="H2225" t="s">
        <v>373</v>
      </c>
      <c r="I2225">
        <v>634</v>
      </c>
    </row>
    <row r="2226" spans="1:10" x14ac:dyDescent="0.2">
      <c r="A2226" t="s">
        <v>437</v>
      </c>
      <c r="B2226" t="s">
        <v>1481</v>
      </c>
      <c r="C2226" t="s">
        <v>264</v>
      </c>
      <c r="D2226" t="s">
        <v>265</v>
      </c>
      <c r="E2226">
        <v>6165</v>
      </c>
      <c r="F2226" t="s">
        <v>3682</v>
      </c>
      <c r="G2226" t="s">
        <v>266</v>
      </c>
      <c r="H2226" t="s">
        <v>287</v>
      </c>
      <c r="I2226">
        <v>115</v>
      </c>
    </row>
    <row r="2227" spans="1:10" x14ac:dyDescent="0.2">
      <c r="A2227" t="s">
        <v>437</v>
      </c>
      <c r="B2227" t="s">
        <v>1481</v>
      </c>
      <c r="C2227" t="s">
        <v>273</v>
      </c>
      <c r="D2227" t="s">
        <v>265</v>
      </c>
      <c r="E2227">
        <v>7956</v>
      </c>
      <c r="F2227" t="s">
        <v>3683</v>
      </c>
      <c r="G2227" t="s">
        <v>266</v>
      </c>
      <c r="H2227" t="s">
        <v>288</v>
      </c>
      <c r="I2227" t="s">
        <v>316</v>
      </c>
      <c r="J2227" t="s">
        <v>5063</v>
      </c>
    </row>
    <row r="2228" spans="1:10" x14ac:dyDescent="0.2">
      <c r="A2228" t="s">
        <v>437</v>
      </c>
      <c r="B2228" t="s">
        <v>1481</v>
      </c>
      <c r="C2228" t="s">
        <v>264</v>
      </c>
      <c r="D2228" t="s">
        <v>265</v>
      </c>
      <c r="E2228">
        <v>8123</v>
      </c>
      <c r="F2228" t="s">
        <v>3684</v>
      </c>
      <c r="G2228" t="s">
        <v>270</v>
      </c>
      <c r="H2228" t="s">
        <v>272</v>
      </c>
      <c r="I2228">
        <v>28</v>
      </c>
    </row>
    <row r="2229" spans="1:10" x14ac:dyDescent="0.2">
      <c r="A2229" t="s">
        <v>437</v>
      </c>
      <c r="B2229" t="s">
        <v>1481</v>
      </c>
      <c r="C2229" t="s">
        <v>264</v>
      </c>
      <c r="D2229" t="s">
        <v>265</v>
      </c>
      <c r="E2229">
        <v>9060</v>
      </c>
      <c r="F2229" t="s">
        <v>3685</v>
      </c>
      <c r="G2229" t="s">
        <v>270</v>
      </c>
      <c r="H2229" t="s">
        <v>356</v>
      </c>
      <c r="I2229">
        <v>66</v>
      </c>
    </row>
    <row r="2230" spans="1:10" x14ac:dyDescent="0.2">
      <c r="A2230" t="s">
        <v>437</v>
      </c>
      <c r="B2230" t="s">
        <v>1481</v>
      </c>
      <c r="C2230" t="s">
        <v>268</v>
      </c>
      <c r="D2230" t="s">
        <v>265</v>
      </c>
      <c r="E2230">
        <v>9869</v>
      </c>
      <c r="F2230" t="s">
        <v>3686</v>
      </c>
      <c r="G2230" t="s">
        <v>266</v>
      </c>
      <c r="H2230" t="s">
        <v>272</v>
      </c>
      <c r="I2230" t="s">
        <v>297</v>
      </c>
      <c r="J2230" t="s">
        <v>5064</v>
      </c>
    </row>
    <row r="2231" spans="1:10" x14ac:dyDescent="0.2">
      <c r="A2231" t="s">
        <v>437</v>
      </c>
      <c r="B2231" t="s">
        <v>1481</v>
      </c>
      <c r="C2231" t="s">
        <v>264</v>
      </c>
      <c r="D2231" t="s">
        <v>265</v>
      </c>
      <c r="E2231">
        <v>9908</v>
      </c>
      <c r="F2231" t="s">
        <v>3687</v>
      </c>
      <c r="G2231" t="s">
        <v>270</v>
      </c>
      <c r="H2231" t="s">
        <v>272</v>
      </c>
      <c r="I2231">
        <v>106</v>
      </c>
    </row>
    <row r="2232" spans="1:10" x14ac:dyDescent="0.2">
      <c r="A2232" t="s">
        <v>437</v>
      </c>
      <c r="B2232" t="s">
        <v>686</v>
      </c>
      <c r="C2232" t="s">
        <v>264</v>
      </c>
      <c r="D2232" t="s">
        <v>265</v>
      </c>
      <c r="E2232">
        <v>1925</v>
      </c>
      <c r="F2232" t="s">
        <v>1807</v>
      </c>
      <c r="G2232" t="s">
        <v>266</v>
      </c>
      <c r="H2232" t="s">
        <v>293</v>
      </c>
      <c r="I2232" t="s">
        <v>1501</v>
      </c>
      <c r="J2232" t="s">
        <v>4687</v>
      </c>
    </row>
    <row r="2233" spans="1:10" x14ac:dyDescent="0.2">
      <c r="A2233" t="s">
        <v>437</v>
      </c>
      <c r="B2233" t="s">
        <v>686</v>
      </c>
      <c r="C2233" t="s">
        <v>264</v>
      </c>
      <c r="D2233" t="s">
        <v>265</v>
      </c>
      <c r="E2233">
        <v>3392</v>
      </c>
      <c r="F2233" t="s">
        <v>3688</v>
      </c>
      <c r="G2233" t="s">
        <v>266</v>
      </c>
      <c r="H2233" t="s">
        <v>272</v>
      </c>
      <c r="I2233">
        <v>109</v>
      </c>
    </row>
    <row r="2234" spans="1:10" x14ac:dyDescent="0.2">
      <c r="A2234" t="s">
        <v>437</v>
      </c>
      <c r="B2234" t="s">
        <v>686</v>
      </c>
      <c r="C2234" t="s">
        <v>264</v>
      </c>
      <c r="D2234" t="s">
        <v>265</v>
      </c>
      <c r="E2234">
        <v>3877</v>
      </c>
      <c r="F2234" t="s">
        <v>3689</v>
      </c>
      <c r="G2234" t="s">
        <v>266</v>
      </c>
      <c r="H2234" t="s">
        <v>300</v>
      </c>
      <c r="I2234">
        <v>220</v>
      </c>
    </row>
    <row r="2235" spans="1:10" x14ac:dyDescent="0.2">
      <c r="A2235" t="s">
        <v>437</v>
      </c>
      <c r="B2235" t="s">
        <v>686</v>
      </c>
      <c r="C2235" t="s">
        <v>264</v>
      </c>
      <c r="D2235" t="s">
        <v>265</v>
      </c>
      <c r="E2235">
        <v>3878</v>
      </c>
      <c r="F2235" t="s">
        <v>3690</v>
      </c>
      <c r="G2235" t="s">
        <v>266</v>
      </c>
      <c r="H2235" t="s">
        <v>300</v>
      </c>
      <c r="I2235">
        <v>93</v>
      </c>
    </row>
    <row r="2236" spans="1:10" x14ac:dyDescent="0.2">
      <c r="A2236" t="s">
        <v>437</v>
      </c>
      <c r="B2236" t="s">
        <v>686</v>
      </c>
      <c r="C2236" t="s">
        <v>273</v>
      </c>
      <c r="D2236" t="s">
        <v>265</v>
      </c>
      <c r="E2236">
        <v>3944</v>
      </c>
      <c r="F2236" t="s">
        <v>3691</v>
      </c>
      <c r="G2236" t="s">
        <v>274</v>
      </c>
      <c r="H2236" t="s">
        <v>300</v>
      </c>
      <c r="I2236">
        <v>56</v>
      </c>
    </row>
    <row r="2237" spans="1:10" x14ac:dyDescent="0.2">
      <c r="A2237" t="s">
        <v>437</v>
      </c>
      <c r="B2237" t="s">
        <v>686</v>
      </c>
      <c r="C2237" t="s">
        <v>273</v>
      </c>
      <c r="D2237" t="s">
        <v>265</v>
      </c>
      <c r="E2237">
        <v>4045</v>
      </c>
      <c r="F2237" t="s">
        <v>4518</v>
      </c>
      <c r="G2237" t="s">
        <v>266</v>
      </c>
      <c r="H2237" t="s">
        <v>279</v>
      </c>
      <c r="I2237" t="s">
        <v>297</v>
      </c>
      <c r="J2237" t="s">
        <v>4264</v>
      </c>
    </row>
    <row r="2238" spans="1:10" x14ac:dyDescent="0.2">
      <c r="A2238" t="s">
        <v>437</v>
      </c>
      <c r="B2238" t="s">
        <v>686</v>
      </c>
      <c r="C2238" t="s">
        <v>264</v>
      </c>
      <c r="D2238" t="s">
        <v>265</v>
      </c>
      <c r="E2238">
        <v>4990</v>
      </c>
      <c r="F2238" t="s">
        <v>3692</v>
      </c>
      <c r="G2238" t="s">
        <v>274</v>
      </c>
      <c r="H2238" t="s">
        <v>279</v>
      </c>
      <c r="I2238">
        <v>62</v>
      </c>
    </row>
    <row r="2239" spans="1:10" x14ac:dyDescent="0.2">
      <c r="A2239" t="s">
        <v>437</v>
      </c>
      <c r="B2239" t="s">
        <v>686</v>
      </c>
      <c r="C2239" t="s">
        <v>268</v>
      </c>
      <c r="D2239" t="s">
        <v>265</v>
      </c>
      <c r="E2239">
        <v>4997</v>
      </c>
      <c r="F2239" t="s">
        <v>3693</v>
      </c>
      <c r="G2239" t="s">
        <v>266</v>
      </c>
      <c r="H2239" t="s">
        <v>279</v>
      </c>
      <c r="I2239">
        <v>485</v>
      </c>
    </row>
    <row r="2240" spans="1:10" x14ac:dyDescent="0.2">
      <c r="A2240" t="s">
        <v>437</v>
      </c>
      <c r="B2240" t="s">
        <v>686</v>
      </c>
      <c r="C2240" t="s">
        <v>264</v>
      </c>
      <c r="D2240" t="s">
        <v>265</v>
      </c>
      <c r="E2240">
        <v>5121</v>
      </c>
      <c r="F2240" t="s">
        <v>1868</v>
      </c>
      <c r="G2240" t="s">
        <v>266</v>
      </c>
      <c r="H2240" t="s">
        <v>535</v>
      </c>
      <c r="I2240">
        <v>109</v>
      </c>
    </row>
    <row r="2241" spans="1:10" x14ac:dyDescent="0.2">
      <c r="A2241" t="s">
        <v>437</v>
      </c>
      <c r="B2241" t="s">
        <v>686</v>
      </c>
      <c r="C2241" t="s">
        <v>264</v>
      </c>
      <c r="D2241" t="s">
        <v>265</v>
      </c>
      <c r="E2241">
        <v>5195</v>
      </c>
      <c r="F2241" t="s">
        <v>3694</v>
      </c>
      <c r="G2241" t="s">
        <v>266</v>
      </c>
      <c r="H2241" t="s">
        <v>535</v>
      </c>
      <c r="I2241">
        <v>424</v>
      </c>
    </row>
    <row r="2242" spans="1:10" x14ac:dyDescent="0.2">
      <c r="A2242" t="s">
        <v>437</v>
      </c>
      <c r="B2242" t="s">
        <v>686</v>
      </c>
      <c r="C2242" t="s">
        <v>264</v>
      </c>
      <c r="D2242" t="s">
        <v>265</v>
      </c>
      <c r="E2242">
        <v>5757</v>
      </c>
      <c r="F2242" t="s">
        <v>3695</v>
      </c>
      <c r="G2242" t="s">
        <v>266</v>
      </c>
      <c r="H2242" t="s">
        <v>373</v>
      </c>
      <c r="I2242">
        <v>302</v>
      </c>
    </row>
    <row r="2243" spans="1:10" x14ac:dyDescent="0.2">
      <c r="A2243" t="s">
        <v>437</v>
      </c>
      <c r="B2243" t="s">
        <v>686</v>
      </c>
      <c r="C2243" t="s">
        <v>264</v>
      </c>
      <c r="D2243" t="s">
        <v>265</v>
      </c>
      <c r="E2243">
        <v>6013</v>
      </c>
      <c r="F2243" t="s">
        <v>3696</v>
      </c>
      <c r="G2243" t="s">
        <v>266</v>
      </c>
      <c r="H2243" t="s">
        <v>287</v>
      </c>
      <c r="I2243" t="s">
        <v>297</v>
      </c>
      <c r="J2243" t="s">
        <v>4659</v>
      </c>
    </row>
    <row r="2244" spans="1:10" x14ac:dyDescent="0.2">
      <c r="A2244" t="s">
        <v>437</v>
      </c>
      <c r="B2244" t="s">
        <v>686</v>
      </c>
      <c r="C2244" t="s">
        <v>264</v>
      </c>
      <c r="D2244" t="s">
        <v>265</v>
      </c>
      <c r="E2244">
        <v>6131</v>
      </c>
      <c r="F2244" t="s">
        <v>3697</v>
      </c>
      <c r="G2244" t="s">
        <v>274</v>
      </c>
      <c r="H2244" t="s">
        <v>287</v>
      </c>
      <c r="I2244">
        <v>28</v>
      </c>
    </row>
    <row r="2245" spans="1:10" x14ac:dyDescent="0.2">
      <c r="A2245" t="s">
        <v>437</v>
      </c>
      <c r="B2245" t="s">
        <v>686</v>
      </c>
      <c r="C2245" t="s">
        <v>264</v>
      </c>
      <c r="D2245" t="s">
        <v>265</v>
      </c>
      <c r="E2245">
        <v>6317</v>
      </c>
      <c r="F2245" t="s">
        <v>3698</v>
      </c>
      <c r="G2245" t="s">
        <v>266</v>
      </c>
      <c r="H2245" t="s">
        <v>287</v>
      </c>
      <c r="I2245">
        <v>228</v>
      </c>
    </row>
    <row r="2246" spans="1:10" x14ac:dyDescent="0.2">
      <c r="A2246" t="s">
        <v>437</v>
      </c>
      <c r="B2246" t="s">
        <v>686</v>
      </c>
      <c r="C2246" t="s">
        <v>264</v>
      </c>
      <c r="D2246" t="s">
        <v>265</v>
      </c>
      <c r="E2246">
        <v>6365</v>
      </c>
      <c r="F2246" t="s">
        <v>3699</v>
      </c>
      <c r="G2246" t="s">
        <v>274</v>
      </c>
      <c r="H2246" t="s">
        <v>287</v>
      </c>
      <c r="I2246">
        <v>116</v>
      </c>
    </row>
    <row r="2247" spans="1:10" x14ac:dyDescent="0.2">
      <c r="A2247" t="s">
        <v>437</v>
      </c>
      <c r="B2247" t="s">
        <v>686</v>
      </c>
      <c r="C2247" t="s">
        <v>264</v>
      </c>
      <c r="D2247" t="s">
        <v>269</v>
      </c>
      <c r="E2247">
        <v>6396</v>
      </c>
      <c r="F2247" t="s">
        <v>3700</v>
      </c>
      <c r="G2247" t="s">
        <v>274</v>
      </c>
      <c r="H2247" t="s">
        <v>287</v>
      </c>
      <c r="I2247">
        <v>40</v>
      </c>
    </row>
    <row r="2248" spans="1:10" x14ac:dyDescent="0.2">
      <c r="A2248" t="s">
        <v>437</v>
      </c>
      <c r="B2248" t="s">
        <v>686</v>
      </c>
      <c r="C2248" t="s">
        <v>264</v>
      </c>
      <c r="D2248" t="s">
        <v>265</v>
      </c>
      <c r="E2248">
        <v>6517</v>
      </c>
      <c r="F2248" t="s">
        <v>595</v>
      </c>
      <c r="G2248" t="s">
        <v>266</v>
      </c>
      <c r="H2248" t="s">
        <v>291</v>
      </c>
      <c r="I2248">
        <v>471</v>
      </c>
    </row>
    <row r="2249" spans="1:10" x14ac:dyDescent="0.2">
      <c r="A2249" t="s">
        <v>437</v>
      </c>
      <c r="B2249" t="s">
        <v>686</v>
      </c>
      <c r="C2249" t="s">
        <v>264</v>
      </c>
      <c r="D2249" t="s">
        <v>265</v>
      </c>
      <c r="E2249">
        <v>6574</v>
      </c>
      <c r="F2249" t="s">
        <v>596</v>
      </c>
      <c r="G2249" t="s">
        <v>278</v>
      </c>
      <c r="H2249" t="s">
        <v>271</v>
      </c>
      <c r="I2249">
        <v>31</v>
      </c>
    </row>
    <row r="2250" spans="1:10" x14ac:dyDescent="0.2">
      <c r="A2250" t="s">
        <v>437</v>
      </c>
      <c r="B2250" t="s">
        <v>686</v>
      </c>
      <c r="C2250" t="s">
        <v>264</v>
      </c>
      <c r="D2250" t="s">
        <v>265</v>
      </c>
      <c r="E2250">
        <v>6850</v>
      </c>
      <c r="F2250" t="s">
        <v>3701</v>
      </c>
      <c r="G2250" t="s">
        <v>266</v>
      </c>
      <c r="H2250" t="s">
        <v>291</v>
      </c>
      <c r="I2250">
        <v>133</v>
      </c>
    </row>
    <row r="2251" spans="1:10" x14ac:dyDescent="0.2">
      <c r="A2251" t="s">
        <v>437</v>
      </c>
      <c r="B2251" t="s">
        <v>686</v>
      </c>
      <c r="C2251" t="s">
        <v>264</v>
      </c>
      <c r="D2251" t="s">
        <v>265</v>
      </c>
      <c r="E2251">
        <v>7208</v>
      </c>
      <c r="F2251" t="s">
        <v>3702</v>
      </c>
      <c r="G2251" t="s">
        <v>274</v>
      </c>
      <c r="H2251" t="s">
        <v>296</v>
      </c>
      <c r="I2251">
        <v>39</v>
      </c>
    </row>
    <row r="2252" spans="1:10" x14ac:dyDescent="0.2">
      <c r="A2252" t="s">
        <v>437</v>
      </c>
      <c r="B2252" t="s">
        <v>686</v>
      </c>
      <c r="C2252" t="s">
        <v>273</v>
      </c>
      <c r="D2252" t="s">
        <v>265</v>
      </c>
      <c r="E2252">
        <v>7613</v>
      </c>
      <c r="F2252" t="s">
        <v>1498</v>
      </c>
      <c r="G2252" t="s">
        <v>266</v>
      </c>
      <c r="H2252" t="s">
        <v>272</v>
      </c>
      <c r="I2252">
        <v>734</v>
      </c>
    </row>
    <row r="2253" spans="1:10" x14ac:dyDescent="0.2">
      <c r="A2253" t="s">
        <v>437</v>
      </c>
      <c r="B2253" t="s">
        <v>686</v>
      </c>
      <c r="C2253" t="s">
        <v>264</v>
      </c>
      <c r="D2253" t="s">
        <v>265</v>
      </c>
      <c r="E2253">
        <v>7780</v>
      </c>
      <c r="F2253" t="s">
        <v>450</v>
      </c>
      <c r="G2253" t="s">
        <v>266</v>
      </c>
      <c r="H2253" t="s">
        <v>342</v>
      </c>
      <c r="I2253" t="s">
        <v>297</v>
      </c>
      <c r="J2253" t="s">
        <v>5065</v>
      </c>
    </row>
    <row r="2254" spans="1:10" x14ac:dyDescent="0.2">
      <c r="A2254" t="s">
        <v>437</v>
      </c>
      <c r="B2254" t="s">
        <v>686</v>
      </c>
      <c r="C2254" t="s">
        <v>273</v>
      </c>
      <c r="D2254" t="s">
        <v>269</v>
      </c>
      <c r="E2254">
        <v>7849</v>
      </c>
      <c r="F2254" t="s">
        <v>3703</v>
      </c>
      <c r="G2254" t="s">
        <v>270</v>
      </c>
      <c r="H2254" t="s">
        <v>277</v>
      </c>
      <c r="I2254">
        <v>57</v>
      </c>
    </row>
    <row r="2255" spans="1:10" x14ac:dyDescent="0.2">
      <c r="A2255" t="s">
        <v>437</v>
      </c>
      <c r="B2255" t="s">
        <v>686</v>
      </c>
      <c r="C2255" t="s">
        <v>264</v>
      </c>
      <c r="D2255" t="s">
        <v>265</v>
      </c>
      <c r="E2255">
        <v>8051</v>
      </c>
      <c r="F2255" t="s">
        <v>3704</v>
      </c>
      <c r="G2255" t="s">
        <v>266</v>
      </c>
      <c r="H2255" t="s">
        <v>272</v>
      </c>
      <c r="I2255" t="s">
        <v>297</v>
      </c>
      <c r="J2255" t="s">
        <v>4910</v>
      </c>
    </row>
    <row r="2256" spans="1:10" x14ac:dyDescent="0.2">
      <c r="A2256" t="s">
        <v>437</v>
      </c>
      <c r="B2256" t="s">
        <v>327</v>
      </c>
      <c r="C2256" t="s">
        <v>264</v>
      </c>
      <c r="D2256" t="s">
        <v>265</v>
      </c>
      <c r="E2256">
        <v>1384</v>
      </c>
      <c r="F2256" t="s">
        <v>438</v>
      </c>
      <c r="G2256" t="s">
        <v>266</v>
      </c>
      <c r="H2256" t="s">
        <v>314</v>
      </c>
      <c r="I2256">
        <v>60</v>
      </c>
    </row>
    <row r="2257" spans="1:10" x14ac:dyDescent="0.2">
      <c r="A2257" t="s">
        <v>437</v>
      </c>
      <c r="B2257" t="s">
        <v>327</v>
      </c>
      <c r="C2257" t="s">
        <v>273</v>
      </c>
      <c r="D2257" t="s">
        <v>265</v>
      </c>
      <c r="E2257">
        <v>1400</v>
      </c>
      <c r="F2257" t="s">
        <v>3705</v>
      </c>
      <c r="G2257" t="s">
        <v>270</v>
      </c>
      <c r="H2257" t="s">
        <v>293</v>
      </c>
      <c r="I2257">
        <v>35</v>
      </c>
    </row>
    <row r="2258" spans="1:10" x14ac:dyDescent="0.2">
      <c r="A2258" t="s">
        <v>437</v>
      </c>
      <c r="B2258" t="s">
        <v>327</v>
      </c>
      <c r="C2258" t="s">
        <v>268</v>
      </c>
      <c r="D2258" t="s">
        <v>265</v>
      </c>
      <c r="E2258">
        <v>1446</v>
      </c>
      <c r="F2258" t="s">
        <v>3706</v>
      </c>
      <c r="G2258" t="s">
        <v>266</v>
      </c>
      <c r="H2258" t="s">
        <v>293</v>
      </c>
      <c r="I2258">
        <v>103</v>
      </c>
    </row>
    <row r="2259" spans="1:10" x14ac:dyDescent="0.2">
      <c r="A2259" t="s">
        <v>437</v>
      </c>
      <c r="B2259" t="s">
        <v>327</v>
      </c>
      <c r="C2259" t="s">
        <v>264</v>
      </c>
      <c r="D2259" t="s">
        <v>265</v>
      </c>
      <c r="E2259">
        <v>1491</v>
      </c>
      <c r="F2259" t="s">
        <v>3707</v>
      </c>
      <c r="G2259" t="s">
        <v>274</v>
      </c>
      <c r="H2259" t="s">
        <v>373</v>
      </c>
      <c r="I2259">
        <v>55</v>
      </c>
    </row>
    <row r="2260" spans="1:10" x14ac:dyDescent="0.2">
      <c r="A2260" t="s">
        <v>437</v>
      </c>
      <c r="B2260" t="s">
        <v>327</v>
      </c>
      <c r="C2260" t="s">
        <v>273</v>
      </c>
      <c r="D2260" t="s">
        <v>265</v>
      </c>
      <c r="E2260">
        <v>1718</v>
      </c>
      <c r="F2260" t="s">
        <v>3708</v>
      </c>
      <c r="G2260" t="s">
        <v>270</v>
      </c>
      <c r="H2260" t="s">
        <v>293</v>
      </c>
      <c r="I2260">
        <v>47</v>
      </c>
    </row>
    <row r="2261" spans="1:10" x14ac:dyDescent="0.2">
      <c r="A2261" t="s">
        <v>437</v>
      </c>
      <c r="B2261" t="s">
        <v>327</v>
      </c>
      <c r="C2261" t="s">
        <v>273</v>
      </c>
      <c r="D2261" t="s">
        <v>265</v>
      </c>
      <c r="E2261">
        <v>1724</v>
      </c>
      <c r="F2261" t="s">
        <v>3709</v>
      </c>
      <c r="G2261" t="s">
        <v>270</v>
      </c>
      <c r="H2261" t="s">
        <v>293</v>
      </c>
      <c r="I2261">
        <v>66</v>
      </c>
    </row>
    <row r="2262" spans="1:10" x14ac:dyDescent="0.2">
      <c r="A2262" t="s">
        <v>437</v>
      </c>
      <c r="B2262" t="s">
        <v>327</v>
      </c>
      <c r="C2262" t="s">
        <v>264</v>
      </c>
      <c r="D2262" t="s">
        <v>265</v>
      </c>
      <c r="E2262">
        <v>1805</v>
      </c>
      <c r="F2262" t="s">
        <v>1806</v>
      </c>
      <c r="G2262" t="s">
        <v>266</v>
      </c>
      <c r="H2262" t="s">
        <v>293</v>
      </c>
      <c r="I2262">
        <v>287</v>
      </c>
    </row>
    <row r="2263" spans="1:10" x14ac:dyDescent="0.2">
      <c r="A2263" t="s">
        <v>437</v>
      </c>
      <c r="B2263" t="s">
        <v>327</v>
      </c>
      <c r="C2263" t="s">
        <v>264</v>
      </c>
      <c r="D2263" t="s">
        <v>265</v>
      </c>
      <c r="E2263">
        <v>1827</v>
      </c>
      <c r="F2263" t="s">
        <v>3710</v>
      </c>
      <c r="G2263" t="s">
        <v>266</v>
      </c>
      <c r="H2263" t="s">
        <v>293</v>
      </c>
      <c r="I2263">
        <v>169</v>
      </c>
    </row>
    <row r="2264" spans="1:10" x14ac:dyDescent="0.2">
      <c r="A2264" t="s">
        <v>437</v>
      </c>
      <c r="B2264" t="s">
        <v>327</v>
      </c>
      <c r="C2264" t="s">
        <v>264</v>
      </c>
      <c r="D2264" t="s">
        <v>265</v>
      </c>
      <c r="E2264">
        <v>1881</v>
      </c>
      <c r="F2264" t="s">
        <v>3711</v>
      </c>
      <c r="G2264" t="s">
        <v>266</v>
      </c>
      <c r="H2264" t="s">
        <v>293</v>
      </c>
      <c r="I2264" t="s">
        <v>333</v>
      </c>
      <c r="J2264" t="s">
        <v>4695</v>
      </c>
    </row>
    <row r="2265" spans="1:10" x14ac:dyDescent="0.2">
      <c r="A2265" t="s">
        <v>437</v>
      </c>
      <c r="B2265" t="s">
        <v>327</v>
      </c>
      <c r="C2265" t="s">
        <v>273</v>
      </c>
      <c r="D2265" t="s">
        <v>265</v>
      </c>
      <c r="E2265">
        <v>1899</v>
      </c>
      <c r="F2265" t="s">
        <v>567</v>
      </c>
      <c r="G2265" t="s">
        <v>266</v>
      </c>
      <c r="H2265" t="s">
        <v>293</v>
      </c>
      <c r="I2265">
        <v>446</v>
      </c>
    </row>
    <row r="2266" spans="1:10" x14ac:dyDescent="0.2">
      <c r="A2266" t="s">
        <v>437</v>
      </c>
      <c r="B2266" t="s">
        <v>327</v>
      </c>
      <c r="C2266" t="s">
        <v>264</v>
      </c>
      <c r="D2266" t="s">
        <v>265</v>
      </c>
      <c r="E2266">
        <v>1951</v>
      </c>
      <c r="F2266" t="s">
        <v>1648</v>
      </c>
      <c r="G2266" t="s">
        <v>266</v>
      </c>
      <c r="H2266" t="s">
        <v>293</v>
      </c>
      <c r="I2266" t="s">
        <v>333</v>
      </c>
      <c r="J2266" t="s">
        <v>5066</v>
      </c>
    </row>
    <row r="2267" spans="1:10" x14ac:dyDescent="0.2">
      <c r="A2267" t="s">
        <v>437</v>
      </c>
      <c r="B2267" t="s">
        <v>327</v>
      </c>
      <c r="C2267" t="s">
        <v>275</v>
      </c>
      <c r="D2267" t="s">
        <v>265</v>
      </c>
      <c r="E2267">
        <v>1954</v>
      </c>
      <c r="F2267" t="s">
        <v>3712</v>
      </c>
      <c r="G2267" t="s">
        <v>266</v>
      </c>
      <c r="H2267" t="s">
        <v>271</v>
      </c>
      <c r="I2267">
        <v>571</v>
      </c>
    </row>
    <row r="2268" spans="1:10" x14ac:dyDescent="0.2">
      <c r="A2268" t="s">
        <v>437</v>
      </c>
      <c r="B2268" t="s">
        <v>327</v>
      </c>
      <c r="C2268" t="s">
        <v>264</v>
      </c>
      <c r="D2268" t="s">
        <v>265</v>
      </c>
      <c r="E2268">
        <v>2055</v>
      </c>
      <c r="F2268" t="s">
        <v>3713</v>
      </c>
      <c r="G2268" t="s">
        <v>274</v>
      </c>
      <c r="H2268" t="s">
        <v>267</v>
      </c>
      <c r="I2268">
        <v>55</v>
      </c>
    </row>
    <row r="2269" spans="1:10" x14ac:dyDescent="0.2">
      <c r="A2269" t="s">
        <v>437</v>
      </c>
      <c r="B2269" t="s">
        <v>327</v>
      </c>
      <c r="C2269" t="s">
        <v>273</v>
      </c>
      <c r="D2269" t="s">
        <v>265</v>
      </c>
      <c r="E2269">
        <v>2150</v>
      </c>
      <c r="F2269" t="s">
        <v>439</v>
      </c>
      <c r="G2269" t="s">
        <v>278</v>
      </c>
      <c r="H2269" t="s">
        <v>271</v>
      </c>
      <c r="I2269">
        <v>89</v>
      </c>
    </row>
    <row r="2270" spans="1:10" x14ac:dyDescent="0.2">
      <c r="A2270" t="s">
        <v>437</v>
      </c>
      <c r="B2270" t="s">
        <v>327</v>
      </c>
      <c r="C2270" t="s">
        <v>264</v>
      </c>
      <c r="D2270" t="s">
        <v>269</v>
      </c>
      <c r="E2270">
        <v>2176</v>
      </c>
      <c r="F2270" t="s">
        <v>3714</v>
      </c>
      <c r="G2270" t="s">
        <v>270</v>
      </c>
      <c r="H2270" t="s">
        <v>271</v>
      </c>
      <c r="I2270">
        <v>22</v>
      </c>
    </row>
    <row r="2271" spans="1:10" x14ac:dyDescent="0.2">
      <c r="A2271" t="s">
        <v>437</v>
      </c>
      <c r="B2271" t="s">
        <v>327</v>
      </c>
      <c r="C2271" t="s">
        <v>264</v>
      </c>
      <c r="D2271" t="s">
        <v>265</v>
      </c>
      <c r="E2271">
        <v>2179</v>
      </c>
      <c r="F2271" t="s">
        <v>3715</v>
      </c>
      <c r="G2271" t="s">
        <v>270</v>
      </c>
      <c r="H2271" t="s">
        <v>271</v>
      </c>
      <c r="I2271">
        <v>55</v>
      </c>
    </row>
    <row r="2272" spans="1:10" x14ac:dyDescent="0.2">
      <c r="A2272" t="s">
        <v>437</v>
      </c>
      <c r="B2272" t="s">
        <v>327</v>
      </c>
      <c r="C2272" t="s">
        <v>275</v>
      </c>
      <c r="D2272" t="s">
        <v>265</v>
      </c>
      <c r="E2272">
        <v>2180</v>
      </c>
      <c r="F2272" t="s">
        <v>523</v>
      </c>
      <c r="G2272" t="s">
        <v>266</v>
      </c>
      <c r="H2272" t="s">
        <v>271</v>
      </c>
      <c r="I2272">
        <v>177</v>
      </c>
    </row>
    <row r="2273" spans="1:10" x14ac:dyDescent="0.2">
      <c r="A2273" t="s">
        <v>437</v>
      </c>
      <c r="B2273" t="s">
        <v>327</v>
      </c>
      <c r="C2273" t="s">
        <v>268</v>
      </c>
      <c r="D2273" t="s">
        <v>265</v>
      </c>
      <c r="E2273">
        <v>2185</v>
      </c>
      <c r="F2273" t="s">
        <v>653</v>
      </c>
      <c r="G2273" t="s">
        <v>270</v>
      </c>
      <c r="H2273" t="s">
        <v>271</v>
      </c>
      <c r="I2273">
        <v>169</v>
      </c>
    </row>
    <row r="2274" spans="1:10" x14ac:dyDescent="0.2">
      <c r="A2274" t="s">
        <v>437</v>
      </c>
      <c r="B2274" t="s">
        <v>327</v>
      </c>
      <c r="C2274" t="s">
        <v>273</v>
      </c>
      <c r="D2274" t="s">
        <v>265</v>
      </c>
      <c r="E2274">
        <v>2191</v>
      </c>
      <c r="F2274" t="s">
        <v>3716</v>
      </c>
      <c r="G2274" t="s">
        <v>270</v>
      </c>
      <c r="H2274" t="s">
        <v>271</v>
      </c>
      <c r="I2274">
        <v>41</v>
      </c>
    </row>
    <row r="2275" spans="1:10" x14ac:dyDescent="0.2">
      <c r="A2275" t="s">
        <v>437</v>
      </c>
      <c r="B2275" t="s">
        <v>327</v>
      </c>
      <c r="C2275" t="s">
        <v>273</v>
      </c>
      <c r="D2275" t="s">
        <v>265</v>
      </c>
      <c r="E2275">
        <v>2211</v>
      </c>
      <c r="F2275" t="s">
        <v>4519</v>
      </c>
      <c r="G2275" t="s">
        <v>266</v>
      </c>
      <c r="H2275" t="s">
        <v>267</v>
      </c>
      <c r="I2275">
        <v>547</v>
      </c>
    </row>
    <row r="2276" spans="1:10" x14ac:dyDescent="0.2">
      <c r="A2276" t="s">
        <v>437</v>
      </c>
      <c r="B2276" t="s">
        <v>327</v>
      </c>
      <c r="C2276" t="s">
        <v>264</v>
      </c>
      <c r="D2276" t="s">
        <v>265</v>
      </c>
      <c r="E2276">
        <v>2488</v>
      </c>
      <c r="F2276" t="s">
        <v>3717</v>
      </c>
      <c r="G2276" t="s">
        <v>270</v>
      </c>
      <c r="H2276" t="s">
        <v>271</v>
      </c>
      <c r="I2276">
        <v>69</v>
      </c>
    </row>
    <row r="2277" spans="1:10" x14ac:dyDescent="0.2">
      <c r="A2277" t="s">
        <v>437</v>
      </c>
      <c r="B2277" t="s">
        <v>327</v>
      </c>
      <c r="C2277" t="s">
        <v>273</v>
      </c>
      <c r="D2277" t="s">
        <v>265</v>
      </c>
      <c r="E2277">
        <v>2502</v>
      </c>
      <c r="F2277" t="s">
        <v>3718</v>
      </c>
      <c r="G2277" t="s">
        <v>266</v>
      </c>
      <c r="H2277" t="s">
        <v>267</v>
      </c>
      <c r="I2277" t="s">
        <v>2200</v>
      </c>
      <c r="J2277" t="s">
        <v>4260</v>
      </c>
    </row>
    <row r="2278" spans="1:10" x14ac:dyDescent="0.2">
      <c r="A2278" t="s">
        <v>437</v>
      </c>
      <c r="B2278" t="s">
        <v>327</v>
      </c>
      <c r="C2278" t="s">
        <v>264</v>
      </c>
      <c r="D2278" t="s">
        <v>265</v>
      </c>
      <c r="E2278">
        <v>2531</v>
      </c>
      <c r="F2278" t="s">
        <v>3719</v>
      </c>
      <c r="G2278" t="s">
        <v>266</v>
      </c>
      <c r="H2278" t="s">
        <v>267</v>
      </c>
      <c r="I2278" t="s">
        <v>289</v>
      </c>
      <c r="J2278" t="s">
        <v>5067</v>
      </c>
    </row>
    <row r="2279" spans="1:10" x14ac:dyDescent="0.2">
      <c r="A2279" t="s">
        <v>437</v>
      </c>
      <c r="B2279" t="s">
        <v>327</v>
      </c>
      <c r="C2279" t="s">
        <v>264</v>
      </c>
      <c r="D2279" t="s">
        <v>269</v>
      </c>
      <c r="E2279">
        <v>2586</v>
      </c>
      <c r="F2279" t="s">
        <v>3720</v>
      </c>
      <c r="G2279" t="s">
        <v>278</v>
      </c>
      <c r="H2279" t="s">
        <v>267</v>
      </c>
      <c r="I2279">
        <v>5</v>
      </c>
    </row>
    <row r="2280" spans="1:10" x14ac:dyDescent="0.2">
      <c r="A2280" t="s">
        <v>437</v>
      </c>
      <c r="B2280" t="s">
        <v>327</v>
      </c>
      <c r="C2280" t="s">
        <v>273</v>
      </c>
      <c r="D2280" t="s">
        <v>265</v>
      </c>
      <c r="E2280">
        <v>2587</v>
      </c>
      <c r="F2280" t="s">
        <v>3721</v>
      </c>
      <c r="G2280" t="s">
        <v>266</v>
      </c>
      <c r="H2280" t="s">
        <v>267</v>
      </c>
      <c r="I2280" t="s">
        <v>471</v>
      </c>
      <c r="J2280" t="s">
        <v>4692</v>
      </c>
    </row>
    <row r="2281" spans="1:10" x14ac:dyDescent="0.2">
      <c r="A2281" t="s">
        <v>437</v>
      </c>
      <c r="B2281" t="s">
        <v>327</v>
      </c>
      <c r="C2281" t="s">
        <v>273</v>
      </c>
      <c r="D2281" t="s">
        <v>265</v>
      </c>
      <c r="E2281">
        <v>2693</v>
      </c>
      <c r="F2281" t="s">
        <v>3722</v>
      </c>
      <c r="G2281" t="s">
        <v>270</v>
      </c>
      <c r="H2281" t="s">
        <v>272</v>
      </c>
      <c r="I2281">
        <v>59</v>
      </c>
    </row>
    <row r="2282" spans="1:10" x14ac:dyDescent="0.2">
      <c r="A2282" t="s">
        <v>437</v>
      </c>
      <c r="B2282" t="s">
        <v>327</v>
      </c>
      <c r="C2282" t="s">
        <v>273</v>
      </c>
      <c r="D2282" t="s">
        <v>265</v>
      </c>
      <c r="E2282">
        <v>2702</v>
      </c>
      <c r="F2282" t="s">
        <v>4521</v>
      </c>
      <c r="G2282" t="s">
        <v>270</v>
      </c>
      <c r="H2282" t="s">
        <v>276</v>
      </c>
      <c r="I2282" t="s">
        <v>325</v>
      </c>
      <c r="J2282" t="s">
        <v>5012</v>
      </c>
    </row>
    <row r="2283" spans="1:10" x14ac:dyDescent="0.2">
      <c r="A2283" t="s">
        <v>437</v>
      </c>
      <c r="B2283" t="s">
        <v>327</v>
      </c>
      <c r="C2283" t="s">
        <v>264</v>
      </c>
      <c r="D2283" t="s">
        <v>265</v>
      </c>
      <c r="E2283">
        <v>2750</v>
      </c>
      <c r="F2283" t="s">
        <v>3723</v>
      </c>
      <c r="G2283" t="s">
        <v>270</v>
      </c>
      <c r="H2283" t="s">
        <v>272</v>
      </c>
      <c r="I2283">
        <v>35</v>
      </c>
    </row>
    <row r="2284" spans="1:10" x14ac:dyDescent="0.2">
      <c r="A2284" t="s">
        <v>437</v>
      </c>
      <c r="B2284" t="s">
        <v>327</v>
      </c>
      <c r="C2284" t="s">
        <v>264</v>
      </c>
      <c r="D2284" t="s">
        <v>265</v>
      </c>
      <c r="E2284">
        <v>2924</v>
      </c>
      <c r="F2284" t="s">
        <v>3724</v>
      </c>
      <c r="G2284" t="s">
        <v>266</v>
      </c>
      <c r="H2284" t="s">
        <v>267</v>
      </c>
      <c r="I2284">
        <v>63</v>
      </c>
    </row>
    <row r="2285" spans="1:10" x14ac:dyDescent="0.2">
      <c r="A2285" t="s">
        <v>437</v>
      </c>
      <c r="B2285" t="s">
        <v>327</v>
      </c>
      <c r="C2285" t="s">
        <v>273</v>
      </c>
      <c r="D2285" t="s">
        <v>265</v>
      </c>
      <c r="E2285">
        <v>2970</v>
      </c>
      <c r="F2285" t="s">
        <v>3725</v>
      </c>
      <c r="G2285" t="s">
        <v>270</v>
      </c>
      <c r="H2285" t="s">
        <v>292</v>
      </c>
      <c r="I2285">
        <v>44</v>
      </c>
    </row>
    <row r="2286" spans="1:10" x14ac:dyDescent="0.2">
      <c r="A2286" t="s">
        <v>437</v>
      </c>
      <c r="B2286" t="s">
        <v>327</v>
      </c>
      <c r="C2286" t="s">
        <v>273</v>
      </c>
      <c r="D2286" t="s">
        <v>265</v>
      </c>
      <c r="E2286">
        <v>3040</v>
      </c>
      <c r="F2286" t="s">
        <v>3726</v>
      </c>
      <c r="G2286" t="s">
        <v>266</v>
      </c>
      <c r="H2286" t="s">
        <v>277</v>
      </c>
      <c r="I2286">
        <v>257</v>
      </c>
    </row>
    <row r="2287" spans="1:10" x14ac:dyDescent="0.2">
      <c r="A2287" t="s">
        <v>437</v>
      </c>
      <c r="B2287" t="s">
        <v>327</v>
      </c>
      <c r="C2287" t="s">
        <v>264</v>
      </c>
      <c r="D2287" t="s">
        <v>265</v>
      </c>
      <c r="E2287">
        <v>3088</v>
      </c>
      <c r="F2287" t="s">
        <v>3727</v>
      </c>
      <c r="G2287" t="s">
        <v>266</v>
      </c>
      <c r="H2287" t="s">
        <v>276</v>
      </c>
      <c r="I2287" t="s">
        <v>316</v>
      </c>
      <c r="J2287" t="s">
        <v>4698</v>
      </c>
    </row>
    <row r="2288" spans="1:10" x14ac:dyDescent="0.2">
      <c r="A2288" t="s">
        <v>437</v>
      </c>
      <c r="B2288" t="s">
        <v>327</v>
      </c>
      <c r="C2288" t="s">
        <v>264</v>
      </c>
      <c r="D2288" t="s">
        <v>265</v>
      </c>
      <c r="E2288">
        <v>3182</v>
      </c>
      <c r="F2288" t="s">
        <v>442</v>
      </c>
      <c r="G2288" t="s">
        <v>278</v>
      </c>
      <c r="H2288" t="s">
        <v>276</v>
      </c>
      <c r="I2288">
        <v>381</v>
      </c>
    </row>
    <row r="2289" spans="1:10" x14ac:dyDescent="0.2">
      <c r="A2289" t="s">
        <v>437</v>
      </c>
      <c r="B2289" t="s">
        <v>327</v>
      </c>
      <c r="C2289" t="s">
        <v>273</v>
      </c>
      <c r="D2289" t="s">
        <v>265</v>
      </c>
      <c r="E2289">
        <v>3197</v>
      </c>
      <c r="F2289" t="s">
        <v>1808</v>
      </c>
      <c r="G2289" t="s">
        <v>266</v>
      </c>
      <c r="H2289" t="s">
        <v>276</v>
      </c>
      <c r="I2289" t="s">
        <v>316</v>
      </c>
      <c r="J2289" t="s">
        <v>4517</v>
      </c>
    </row>
    <row r="2290" spans="1:10" x14ac:dyDescent="0.2">
      <c r="A2290" t="s">
        <v>437</v>
      </c>
      <c r="B2290" t="s">
        <v>327</v>
      </c>
      <c r="C2290" t="s">
        <v>273</v>
      </c>
      <c r="D2290" t="s">
        <v>265</v>
      </c>
      <c r="E2290">
        <v>3204</v>
      </c>
      <c r="F2290" t="s">
        <v>1809</v>
      </c>
      <c r="G2290" t="s">
        <v>266</v>
      </c>
      <c r="H2290" t="s">
        <v>299</v>
      </c>
      <c r="I2290">
        <v>47</v>
      </c>
    </row>
    <row r="2291" spans="1:10" x14ac:dyDescent="0.2">
      <c r="A2291" t="s">
        <v>437</v>
      </c>
      <c r="B2291" t="s">
        <v>327</v>
      </c>
      <c r="C2291" t="s">
        <v>273</v>
      </c>
      <c r="D2291" t="s">
        <v>265</v>
      </c>
      <c r="E2291">
        <v>3241</v>
      </c>
      <c r="F2291" t="s">
        <v>3728</v>
      </c>
      <c r="G2291" t="s">
        <v>274</v>
      </c>
      <c r="H2291" t="s">
        <v>292</v>
      </c>
      <c r="I2291">
        <v>38</v>
      </c>
    </row>
    <row r="2292" spans="1:10" x14ac:dyDescent="0.2">
      <c r="A2292" t="s">
        <v>437</v>
      </c>
      <c r="B2292" t="s">
        <v>327</v>
      </c>
      <c r="C2292" t="s">
        <v>273</v>
      </c>
      <c r="D2292" t="s">
        <v>265</v>
      </c>
      <c r="E2292">
        <v>3355</v>
      </c>
      <c r="F2292" t="s">
        <v>1495</v>
      </c>
      <c r="G2292" t="s">
        <v>274</v>
      </c>
      <c r="H2292" t="s">
        <v>272</v>
      </c>
      <c r="I2292">
        <v>175</v>
      </c>
    </row>
    <row r="2293" spans="1:10" x14ac:dyDescent="0.2">
      <c r="A2293" t="s">
        <v>437</v>
      </c>
      <c r="B2293" t="s">
        <v>327</v>
      </c>
      <c r="C2293" t="s">
        <v>264</v>
      </c>
      <c r="D2293" t="s">
        <v>265</v>
      </c>
      <c r="E2293">
        <v>3356</v>
      </c>
      <c r="F2293" t="s">
        <v>3729</v>
      </c>
      <c r="G2293" t="s">
        <v>270</v>
      </c>
      <c r="H2293" t="s">
        <v>272</v>
      </c>
      <c r="I2293">
        <v>139</v>
      </c>
    </row>
    <row r="2294" spans="1:10" x14ac:dyDescent="0.2">
      <c r="A2294" t="s">
        <v>437</v>
      </c>
      <c r="B2294" t="s">
        <v>327</v>
      </c>
      <c r="C2294" t="s">
        <v>264</v>
      </c>
      <c r="D2294" t="s">
        <v>265</v>
      </c>
      <c r="E2294">
        <v>3374</v>
      </c>
      <c r="F2294" t="s">
        <v>4005</v>
      </c>
      <c r="G2294" t="s">
        <v>270</v>
      </c>
      <c r="H2294" t="s">
        <v>272</v>
      </c>
      <c r="I2294">
        <v>65</v>
      </c>
    </row>
    <row r="2295" spans="1:10" x14ac:dyDescent="0.2">
      <c r="A2295" t="s">
        <v>437</v>
      </c>
      <c r="B2295" t="s">
        <v>327</v>
      </c>
      <c r="C2295" t="s">
        <v>264</v>
      </c>
      <c r="D2295" t="s">
        <v>265</v>
      </c>
      <c r="E2295">
        <v>3408</v>
      </c>
      <c r="F2295" t="s">
        <v>3730</v>
      </c>
      <c r="G2295" t="s">
        <v>266</v>
      </c>
      <c r="H2295" t="s">
        <v>299</v>
      </c>
      <c r="I2295">
        <v>122</v>
      </c>
    </row>
    <row r="2296" spans="1:10" x14ac:dyDescent="0.2">
      <c r="A2296" t="s">
        <v>437</v>
      </c>
      <c r="B2296" t="s">
        <v>327</v>
      </c>
      <c r="C2296" t="s">
        <v>273</v>
      </c>
      <c r="D2296" t="s">
        <v>265</v>
      </c>
      <c r="E2296">
        <v>3416</v>
      </c>
      <c r="F2296" t="s">
        <v>3731</v>
      </c>
      <c r="G2296" t="s">
        <v>278</v>
      </c>
      <c r="H2296" t="s">
        <v>276</v>
      </c>
      <c r="I2296">
        <v>37</v>
      </c>
    </row>
    <row r="2297" spans="1:10" x14ac:dyDescent="0.2">
      <c r="A2297" t="s">
        <v>437</v>
      </c>
      <c r="B2297" t="s">
        <v>327</v>
      </c>
      <c r="C2297" t="s">
        <v>264</v>
      </c>
      <c r="D2297" t="s">
        <v>265</v>
      </c>
      <c r="E2297">
        <v>3434</v>
      </c>
      <c r="F2297" t="s">
        <v>3732</v>
      </c>
      <c r="G2297" t="s">
        <v>266</v>
      </c>
      <c r="H2297" t="s">
        <v>281</v>
      </c>
      <c r="I2297">
        <v>140</v>
      </c>
    </row>
    <row r="2298" spans="1:10" x14ac:dyDescent="0.2">
      <c r="A2298" t="s">
        <v>437</v>
      </c>
      <c r="B2298" t="s">
        <v>327</v>
      </c>
      <c r="C2298" t="s">
        <v>264</v>
      </c>
      <c r="D2298" t="s">
        <v>265</v>
      </c>
      <c r="E2298">
        <v>3437</v>
      </c>
      <c r="F2298" t="s">
        <v>3733</v>
      </c>
      <c r="G2298" t="s">
        <v>270</v>
      </c>
      <c r="H2298" t="s">
        <v>281</v>
      </c>
      <c r="I2298">
        <v>41</v>
      </c>
    </row>
    <row r="2299" spans="1:10" x14ac:dyDescent="0.2">
      <c r="A2299" t="s">
        <v>437</v>
      </c>
      <c r="B2299" t="s">
        <v>327</v>
      </c>
      <c r="C2299" t="s">
        <v>275</v>
      </c>
      <c r="D2299" t="s">
        <v>269</v>
      </c>
      <c r="E2299">
        <v>3446</v>
      </c>
      <c r="F2299" t="s">
        <v>1496</v>
      </c>
      <c r="G2299" t="s">
        <v>278</v>
      </c>
      <c r="H2299" t="s">
        <v>281</v>
      </c>
      <c r="I2299">
        <v>182</v>
      </c>
    </row>
    <row r="2300" spans="1:10" x14ac:dyDescent="0.2">
      <c r="A2300" t="s">
        <v>437</v>
      </c>
      <c r="B2300" t="s">
        <v>327</v>
      </c>
      <c r="C2300" t="s">
        <v>273</v>
      </c>
      <c r="D2300" t="s">
        <v>265</v>
      </c>
      <c r="E2300">
        <v>3474</v>
      </c>
      <c r="F2300" t="s">
        <v>3734</v>
      </c>
      <c r="G2300" t="s">
        <v>278</v>
      </c>
      <c r="H2300" t="s">
        <v>292</v>
      </c>
      <c r="I2300">
        <v>28</v>
      </c>
    </row>
    <row r="2301" spans="1:10" x14ac:dyDescent="0.2">
      <c r="A2301" t="s">
        <v>437</v>
      </c>
      <c r="B2301" t="s">
        <v>327</v>
      </c>
      <c r="C2301" t="s">
        <v>273</v>
      </c>
      <c r="D2301" t="s">
        <v>265</v>
      </c>
      <c r="E2301">
        <v>3486</v>
      </c>
      <c r="F2301" t="s">
        <v>4522</v>
      </c>
      <c r="G2301" t="s">
        <v>266</v>
      </c>
      <c r="H2301" t="s">
        <v>292</v>
      </c>
      <c r="I2301">
        <v>48</v>
      </c>
    </row>
    <row r="2302" spans="1:10" x14ac:dyDescent="0.2">
      <c r="A2302" t="s">
        <v>437</v>
      </c>
      <c r="B2302" t="s">
        <v>327</v>
      </c>
      <c r="C2302" t="s">
        <v>268</v>
      </c>
      <c r="D2302" t="s">
        <v>265</v>
      </c>
      <c r="E2302">
        <v>3495</v>
      </c>
      <c r="F2302" t="s">
        <v>3735</v>
      </c>
      <c r="G2302" t="s">
        <v>270</v>
      </c>
      <c r="H2302" t="s">
        <v>292</v>
      </c>
      <c r="I2302">
        <v>21</v>
      </c>
    </row>
    <row r="2303" spans="1:10" x14ac:dyDescent="0.2">
      <c r="A2303" t="s">
        <v>437</v>
      </c>
      <c r="B2303" t="s">
        <v>327</v>
      </c>
      <c r="C2303" t="s">
        <v>264</v>
      </c>
      <c r="D2303" t="s">
        <v>265</v>
      </c>
      <c r="E2303">
        <v>3515</v>
      </c>
      <c r="F2303" t="s">
        <v>3736</v>
      </c>
      <c r="G2303" t="s">
        <v>270</v>
      </c>
      <c r="H2303" t="s">
        <v>299</v>
      </c>
      <c r="I2303">
        <v>28</v>
      </c>
    </row>
    <row r="2304" spans="1:10" x14ac:dyDescent="0.2">
      <c r="A2304" t="s">
        <v>437</v>
      </c>
      <c r="B2304" t="s">
        <v>327</v>
      </c>
      <c r="C2304" t="s">
        <v>264</v>
      </c>
      <c r="D2304" t="s">
        <v>265</v>
      </c>
      <c r="E2304">
        <v>3611</v>
      </c>
      <c r="F2304" t="s">
        <v>3737</v>
      </c>
      <c r="G2304" t="s">
        <v>266</v>
      </c>
      <c r="H2304" t="s">
        <v>299</v>
      </c>
      <c r="I2304">
        <v>219</v>
      </c>
    </row>
    <row r="2305" spans="1:10" x14ac:dyDescent="0.2">
      <c r="A2305" t="s">
        <v>437</v>
      </c>
      <c r="B2305" t="s">
        <v>327</v>
      </c>
      <c r="C2305" t="s">
        <v>273</v>
      </c>
      <c r="D2305" t="s">
        <v>265</v>
      </c>
      <c r="E2305">
        <v>3623</v>
      </c>
      <c r="F2305" t="s">
        <v>3738</v>
      </c>
      <c r="G2305" t="s">
        <v>278</v>
      </c>
      <c r="H2305" t="s">
        <v>277</v>
      </c>
      <c r="I2305">
        <v>73</v>
      </c>
    </row>
    <row r="2306" spans="1:10" x14ac:dyDescent="0.2">
      <c r="A2306" t="s">
        <v>437</v>
      </c>
      <c r="B2306" t="s">
        <v>327</v>
      </c>
      <c r="C2306" t="s">
        <v>273</v>
      </c>
      <c r="D2306" t="s">
        <v>265</v>
      </c>
      <c r="E2306">
        <v>3649</v>
      </c>
      <c r="F2306" t="s">
        <v>731</v>
      </c>
      <c r="G2306" t="s">
        <v>266</v>
      </c>
      <c r="H2306" t="s">
        <v>277</v>
      </c>
      <c r="I2306">
        <v>343</v>
      </c>
    </row>
    <row r="2307" spans="1:10" x14ac:dyDescent="0.2">
      <c r="A2307" t="s">
        <v>437</v>
      </c>
      <c r="B2307" t="s">
        <v>327</v>
      </c>
      <c r="C2307" t="s">
        <v>273</v>
      </c>
      <c r="D2307" t="s">
        <v>265</v>
      </c>
      <c r="E2307">
        <v>3656</v>
      </c>
      <c r="F2307" t="s">
        <v>3739</v>
      </c>
      <c r="G2307" t="s">
        <v>266</v>
      </c>
      <c r="H2307" t="s">
        <v>277</v>
      </c>
      <c r="I2307">
        <v>323</v>
      </c>
    </row>
    <row r="2308" spans="1:10" x14ac:dyDescent="0.2">
      <c r="A2308" t="s">
        <v>437</v>
      </c>
      <c r="B2308" t="s">
        <v>327</v>
      </c>
      <c r="C2308" t="s">
        <v>273</v>
      </c>
      <c r="D2308" t="s">
        <v>265</v>
      </c>
      <c r="E2308">
        <v>3659</v>
      </c>
      <c r="F2308" t="s">
        <v>3740</v>
      </c>
      <c r="G2308" t="s">
        <v>266</v>
      </c>
      <c r="H2308" t="s">
        <v>277</v>
      </c>
      <c r="I2308" t="s">
        <v>446</v>
      </c>
      <c r="J2308" t="s">
        <v>4670</v>
      </c>
    </row>
    <row r="2309" spans="1:10" x14ac:dyDescent="0.2">
      <c r="A2309" t="s">
        <v>437</v>
      </c>
      <c r="B2309" t="s">
        <v>327</v>
      </c>
      <c r="C2309" t="s">
        <v>273</v>
      </c>
      <c r="D2309" t="s">
        <v>265</v>
      </c>
      <c r="E2309">
        <v>3664</v>
      </c>
      <c r="F2309" t="s">
        <v>732</v>
      </c>
      <c r="G2309" t="s">
        <v>278</v>
      </c>
      <c r="H2309" t="s">
        <v>277</v>
      </c>
      <c r="I2309">
        <v>77</v>
      </c>
    </row>
    <row r="2310" spans="1:10" x14ac:dyDescent="0.2">
      <c r="A2310" t="s">
        <v>437</v>
      </c>
      <c r="B2310" t="s">
        <v>327</v>
      </c>
      <c r="C2310" t="s">
        <v>268</v>
      </c>
      <c r="D2310" t="s">
        <v>265</v>
      </c>
      <c r="E2310">
        <v>3672</v>
      </c>
      <c r="F2310" t="s">
        <v>3741</v>
      </c>
      <c r="G2310" t="s">
        <v>266</v>
      </c>
      <c r="H2310" t="s">
        <v>277</v>
      </c>
      <c r="I2310">
        <v>159</v>
      </c>
    </row>
    <row r="2311" spans="1:10" x14ac:dyDescent="0.2">
      <c r="A2311" t="s">
        <v>437</v>
      </c>
      <c r="B2311" t="s">
        <v>327</v>
      </c>
      <c r="C2311" t="s">
        <v>273</v>
      </c>
      <c r="D2311" t="s">
        <v>269</v>
      </c>
      <c r="E2311">
        <v>3683</v>
      </c>
      <c r="F2311" t="s">
        <v>3742</v>
      </c>
      <c r="G2311" t="s">
        <v>266</v>
      </c>
      <c r="H2311" t="s">
        <v>277</v>
      </c>
      <c r="I2311">
        <v>67</v>
      </c>
    </row>
    <row r="2312" spans="1:10" x14ac:dyDescent="0.2">
      <c r="A2312" t="s">
        <v>437</v>
      </c>
      <c r="B2312" t="s">
        <v>327</v>
      </c>
      <c r="C2312" t="s">
        <v>264</v>
      </c>
      <c r="D2312" t="s">
        <v>265</v>
      </c>
      <c r="E2312">
        <v>3692</v>
      </c>
      <c r="F2312" t="s">
        <v>3743</v>
      </c>
      <c r="G2312" t="s">
        <v>278</v>
      </c>
      <c r="H2312" t="s">
        <v>277</v>
      </c>
      <c r="I2312">
        <v>228</v>
      </c>
    </row>
    <row r="2313" spans="1:10" x14ac:dyDescent="0.2">
      <c r="A2313" t="s">
        <v>437</v>
      </c>
      <c r="B2313" t="s">
        <v>327</v>
      </c>
      <c r="C2313" t="s">
        <v>268</v>
      </c>
      <c r="D2313" t="s">
        <v>265</v>
      </c>
      <c r="E2313">
        <v>3698</v>
      </c>
      <c r="F2313" t="s">
        <v>3744</v>
      </c>
      <c r="G2313" t="s">
        <v>278</v>
      </c>
      <c r="H2313" t="s">
        <v>277</v>
      </c>
      <c r="I2313">
        <v>111</v>
      </c>
    </row>
    <row r="2314" spans="1:10" x14ac:dyDescent="0.2">
      <c r="A2314" t="s">
        <v>437</v>
      </c>
      <c r="B2314" t="s">
        <v>327</v>
      </c>
      <c r="C2314" t="s">
        <v>264</v>
      </c>
      <c r="D2314" t="s">
        <v>265</v>
      </c>
      <c r="E2314">
        <v>3708</v>
      </c>
      <c r="F2314" t="s">
        <v>3745</v>
      </c>
      <c r="G2314" t="s">
        <v>266</v>
      </c>
      <c r="H2314" t="s">
        <v>300</v>
      </c>
      <c r="I2314">
        <v>623</v>
      </c>
    </row>
    <row r="2315" spans="1:10" x14ac:dyDescent="0.2">
      <c r="A2315" t="s">
        <v>437</v>
      </c>
      <c r="B2315" t="s">
        <v>327</v>
      </c>
      <c r="C2315" t="s">
        <v>273</v>
      </c>
      <c r="D2315" t="s">
        <v>265</v>
      </c>
      <c r="E2315">
        <v>3765</v>
      </c>
      <c r="F2315" t="s">
        <v>3746</v>
      </c>
      <c r="G2315" t="s">
        <v>266</v>
      </c>
      <c r="H2315" t="s">
        <v>277</v>
      </c>
      <c r="I2315" t="s">
        <v>289</v>
      </c>
      <c r="J2315" t="s">
        <v>4880</v>
      </c>
    </row>
    <row r="2316" spans="1:10" x14ac:dyDescent="0.2">
      <c r="A2316" t="s">
        <v>437</v>
      </c>
      <c r="B2316" t="s">
        <v>327</v>
      </c>
      <c r="C2316" t="s">
        <v>264</v>
      </c>
      <c r="D2316" t="s">
        <v>265</v>
      </c>
      <c r="E2316">
        <v>3803</v>
      </c>
      <c r="F2316" t="s">
        <v>3747</v>
      </c>
      <c r="G2316" t="s">
        <v>270</v>
      </c>
      <c r="H2316" t="s">
        <v>277</v>
      </c>
      <c r="I2316">
        <v>14</v>
      </c>
    </row>
    <row r="2317" spans="1:10" x14ac:dyDescent="0.2">
      <c r="A2317" t="s">
        <v>437</v>
      </c>
      <c r="B2317" t="s">
        <v>327</v>
      </c>
      <c r="C2317" t="s">
        <v>264</v>
      </c>
      <c r="D2317" t="s">
        <v>265</v>
      </c>
      <c r="E2317">
        <v>3865</v>
      </c>
      <c r="F2317" t="s">
        <v>3748</v>
      </c>
      <c r="G2317" t="s">
        <v>266</v>
      </c>
      <c r="H2317" t="s">
        <v>300</v>
      </c>
      <c r="I2317" t="s">
        <v>297</v>
      </c>
      <c r="J2317" t="s">
        <v>4619</v>
      </c>
    </row>
    <row r="2318" spans="1:10" x14ac:dyDescent="0.2">
      <c r="A2318" t="s">
        <v>437</v>
      </c>
      <c r="B2318" t="s">
        <v>327</v>
      </c>
      <c r="C2318" t="s">
        <v>273</v>
      </c>
      <c r="D2318" t="s">
        <v>265</v>
      </c>
      <c r="E2318">
        <v>3901</v>
      </c>
      <c r="F2318" t="s">
        <v>3749</v>
      </c>
      <c r="G2318" t="s">
        <v>266</v>
      </c>
      <c r="H2318" t="s">
        <v>277</v>
      </c>
      <c r="I2318">
        <v>281</v>
      </c>
    </row>
    <row r="2319" spans="1:10" x14ac:dyDescent="0.2">
      <c r="A2319" t="s">
        <v>437</v>
      </c>
      <c r="B2319" t="s">
        <v>327</v>
      </c>
      <c r="C2319" t="s">
        <v>273</v>
      </c>
      <c r="D2319" t="s">
        <v>265</v>
      </c>
      <c r="E2319">
        <v>3904</v>
      </c>
      <c r="F2319" t="s">
        <v>3750</v>
      </c>
      <c r="G2319" t="s">
        <v>278</v>
      </c>
      <c r="H2319" t="s">
        <v>277</v>
      </c>
      <c r="I2319">
        <v>99</v>
      </c>
    </row>
    <row r="2320" spans="1:10" x14ac:dyDescent="0.2">
      <c r="A2320" t="s">
        <v>437</v>
      </c>
      <c r="B2320" t="s">
        <v>327</v>
      </c>
      <c r="C2320" t="s">
        <v>264</v>
      </c>
      <c r="D2320" t="s">
        <v>265</v>
      </c>
      <c r="E2320">
        <v>3923</v>
      </c>
      <c r="F2320" t="s">
        <v>3751</v>
      </c>
      <c r="G2320" t="s">
        <v>278</v>
      </c>
      <c r="H2320" t="s">
        <v>277</v>
      </c>
      <c r="I2320" t="s">
        <v>297</v>
      </c>
      <c r="J2320" t="s">
        <v>5068</v>
      </c>
    </row>
    <row r="2321" spans="1:10" x14ac:dyDescent="0.2">
      <c r="A2321" t="s">
        <v>437</v>
      </c>
      <c r="B2321" t="s">
        <v>327</v>
      </c>
      <c r="C2321" t="s">
        <v>264</v>
      </c>
      <c r="D2321" t="s">
        <v>265</v>
      </c>
      <c r="E2321">
        <v>3925</v>
      </c>
      <c r="F2321" t="s">
        <v>3752</v>
      </c>
      <c r="G2321" t="s">
        <v>266</v>
      </c>
      <c r="H2321" t="s">
        <v>277</v>
      </c>
      <c r="I2321">
        <v>315</v>
      </c>
    </row>
    <row r="2322" spans="1:10" x14ac:dyDescent="0.2">
      <c r="A2322" t="s">
        <v>437</v>
      </c>
      <c r="B2322" t="s">
        <v>327</v>
      </c>
      <c r="C2322" t="s">
        <v>264</v>
      </c>
      <c r="D2322" t="s">
        <v>265</v>
      </c>
      <c r="E2322">
        <v>3934</v>
      </c>
      <c r="F2322" t="s">
        <v>443</v>
      </c>
      <c r="G2322" t="s">
        <v>266</v>
      </c>
      <c r="H2322" t="s">
        <v>277</v>
      </c>
      <c r="I2322">
        <v>109</v>
      </c>
    </row>
    <row r="2323" spans="1:10" x14ac:dyDescent="0.2">
      <c r="A2323" t="s">
        <v>437</v>
      </c>
      <c r="B2323" t="s">
        <v>327</v>
      </c>
      <c r="C2323" t="s">
        <v>275</v>
      </c>
      <c r="D2323" t="s">
        <v>265</v>
      </c>
      <c r="E2323">
        <v>3960</v>
      </c>
      <c r="F2323" t="s">
        <v>444</v>
      </c>
      <c r="G2323" t="s">
        <v>278</v>
      </c>
      <c r="H2323" t="s">
        <v>277</v>
      </c>
      <c r="I2323">
        <v>32</v>
      </c>
    </row>
    <row r="2324" spans="1:10" x14ac:dyDescent="0.2">
      <c r="A2324" t="s">
        <v>437</v>
      </c>
      <c r="B2324" t="s">
        <v>327</v>
      </c>
      <c r="C2324" t="s">
        <v>275</v>
      </c>
      <c r="D2324" t="s">
        <v>269</v>
      </c>
      <c r="E2324">
        <v>3984</v>
      </c>
      <c r="F2324" t="s">
        <v>3753</v>
      </c>
      <c r="G2324" t="s">
        <v>266</v>
      </c>
      <c r="H2324" t="s">
        <v>277</v>
      </c>
      <c r="I2324">
        <v>265</v>
      </c>
    </row>
    <row r="2325" spans="1:10" x14ac:dyDescent="0.2">
      <c r="A2325" t="s">
        <v>437</v>
      </c>
      <c r="B2325" t="s">
        <v>327</v>
      </c>
      <c r="C2325" t="s">
        <v>273</v>
      </c>
      <c r="D2325" t="s">
        <v>265</v>
      </c>
      <c r="E2325">
        <v>4004</v>
      </c>
      <c r="F2325" t="s">
        <v>3754</v>
      </c>
      <c r="G2325" t="s">
        <v>266</v>
      </c>
      <c r="H2325" t="s">
        <v>279</v>
      </c>
      <c r="I2325" t="s">
        <v>316</v>
      </c>
      <c r="J2325" t="s">
        <v>4677</v>
      </c>
    </row>
    <row r="2326" spans="1:10" x14ac:dyDescent="0.2">
      <c r="A2326" t="s">
        <v>437</v>
      </c>
      <c r="B2326" t="s">
        <v>327</v>
      </c>
      <c r="C2326" t="s">
        <v>264</v>
      </c>
      <c r="D2326" t="s">
        <v>265</v>
      </c>
      <c r="E2326">
        <v>4082</v>
      </c>
      <c r="F2326" t="s">
        <v>3755</v>
      </c>
      <c r="G2326" t="s">
        <v>266</v>
      </c>
      <c r="H2326" t="s">
        <v>279</v>
      </c>
      <c r="I2326">
        <v>229</v>
      </c>
    </row>
    <row r="2327" spans="1:10" x14ac:dyDescent="0.2">
      <c r="A2327" t="s">
        <v>437</v>
      </c>
      <c r="B2327" t="s">
        <v>327</v>
      </c>
      <c r="C2327" t="s">
        <v>264</v>
      </c>
      <c r="D2327" t="s">
        <v>265</v>
      </c>
      <c r="E2327">
        <v>4088</v>
      </c>
      <c r="F2327" t="s">
        <v>3756</v>
      </c>
      <c r="G2327" t="s">
        <v>266</v>
      </c>
      <c r="H2327" t="s">
        <v>279</v>
      </c>
      <c r="I2327" t="s">
        <v>333</v>
      </c>
      <c r="J2327" t="s">
        <v>5069</v>
      </c>
    </row>
    <row r="2328" spans="1:10" x14ac:dyDescent="0.2">
      <c r="A2328" t="s">
        <v>437</v>
      </c>
      <c r="B2328" t="s">
        <v>327</v>
      </c>
      <c r="C2328" t="s">
        <v>264</v>
      </c>
      <c r="D2328" t="s">
        <v>265</v>
      </c>
      <c r="E2328">
        <v>4116</v>
      </c>
      <c r="F2328" t="s">
        <v>3757</v>
      </c>
      <c r="G2328" t="s">
        <v>266</v>
      </c>
      <c r="H2328" t="s">
        <v>279</v>
      </c>
      <c r="I2328">
        <v>573</v>
      </c>
    </row>
    <row r="2329" spans="1:10" x14ac:dyDescent="0.2">
      <c r="A2329" t="s">
        <v>437</v>
      </c>
      <c r="B2329" t="s">
        <v>327</v>
      </c>
      <c r="C2329" t="s">
        <v>273</v>
      </c>
      <c r="D2329" t="s">
        <v>265</v>
      </c>
      <c r="E2329">
        <v>4186</v>
      </c>
      <c r="F2329" t="s">
        <v>3758</v>
      </c>
      <c r="G2329" t="s">
        <v>266</v>
      </c>
      <c r="H2329" t="s">
        <v>279</v>
      </c>
      <c r="I2329" t="s">
        <v>289</v>
      </c>
      <c r="J2329" t="s">
        <v>4352</v>
      </c>
    </row>
    <row r="2330" spans="1:10" x14ac:dyDescent="0.2">
      <c r="A2330" t="s">
        <v>437</v>
      </c>
      <c r="B2330" t="s">
        <v>327</v>
      </c>
      <c r="C2330" t="s">
        <v>273</v>
      </c>
      <c r="D2330" t="s">
        <v>265</v>
      </c>
      <c r="E2330">
        <v>4189</v>
      </c>
      <c r="F2330" t="s">
        <v>3759</v>
      </c>
      <c r="G2330" t="s">
        <v>266</v>
      </c>
      <c r="H2330" t="s">
        <v>279</v>
      </c>
      <c r="I2330">
        <v>855</v>
      </c>
    </row>
    <row r="2331" spans="1:10" x14ac:dyDescent="0.2">
      <c r="A2331" t="s">
        <v>437</v>
      </c>
      <c r="B2331" t="s">
        <v>327</v>
      </c>
      <c r="C2331" t="s">
        <v>264</v>
      </c>
      <c r="D2331" t="s">
        <v>265</v>
      </c>
      <c r="E2331">
        <v>4301</v>
      </c>
      <c r="F2331" t="s">
        <v>3760</v>
      </c>
      <c r="G2331" t="s">
        <v>266</v>
      </c>
      <c r="H2331" t="s">
        <v>271</v>
      </c>
      <c r="I2331">
        <v>565</v>
      </c>
    </row>
    <row r="2332" spans="1:10" x14ac:dyDescent="0.2">
      <c r="A2332" t="s">
        <v>437</v>
      </c>
      <c r="B2332" t="s">
        <v>327</v>
      </c>
      <c r="C2332" t="s">
        <v>264</v>
      </c>
      <c r="D2332" t="s">
        <v>265</v>
      </c>
      <c r="E2332">
        <v>4304</v>
      </c>
      <c r="F2332" t="s">
        <v>3761</v>
      </c>
      <c r="G2332" t="s">
        <v>270</v>
      </c>
      <c r="H2332" t="s">
        <v>277</v>
      </c>
      <c r="I2332">
        <v>58</v>
      </c>
    </row>
    <row r="2333" spans="1:10" x14ac:dyDescent="0.2">
      <c r="A2333" t="s">
        <v>437</v>
      </c>
      <c r="B2333" t="s">
        <v>327</v>
      </c>
      <c r="C2333" t="s">
        <v>273</v>
      </c>
      <c r="D2333" t="s">
        <v>265</v>
      </c>
      <c r="E2333">
        <v>4324</v>
      </c>
      <c r="F2333" t="s">
        <v>3762</v>
      </c>
      <c r="G2333" t="s">
        <v>266</v>
      </c>
      <c r="H2333" t="s">
        <v>271</v>
      </c>
      <c r="I2333" t="s">
        <v>359</v>
      </c>
      <c r="J2333" t="s">
        <v>5025</v>
      </c>
    </row>
    <row r="2334" spans="1:10" x14ac:dyDescent="0.2">
      <c r="A2334" t="s">
        <v>437</v>
      </c>
      <c r="B2334" t="s">
        <v>327</v>
      </c>
      <c r="C2334" t="s">
        <v>264</v>
      </c>
      <c r="D2334" t="s">
        <v>265</v>
      </c>
      <c r="E2334">
        <v>4344</v>
      </c>
      <c r="F2334" t="s">
        <v>3763</v>
      </c>
      <c r="G2334" t="s">
        <v>266</v>
      </c>
      <c r="H2334" t="s">
        <v>277</v>
      </c>
      <c r="I2334">
        <v>759</v>
      </c>
    </row>
    <row r="2335" spans="1:10" x14ac:dyDescent="0.2">
      <c r="A2335" t="s">
        <v>437</v>
      </c>
      <c r="B2335" t="s">
        <v>327</v>
      </c>
      <c r="C2335" t="s">
        <v>264</v>
      </c>
      <c r="D2335" t="s">
        <v>265</v>
      </c>
      <c r="E2335">
        <v>4381</v>
      </c>
      <c r="F2335" t="s">
        <v>3764</v>
      </c>
      <c r="G2335" t="s">
        <v>278</v>
      </c>
      <c r="H2335" t="s">
        <v>277</v>
      </c>
      <c r="I2335">
        <v>40</v>
      </c>
    </row>
    <row r="2336" spans="1:10" x14ac:dyDescent="0.2">
      <c r="A2336" t="s">
        <v>437</v>
      </c>
      <c r="B2336" t="s">
        <v>327</v>
      </c>
      <c r="C2336" t="s">
        <v>264</v>
      </c>
      <c r="D2336" t="s">
        <v>269</v>
      </c>
      <c r="E2336">
        <v>4386</v>
      </c>
      <c r="F2336" t="s">
        <v>3765</v>
      </c>
      <c r="G2336" t="s">
        <v>274</v>
      </c>
      <c r="H2336" t="s">
        <v>277</v>
      </c>
      <c r="I2336">
        <v>41</v>
      </c>
    </row>
    <row r="2337" spans="1:10" x14ac:dyDescent="0.2">
      <c r="A2337" t="s">
        <v>437</v>
      </c>
      <c r="B2337" t="s">
        <v>327</v>
      </c>
      <c r="C2337" t="s">
        <v>273</v>
      </c>
      <c r="D2337" t="s">
        <v>269</v>
      </c>
      <c r="E2337">
        <v>4395</v>
      </c>
      <c r="F2337" t="s">
        <v>3766</v>
      </c>
      <c r="G2337" t="s">
        <v>278</v>
      </c>
      <c r="H2337" t="s">
        <v>277</v>
      </c>
      <c r="I2337">
        <v>44</v>
      </c>
    </row>
    <row r="2338" spans="1:10" x14ac:dyDescent="0.2">
      <c r="A2338" t="s">
        <v>437</v>
      </c>
      <c r="B2338" t="s">
        <v>327</v>
      </c>
      <c r="C2338" t="s">
        <v>275</v>
      </c>
      <c r="D2338" t="s">
        <v>269</v>
      </c>
      <c r="E2338">
        <v>4398</v>
      </c>
      <c r="F2338" t="s">
        <v>3767</v>
      </c>
      <c r="G2338" t="s">
        <v>270</v>
      </c>
      <c r="H2338" t="s">
        <v>277</v>
      </c>
      <c r="I2338">
        <v>64</v>
      </c>
    </row>
    <row r="2339" spans="1:10" x14ac:dyDescent="0.2">
      <c r="A2339" t="s">
        <v>437</v>
      </c>
      <c r="B2339" t="s">
        <v>327</v>
      </c>
      <c r="C2339" t="s">
        <v>273</v>
      </c>
      <c r="D2339" t="s">
        <v>269</v>
      </c>
      <c r="E2339">
        <v>4428</v>
      </c>
      <c r="F2339" t="s">
        <v>3768</v>
      </c>
      <c r="G2339" t="s">
        <v>278</v>
      </c>
      <c r="H2339" t="s">
        <v>277</v>
      </c>
      <c r="I2339">
        <v>206</v>
      </c>
    </row>
    <row r="2340" spans="1:10" x14ac:dyDescent="0.2">
      <c r="A2340" t="s">
        <v>437</v>
      </c>
      <c r="B2340" t="s">
        <v>327</v>
      </c>
      <c r="C2340" t="s">
        <v>264</v>
      </c>
      <c r="D2340" t="s">
        <v>265</v>
      </c>
      <c r="E2340">
        <v>4437</v>
      </c>
      <c r="F2340" t="s">
        <v>3769</v>
      </c>
      <c r="G2340" t="s">
        <v>278</v>
      </c>
      <c r="H2340" t="s">
        <v>277</v>
      </c>
      <c r="I2340">
        <v>58</v>
      </c>
    </row>
    <row r="2341" spans="1:10" x14ac:dyDescent="0.2">
      <c r="A2341" t="s">
        <v>437</v>
      </c>
      <c r="B2341" t="s">
        <v>327</v>
      </c>
      <c r="C2341" t="s">
        <v>273</v>
      </c>
      <c r="D2341" t="s">
        <v>265</v>
      </c>
      <c r="E2341">
        <v>4463</v>
      </c>
      <c r="F2341" t="s">
        <v>1812</v>
      </c>
      <c r="G2341" t="s">
        <v>266</v>
      </c>
      <c r="H2341" t="s">
        <v>279</v>
      </c>
      <c r="I2341">
        <v>160</v>
      </c>
    </row>
    <row r="2342" spans="1:10" x14ac:dyDescent="0.2">
      <c r="A2342" t="s">
        <v>437</v>
      </c>
      <c r="B2342" t="s">
        <v>327</v>
      </c>
      <c r="C2342" t="s">
        <v>273</v>
      </c>
      <c r="D2342" t="s">
        <v>269</v>
      </c>
      <c r="E2342">
        <v>4487</v>
      </c>
      <c r="F2342" t="s">
        <v>1663</v>
      </c>
      <c r="G2342" t="s">
        <v>278</v>
      </c>
      <c r="H2342" t="s">
        <v>277</v>
      </c>
      <c r="I2342">
        <v>155</v>
      </c>
    </row>
    <row r="2343" spans="1:10" x14ac:dyDescent="0.2">
      <c r="A2343" t="s">
        <v>437</v>
      </c>
      <c r="B2343" t="s">
        <v>327</v>
      </c>
      <c r="C2343" t="s">
        <v>273</v>
      </c>
      <c r="D2343" t="s">
        <v>265</v>
      </c>
      <c r="E2343">
        <v>4565</v>
      </c>
      <c r="F2343" t="s">
        <v>3770</v>
      </c>
      <c r="G2343" t="s">
        <v>278</v>
      </c>
      <c r="H2343" t="s">
        <v>311</v>
      </c>
      <c r="I2343" t="s">
        <v>297</v>
      </c>
      <c r="J2343" t="s">
        <v>4471</v>
      </c>
    </row>
    <row r="2344" spans="1:10" x14ac:dyDescent="0.2">
      <c r="A2344" t="s">
        <v>437</v>
      </c>
      <c r="B2344" t="s">
        <v>327</v>
      </c>
      <c r="C2344" t="s">
        <v>273</v>
      </c>
      <c r="D2344" t="s">
        <v>269</v>
      </c>
      <c r="E2344">
        <v>4587</v>
      </c>
      <c r="F2344" t="s">
        <v>1813</v>
      </c>
      <c r="G2344" t="s">
        <v>266</v>
      </c>
      <c r="H2344" t="s">
        <v>311</v>
      </c>
      <c r="I2344" t="s">
        <v>518</v>
      </c>
      <c r="J2344" t="s">
        <v>4516</v>
      </c>
    </row>
    <row r="2345" spans="1:10" x14ac:dyDescent="0.2">
      <c r="A2345" t="s">
        <v>437</v>
      </c>
      <c r="B2345" t="s">
        <v>327</v>
      </c>
      <c r="C2345" t="s">
        <v>273</v>
      </c>
      <c r="D2345" t="s">
        <v>269</v>
      </c>
      <c r="E2345">
        <v>4593</v>
      </c>
      <c r="F2345" t="s">
        <v>3771</v>
      </c>
      <c r="G2345" t="s">
        <v>278</v>
      </c>
      <c r="H2345" t="s">
        <v>311</v>
      </c>
      <c r="I2345">
        <v>918</v>
      </c>
    </row>
    <row r="2346" spans="1:10" x14ac:dyDescent="0.2">
      <c r="A2346" t="s">
        <v>437</v>
      </c>
      <c r="B2346" t="s">
        <v>327</v>
      </c>
      <c r="C2346" t="s">
        <v>273</v>
      </c>
      <c r="D2346" t="s">
        <v>265</v>
      </c>
      <c r="E2346">
        <v>4596</v>
      </c>
      <c r="F2346" t="s">
        <v>3772</v>
      </c>
      <c r="G2346" t="s">
        <v>278</v>
      </c>
      <c r="H2346" t="s">
        <v>311</v>
      </c>
      <c r="I2346">
        <v>128</v>
      </c>
    </row>
    <row r="2347" spans="1:10" x14ac:dyDescent="0.2">
      <c r="A2347" t="s">
        <v>437</v>
      </c>
      <c r="B2347" t="s">
        <v>327</v>
      </c>
      <c r="C2347" t="s">
        <v>273</v>
      </c>
      <c r="D2347" t="s">
        <v>265</v>
      </c>
      <c r="E2347">
        <v>4597</v>
      </c>
      <c r="F2347" t="s">
        <v>3773</v>
      </c>
      <c r="G2347" t="s">
        <v>278</v>
      </c>
      <c r="H2347" t="s">
        <v>311</v>
      </c>
      <c r="I2347">
        <v>223</v>
      </c>
    </row>
    <row r="2348" spans="1:10" x14ac:dyDescent="0.2">
      <c r="A2348" t="s">
        <v>437</v>
      </c>
      <c r="B2348" t="s">
        <v>327</v>
      </c>
      <c r="C2348" t="s">
        <v>264</v>
      </c>
      <c r="D2348" t="s">
        <v>265</v>
      </c>
      <c r="E2348">
        <v>4651</v>
      </c>
      <c r="F2348" t="s">
        <v>3774</v>
      </c>
      <c r="G2348" t="s">
        <v>266</v>
      </c>
      <c r="H2348" t="s">
        <v>271</v>
      </c>
      <c r="I2348">
        <v>177</v>
      </c>
    </row>
    <row r="2349" spans="1:10" x14ac:dyDescent="0.2">
      <c r="A2349" t="s">
        <v>437</v>
      </c>
      <c r="B2349" t="s">
        <v>327</v>
      </c>
      <c r="C2349" t="s">
        <v>264</v>
      </c>
      <c r="D2349" t="s">
        <v>265</v>
      </c>
      <c r="E2349">
        <v>4664</v>
      </c>
      <c r="F2349" t="s">
        <v>3775</v>
      </c>
      <c r="G2349" t="s">
        <v>270</v>
      </c>
      <c r="H2349" t="s">
        <v>271</v>
      </c>
      <c r="I2349">
        <v>25</v>
      </c>
    </row>
    <row r="2350" spans="1:10" x14ac:dyDescent="0.2">
      <c r="A2350" t="s">
        <v>437</v>
      </c>
      <c r="B2350" t="s">
        <v>327</v>
      </c>
      <c r="C2350" t="s">
        <v>264</v>
      </c>
      <c r="D2350" t="s">
        <v>265</v>
      </c>
      <c r="E2350">
        <v>4667</v>
      </c>
      <c r="F2350" t="s">
        <v>3776</v>
      </c>
      <c r="G2350" t="s">
        <v>270</v>
      </c>
      <c r="H2350" t="s">
        <v>277</v>
      </c>
      <c r="I2350">
        <v>126</v>
      </c>
    </row>
    <row r="2351" spans="1:10" x14ac:dyDescent="0.2">
      <c r="A2351" t="s">
        <v>437</v>
      </c>
      <c r="B2351" t="s">
        <v>327</v>
      </c>
      <c r="C2351" t="s">
        <v>264</v>
      </c>
      <c r="D2351" t="s">
        <v>265</v>
      </c>
      <c r="E2351">
        <v>4691</v>
      </c>
      <c r="F2351" t="s">
        <v>590</v>
      </c>
      <c r="G2351" t="s">
        <v>274</v>
      </c>
      <c r="H2351" t="s">
        <v>271</v>
      </c>
      <c r="I2351">
        <v>162</v>
      </c>
    </row>
    <row r="2352" spans="1:10" x14ac:dyDescent="0.2">
      <c r="A2352" t="s">
        <v>437</v>
      </c>
      <c r="B2352" t="s">
        <v>327</v>
      </c>
      <c r="C2352" t="s">
        <v>273</v>
      </c>
      <c r="D2352" t="s">
        <v>265</v>
      </c>
      <c r="E2352">
        <v>4712</v>
      </c>
      <c r="F2352" t="s">
        <v>3777</v>
      </c>
      <c r="G2352" t="s">
        <v>270</v>
      </c>
      <c r="H2352" t="s">
        <v>271</v>
      </c>
      <c r="I2352">
        <v>136</v>
      </c>
    </row>
    <row r="2353" spans="1:10" x14ac:dyDescent="0.2">
      <c r="A2353" t="s">
        <v>437</v>
      </c>
      <c r="B2353" t="s">
        <v>327</v>
      </c>
      <c r="C2353" t="s">
        <v>268</v>
      </c>
      <c r="D2353" t="s">
        <v>265</v>
      </c>
      <c r="E2353">
        <v>4754</v>
      </c>
      <c r="F2353" t="s">
        <v>3778</v>
      </c>
      <c r="G2353" t="s">
        <v>270</v>
      </c>
      <c r="H2353" t="s">
        <v>271</v>
      </c>
      <c r="I2353">
        <v>77</v>
      </c>
    </row>
    <row r="2354" spans="1:10" x14ac:dyDescent="0.2">
      <c r="A2354" t="s">
        <v>437</v>
      </c>
      <c r="B2354" t="s">
        <v>327</v>
      </c>
      <c r="C2354" t="s">
        <v>273</v>
      </c>
      <c r="D2354" t="s">
        <v>265</v>
      </c>
      <c r="E2354">
        <v>4755</v>
      </c>
      <c r="F2354" t="s">
        <v>445</v>
      </c>
      <c r="G2354" t="s">
        <v>266</v>
      </c>
      <c r="H2354" t="s">
        <v>271</v>
      </c>
      <c r="I2354" t="s">
        <v>446</v>
      </c>
      <c r="J2354" t="s">
        <v>4612</v>
      </c>
    </row>
    <row r="2355" spans="1:10" x14ac:dyDescent="0.2">
      <c r="A2355" t="s">
        <v>437</v>
      </c>
      <c r="B2355" t="s">
        <v>327</v>
      </c>
      <c r="C2355" t="s">
        <v>273</v>
      </c>
      <c r="D2355" t="s">
        <v>265</v>
      </c>
      <c r="E2355">
        <v>4776</v>
      </c>
      <c r="F2355" t="s">
        <v>3779</v>
      </c>
      <c r="G2355" t="s">
        <v>266</v>
      </c>
      <c r="H2355" t="s">
        <v>277</v>
      </c>
      <c r="I2355">
        <v>955</v>
      </c>
    </row>
    <row r="2356" spans="1:10" x14ac:dyDescent="0.2">
      <c r="A2356" t="s">
        <v>437</v>
      </c>
      <c r="B2356" t="s">
        <v>327</v>
      </c>
      <c r="C2356" t="s">
        <v>273</v>
      </c>
      <c r="D2356" t="s">
        <v>265</v>
      </c>
      <c r="E2356">
        <v>4912</v>
      </c>
      <c r="F2356" t="s">
        <v>3780</v>
      </c>
      <c r="G2356" t="s">
        <v>266</v>
      </c>
      <c r="H2356" t="s">
        <v>279</v>
      </c>
      <c r="I2356" t="s">
        <v>325</v>
      </c>
      <c r="J2356" t="s">
        <v>4375</v>
      </c>
    </row>
    <row r="2357" spans="1:10" x14ac:dyDescent="0.2">
      <c r="A2357" t="s">
        <v>437</v>
      </c>
      <c r="B2357" t="s">
        <v>327</v>
      </c>
      <c r="C2357" t="s">
        <v>264</v>
      </c>
      <c r="D2357" t="s">
        <v>265</v>
      </c>
      <c r="E2357">
        <v>4914</v>
      </c>
      <c r="F2357" t="s">
        <v>3781</v>
      </c>
      <c r="G2357" t="s">
        <v>266</v>
      </c>
      <c r="H2357" t="s">
        <v>279</v>
      </c>
      <c r="I2357">
        <v>500</v>
      </c>
    </row>
    <row r="2358" spans="1:10" x14ac:dyDescent="0.2">
      <c r="A2358" t="s">
        <v>437</v>
      </c>
      <c r="B2358" t="s">
        <v>327</v>
      </c>
      <c r="C2358" t="s">
        <v>273</v>
      </c>
      <c r="D2358" t="s">
        <v>265</v>
      </c>
      <c r="E2358">
        <v>4963</v>
      </c>
      <c r="F2358" t="s">
        <v>3782</v>
      </c>
      <c r="G2358" t="s">
        <v>266</v>
      </c>
      <c r="H2358" t="s">
        <v>279</v>
      </c>
      <c r="I2358">
        <v>296</v>
      </c>
    </row>
    <row r="2359" spans="1:10" x14ac:dyDescent="0.2">
      <c r="A2359" t="s">
        <v>437</v>
      </c>
      <c r="B2359" t="s">
        <v>327</v>
      </c>
      <c r="C2359" t="s">
        <v>273</v>
      </c>
      <c r="D2359" t="s">
        <v>265</v>
      </c>
      <c r="E2359">
        <v>4971</v>
      </c>
      <c r="F2359" t="s">
        <v>3783</v>
      </c>
      <c r="G2359" t="s">
        <v>266</v>
      </c>
      <c r="H2359" t="s">
        <v>279</v>
      </c>
      <c r="I2359">
        <v>305</v>
      </c>
    </row>
    <row r="2360" spans="1:10" x14ac:dyDescent="0.2">
      <c r="A2360" t="s">
        <v>437</v>
      </c>
      <c r="B2360" t="s">
        <v>327</v>
      </c>
      <c r="C2360" t="s">
        <v>264</v>
      </c>
      <c r="D2360" t="s">
        <v>265</v>
      </c>
      <c r="E2360">
        <v>4974</v>
      </c>
      <c r="F2360" t="s">
        <v>3784</v>
      </c>
      <c r="G2360" t="s">
        <v>266</v>
      </c>
      <c r="H2360" t="s">
        <v>279</v>
      </c>
      <c r="I2360" t="s">
        <v>289</v>
      </c>
      <c r="J2360" t="s">
        <v>5070</v>
      </c>
    </row>
    <row r="2361" spans="1:10" x14ac:dyDescent="0.2">
      <c r="A2361" t="s">
        <v>437</v>
      </c>
      <c r="B2361" t="s">
        <v>327</v>
      </c>
      <c r="C2361" t="s">
        <v>264</v>
      </c>
      <c r="D2361" t="s">
        <v>265</v>
      </c>
      <c r="E2361">
        <v>4978</v>
      </c>
      <c r="F2361" t="s">
        <v>3785</v>
      </c>
      <c r="G2361" t="s">
        <v>270</v>
      </c>
      <c r="H2361" t="s">
        <v>279</v>
      </c>
      <c r="I2361">
        <v>149</v>
      </c>
    </row>
    <row r="2362" spans="1:10" x14ac:dyDescent="0.2">
      <c r="A2362" t="s">
        <v>437</v>
      </c>
      <c r="B2362" t="s">
        <v>327</v>
      </c>
      <c r="C2362" t="s">
        <v>273</v>
      </c>
      <c r="D2362" t="s">
        <v>265</v>
      </c>
      <c r="E2362">
        <v>4985</v>
      </c>
      <c r="F2362" t="s">
        <v>3786</v>
      </c>
      <c r="G2362" t="s">
        <v>266</v>
      </c>
      <c r="H2362" t="s">
        <v>279</v>
      </c>
      <c r="I2362" t="s">
        <v>297</v>
      </c>
      <c r="J2362" t="s">
        <v>4297</v>
      </c>
    </row>
    <row r="2363" spans="1:10" x14ac:dyDescent="0.2">
      <c r="A2363" t="s">
        <v>437</v>
      </c>
      <c r="B2363" t="s">
        <v>327</v>
      </c>
      <c r="C2363" t="s">
        <v>264</v>
      </c>
      <c r="D2363" t="s">
        <v>265</v>
      </c>
      <c r="E2363">
        <v>5273</v>
      </c>
      <c r="F2363" t="s">
        <v>3787</v>
      </c>
      <c r="G2363" t="s">
        <v>266</v>
      </c>
      <c r="H2363" t="s">
        <v>308</v>
      </c>
      <c r="I2363">
        <v>954</v>
      </c>
    </row>
    <row r="2364" spans="1:10" x14ac:dyDescent="0.2">
      <c r="A2364" t="s">
        <v>437</v>
      </c>
      <c r="B2364" t="s">
        <v>327</v>
      </c>
      <c r="C2364" t="s">
        <v>264</v>
      </c>
      <c r="D2364" t="s">
        <v>265</v>
      </c>
      <c r="E2364">
        <v>5304</v>
      </c>
      <c r="F2364" t="s">
        <v>447</v>
      </c>
      <c r="G2364" t="s">
        <v>274</v>
      </c>
      <c r="H2364" t="s">
        <v>308</v>
      </c>
      <c r="I2364">
        <v>423</v>
      </c>
    </row>
    <row r="2365" spans="1:10" x14ac:dyDescent="0.2">
      <c r="A2365" t="s">
        <v>437</v>
      </c>
      <c r="B2365" t="s">
        <v>327</v>
      </c>
      <c r="C2365" t="s">
        <v>264</v>
      </c>
      <c r="D2365" t="s">
        <v>265</v>
      </c>
      <c r="E2365">
        <v>5391</v>
      </c>
      <c r="F2365" t="s">
        <v>3788</v>
      </c>
      <c r="G2365" t="s">
        <v>266</v>
      </c>
      <c r="H2365" t="s">
        <v>308</v>
      </c>
      <c r="I2365">
        <v>130</v>
      </c>
    </row>
    <row r="2366" spans="1:10" x14ac:dyDescent="0.2">
      <c r="A2366" t="s">
        <v>437</v>
      </c>
      <c r="B2366" t="s">
        <v>327</v>
      </c>
      <c r="C2366" t="s">
        <v>273</v>
      </c>
      <c r="D2366" t="s">
        <v>269</v>
      </c>
      <c r="E2366">
        <v>5704</v>
      </c>
      <c r="F2366" t="s">
        <v>3789</v>
      </c>
      <c r="G2366" t="s">
        <v>278</v>
      </c>
      <c r="H2366" t="s">
        <v>373</v>
      </c>
      <c r="I2366">
        <v>68</v>
      </c>
    </row>
    <row r="2367" spans="1:10" x14ac:dyDescent="0.2">
      <c r="A2367" t="s">
        <v>437</v>
      </c>
      <c r="B2367" t="s">
        <v>327</v>
      </c>
      <c r="C2367" t="s">
        <v>264</v>
      </c>
      <c r="D2367" t="s">
        <v>269</v>
      </c>
      <c r="E2367">
        <v>5935</v>
      </c>
      <c r="F2367" t="s">
        <v>3790</v>
      </c>
      <c r="G2367" t="s">
        <v>270</v>
      </c>
      <c r="H2367" t="s">
        <v>281</v>
      </c>
      <c r="I2367">
        <v>31</v>
      </c>
    </row>
    <row r="2368" spans="1:10" x14ac:dyDescent="0.2">
      <c r="A2368" t="s">
        <v>437</v>
      </c>
      <c r="B2368" t="s">
        <v>327</v>
      </c>
      <c r="C2368" t="s">
        <v>273</v>
      </c>
      <c r="D2368" t="s">
        <v>265</v>
      </c>
      <c r="E2368">
        <v>5943</v>
      </c>
      <c r="F2368" t="s">
        <v>3791</v>
      </c>
      <c r="G2368" t="s">
        <v>266</v>
      </c>
      <c r="H2368" t="s">
        <v>281</v>
      </c>
      <c r="I2368">
        <v>733</v>
      </c>
    </row>
    <row r="2369" spans="1:10" x14ac:dyDescent="0.2">
      <c r="A2369" t="s">
        <v>437</v>
      </c>
      <c r="B2369" t="s">
        <v>327</v>
      </c>
      <c r="C2369" t="s">
        <v>273</v>
      </c>
      <c r="D2369" t="s">
        <v>265</v>
      </c>
      <c r="E2369">
        <v>5957</v>
      </c>
      <c r="F2369" t="s">
        <v>3792</v>
      </c>
      <c r="G2369" t="s">
        <v>266</v>
      </c>
      <c r="H2369" t="s">
        <v>281</v>
      </c>
      <c r="I2369">
        <v>252</v>
      </c>
    </row>
    <row r="2370" spans="1:10" x14ac:dyDescent="0.2">
      <c r="A2370" t="s">
        <v>437</v>
      </c>
      <c r="B2370" t="s">
        <v>327</v>
      </c>
      <c r="C2370" t="s">
        <v>264</v>
      </c>
      <c r="D2370" t="s">
        <v>265</v>
      </c>
      <c r="E2370">
        <v>5974</v>
      </c>
      <c r="F2370" t="s">
        <v>3793</v>
      </c>
      <c r="G2370" t="s">
        <v>274</v>
      </c>
      <c r="H2370" t="s">
        <v>281</v>
      </c>
      <c r="I2370">
        <v>15</v>
      </c>
    </row>
    <row r="2371" spans="1:10" x14ac:dyDescent="0.2">
      <c r="A2371" t="s">
        <v>437</v>
      </c>
      <c r="B2371" t="s">
        <v>327</v>
      </c>
      <c r="C2371" t="s">
        <v>273</v>
      </c>
      <c r="D2371" t="s">
        <v>265</v>
      </c>
      <c r="E2371">
        <v>5997</v>
      </c>
      <c r="F2371" t="s">
        <v>3794</v>
      </c>
      <c r="G2371" t="s">
        <v>270</v>
      </c>
      <c r="H2371" t="s">
        <v>281</v>
      </c>
      <c r="I2371">
        <v>50</v>
      </c>
    </row>
    <row r="2372" spans="1:10" x14ac:dyDescent="0.2">
      <c r="A2372" t="s">
        <v>437</v>
      </c>
      <c r="B2372" t="s">
        <v>327</v>
      </c>
      <c r="C2372" t="s">
        <v>264</v>
      </c>
      <c r="D2372" t="s">
        <v>265</v>
      </c>
      <c r="E2372">
        <v>6033</v>
      </c>
      <c r="F2372" t="s">
        <v>448</v>
      </c>
      <c r="G2372" t="s">
        <v>278</v>
      </c>
      <c r="H2372" t="s">
        <v>271</v>
      </c>
      <c r="I2372">
        <v>104</v>
      </c>
    </row>
    <row r="2373" spans="1:10" x14ac:dyDescent="0.2">
      <c r="A2373" t="s">
        <v>437</v>
      </c>
      <c r="B2373" t="s">
        <v>327</v>
      </c>
      <c r="C2373" t="s">
        <v>264</v>
      </c>
      <c r="D2373" t="s">
        <v>265</v>
      </c>
      <c r="E2373">
        <v>6045</v>
      </c>
      <c r="F2373" t="s">
        <v>3795</v>
      </c>
      <c r="G2373" t="s">
        <v>278</v>
      </c>
      <c r="H2373" t="s">
        <v>271</v>
      </c>
      <c r="I2373">
        <v>36</v>
      </c>
    </row>
    <row r="2374" spans="1:10" x14ac:dyDescent="0.2">
      <c r="A2374" t="s">
        <v>437</v>
      </c>
      <c r="B2374" t="s">
        <v>327</v>
      </c>
      <c r="C2374" t="s">
        <v>275</v>
      </c>
      <c r="D2374" t="s">
        <v>265</v>
      </c>
      <c r="E2374">
        <v>6061</v>
      </c>
      <c r="F2374" t="s">
        <v>3796</v>
      </c>
      <c r="G2374" t="s">
        <v>270</v>
      </c>
      <c r="H2374" t="s">
        <v>271</v>
      </c>
      <c r="I2374">
        <v>94</v>
      </c>
    </row>
    <row r="2375" spans="1:10" x14ac:dyDescent="0.2">
      <c r="A2375" t="s">
        <v>437</v>
      </c>
      <c r="B2375" t="s">
        <v>327</v>
      </c>
      <c r="C2375" t="s">
        <v>264</v>
      </c>
      <c r="D2375" t="s">
        <v>265</v>
      </c>
      <c r="E2375">
        <v>6072</v>
      </c>
      <c r="F2375" t="s">
        <v>3797</v>
      </c>
      <c r="G2375" t="s">
        <v>278</v>
      </c>
      <c r="H2375" t="s">
        <v>271</v>
      </c>
      <c r="I2375">
        <v>59</v>
      </c>
    </row>
    <row r="2376" spans="1:10" x14ac:dyDescent="0.2">
      <c r="A2376" t="s">
        <v>437</v>
      </c>
      <c r="B2376" t="s">
        <v>327</v>
      </c>
      <c r="C2376" t="s">
        <v>264</v>
      </c>
      <c r="D2376" t="s">
        <v>269</v>
      </c>
      <c r="E2376">
        <v>6085</v>
      </c>
      <c r="F2376" t="s">
        <v>3798</v>
      </c>
      <c r="G2376" t="s">
        <v>278</v>
      </c>
      <c r="H2376" t="s">
        <v>271</v>
      </c>
      <c r="I2376">
        <v>13</v>
      </c>
    </row>
    <row r="2377" spans="1:10" x14ac:dyDescent="0.2">
      <c r="A2377" t="s">
        <v>437</v>
      </c>
      <c r="B2377" t="s">
        <v>327</v>
      </c>
      <c r="C2377" t="s">
        <v>268</v>
      </c>
      <c r="D2377" t="s">
        <v>265</v>
      </c>
      <c r="E2377">
        <v>6095</v>
      </c>
      <c r="F2377" t="s">
        <v>3799</v>
      </c>
      <c r="G2377" t="s">
        <v>278</v>
      </c>
      <c r="H2377" t="s">
        <v>271</v>
      </c>
      <c r="I2377">
        <v>364</v>
      </c>
    </row>
    <row r="2378" spans="1:10" x14ac:dyDescent="0.2">
      <c r="A2378" t="s">
        <v>437</v>
      </c>
      <c r="B2378" t="s">
        <v>327</v>
      </c>
      <c r="C2378" t="s">
        <v>264</v>
      </c>
      <c r="D2378" t="s">
        <v>265</v>
      </c>
      <c r="E2378">
        <v>6125</v>
      </c>
      <c r="F2378" t="s">
        <v>655</v>
      </c>
      <c r="G2378" t="s">
        <v>274</v>
      </c>
      <c r="H2378" t="s">
        <v>287</v>
      </c>
      <c r="I2378">
        <v>144</v>
      </c>
    </row>
    <row r="2379" spans="1:10" x14ac:dyDescent="0.2">
      <c r="A2379" t="s">
        <v>437</v>
      </c>
      <c r="B2379" t="s">
        <v>327</v>
      </c>
      <c r="C2379" t="s">
        <v>264</v>
      </c>
      <c r="D2379" t="s">
        <v>265</v>
      </c>
      <c r="E2379">
        <v>6134</v>
      </c>
      <c r="F2379" t="s">
        <v>3800</v>
      </c>
      <c r="G2379" t="s">
        <v>266</v>
      </c>
      <c r="H2379" t="s">
        <v>287</v>
      </c>
      <c r="I2379" t="s">
        <v>297</v>
      </c>
      <c r="J2379" t="s">
        <v>5001</v>
      </c>
    </row>
    <row r="2380" spans="1:10" x14ac:dyDescent="0.2">
      <c r="A2380" t="s">
        <v>437</v>
      </c>
      <c r="B2380" t="s">
        <v>327</v>
      </c>
      <c r="C2380" t="s">
        <v>264</v>
      </c>
      <c r="D2380" t="s">
        <v>265</v>
      </c>
      <c r="E2380">
        <v>6145</v>
      </c>
      <c r="F2380" t="s">
        <v>3801</v>
      </c>
      <c r="G2380" t="s">
        <v>270</v>
      </c>
      <c r="H2380" t="s">
        <v>287</v>
      </c>
      <c r="I2380">
        <v>683</v>
      </c>
    </row>
    <row r="2381" spans="1:10" x14ac:dyDescent="0.2">
      <c r="A2381" t="s">
        <v>437</v>
      </c>
      <c r="B2381" t="s">
        <v>327</v>
      </c>
      <c r="C2381" t="s">
        <v>264</v>
      </c>
      <c r="D2381" t="s">
        <v>265</v>
      </c>
      <c r="E2381">
        <v>6218</v>
      </c>
      <c r="F2381" t="s">
        <v>3802</v>
      </c>
      <c r="G2381" t="s">
        <v>266</v>
      </c>
      <c r="H2381" t="s">
        <v>287</v>
      </c>
      <c r="I2381">
        <v>84</v>
      </c>
    </row>
    <row r="2382" spans="1:10" x14ac:dyDescent="0.2">
      <c r="A2382" t="s">
        <v>437</v>
      </c>
      <c r="B2382" t="s">
        <v>327</v>
      </c>
      <c r="C2382" t="s">
        <v>273</v>
      </c>
      <c r="D2382" t="s">
        <v>265</v>
      </c>
      <c r="E2382">
        <v>6235</v>
      </c>
      <c r="F2382" t="s">
        <v>3803</v>
      </c>
      <c r="G2382" t="s">
        <v>266</v>
      </c>
      <c r="H2382" t="s">
        <v>287</v>
      </c>
      <c r="I2382" t="s">
        <v>297</v>
      </c>
      <c r="J2382" t="s">
        <v>4657</v>
      </c>
    </row>
    <row r="2383" spans="1:10" x14ac:dyDescent="0.2">
      <c r="A2383" t="s">
        <v>437</v>
      </c>
      <c r="B2383" t="s">
        <v>327</v>
      </c>
      <c r="C2383" t="s">
        <v>264</v>
      </c>
      <c r="D2383" t="s">
        <v>265</v>
      </c>
      <c r="E2383">
        <v>6236</v>
      </c>
      <c r="F2383" t="s">
        <v>3804</v>
      </c>
      <c r="G2383" t="s">
        <v>266</v>
      </c>
      <c r="H2383" t="s">
        <v>287</v>
      </c>
      <c r="I2383">
        <v>43</v>
      </c>
    </row>
    <row r="2384" spans="1:10" x14ac:dyDescent="0.2">
      <c r="A2384" t="s">
        <v>437</v>
      </c>
      <c r="B2384" t="s">
        <v>327</v>
      </c>
      <c r="C2384" t="s">
        <v>264</v>
      </c>
      <c r="D2384" t="s">
        <v>265</v>
      </c>
      <c r="E2384">
        <v>6298</v>
      </c>
      <c r="F2384" t="s">
        <v>3805</v>
      </c>
      <c r="G2384" t="s">
        <v>266</v>
      </c>
      <c r="H2384" t="s">
        <v>287</v>
      </c>
      <c r="I2384">
        <v>71</v>
      </c>
    </row>
    <row r="2385" spans="1:10" x14ac:dyDescent="0.2">
      <c r="A2385" t="s">
        <v>437</v>
      </c>
      <c r="B2385" t="s">
        <v>327</v>
      </c>
      <c r="C2385" t="s">
        <v>273</v>
      </c>
      <c r="D2385" t="s">
        <v>265</v>
      </c>
      <c r="E2385">
        <v>6328</v>
      </c>
      <c r="F2385" t="s">
        <v>1649</v>
      </c>
      <c r="G2385" t="s">
        <v>266</v>
      </c>
      <c r="H2385" t="s">
        <v>287</v>
      </c>
      <c r="I2385">
        <v>150</v>
      </c>
    </row>
    <row r="2386" spans="1:10" x14ac:dyDescent="0.2">
      <c r="A2386" t="s">
        <v>437</v>
      </c>
      <c r="B2386" t="s">
        <v>327</v>
      </c>
      <c r="C2386" t="s">
        <v>264</v>
      </c>
      <c r="D2386" t="s">
        <v>265</v>
      </c>
      <c r="E2386">
        <v>6357</v>
      </c>
      <c r="F2386" t="s">
        <v>3806</v>
      </c>
      <c r="G2386" t="s">
        <v>274</v>
      </c>
      <c r="H2386" t="s">
        <v>287</v>
      </c>
      <c r="I2386">
        <v>176</v>
      </c>
    </row>
    <row r="2387" spans="1:10" x14ac:dyDescent="0.2">
      <c r="A2387" t="s">
        <v>437</v>
      </c>
      <c r="B2387" t="s">
        <v>327</v>
      </c>
      <c r="C2387" t="s">
        <v>264</v>
      </c>
      <c r="D2387" t="s">
        <v>269</v>
      </c>
      <c r="E2387">
        <v>6380</v>
      </c>
      <c r="F2387" t="s">
        <v>3807</v>
      </c>
      <c r="G2387" t="s">
        <v>274</v>
      </c>
      <c r="H2387" t="s">
        <v>287</v>
      </c>
      <c r="I2387">
        <v>10</v>
      </c>
    </row>
    <row r="2388" spans="1:10" x14ac:dyDescent="0.2">
      <c r="A2388" t="s">
        <v>437</v>
      </c>
      <c r="B2388" t="s">
        <v>327</v>
      </c>
      <c r="C2388" t="s">
        <v>264</v>
      </c>
      <c r="D2388" t="s">
        <v>265</v>
      </c>
      <c r="E2388">
        <v>6390</v>
      </c>
      <c r="F2388" t="s">
        <v>3808</v>
      </c>
      <c r="G2388" t="s">
        <v>266</v>
      </c>
      <c r="H2388" t="s">
        <v>287</v>
      </c>
      <c r="I2388">
        <v>195</v>
      </c>
    </row>
    <row r="2389" spans="1:10" x14ac:dyDescent="0.2">
      <c r="A2389" t="s">
        <v>437</v>
      </c>
      <c r="B2389" t="s">
        <v>327</v>
      </c>
      <c r="C2389" t="s">
        <v>264</v>
      </c>
      <c r="D2389" t="s">
        <v>265</v>
      </c>
      <c r="E2389">
        <v>6405</v>
      </c>
      <c r="F2389" t="s">
        <v>3809</v>
      </c>
      <c r="G2389" t="s">
        <v>270</v>
      </c>
      <c r="H2389" t="s">
        <v>287</v>
      </c>
      <c r="I2389">
        <v>115</v>
      </c>
    </row>
    <row r="2390" spans="1:10" x14ac:dyDescent="0.2">
      <c r="A2390" t="s">
        <v>437</v>
      </c>
      <c r="B2390" t="s">
        <v>327</v>
      </c>
      <c r="C2390" t="s">
        <v>264</v>
      </c>
      <c r="D2390" t="s">
        <v>265</v>
      </c>
      <c r="E2390">
        <v>6416</v>
      </c>
      <c r="F2390" t="s">
        <v>3810</v>
      </c>
      <c r="G2390" t="s">
        <v>270</v>
      </c>
      <c r="H2390" t="s">
        <v>287</v>
      </c>
      <c r="I2390">
        <v>15</v>
      </c>
    </row>
    <row r="2391" spans="1:10" x14ac:dyDescent="0.2">
      <c r="A2391" t="s">
        <v>437</v>
      </c>
      <c r="B2391" t="s">
        <v>327</v>
      </c>
      <c r="C2391" t="s">
        <v>264</v>
      </c>
      <c r="D2391" t="s">
        <v>265</v>
      </c>
      <c r="E2391">
        <v>6433</v>
      </c>
      <c r="F2391" t="s">
        <v>3811</v>
      </c>
      <c r="G2391" t="s">
        <v>270</v>
      </c>
      <c r="H2391" t="s">
        <v>287</v>
      </c>
      <c r="I2391">
        <v>23</v>
      </c>
    </row>
    <row r="2392" spans="1:10" x14ac:dyDescent="0.2">
      <c r="A2392" t="s">
        <v>437</v>
      </c>
      <c r="B2392" t="s">
        <v>327</v>
      </c>
      <c r="C2392" t="s">
        <v>273</v>
      </c>
      <c r="D2392" t="s">
        <v>269</v>
      </c>
      <c r="E2392">
        <v>6459</v>
      </c>
      <c r="F2392" t="s">
        <v>3812</v>
      </c>
      <c r="G2392" t="s">
        <v>266</v>
      </c>
      <c r="H2392" t="s">
        <v>287</v>
      </c>
      <c r="I2392">
        <v>642</v>
      </c>
    </row>
    <row r="2393" spans="1:10" x14ac:dyDescent="0.2">
      <c r="A2393" t="s">
        <v>437</v>
      </c>
      <c r="B2393" t="s">
        <v>327</v>
      </c>
      <c r="C2393" t="s">
        <v>273</v>
      </c>
      <c r="D2393" t="s">
        <v>265</v>
      </c>
      <c r="E2393">
        <v>6481</v>
      </c>
      <c r="F2393" t="s">
        <v>3813</v>
      </c>
      <c r="G2393" t="s">
        <v>266</v>
      </c>
      <c r="H2393" t="s">
        <v>287</v>
      </c>
      <c r="I2393" t="s">
        <v>316</v>
      </c>
      <c r="J2393" t="s">
        <v>4893</v>
      </c>
    </row>
    <row r="2394" spans="1:10" x14ac:dyDescent="0.2">
      <c r="A2394" t="s">
        <v>437</v>
      </c>
      <c r="B2394" t="s">
        <v>327</v>
      </c>
      <c r="C2394" t="s">
        <v>264</v>
      </c>
      <c r="D2394" t="s">
        <v>265</v>
      </c>
      <c r="E2394">
        <v>6562</v>
      </c>
      <c r="F2394" t="s">
        <v>1814</v>
      </c>
      <c r="G2394" t="s">
        <v>278</v>
      </c>
      <c r="H2394" t="s">
        <v>271</v>
      </c>
      <c r="I2394">
        <v>103</v>
      </c>
    </row>
    <row r="2395" spans="1:10" x14ac:dyDescent="0.2">
      <c r="A2395" t="s">
        <v>437</v>
      </c>
      <c r="B2395" t="s">
        <v>327</v>
      </c>
      <c r="C2395" t="s">
        <v>264</v>
      </c>
      <c r="D2395" t="s">
        <v>269</v>
      </c>
      <c r="E2395">
        <v>6568</v>
      </c>
      <c r="F2395" t="s">
        <v>1492</v>
      </c>
      <c r="G2395" t="s">
        <v>278</v>
      </c>
      <c r="H2395" t="s">
        <v>271</v>
      </c>
      <c r="I2395">
        <v>117</v>
      </c>
    </row>
    <row r="2396" spans="1:10" x14ac:dyDescent="0.2">
      <c r="A2396" t="s">
        <v>437</v>
      </c>
      <c r="B2396" t="s">
        <v>327</v>
      </c>
      <c r="C2396" t="s">
        <v>264</v>
      </c>
      <c r="D2396" t="s">
        <v>269</v>
      </c>
      <c r="E2396">
        <v>6570</v>
      </c>
      <c r="F2396" t="s">
        <v>3814</v>
      </c>
      <c r="G2396" t="s">
        <v>274</v>
      </c>
      <c r="H2396" t="s">
        <v>271</v>
      </c>
      <c r="I2396">
        <v>41</v>
      </c>
    </row>
    <row r="2397" spans="1:10" x14ac:dyDescent="0.2">
      <c r="A2397" t="s">
        <v>437</v>
      </c>
      <c r="B2397" t="s">
        <v>327</v>
      </c>
      <c r="C2397" t="s">
        <v>275</v>
      </c>
      <c r="D2397" t="s">
        <v>265</v>
      </c>
      <c r="E2397">
        <v>6571</v>
      </c>
      <c r="F2397" t="s">
        <v>3815</v>
      </c>
      <c r="G2397" t="s">
        <v>266</v>
      </c>
      <c r="H2397" t="s">
        <v>271</v>
      </c>
      <c r="I2397">
        <v>310</v>
      </c>
    </row>
    <row r="2398" spans="1:10" x14ac:dyDescent="0.2">
      <c r="A2398" t="s">
        <v>437</v>
      </c>
      <c r="B2398" t="s">
        <v>327</v>
      </c>
      <c r="C2398" t="s">
        <v>264</v>
      </c>
      <c r="D2398" t="s">
        <v>265</v>
      </c>
      <c r="E2398">
        <v>6584</v>
      </c>
      <c r="F2398" t="s">
        <v>1815</v>
      </c>
      <c r="G2398" t="s">
        <v>266</v>
      </c>
      <c r="H2398" t="s">
        <v>296</v>
      </c>
      <c r="I2398">
        <v>426</v>
      </c>
    </row>
    <row r="2399" spans="1:10" x14ac:dyDescent="0.2">
      <c r="A2399" t="s">
        <v>437</v>
      </c>
      <c r="B2399" t="s">
        <v>327</v>
      </c>
      <c r="C2399" t="s">
        <v>264</v>
      </c>
      <c r="D2399" t="s">
        <v>265</v>
      </c>
      <c r="E2399">
        <v>6616</v>
      </c>
      <c r="F2399" t="s">
        <v>3816</v>
      </c>
      <c r="G2399" t="s">
        <v>266</v>
      </c>
      <c r="H2399" t="s">
        <v>291</v>
      </c>
      <c r="I2399">
        <v>192</v>
      </c>
    </row>
    <row r="2400" spans="1:10" x14ac:dyDescent="0.2">
      <c r="A2400" t="s">
        <v>437</v>
      </c>
      <c r="B2400" t="s">
        <v>327</v>
      </c>
      <c r="C2400" t="s">
        <v>273</v>
      </c>
      <c r="D2400" t="s">
        <v>265</v>
      </c>
      <c r="E2400">
        <v>6619</v>
      </c>
      <c r="F2400" t="s">
        <v>3817</v>
      </c>
      <c r="G2400" t="s">
        <v>266</v>
      </c>
      <c r="H2400" t="s">
        <v>291</v>
      </c>
      <c r="I2400">
        <v>367</v>
      </c>
    </row>
    <row r="2401" spans="1:10" x14ac:dyDescent="0.2">
      <c r="A2401" t="s">
        <v>437</v>
      </c>
      <c r="B2401" t="s">
        <v>327</v>
      </c>
      <c r="C2401" t="s">
        <v>264</v>
      </c>
      <c r="D2401" t="s">
        <v>265</v>
      </c>
      <c r="E2401">
        <v>6637</v>
      </c>
      <c r="F2401" t="s">
        <v>3818</v>
      </c>
      <c r="G2401" t="s">
        <v>270</v>
      </c>
      <c r="H2401" t="s">
        <v>291</v>
      </c>
      <c r="I2401">
        <v>149</v>
      </c>
    </row>
    <row r="2402" spans="1:10" x14ac:dyDescent="0.2">
      <c r="A2402" t="s">
        <v>437</v>
      </c>
      <c r="B2402" t="s">
        <v>327</v>
      </c>
      <c r="C2402" t="s">
        <v>275</v>
      </c>
      <c r="D2402" t="s">
        <v>265</v>
      </c>
      <c r="E2402">
        <v>6728</v>
      </c>
      <c r="F2402" t="s">
        <v>3819</v>
      </c>
      <c r="G2402" t="s">
        <v>266</v>
      </c>
      <c r="H2402" t="s">
        <v>291</v>
      </c>
      <c r="I2402" t="s">
        <v>289</v>
      </c>
      <c r="J2402" t="s">
        <v>4523</v>
      </c>
    </row>
    <row r="2403" spans="1:10" x14ac:dyDescent="0.2">
      <c r="A2403" t="s">
        <v>437</v>
      </c>
      <c r="B2403" t="s">
        <v>327</v>
      </c>
      <c r="C2403" t="s">
        <v>264</v>
      </c>
      <c r="D2403" t="s">
        <v>265</v>
      </c>
      <c r="E2403">
        <v>6740</v>
      </c>
      <c r="F2403" t="s">
        <v>3820</v>
      </c>
      <c r="G2403" t="s">
        <v>266</v>
      </c>
      <c r="H2403" t="s">
        <v>291</v>
      </c>
      <c r="I2403">
        <v>626</v>
      </c>
    </row>
    <row r="2404" spans="1:10" x14ac:dyDescent="0.2">
      <c r="A2404" t="s">
        <v>437</v>
      </c>
      <c r="B2404" t="s">
        <v>327</v>
      </c>
      <c r="C2404" t="s">
        <v>264</v>
      </c>
      <c r="D2404" t="s">
        <v>265</v>
      </c>
      <c r="E2404">
        <v>6820</v>
      </c>
      <c r="F2404" t="s">
        <v>3821</v>
      </c>
      <c r="G2404" t="s">
        <v>266</v>
      </c>
      <c r="H2404" t="s">
        <v>291</v>
      </c>
      <c r="I2404">
        <v>392</v>
      </c>
    </row>
    <row r="2405" spans="1:10" x14ac:dyDescent="0.2">
      <c r="A2405" t="s">
        <v>437</v>
      </c>
      <c r="B2405" t="s">
        <v>327</v>
      </c>
      <c r="C2405" t="s">
        <v>268</v>
      </c>
      <c r="D2405" t="s">
        <v>265</v>
      </c>
      <c r="E2405">
        <v>6871</v>
      </c>
      <c r="F2405" t="s">
        <v>1816</v>
      </c>
      <c r="G2405" t="s">
        <v>266</v>
      </c>
      <c r="H2405" t="s">
        <v>291</v>
      </c>
      <c r="I2405">
        <v>560</v>
      </c>
    </row>
    <row r="2406" spans="1:10" x14ac:dyDescent="0.2">
      <c r="A2406" t="s">
        <v>437</v>
      </c>
      <c r="B2406" t="s">
        <v>327</v>
      </c>
      <c r="C2406" t="s">
        <v>264</v>
      </c>
      <c r="D2406" t="s">
        <v>265</v>
      </c>
      <c r="E2406">
        <v>6881</v>
      </c>
      <c r="F2406" t="s">
        <v>3822</v>
      </c>
      <c r="G2406" t="s">
        <v>274</v>
      </c>
      <c r="H2406" t="s">
        <v>291</v>
      </c>
      <c r="I2406">
        <v>211</v>
      </c>
    </row>
    <row r="2407" spans="1:10" x14ac:dyDescent="0.2">
      <c r="A2407" t="s">
        <v>437</v>
      </c>
      <c r="B2407" t="s">
        <v>327</v>
      </c>
      <c r="C2407" t="s">
        <v>264</v>
      </c>
      <c r="D2407" t="s">
        <v>269</v>
      </c>
      <c r="E2407">
        <v>6918</v>
      </c>
      <c r="F2407" t="s">
        <v>3823</v>
      </c>
      <c r="G2407" t="s">
        <v>270</v>
      </c>
      <c r="H2407" t="s">
        <v>291</v>
      </c>
      <c r="I2407">
        <v>190</v>
      </c>
    </row>
    <row r="2408" spans="1:10" x14ac:dyDescent="0.2">
      <c r="A2408" t="s">
        <v>437</v>
      </c>
      <c r="B2408" t="s">
        <v>327</v>
      </c>
      <c r="C2408" t="s">
        <v>273</v>
      </c>
      <c r="D2408" t="s">
        <v>265</v>
      </c>
      <c r="E2408">
        <v>7038</v>
      </c>
      <c r="F2408" t="s">
        <v>3824</v>
      </c>
      <c r="G2408" t="s">
        <v>278</v>
      </c>
      <c r="H2408" t="s">
        <v>271</v>
      </c>
      <c r="I2408">
        <v>90</v>
      </c>
    </row>
    <row r="2409" spans="1:10" x14ac:dyDescent="0.2">
      <c r="A2409" t="s">
        <v>437</v>
      </c>
      <c r="B2409" t="s">
        <v>327</v>
      </c>
      <c r="C2409" t="s">
        <v>273</v>
      </c>
      <c r="D2409" t="s">
        <v>265</v>
      </c>
      <c r="E2409">
        <v>7043</v>
      </c>
      <c r="F2409" t="s">
        <v>3825</v>
      </c>
      <c r="G2409" t="s">
        <v>278</v>
      </c>
      <c r="H2409" t="s">
        <v>271</v>
      </c>
      <c r="I2409">
        <v>23</v>
      </c>
    </row>
    <row r="2410" spans="1:10" x14ac:dyDescent="0.2">
      <c r="A2410" t="s">
        <v>437</v>
      </c>
      <c r="B2410" t="s">
        <v>327</v>
      </c>
      <c r="C2410" t="s">
        <v>273</v>
      </c>
      <c r="D2410" t="s">
        <v>265</v>
      </c>
      <c r="E2410">
        <v>7044</v>
      </c>
      <c r="F2410" t="s">
        <v>3826</v>
      </c>
      <c r="G2410" t="s">
        <v>278</v>
      </c>
      <c r="H2410" t="s">
        <v>271</v>
      </c>
      <c r="I2410">
        <v>125</v>
      </c>
    </row>
    <row r="2411" spans="1:10" x14ac:dyDescent="0.2">
      <c r="A2411" t="s">
        <v>437</v>
      </c>
      <c r="B2411" t="s">
        <v>327</v>
      </c>
      <c r="C2411" t="s">
        <v>273</v>
      </c>
      <c r="D2411" t="s">
        <v>265</v>
      </c>
      <c r="E2411">
        <v>7048</v>
      </c>
      <c r="F2411" t="s">
        <v>1817</v>
      </c>
      <c r="G2411" t="s">
        <v>278</v>
      </c>
      <c r="H2411" t="s">
        <v>271</v>
      </c>
      <c r="I2411">
        <v>323</v>
      </c>
    </row>
    <row r="2412" spans="1:10" x14ac:dyDescent="0.2">
      <c r="A2412" t="s">
        <v>437</v>
      </c>
      <c r="B2412" t="s">
        <v>327</v>
      </c>
      <c r="C2412" t="s">
        <v>264</v>
      </c>
      <c r="D2412" t="s">
        <v>265</v>
      </c>
      <c r="E2412">
        <v>7059</v>
      </c>
      <c r="F2412" t="s">
        <v>766</v>
      </c>
      <c r="G2412" t="s">
        <v>278</v>
      </c>
      <c r="H2412" t="s">
        <v>271</v>
      </c>
      <c r="I2412">
        <v>154</v>
      </c>
    </row>
    <row r="2413" spans="1:10" x14ac:dyDescent="0.2">
      <c r="A2413" t="s">
        <v>437</v>
      </c>
      <c r="B2413" t="s">
        <v>327</v>
      </c>
      <c r="C2413" t="s">
        <v>264</v>
      </c>
      <c r="D2413" t="s">
        <v>265</v>
      </c>
      <c r="E2413">
        <v>7060</v>
      </c>
      <c r="F2413" t="s">
        <v>601</v>
      </c>
      <c r="G2413" t="s">
        <v>278</v>
      </c>
      <c r="H2413" t="s">
        <v>271</v>
      </c>
      <c r="I2413">
        <v>181</v>
      </c>
    </row>
    <row r="2414" spans="1:10" x14ac:dyDescent="0.2">
      <c r="A2414" t="s">
        <v>437</v>
      </c>
      <c r="B2414" t="s">
        <v>327</v>
      </c>
      <c r="C2414" t="s">
        <v>273</v>
      </c>
      <c r="D2414" t="s">
        <v>265</v>
      </c>
      <c r="E2414">
        <v>7061</v>
      </c>
      <c r="F2414" t="s">
        <v>3827</v>
      </c>
      <c r="G2414" t="s">
        <v>278</v>
      </c>
      <c r="H2414" t="s">
        <v>271</v>
      </c>
      <c r="I2414">
        <v>206</v>
      </c>
    </row>
    <row r="2415" spans="1:10" x14ac:dyDescent="0.2">
      <c r="A2415" t="s">
        <v>437</v>
      </c>
      <c r="B2415" t="s">
        <v>327</v>
      </c>
      <c r="C2415" t="s">
        <v>273</v>
      </c>
      <c r="D2415" t="s">
        <v>265</v>
      </c>
      <c r="E2415">
        <v>7190</v>
      </c>
      <c r="F2415" t="s">
        <v>3828</v>
      </c>
      <c r="G2415" t="s">
        <v>266</v>
      </c>
      <c r="H2415" t="s">
        <v>1448</v>
      </c>
      <c r="I2415">
        <v>132</v>
      </c>
    </row>
    <row r="2416" spans="1:10" x14ac:dyDescent="0.2">
      <c r="A2416" t="s">
        <v>437</v>
      </c>
      <c r="B2416" t="s">
        <v>327</v>
      </c>
      <c r="C2416" t="s">
        <v>273</v>
      </c>
      <c r="D2416" t="s">
        <v>265</v>
      </c>
      <c r="E2416">
        <v>7228</v>
      </c>
      <c r="F2416" t="s">
        <v>3829</v>
      </c>
      <c r="G2416" t="s">
        <v>270</v>
      </c>
      <c r="H2416" t="s">
        <v>296</v>
      </c>
      <c r="I2416">
        <v>51</v>
      </c>
    </row>
    <row r="2417" spans="1:9" x14ac:dyDescent="0.2">
      <c r="A2417" t="s">
        <v>437</v>
      </c>
      <c r="B2417" t="s">
        <v>327</v>
      </c>
      <c r="C2417" t="s">
        <v>264</v>
      </c>
      <c r="D2417" t="s">
        <v>269</v>
      </c>
      <c r="E2417">
        <v>7238</v>
      </c>
      <c r="F2417" t="s">
        <v>3830</v>
      </c>
      <c r="G2417" t="s">
        <v>266</v>
      </c>
      <c r="H2417" t="s">
        <v>296</v>
      </c>
      <c r="I2417">
        <v>325</v>
      </c>
    </row>
    <row r="2418" spans="1:9" x14ac:dyDescent="0.2">
      <c r="A2418" t="s">
        <v>437</v>
      </c>
      <c r="B2418" t="s">
        <v>327</v>
      </c>
      <c r="C2418" t="s">
        <v>264</v>
      </c>
      <c r="D2418" t="s">
        <v>265</v>
      </c>
      <c r="E2418">
        <v>7273</v>
      </c>
      <c r="F2418" t="s">
        <v>3831</v>
      </c>
      <c r="G2418" t="s">
        <v>274</v>
      </c>
      <c r="H2418" t="s">
        <v>296</v>
      </c>
      <c r="I2418">
        <v>19</v>
      </c>
    </row>
    <row r="2419" spans="1:9" x14ac:dyDescent="0.2">
      <c r="A2419" t="s">
        <v>437</v>
      </c>
      <c r="B2419" t="s">
        <v>327</v>
      </c>
      <c r="C2419" t="s">
        <v>264</v>
      </c>
      <c r="D2419" t="s">
        <v>265</v>
      </c>
      <c r="E2419">
        <v>7284</v>
      </c>
      <c r="F2419" t="s">
        <v>3832</v>
      </c>
      <c r="G2419" t="s">
        <v>266</v>
      </c>
      <c r="H2419" t="s">
        <v>296</v>
      </c>
      <c r="I2419">
        <v>40</v>
      </c>
    </row>
    <row r="2420" spans="1:9" x14ac:dyDescent="0.2">
      <c r="A2420" t="s">
        <v>437</v>
      </c>
      <c r="B2420" t="s">
        <v>327</v>
      </c>
      <c r="C2420" t="s">
        <v>264</v>
      </c>
      <c r="D2420" t="s">
        <v>265</v>
      </c>
      <c r="E2420">
        <v>7305</v>
      </c>
      <c r="F2420" t="s">
        <v>3833</v>
      </c>
      <c r="G2420" t="s">
        <v>266</v>
      </c>
      <c r="H2420" t="s">
        <v>726</v>
      </c>
      <c r="I2420">
        <v>88</v>
      </c>
    </row>
    <row r="2421" spans="1:9" x14ac:dyDescent="0.2">
      <c r="A2421" t="s">
        <v>437</v>
      </c>
      <c r="B2421" t="s">
        <v>327</v>
      </c>
      <c r="C2421" t="s">
        <v>273</v>
      </c>
      <c r="D2421" t="s">
        <v>265</v>
      </c>
      <c r="E2421">
        <v>7314</v>
      </c>
      <c r="F2421" t="s">
        <v>3834</v>
      </c>
      <c r="G2421" t="s">
        <v>270</v>
      </c>
      <c r="H2421" t="s">
        <v>296</v>
      </c>
      <c r="I2421">
        <v>23</v>
      </c>
    </row>
    <row r="2422" spans="1:9" x14ac:dyDescent="0.2">
      <c r="A2422" t="s">
        <v>437</v>
      </c>
      <c r="B2422" t="s">
        <v>327</v>
      </c>
      <c r="C2422" t="s">
        <v>264</v>
      </c>
      <c r="D2422" t="s">
        <v>265</v>
      </c>
      <c r="E2422">
        <v>7326</v>
      </c>
      <c r="F2422" t="s">
        <v>3835</v>
      </c>
      <c r="G2422" t="s">
        <v>278</v>
      </c>
      <c r="H2422" t="s">
        <v>665</v>
      </c>
      <c r="I2422">
        <v>266</v>
      </c>
    </row>
    <row r="2423" spans="1:9" x14ac:dyDescent="0.2">
      <c r="A2423" t="s">
        <v>437</v>
      </c>
      <c r="B2423" t="s">
        <v>327</v>
      </c>
      <c r="C2423" t="s">
        <v>264</v>
      </c>
      <c r="D2423" t="s">
        <v>265</v>
      </c>
      <c r="E2423">
        <v>7433</v>
      </c>
      <c r="F2423" t="s">
        <v>3836</v>
      </c>
      <c r="G2423" t="s">
        <v>266</v>
      </c>
      <c r="H2423" t="s">
        <v>272</v>
      </c>
      <c r="I2423">
        <v>324</v>
      </c>
    </row>
    <row r="2424" spans="1:9" x14ac:dyDescent="0.2">
      <c r="A2424" t="s">
        <v>437</v>
      </c>
      <c r="B2424" t="s">
        <v>327</v>
      </c>
      <c r="C2424" t="s">
        <v>264</v>
      </c>
      <c r="D2424" t="s">
        <v>269</v>
      </c>
      <c r="E2424">
        <v>7462</v>
      </c>
      <c r="F2424" t="s">
        <v>3837</v>
      </c>
      <c r="G2424" t="s">
        <v>270</v>
      </c>
      <c r="H2424" t="s">
        <v>276</v>
      </c>
      <c r="I2424">
        <v>12</v>
      </c>
    </row>
    <row r="2425" spans="1:9" x14ac:dyDescent="0.2">
      <c r="A2425" t="s">
        <v>437</v>
      </c>
      <c r="B2425" t="s">
        <v>327</v>
      </c>
      <c r="C2425" t="s">
        <v>264</v>
      </c>
      <c r="D2425" t="s">
        <v>265</v>
      </c>
      <c r="E2425">
        <v>7519</v>
      </c>
      <c r="F2425" t="s">
        <v>3838</v>
      </c>
      <c r="G2425" t="s">
        <v>270</v>
      </c>
      <c r="H2425" t="s">
        <v>272</v>
      </c>
      <c r="I2425">
        <v>48</v>
      </c>
    </row>
    <row r="2426" spans="1:9" x14ac:dyDescent="0.2">
      <c r="A2426" t="s">
        <v>437</v>
      </c>
      <c r="B2426" t="s">
        <v>327</v>
      </c>
      <c r="C2426" t="s">
        <v>264</v>
      </c>
      <c r="D2426" t="s">
        <v>265</v>
      </c>
      <c r="E2426">
        <v>7522</v>
      </c>
      <c r="F2426" t="s">
        <v>3839</v>
      </c>
      <c r="G2426" t="s">
        <v>266</v>
      </c>
      <c r="H2426" t="s">
        <v>276</v>
      </c>
      <c r="I2426">
        <v>547</v>
      </c>
    </row>
    <row r="2427" spans="1:9" x14ac:dyDescent="0.2">
      <c r="A2427" t="s">
        <v>437</v>
      </c>
      <c r="B2427" t="s">
        <v>327</v>
      </c>
      <c r="C2427" t="s">
        <v>264</v>
      </c>
      <c r="D2427" t="s">
        <v>265</v>
      </c>
      <c r="E2427">
        <v>7635</v>
      </c>
      <c r="F2427" t="s">
        <v>3840</v>
      </c>
      <c r="G2427" t="s">
        <v>270</v>
      </c>
      <c r="H2427" t="s">
        <v>272</v>
      </c>
      <c r="I2427">
        <v>57</v>
      </c>
    </row>
    <row r="2428" spans="1:9" x14ac:dyDescent="0.2">
      <c r="A2428" t="s">
        <v>437</v>
      </c>
      <c r="B2428" t="s">
        <v>327</v>
      </c>
      <c r="C2428" t="s">
        <v>268</v>
      </c>
      <c r="D2428" t="s">
        <v>269</v>
      </c>
      <c r="E2428">
        <v>7676</v>
      </c>
      <c r="F2428" t="s">
        <v>608</v>
      </c>
      <c r="G2428" t="s">
        <v>278</v>
      </c>
      <c r="H2428" t="s">
        <v>276</v>
      </c>
      <c r="I2428">
        <v>40</v>
      </c>
    </row>
    <row r="2429" spans="1:9" x14ac:dyDescent="0.2">
      <c r="A2429" t="s">
        <v>437</v>
      </c>
      <c r="B2429" t="s">
        <v>327</v>
      </c>
      <c r="C2429" t="s">
        <v>273</v>
      </c>
      <c r="D2429" t="s">
        <v>269</v>
      </c>
      <c r="E2429">
        <v>7685</v>
      </c>
      <c r="F2429" t="s">
        <v>1578</v>
      </c>
      <c r="G2429" t="s">
        <v>278</v>
      </c>
      <c r="H2429" t="s">
        <v>272</v>
      </c>
      <c r="I2429">
        <v>219</v>
      </c>
    </row>
    <row r="2430" spans="1:9" x14ac:dyDescent="0.2">
      <c r="A2430" t="s">
        <v>437</v>
      </c>
      <c r="B2430" t="s">
        <v>327</v>
      </c>
      <c r="C2430" t="s">
        <v>264</v>
      </c>
      <c r="D2430" t="s">
        <v>265</v>
      </c>
      <c r="E2430">
        <v>7715</v>
      </c>
      <c r="F2430" t="s">
        <v>3841</v>
      </c>
      <c r="G2430" t="s">
        <v>266</v>
      </c>
      <c r="H2430" t="s">
        <v>342</v>
      </c>
      <c r="I2430">
        <v>200</v>
      </c>
    </row>
    <row r="2431" spans="1:9" x14ac:dyDescent="0.2">
      <c r="A2431" t="s">
        <v>437</v>
      </c>
      <c r="B2431" t="s">
        <v>327</v>
      </c>
      <c r="C2431" t="s">
        <v>273</v>
      </c>
      <c r="D2431" t="s">
        <v>265</v>
      </c>
      <c r="E2431">
        <v>7718</v>
      </c>
      <c r="F2431" t="s">
        <v>1818</v>
      </c>
      <c r="G2431" t="s">
        <v>266</v>
      </c>
      <c r="H2431" t="s">
        <v>287</v>
      </c>
      <c r="I2431">
        <v>690</v>
      </c>
    </row>
    <row r="2432" spans="1:9" x14ac:dyDescent="0.2">
      <c r="A2432" t="s">
        <v>437</v>
      </c>
      <c r="B2432" t="s">
        <v>327</v>
      </c>
      <c r="C2432" t="s">
        <v>264</v>
      </c>
      <c r="D2432" t="s">
        <v>265</v>
      </c>
      <c r="E2432">
        <v>7726</v>
      </c>
      <c r="F2432" t="s">
        <v>1499</v>
      </c>
      <c r="G2432" t="s">
        <v>274</v>
      </c>
      <c r="H2432" t="s">
        <v>287</v>
      </c>
      <c r="I2432">
        <v>64</v>
      </c>
    </row>
    <row r="2433" spans="1:10" x14ac:dyDescent="0.2">
      <c r="A2433" t="s">
        <v>437</v>
      </c>
      <c r="B2433" t="s">
        <v>327</v>
      </c>
      <c r="C2433" t="s">
        <v>264</v>
      </c>
      <c r="D2433" t="s">
        <v>265</v>
      </c>
      <c r="E2433">
        <v>7749</v>
      </c>
      <c r="F2433" t="s">
        <v>611</v>
      </c>
      <c r="G2433" t="s">
        <v>270</v>
      </c>
      <c r="H2433" t="s">
        <v>342</v>
      </c>
      <c r="I2433">
        <v>731</v>
      </c>
    </row>
    <row r="2434" spans="1:10" x14ac:dyDescent="0.2">
      <c r="A2434" t="s">
        <v>437</v>
      </c>
      <c r="B2434" t="s">
        <v>327</v>
      </c>
      <c r="C2434" t="s">
        <v>268</v>
      </c>
      <c r="D2434" t="s">
        <v>265</v>
      </c>
      <c r="E2434">
        <v>7760</v>
      </c>
      <c r="F2434" t="s">
        <v>3842</v>
      </c>
      <c r="G2434" t="s">
        <v>270</v>
      </c>
      <c r="H2434" t="s">
        <v>342</v>
      </c>
      <c r="I2434">
        <v>73</v>
      </c>
    </row>
    <row r="2435" spans="1:10" x14ac:dyDescent="0.2">
      <c r="A2435" t="s">
        <v>437</v>
      </c>
      <c r="B2435" t="s">
        <v>327</v>
      </c>
      <c r="C2435" t="s">
        <v>275</v>
      </c>
      <c r="D2435" t="s">
        <v>269</v>
      </c>
      <c r="E2435">
        <v>7809</v>
      </c>
      <c r="F2435" t="s">
        <v>3843</v>
      </c>
      <c r="G2435" t="s">
        <v>270</v>
      </c>
      <c r="H2435" t="s">
        <v>288</v>
      </c>
      <c r="I2435">
        <v>55</v>
      </c>
    </row>
    <row r="2436" spans="1:10" x14ac:dyDescent="0.2">
      <c r="A2436" t="s">
        <v>437</v>
      </c>
      <c r="B2436" t="s">
        <v>327</v>
      </c>
      <c r="C2436" t="s">
        <v>273</v>
      </c>
      <c r="D2436" t="s">
        <v>265</v>
      </c>
      <c r="E2436">
        <v>7816</v>
      </c>
      <c r="F2436" t="s">
        <v>4525</v>
      </c>
      <c r="G2436" t="s">
        <v>266</v>
      </c>
      <c r="H2436" t="s">
        <v>288</v>
      </c>
      <c r="I2436">
        <v>188</v>
      </c>
    </row>
    <row r="2437" spans="1:10" x14ac:dyDescent="0.2">
      <c r="A2437" t="s">
        <v>437</v>
      </c>
      <c r="B2437" t="s">
        <v>327</v>
      </c>
      <c r="C2437" t="s">
        <v>273</v>
      </c>
      <c r="D2437" t="s">
        <v>265</v>
      </c>
      <c r="E2437">
        <v>7841</v>
      </c>
      <c r="F2437" t="s">
        <v>3844</v>
      </c>
      <c r="G2437" t="s">
        <v>270</v>
      </c>
      <c r="H2437" t="s">
        <v>288</v>
      </c>
      <c r="I2437">
        <v>54</v>
      </c>
    </row>
    <row r="2438" spans="1:10" x14ac:dyDescent="0.2">
      <c r="A2438" t="s">
        <v>437</v>
      </c>
      <c r="B2438" t="s">
        <v>327</v>
      </c>
      <c r="C2438" t="s">
        <v>264</v>
      </c>
      <c r="D2438" t="s">
        <v>265</v>
      </c>
      <c r="E2438">
        <v>7922</v>
      </c>
      <c r="F2438" t="s">
        <v>3845</v>
      </c>
      <c r="G2438" t="s">
        <v>270</v>
      </c>
      <c r="H2438" t="s">
        <v>288</v>
      </c>
      <c r="I2438">
        <v>27</v>
      </c>
    </row>
    <row r="2439" spans="1:10" x14ac:dyDescent="0.2">
      <c r="A2439" t="s">
        <v>437</v>
      </c>
      <c r="B2439" t="s">
        <v>327</v>
      </c>
      <c r="C2439" t="s">
        <v>264</v>
      </c>
      <c r="D2439" t="s">
        <v>265</v>
      </c>
      <c r="E2439">
        <v>8050</v>
      </c>
      <c r="F2439" t="s">
        <v>3846</v>
      </c>
      <c r="G2439" t="s">
        <v>266</v>
      </c>
      <c r="H2439" t="s">
        <v>342</v>
      </c>
      <c r="I2439" t="s">
        <v>297</v>
      </c>
      <c r="J2439" t="s">
        <v>4628</v>
      </c>
    </row>
    <row r="2440" spans="1:10" x14ac:dyDescent="0.2">
      <c r="A2440" t="s">
        <v>437</v>
      </c>
      <c r="B2440" t="s">
        <v>327</v>
      </c>
      <c r="C2440" t="s">
        <v>273</v>
      </c>
      <c r="D2440" t="s">
        <v>265</v>
      </c>
      <c r="E2440">
        <v>8090</v>
      </c>
      <c r="F2440" t="s">
        <v>3847</v>
      </c>
      <c r="G2440" t="s">
        <v>266</v>
      </c>
      <c r="H2440" t="s">
        <v>272</v>
      </c>
      <c r="I2440">
        <v>83</v>
      </c>
    </row>
    <row r="2441" spans="1:10" x14ac:dyDescent="0.2">
      <c r="A2441" t="s">
        <v>437</v>
      </c>
      <c r="B2441" t="s">
        <v>327</v>
      </c>
      <c r="C2441" t="s">
        <v>273</v>
      </c>
      <c r="D2441" t="s">
        <v>265</v>
      </c>
      <c r="E2441">
        <v>8113</v>
      </c>
      <c r="F2441" t="s">
        <v>1500</v>
      </c>
      <c r="G2441" t="s">
        <v>266</v>
      </c>
      <c r="H2441" t="s">
        <v>279</v>
      </c>
      <c r="I2441" t="s">
        <v>1783</v>
      </c>
      <c r="J2441" t="s">
        <v>4488</v>
      </c>
    </row>
    <row r="2442" spans="1:10" x14ac:dyDescent="0.2">
      <c r="A2442" t="s">
        <v>437</v>
      </c>
      <c r="B2442" t="s">
        <v>327</v>
      </c>
      <c r="C2442" t="s">
        <v>264</v>
      </c>
      <c r="D2442" t="s">
        <v>265</v>
      </c>
      <c r="E2442">
        <v>8135</v>
      </c>
      <c r="F2442" t="s">
        <v>3848</v>
      </c>
      <c r="G2442" t="s">
        <v>274</v>
      </c>
      <c r="H2442" t="s">
        <v>272</v>
      </c>
      <c r="I2442">
        <v>53</v>
      </c>
    </row>
    <row r="2443" spans="1:10" x14ac:dyDescent="0.2">
      <c r="A2443" t="s">
        <v>437</v>
      </c>
      <c r="B2443" t="s">
        <v>327</v>
      </c>
      <c r="C2443" t="s">
        <v>264</v>
      </c>
      <c r="D2443" t="s">
        <v>265</v>
      </c>
      <c r="E2443">
        <v>8593</v>
      </c>
      <c r="F2443" t="s">
        <v>3849</v>
      </c>
      <c r="G2443" t="s">
        <v>266</v>
      </c>
      <c r="H2443" t="s">
        <v>302</v>
      </c>
      <c r="I2443" t="s">
        <v>325</v>
      </c>
      <c r="J2443" t="s">
        <v>4353</v>
      </c>
    </row>
    <row r="2444" spans="1:10" x14ac:dyDescent="0.2">
      <c r="A2444" t="s">
        <v>437</v>
      </c>
      <c r="B2444" t="s">
        <v>327</v>
      </c>
      <c r="C2444" t="s">
        <v>264</v>
      </c>
      <c r="D2444" t="s">
        <v>265</v>
      </c>
      <c r="E2444">
        <v>8704</v>
      </c>
      <c r="F2444" t="s">
        <v>3850</v>
      </c>
      <c r="G2444" t="s">
        <v>270</v>
      </c>
      <c r="H2444" t="s">
        <v>1448</v>
      </c>
      <c r="I2444">
        <v>156</v>
      </c>
    </row>
    <row r="2445" spans="1:10" x14ac:dyDescent="0.2">
      <c r="A2445" t="s">
        <v>437</v>
      </c>
      <c r="B2445" t="s">
        <v>327</v>
      </c>
      <c r="C2445" t="s">
        <v>264</v>
      </c>
      <c r="D2445" t="s">
        <v>265</v>
      </c>
      <c r="E2445">
        <v>8729</v>
      </c>
      <c r="F2445" t="s">
        <v>1819</v>
      </c>
      <c r="G2445" t="s">
        <v>266</v>
      </c>
      <c r="H2445" t="s">
        <v>665</v>
      </c>
      <c r="I2445" t="s">
        <v>490</v>
      </c>
      <c r="J2445" t="s">
        <v>5071</v>
      </c>
    </row>
    <row r="2446" spans="1:10" x14ac:dyDescent="0.2">
      <c r="A2446" t="s">
        <v>437</v>
      </c>
      <c r="B2446" t="s">
        <v>327</v>
      </c>
      <c r="C2446" t="s">
        <v>268</v>
      </c>
      <c r="D2446" t="s">
        <v>265</v>
      </c>
      <c r="E2446">
        <v>8798</v>
      </c>
      <c r="F2446" t="s">
        <v>3851</v>
      </c>
      <c r="G2446" t="s">
        <v>266</v>
      </c>
      <c r="H2446" t="s">
        <v>665</v>
      </c>
      <c r="I2446">
        <v>210</v>
      </c>
    </row>
    <row r="2447" spans="1:10" x14ac:dyDescent="0.2">
      <c r="A2447" t="s">
        <v>437</v>
      </c>
      <c r="B2447" t="s">
        <v>327</v>
      </c>
      <c r="C2447" t="s">
        <v>264</v>
      </c>
      <c r="D2447" t="s">
        <v>265</v>
      </c>
      <c r="E2447">
        <v>8830</v>
      </c>
      <c r="F2447" t="s">
        <v>1651</v>
      </c>
      <c r="G2447" t="s">
        <v>266</v>
      </c>
      <c r="H2447" t="s">
        <v>292</v>
      </c>
      <c r="I2447" t="s">
        <v>1652</v>
      </c>
      <c r="J2447" t="s">
        <v>4997</v>
      </c>
    </row>
    <row r="2448" spans="1:10" x14ac:dyDescent="0.2">
      <c r="A2448" t="s">
        <v>437</v>
      </c>
      <c r="B2448" t="s">
        <v>327</v>
      </c>
      <c r="C2448" t="s">
        <v>273</v>
      </c>
      <c r="D2448" t="s">
        <v>265</v>
      </c>
      <c r="E2448">
        <v>8854</v>
      </c>
      <c r="F2448" t="s">
        <v>3852</v>
      </c>
      <c r="G2448" t="s">
        <v>274</v>
      </c>
      <c r="H2448" t="s">
        <v>292</v>
      </c>
      <c r="I2448">
        <v>35</v>
      </c>
    </row>
    <row r="2449" spans="1:10" x14ac:dyDescent="0.2">
      <c r="A2449" t="s">
        <v>437</v>
      </c>
      <c r="B2449" t="s">
        <v>327</v>
      </c>
      <c r="C2449" t="s">
        <v>273</v>
      </c>
      <c r="D2449" t="s">
        <v>265</v>
      </c>
      <c r="E2449">
        <v>8885</v>
      </c>
      <c r="F2449" t="s">
        <v>4526</v>
      </c>
      <c r="G2449" t="s">
        <v>270</v>
      </c>
      <c r="H2449" t="s">
        <v>292</v>
      </c>
      <c r="I2449">
        <v>65</v>
      </c>
    </row>
    <row r="2450" spans="1:10" x14ac:dyDescent="0.2">
      <c r="A2450" t="s">
        <v>437</v>
      </c>
      <c r="B2450" t="s">
        <v>327</v>
      </c>
      <c r="C2450" t="s">
        <v>264</v>
      </c>
      <c r="D2450" t="s">
        <v>265</v>
      </c>
      <c r="E2450">
        <v>9006</v>
      </c>
      <c r="F2450" t="s">
        <v>3853</v>
      </c>
      <c r="G2450" t="s">
        <v>266</v>
      </c>
      <c r="H2450" t="s">
        <v>356</v>
      </c>
      <c r="I2450" t="s">
        <v>283</v>
      </c>
      <c r="J2450" t="s">
        <v>4618</v>
      </c>
    </row>
    <row r="2451" spans="1:10" x14ac:dyDescent="0.2">
      <c r="A2451" t="s">
        <v>437</v>
      </c>
      <c r="B2451" t="s">
        <v>327</v>
      </c>
      <c r="C2451" t="s">
        <v>264</v>
      </c>
      <c r="D2451" t="s">
        <v>265</v>
      </c>
      <c r="E2451">
        <v>9076</v>
      </c>
      <c r="F2451" t="s">
        <v>3854</v>
      </c>
      <c r="G2451" t="s">
        <v>266</v>
      </c>
      <c r="H2451" t="s">
        <v>356</v>
      </c>
      <c r="I2451" t="s">
        <v>333</v>
      </c>
      <c r="J2451" t="s">
        <v>4656</v>
      </c>
    </row>
    <row r="2452" spans="1:10" x14ac:dyDescent="0.2">
      <c r="A2452" t="s">
        <v>437</v>
      </c>
      <c r="B2452" t="s">
        <v>327</v>
      </c>
      <c r="C2452" t="s">
        <v>264</v>
      </c>
      <c r="D2452" t="s">
        <v>265</v>
      </c>
      <c r="E2452">
        <v>9087</v>
      </c>
      <c r="F2452" t="s">
        <v>3855</v>
      </c>
      <c r="G2452" t="s">
        <v>270</v>
      </c>
      <c r="H2452" t="s">
        <v>356</v>
      </c>
      <c r="I2452">
        <v>20</v>
      </c>
    </row>
    <row r="2453" spans="1:10" x14ac:dyDescent="0.2">
      <c r="A2453" t="s">
        <v>437</v>
      </c>
      <c r="B2453" t="s">
        <v>327</v>
      </c>
      <c r="C2453" t="s">
        <v>264</v>
      </c>
      <c r="D2453" t="s">
        <v>269</v>
      </c>
      <c r="E2453">
        <v>9266</v>
      </c>
      <c r="F2453" t="s">
        <v>3856</v>
      </c>
      <c r="G2453" t="s">
        <v>278</v>
      </c>
      <c r="H2453" t="s">
        <v>276</v>
      </c>
      <c r="I2453">
        <v>62</v>
      </c>
    </row>
    <row r="2454" spans="1:10" x14ac:dyDescent="0.2">
      <c r="A2454" t="s">
        <v>437</v>
      </c>
      <c r="B2454" t="s">
        <v>327</v>
      </c>
      <c r="C2454" t="s">
        <v>264</v>
      </c>
      <c r="D2454" t="s">
        <v>265</v>
      </c>
      <c r="E2454">
        <v>9278</v>
      </c>
      <c r="F2454" t="s">
        <v>3857</v>
      </c>
      <c r="G2454" t="s">
        <v>266</v>
      </c>
      <c r="H2454" t="s">
        <v>276</v>
      </c>
      <c r="I2454">
        <v>214</v>
      </c>
    </row>
    <row r="2455" spans="1:10" x14ac:dyDescent="0.2">
      <c r="A2455" t="s">
        <v>437</v>
      </c>
      <c r="B2455" t="s">
        <v>327</v>
      </c>
      <c r="C2455" t="s">
        <v>275</v>
      </c>
      <c r="D2455" t="s">
        <v>269</v>
      </c>
      <c r="E2455">
        <v>9282</v>
      </c>
      <c r="F2455" t="s">
        <v>3858</v>
      </c>
      <c r="G2455" t="s">
        <v>303</v>
      </c>
      <c r="H2455" t="s">
        <v>304</v>
      </c>
      <c r="I2455">
        <v>66</v>
      </c>
    </row>
    <row r="2456" spans="1:10" x14ac:dyDescent="0.2">
      <c r="A2456" t="s">
        <v>437</v>
      </c>
      <c r="B2456" t="s">
        <v>327</v>
      </c>
      <c r="C2456" t="s">
        <v>273</v>
      </c>
      <c r="D2456" t="s">
        <v>269</v>
      </c>
      <c r="E2456">
        <v>9284</v>
      </c>
      <c r="F2456" t="s">
        <v>663</v>
      </c>
      <c r="G2456" t="s">
        <v>303</v>
      </c>
      <c r="H2456" t="s">
        <v>304</v>
      </c>
      <c r="I2456">
        <v>276</v>
      </c>
    </row>
    <row r="2457" spans="1:10" x14ac:dyDescent="0.2">
      <c r="A2457" t="s">
        <v>437</v>
      </c>
      <c r="B2457" t="s">
        <v>327</v>
      </c>
      <c r="C2457" t="s">
        <v>264</v>
      </c>
      <c r="D2457" t="s">
        <v>265</v>
      </c>
      <c r="E2457">
        <v>9308</v>
      </c>
      <c r="F2457" t="s">
        <v>3859</v>
      </c>
      <c r="G2457" t="s">
        <v>266</v>
      </c>
      <c r="H2457" t="s">
        <v>2193</v>
      </c>
      <c r="I2457">
        <v>301</v>
      </c>
    </row>
    <row r="2458" spans="1:10" x14ac:dyDescent="0.2">
      <c r="A2458" t="s">
        <v>437</v>
      </c>
      <c r="B2458" t="s">
        <v>327</v>
      </c>
      <c r="C2458" t="s">
        <v>273</v>
      </c>
      <c r="D2458" t="s">
        <v>265</v>
      </c>
      <c r="E2458">
        <v>9386</v>
      </c>
      <c r="F2458" t="s">
        <v>1820</v>
      </c>
      <c r="G2458" t="s">
        <v>266</v>
      </c>
      <c r="H2458" t="s">
        <v>556</v>
      </c>
      <c r="I2458">
        <v>214</v>
      </c>
    </row>
    <row r="2459" spans="1:10" x14ac:dyDescent="0.2">
      <c r="A2459" t="s">
        <v>437</v>
      </c>
      <c r="B2459" t="s">
        <v>327</v>
      </c>
      <c r="C2459" t="s">
        <v>264</v>
      </c>
      <c r="D2459" t="s">
        <v>265</v>
      </c>
      <c r="E2459">
        <v>9408</v>
      </c>
      <c r="F2459" t="s">
        <v>3860</v>
      </c>
      <c r="G2459" t="s">
        <v>270</v>
      </c>
      <c r="H2459" t="s">
        <v>277</v>
      </c>
      <c r="I2459">
        <v>73</v>
      </c>
    </row>
    <row r="2460" spans="1:10" x14ac:dyDescent="0.2">
      <c r="A2460" t="s">
        <v>437</v>
      </c>
      <c r="B2460" t="s">
        <v>327</v>
      </c>
      <c r="C2460" t="s">
        <v>264</v>
      </c>
      <c r="D2460" t="s">
        <v>269</v>
      </c>
      <c r="E2460">
        <v>9467</v>
      </c>
      <c r="F2460" t="s">
        <v>3861</v>
      </c>
      <c r="G2460" t="s">
        <v>278</v>
      </c>
      <c r="H2460" t="s">
        <v>277</v>
      </c>
      <c r="I2460">
        <v>254</v>
      </c>
    </row>
    <row r="2461" spans="1:10" x14ac:dyDescent="0.2">
      <c r="A2461" t="s">
        <v>437</v>
      </c>
      <c r="B2461" t="s">
        <v>327</v>
      </c>
      <c r="C2461" t="s">
        <v>264</v>
      </c>
      <c r="D2461" t="s">
        <v>265</v>
      </c>
      <c r="E2461">
        <v>9610</v>
      </c>
      <c r="F2461" t="s">
        <v>3862</v>
      </c>
      <c r="G2461" t="s">
        <v>270</v>
      </c>
      <c r="H2461" t="s">
        <v>271</v>
      </c>
      <c r="I2461">
        <v>12</v>
      </c>
    </row>
    <row r="2462" spans="1:10" x14ac:dyDescent="0.2">
      <c r="A2462" t="s">
        <v>437</v>
      </c>
      <c r="B2462" t="s">
        <v>327</v>
      </c>
      <c r="C2462" t="s">
        <v>264</v>
      </c>
      <c r="D2462" t="s">
        <v>269</v>
      </c>
      <c r="E2462">
        <v>9644</v>
      </c>
      <c r="F2462" t="s">
        <v>3863</v>
      </c>
      <c r="G2462" t="s">
        <v>266</v>
      </c>
      <c r="H2462" t="s">
        <v>271</v>
      </c>
      <c r="I2462">
        <v>114</v>
      </c>
    </row>
    <row r="2463" spans="1:10" x14ac:dyDescent="0.2">
      <c r="A2463" t="s">
        <v>437</v>
      </c>
      <c r="B2463" t="s">
        <v>327</v>
      </c>
      <c r="C2463" t="s">
        <v>273</v>
      </c>
      <c r="D2463" t="s">
        <v>265</v>
      </c>
      <c r="E2463">
        <v>9656</v>
      </c>
      <c r="F2463" t="s">
        <v>3864</v>
      </c>
      <c r="G2463" t="s">
        <v>274</v>
      </c>
      <c r="H2463" t="s">
        <v>271</v>
      </c>
      <c r="I2463">
        <v>55</v>
      </c>
    </row>
    <row r="2464" spans="1:10" x14ac:dyDescent="0.2">
      <c r="A2464" t="s">
        <v>437</v>
      </c>
      <c r="B2464" t="s">
        <v>327</v>
      </c>
      <c r="C2464" t="s">
        <v>264</v>
      </c>
      <c r="D2464" t="s">
        <v>265</v>
      </c>
      <c r="E2464">
        <v>9707</v>
      </c>
      <c r="F2464" t="s">
        <v>451</v>
      </c>
      <c r="G2464" t="s">
        <v>270</v>
      </c>
      <c r="H2464" t="s">
        <v>271</v>
      </c>
      <c r="I2464">
        <v>140</v>
      </c>
    </row>
    <row r="2465" spans="1:10" x14ac:dyDescent="0.2">
      <c r="A2465" t="s">
        <v>437</v>
      </c>
      <c r="B2465" t="s">
        <v>327</v>
      </c>
      <c r="C2465" t="s">
        <v>264</v>
      </c>
      <c r="D2465" t="s">
        <v>265</v>
      </c>
      <c r="E2465">
        <v>9713</v>
      </c>
      <c r="F2465" t="s">
        <v>3865</v>
      </c>
      <c r="G2465" t="s">
        <v>274</v>
      </c>
      <c r="H2465" t="s">
        <v>271</v>
      </c>
      <c r="I2465">
        <v>168</v>
      </c>
    </row>
    <row r="2466" spans="1:10" x14ac:dyDescent="0.2">
      <c r="A2466" t="s">
        <v>437</v>
      </c>
      <c r="B2466" t="s">
        <v>327</v>
      </c>
      <c r="C2466" t="s">
        <v>273</v>
      </c>
      <c r="D2466" t="s">
        <v>265</v>
      </c>
      <c r="E2466">
        <v>9731</v>
      </c>
      <c r="F2466" t="s">
        <v>3866</v>
      </c>
      <c r="G2466" t="s">
        <v>266</v>
      </c>
      <c r="H2466" t="s">
        <v>271</v>
      </c>
      <c r="I2466">
        <v>111</v>
      </c>
    </row>
    <row r="2467" spans="1:10" x14ac:dyDescent="0.2">
      <c r="A2467" t="s">
        <v>437</v>
      </c>
      <c r="B2467" t="s">
        <v>327</v>
      </c>
      <c r="C2467" t="s">
        <v>273</v>
      </c>
      <c r="D2467" t="s">
        <v>265</v>
      </c>
      <c r="E2467">
        <v>9749</v>
      </c>
      <c r="F2467" t="s">
        <v>3867</v>
      </c>
      <c r="G2467" t="s">
        <v>266</v>
      </c>
      <c r="H2467" t="s">
        <v>277</v>
      </c>
      <c r="I2467" t="s">
        <v>297</v>
      </c>
      <c r="J2467" t="s">
        <v>4310</v>
      </c>
    </row>
    <row r="2468" spans="1:10" x14ac:dyDescent="0.2">
      <c r="A2468" t="s">
        <v>437</v>
      </c>
      <c r="B2468" t="s">
        <v>327</v>
      </c>
      <c r="C2468" t="s">
        <v>264</v>
      </c>
      <c r="D2468" t="s">
        <v>265</v>
      </c>
      <c r="E2468">
        <v>9850</v>
      </c>
      <c r="F2468" t="s">
        <v>3868</v>
      </c>
      <c r="G2468" t="s">
        <v>266</v>
      </c>
      <c r="H2468" t="s">
        <v>276</v>
      </c>
      <c r="I2468">
        <v>278</v>
      </c>
    </row>
    <row r="2469" spans="1:10" x14ac:dyDescent="0.2">
      <c r="A2469" t="s">
        <v>437</v>
      </c>
      <c r="B2469" t="s">
        <v>327</v>
      </c>
      <c r="C2469" t="s">
        <v>264</v>
      </c>
      <c r="D2469" t="s">
        <v>269</v>
      </c>
      <c r="E2469">
        <v>9885</v>
      </c>
      <c r="F2469" t="s">
        <v>3869</v>
      </c>
      <c r="G2469" t="s">
        <v>274</v>
      </c>
      <c r="H2469" t="s">
        <v>272</v>
      </c>
      <c r="I2469">
        <v>76</v>
      </c>
    </row>
    <row r="2470" spans="1:10" x14ac:dyDescent="0.2">
      <c r="A2470" t="s">
        <v>437</v>
      </c>
      <c r="B2470" t="s">
        <v>327</v>
      </c>
      <c r="C2470" t="s">
        <v>264</v>
      </c>
      <c r="D2470" t="s">
        <v>265</v>
      </c>
      <c r="E2470">
        <v>9930</v>
      </c>
      <c r="F2470" t="s">
        <v>3870</v>
      </c>
      <c r="G2470" t="s">
        <v>266</v>
      </c>
      <c r="H2470" t="s">
        <v>272</v>
      </c>
      <c r="I2470">
        <v>67</v>
      </c>
    </row>
    <row r="2471" spans="1:10" x14ac:dyDescent="0.2">
      <c r="A2471" t="s">
        <v>437</v>
      </c>
      <c r="B2471" t="s">
        <v>290</v>
      </c>
      <c r="C2471" t="s">
        <v>273</v>
      </c>
      <c r="D2471" t="s">
        <v>265</v>
      </c>
      <c r="E2471">
        <v>3436</v>
      </c>
      <c r="F2471" t="s">
        <v>1803</v>
      </c>
      <c r="G2471" t="s">
        <v>266</v>
      </c>
      <c r="H2471" t="s">
        <v>281</v>
      </c>
      <c r="I2471" t="s">
        <v>283</v>
      </c>
      <c r="J2471" t="s">
        <v>4616</v>
      </c>
    </row>
    <row r="2472" spans="1:10" x14ac:dyDescent="0.2">
      <c r="A2472" t="s">
        <v>437</v>
      </c>
      <c r="B2472" t="s">
        <v>290</v>
      </c>
      <c r="C2472" t="s">
        <v>273</v>
      </c>
      <c r="D2472" t="s">
        <v>265</v>
      </c>
      <c r="E2472">
        <v>4576</v>
      </c>
      <c r="F2472" t="s">
        <v>1493</v>
      </c>
      <c r="G2472" t="s">
        <v>270</v>
      </c>
      <c r="H2472" t="s">
        <v>311</v>
      </c>
      <c r="I2472">
        <v>157</v>
      </c>
    </row>
    <row r="2473" spans="1:10" x14ac:dyDescent="0.2">
      <c r="A2473" t="s">
        <v>437</v>
      </c>
      <c r="B2473" t="s">
        <v>290</v>
      </c>
      <c r="C2473" t="s">
        <v>273</v>
      </c>
      <c r="D2473" t="s">
        <v>265</v>
      </c>
      <c r="E2473">
        <v>4612</v>
      </c>
      <c r="F2473" t="s">
        <v>1804</v>
      </c>
      <c r="G2473" t="s">
        <v>266</v>
      </c>
      <c r="H2473" t="s">
        <v>279</v>
      </c>
      <c r="I2473" t="s">
        <v>1805</v>
      </c>
      <c r="J2473" t="s">
        <v>4950</v>
      </c>
    </row>
    <row r="2474" spans="1:10" x14ac:dyDescent="0.2">
      <c r="A2474" t="s">
        <v>437</v>
      </c>
      <c r="B2474" t="s">
        <v>1689</v>
      </c>
      <c r="C2474" t="s">
        <v>264</v>
      </c>
      <c r="D2474" t="s">
        <v>265</v>
      </c>
      <c r="E2474">
        <v>1815</v>
      </c>
      <c r="F2474" t="s">
        <v>3871</v>
      </c>
      <c r="G2474" t="s">
        <v>266</v>
      </c>
      <c r="H2474" t="s">
        <v>293</v>
      </c>
      <c r="I2474">
        <v>456</v>
      </c>
    </row>
    <row r="2475" spans="1:10" x14ac:dyDescent="0.2">
      <c r="A2475" t="s">
        <v>437</v>
      </c>
      <c r="B2475" t="s">
        <v>1689</v>
      </c>
      <c r="C2475" t="s">
        <v>264</v>
      </c>
      <c r="D2475" t="s">
        <v>265</v>
      </c>
      <c r="E2475">
        <v>1860</v>
      </c>
      <c r="F2475" t="s">
        <v>520</v>
      </c>
      <c r="G2475" t="s">
        <v>266</v>
      </c>
      <c r="H2475" t="s">
        <v>293</v>
      </c>
      <c r="I2475" t="s">
        <v>289</v>
      </c>
      <c r="J2475" t="s">
        <v>5039</v>
      </c>
    </row>
    <row r="2476" spans="1:10" x14ac:dyDescent="0.2">
      <c r="A2476" t="s">
        <v>437</v>
      </c>
      <c r="B2476" t="s">
        <v>1689</v>
      </c>
      <c r="C2476" t="s">
        <v>264</v>
      </c>
      <c r="D2476" t="s">
        <v>265</v>
      </c>
      <c r="E2476">
        <v>1882</v>
      </c>
      <c r="F2476" t="s">
        <v>3872</v>
      </c>
      <c r="G2476" t="s">
        <v>266</v>
      </c>
      <c r="H2476" t="s">
        <v>293</v>
      </c>
      <c r="I2476">
        <v>192</v>
      </c>
    </row>
    <row r="2477" spans="1:10" x14ac:dyDescent="0.2">
      <c r="A2477" t="s">
        <v>437</v>
      </c>
      <c r="B2477" t="s">
        <v>1689</v>
      </c>
      <c r="C2477" t="s">
        <v>273</v>
      </c>
      <c r="D2477" t="s">
        <v>265</v>
      </c>
      <c r="E2477">
        <v>2501</v>
      </c>
      <c r="F2477" t="s">
        <v>3873</v>
      </c>
      <c r="G2477" t="s">
        <v>266</v>
      </c>
      <c r="H2477" t="s">
        <v>267</v>
      </c>
      <c r="I2477" t="s">
        <v>289</v>
      </c>
      <c r="J2477" t="s">
        <v>5072</v>
      </c>
    </row>
    <row r="2478" spans="1:10" x14ac:dyDescent="0.2">
      <c r="A2478" t="s">
        <v>437</v>
      </c>
      <c r="B2478" t="s">
        <v>1689</v>
      </c>
      <c r="C2478" t="s">
        <v>264</v>
      </c>
      <c r="D2478" t="s">
        <v>265</v>
      </c>
      <c r="E2478">
        <v>2654</v>
      </c>
      <c r="F2478" t="s">
        <v>441</v>
      </c>
      <c r="G2478" t="s">
        <v>274</v>
      </c>
      <c r="H2478" t="s">
        <v>276</v>
      </c>
      <c r="I2478">
        <v>109</v>
      </c>
    </row>
    <row r="2479" spans="1:10" x14ac:dyDescent="0.2">
      <c r="A2479" t="s">
        <v>437</v>
      </c>
      <c r="B2479" t="s">
        <v>1689</v>
      </c>
      <c r="C2479" t="s">
        <v>275</v>
      </c>
      <c r="D2479" t="s">
        <v>265</v>
      </c>
      <c r="E2479">
        <v>2904</v>
      </c>
      <c r="F2479" t="s">
        <v>4529</v>
      </c>
      <c r="G2479" t="s">
        <v>266</v>
      </c>
      <c r="H2479" t="s">
        <v>267</v>
      </c>
      <c r="I2479">
        <v>186</v>
      </c>
    </row>
    <row r="2480" spans="1:10" x14ac:dyDescent="0.2">
      <c r="A2480" t="s">
        <v>437</v>
      </c>
      <c r="B2480" t="s">
        <v>1689</v>
      </c>
      <c r="C2480" t="s">
        <v>264</v>
      </c>
      <c r="D2480" t="s">
        <v>265</v>
      </c>
      <c r="E2480">
        <v>3397</v>
      </c>
      <c r="F2480" t="s">
        <v>1577</v>
      </c>
      <c r="G2480" t="s">
        <v>266</v>
      </c>
      <c r="H2480" t="s">
        <v>276</v>
      </c>
      <c r="I2480" t="s">
        <v>297</v>
      </c>
      <c r="J2480" t="s">
        <v>4694</v>
      </c>
    </row>
    <row r="2481" spans="1:10" x14ac:dyDescent="0.2">
      <c r="A2481" t="s">
        <v>437</v>
      </c>
      <c r="B2481" t="s">
        <v>1689</v>
      </c>
      <c r="C2481" t="s">
        <v>264</v>
      </c>
      <c r="D2481" t="s">
        <v>265</v>
      </c>
      <c r="E2481">
        <v>3521</v>
      </c>
      <c r="F2481" t="s">
        <v>3874</v>
      </c>
      <c r="G2481" t="s">
        <v>266</v>
      </c>
      <c r="H2481" t="s">
        <v>271</v>
      </c>
      <c r="I2481">
        <v>62</v>
      </c>
    </row>
    <row r="2482" spans="1:10" x14ac:dyDescent="0.2">
      <c r="A2482" t="s">
        <v>437</v>
      </c>
      <c r="B2482" t="s">
        <v>1689</v>
      </c>
      <c r="C2482" t="s">
        <v>264</v>
      </c>
      <c r="D2482" t="s">
        <v>265</v>
      </c>
      <c r="E2482">
        <v>3600</v>
      </c>
      <c r="F2482" t="s">
        <v>757</v>
      </c>
      <c r="G2482" t="s">
        <v>274</v>
      </c>
      <c r="H2482" t="s">
        <v>299</v>
      </c>
      <c r="I2482">
        <v>28</v>
      </c>
    </row>
    <row r="2483" spans="1:10" x14ac:dyDescent="0.2">
      <c r="A2483" t="s">
        <v>437</v>
      </c>
      <c r="B2483" t="s">
        <v>1689</v>
      </c>
      <c r="C2483" t="s">
        <v>273</v>
      </c>
      <c r="D2483" t="s">
        <v>269</v>
      </c>
      <c r="E2483">
        <v>3667</v>
      </c>
      <c r="F2483" t="s">
        <v>3875</v>
      </c>
      <c r="G2483" t="s">
        <v>266</v>
      </c>
      <c r="H2483" t="s">
        <v>277</v>
      </c>
      <c r="I2483">
        <v>76</v>
      </c>
    </row>
    <row r="2484" spans="1:10" x14ac:dyDescent="0.2">
      <c r="A2484" t="s">
        <v>437</v>
      </c>
      <c r="B2484" t="s">
        <v>1689</v>
      </c>
      <c r="C2484" t="s">
        <v>268</v>
      </c>
      <c r="D2484" t="s">
        <v>265</v>
      </c>
      <c r="E2484">
        <v>3687</v>
      </c>
      <c r="F2484" t="s">
        <v>3876</v>
      </c>
      <c r="G2484" t="s">
        <v>266</v>
      </c>
      <c r="H2484" t="s">
        <v>277</v>
      </c>
      <c r="I2484">
        <v>551</v>
      </c>
    </row>
    <row r="2485" spans="1:10" x14ac:dyDescent="0.2">
      <c r="A2485" t="s">
        <v>437</v>
      </c>
      <c r="B2485" t="s">
        <v>1689</v>
      </c>
      <c r="C2485" t="s">
        <v>268</v>
      </c>
      <c r="D2485" t="s">
        <v>265</v>
      </c>
      <c r="E2485">
        <v>3710</v>
      </c>
      <c r="F2485" t="s">
        <v>3877</v>
      </c>
      <c r="G2485" t="s">
        <v>270</v>
      </c>
      <c r="H2485" t="s">
        <v>277</v>
      </c>
      <c r="I2485">
        <v>68</v>
      </c>
    </row>
    <row r="2486" spans="1:10" x14ac:dyDescent="0.2">
      <c r="A2486" t="s">
        <v>437</v>
      </c>
      <c r="B2486" t="s">
        <v>1689</v>
      </c>
      <c r="C2486" t="s">
        <v>264</v>
      </c>
      <c r="D2486" t="s">
        <v>265</v>
      </c>
      <c r="E2486">
        <v>3751</v>
      </c>
      <c r="F2486" t="s">
        <v>1810</v>
      </c>
      <c r="G2486" t="s">
        <v>266</v>
      </c>
      <c r="H2486" t="s">
        <v>277</v>
      </c>
      <c r="I2486">
        <v>107</v>
      </c>
    </row>
    <row r="2487" spans="1:10" x14ac:dyDescent="0.2">
      <c r="A2487" t="s">
        <v>437</v>
      </c>
      <c r="B2487" t="s">
        <v>1689</v>
      </c>
      <c r="C2487" t="s">
        <v>273</v>
      </c>
      <c r="D2487" t="s">
        <v>265</v>
      </c>
      <c r="E2487">
        <v>4251</v>
      </c>
      <c r="F2487" t="s">
        <v>579</v>
      </c>
      <c r="G2487" t="s">
        <v>274</v>
      </c>
      <c r="H2487" t="s">
        <v>279</v>
      </c>
      <c r="I2487">
        <v>189</v>
      </c>
    </row>
    <row r="2488" spans="1:10" x14ac:dyDescent="0.2">
      <c r="A2488" t="s">
        <v>437</v>
      </c>
      <c r="B2488" t="s">
        <v>1689</v>
      </c>
      <c r="C2488" t="s">
        <v>264</v>
      </c>
      <c r="D2488" t="s">
        <v>265</v>
      </c>
      <c r="E2488">
        <v>4295</v>
      </c>
      <c r="F2488" t="s">
        <v>3878</v>
      </c>
      <c r="G2488" t="s">
        <v>266</v>
      </c>
      <c r="H2488" t="s">
        <v>277</v>
      </c>
      <c r="I2488">
        <v>109</v>
      </c>
    </row>
    <row r="2489" spans="1:10" x14ac:dyDescent="0.2">
      <c r="A2489" t="s">
        <v>437</v>
      </c>
      <c r="B2489" t="s">
        <v>1689</v>
      </c>
      <c r="C2489" t="s">
        <v>264</v>
      </c>
      <c r="D2489" t="s">
        <v>265</v>
      </c>
      <c r="E2489">
        <v>4323</v>
      </c>
      <c r="F2489" t="s">
        <v>1811</v>
      </c>
      <c r="G2489" t="s">
        <v>266</v>
      </c>
      <c r="H2489" t="s">
        <v>277</v>
      </c>
      <c r="I2489">
        <v>82</v>
      </c>
    </row>
    <row r="2490" spans="1:10" x14ac:dyDescent="0.2">
      <c r="A2490" t="s">
        <v>437</v>
      </c>
      <c r="B2490" t="s">
        <v>1689</v>
      </c>
      <c r="C2490" t="s">
        <v>273</v>
      </c>
      <c r="D2490" t="s">
        <v>265</v>
      </c>
      <c r="E2490">
        <v>4477</v>
      </c>
      <c r="F2490" t="s">
        <v>588</v>
      </c>
      <c r="G2490" t="s">
        <v>278</v>
      </c>
      <c r="H2490" t="s">
        <v>277</v>
      </c>
      <c r="I2490">
        <v>340</v>
      </c>
    </row>
    <row r="2491" spans="1:10" x14ac:dyDescent="0.2">
      <c r="A2491" t="s">
        <v>437</v>
      </c>
      <c r="B2491" t="s">
        <v>1689</v>
      </c>
      <c r="C2491" t="s">
        <v>264</v>
      </c>
      <c r="D2491" t="s">
        <v>269</v>
      </c>
      <c r="E2491">
        <v>4640</v>
      </c>
      <c r="F2491" t="s">
        <v>3879</v>
      </c>
      <c r="G2491" t="s">
        <v>270</v>
      </c>
      <c r="H2491" t="s">
        <v>277</v>
      </c>
      <c r="I2491">
        <v>30</v>
      </c>
    </row>
    <row r="2492" spans="1:10" x14ac:dyDescent="0.2">
      <c r="A2492" t="s">
        <v>437</v>
      </c>
      <c r="B2492" t="s">
        <v>1689</v>
      </c>
      <c r="C2492" t="s">
        <v>264</v>
      </c>
      <c r="D2492" t="s">
        <v>265</v>
      </c>
      <c r="E2492">
        <v>4686</v>
      </c>
      <c r="F2492" t="s">
        <v>3880</v>
      </c>
      <c r="G2492" t="s">
        <v>266</v>
      </c>
      <c r="H2492" t="s">
        <v>277</v>
      </c>
      <c r="I2492" t="s">
        <v>316</v>
      </c>
      <c r="J2492" t="s">
        <v>4476</v>
      </c>
    </row>
    <row r="2493" spans="1:10" x14ac:dyDescent="0.2">
      <c r="A2493" t="s">
        <v>437</v>
      </c>
      <c r="B2493" t="s">
        <v>1689</v>
      </c>
      <c r="C2493" t="s">
        <v>275</v>
      </c>
      <c r="D2493" t="s">
        <v>265</v>
      </c>
      <c r="E2493">
        <v>5698</v>
      </c>
      <c r="F2493" t="s">
        <v>3881</v>
      </c>
      <c r="G2493" t="s">
        <v>266</v>
      </c>
      <c r="H2493" t="s">
        <v>726</v>
      </c>
      <c r="I2493">
        <v>126</v>
      </c>
    </row>
    <row r="2494" spans="1:10" x14ac:dyDescent="0.2">
      <c r="A2494" t="s">
        <v>437</v>
      </c>
      <c r="B2494" t="s">
        <v>1689</v>
      </c>
      <c r="C2494" t="s">
        <v>264</v>
      </c>
      <c r="D2494" t="s">
        <v>265</v>
      </c>
      <c r="E2494">
        <v>5856</v>
      </c>
      <c r="F2494" t="s">
        <v>3882</v>
      </c>
      <c r="G2494" t="s">
        <v>274</v>
      </c>
      <c r="H2494" t="s">
        <v>276</v>
      </c>
      <c r="I2494">
        <v>45</v>
      </c>
    </row>
    <row r="2495" spans="1:10" x14ac:dyDescent="0.2">
      <c r="A2495" t="s">
        <v>437</v>
      </c>
      <c r="B2495" t="s">
        <v>1689</v>
      </c>
      <c r="C2495" t="s">
        <v>264</v>
      </c>
      <c r="D2495" t="s">
        <v>265</v>
      </c>
      <c r="E2495">
        <v>5912</v>
      </c>
      <c r="F2495" t="s">
        <v>3883</v>
      </c>
      <c r="G2495" t="s">
        <v>266</v>
      </c>
      <c r="H2495" t="s">
        <v>293</v>
      </c>
      <c r="I2495">
        <v>336</v>
      </c>
    </row>
    <row r="2496" spans="1:10" x14ac:dyDescent="0.2">
      <c r="A2496" t="s">
        <v>437</v>
      </c>
      <c r="B2496" t="s">
        <v>1689</v>
      </c>
      <c r="C2496" t="s">
        <v>273</v>
      </c>
      <c r="D2496" t="s">
        <v>265</v>
      </c>
      <c r="E2496">
        <v>6063</v>
      </c>
      <c r="F2496" t="s">
        <v>4530</v>
      </c>
      <c r="G2496" t="s">
        <v>270</v>
      </c>
      <c r="H2496" t="s">
        <v>271</v>
      </c>
      <c r="I2496">
        <v>41</v>
      </c>
    </row>
    <row r="2497" spans="1:10" x14ac:dyDescent="0.2">
      <c r="A2497" t="s">
        <v>437</v>
      </c>
      <c r="B2497" t="s">
        <v>1689</v>
      </c>
      <c r="C2497" t="s">
        <v>264</v>
      </c>
      <c r="D2497" t="s">
        <v>265</v>
      </c>
      <c r="E2497">
        <v>6238</v>
      </c>
      <c r="F2497" t="s">
        <v>3884</v>
      </c>
      <c r="G2497" t="s">
        <v>266</v>
      </c>
      <c r="H2497" t="s">
        <v>287</v>
      </c>
      <c r="I2497">
        <v>343</v>
      </c>
    </row>
    <row r="2498" spans="1:10" x14ac:dyDescent="0.2">
      <c r="A2498" t="s">
        <v>437</v>
      </c>
      <c r="B2498" t="s">
        <v>1689</v>
      </c>
      <c r="C2498" t="s">
        <v>264</v>
      </c>
      <c r="D2498" t="s">
        <v>265</v>
      </c>
      <c r="E2498">
        <v>6303</v>
      </c>
      <c r="F2498" t="s">
        <v>733</v>
      </c>
      <c r="G2498" t="s">
        <v>274</v>
      </c>
      <c r="H2498" t="s">
        <v>287</v>
      </c>
      <c r="I2498">
        <v>76</v>
      </c>
    </row>
    <row r="2499" spans="1:10" x14ac:dyDescent="0.2">
      <c r="A2499" t="s">
        <v>437</v>
      </c>
      <c r="B2499" t="s">
        <v>1689</v>
      </c>
      <c r="C2499" t="s">
        <v>264</v>
      </c>
      <c r="D2499" t="s">
        <v>265</v>
      </c>
      <c r="E2499">
        <v>6363</v>
      </c>
      <c r="F2499" t="s">
        <v>3885</v>
      </c>
      <c r="G2499" t="s">
        <v>266</v>
      </c>
      <c r="H2499" t="s">
        <v>287</v>
      </c>
      <c r="I2499">
        <v>270</v>
      </c>
    </row>
    <row r="2500" spans="1:10" x14ac:dyDescent="0.2">
      <c r="A2500" t="s">
        <v>437</v>
      </c>
      <c r="B2500" t="s">
        <v>1689</v>
      </c>
      <c r="C2500" t="s">
        <v>264</v>
      </c>
      <c r="D2500" t="s">
        <v>265</v>
      </c>
      <c r="E2500">
        <v>6378</v>
      </c>
      <c r="F2500" t="s">
        <v>3886</v>
      </c>
      <c r="G2500" t="s">
        <v>266</v>
      </c>
      <c r="H2500" t="s">
        <v>287</v>
      </c>
      <c r="I2500">
        <v>137</v>
      </c>
    </row>
    <row r="2501" spans="1:10" x14ac:dyDescent="0.2">
      <c r="A2501" t="s">
        <v>437</v>
      </c>
      <c r="B2501" t="s">
        <v>1689</v>
      </c>
      <c r="C2501" t="s">
        <v>264</v>
      </c>
      <c r="D2501" t="s">
        <v>265</v>
      </c>
      <c r="E2501">
        <v>6494</v>
      </c>
      <c r="F2501" t="s">
        <v>1650</v>
      </c>
      <c r="G2501" t="s">
        <v>270</v>
      </c>
      <c r="H2501" t="s">
        <v>287</v>
      </c>
      <c r="I2501">
        <v>36</v>
      </c>
    </row>
    <row r="2502" spans="1:10" x14ac:dyDescent="0.2">
      <c r="A2502" t="s">
        <v>437</v>
      </c>
      <c r="B2502" t="s">
        <v>1689</v>
      </c>
      <c r="C2502" t="s">
        <v>264</v>
      </c>
      <c r="D2502" t="s">
        <v>269</v>
      </c>
      <c r="E2502">
        <v>6556</v>
      </c>
      <c r="F2502" t="s">
        <v>3887</v>
      </c>
      <c r="G2502" t="s">
        <v>278</v>
      </c>
      <c r="H2502" t="s">
        <v>271</v>
      </c>
      <c r="I2502">
        <v>518</v>
      </c>
    </row>
    <row r="2503" spans="1:10" x14ac:dyDescent="0.2">
      <c r="A2503" t="s">
        <v>437</v>
      </c>
      <c r="B2503" t="s">
        <v>1689</v>
      </c>
      <c r="C2503" t="s">
        <v>264</v>
      </c>
      <c r="D2503" t="s">
        <v>265</v>
      </c>
      <c r="E2503">
        <v>6706</v>
      </c>
      <c r="F2503" t="s">
        <v>598</v>
      </c>
      <c r="G2503" t="s">
        <v>266</v>
      </c>
      <c r="H2503" t="s">
        <v>291</v>
      </c>
      <c r="I2503">
        <v>507</v>
      </c>
    </row>
    <row r="2504" spans="1:10" x14ac:dyDescent="0.2">
      <c r="A2504" t="s">
        <v>437</v>
      </c>
      <c r="B2504" t="s">
        <v>1689</v>
      </c>
      <c r="C2504" t="s">
        <v>264</v>
      </c>
      <c r="D2504" t="s">
        <v>265</v>
      </c>
      <c r="E2504">
        <v>6748</v>
      </c>
      <c r="F2504" t="s">
        <v>3888</v>
      </c>
      <c r="G2504" t="s">
        <v>266</v>
      </c>
      <c r="H2504" t="s">
        <v>291</v>
      </c>
      <c r="I2504">
        <v>78</v>
      </c>
    </row>
    <row r="2505" spans="1:10" x14ac:dyDescent="0.2">
      <c r="A2505" t="s">
        <v>437</v>
      </c>
      <c r="B2505" t="s">
        <v>1689</v>
      </c>
      <c r="C2505" t="s">
        <v>264</v>
      </c>
      <c r="D2505" t="s">
        <v>265</v>
      </c>
      <c r="E2505">
        <v>6840</v>
      </c>
      <c r="F2505" t="s">
        <v>3889</v>
      </c>
      <c r="G2505" t="s">
        <v>270</v>
      </c>
      <c r="H2505" t="s">
        <v>291</v>
      </c>
      <c r="I2505">
        <v>62</v>
      </c>
    </row>
    <row r="2506" spans="1:10" x14ac:dyDescent="0.2">
      <c r="A2506" t="s">
        <v>437</v>
      </c>
      <c r="B2506" t="s">
        <v>1689</v>
      </c>
      <c r="C2506" t="s">
        <v>264</v>
      </c>
      <c r="D2506" t="s">
        <v>265</v>
      </c>
      <c r="E2506">
        <v>6852</v>
      </c>
      <c r="F2506" t="s">
        <v>3890</v>
      </c>
      <c r="G2506" t="s">
        <v>270</v>
      </c>
      <c r="H2506" t="s">
        <v>291</v>
      </c>
      <c r="I2506">
        <v>30</v>
      </c>
    </row>
    <row r="2507" spans="1:10" x14ac:dyDescent="0.2">
      <c r="A2507" t="s">
        <v>437</v>
      </c>
      <c r="B2507" t="s">
        <v>1689</v>
      </c>
      <c r="C2507" t="s">
        <v>264</v>
      </c>
      <c r="D2507" t="s">
        <v>269</v>
      </c>
      <c r="E2507">
        <v>6944</v>
      </c>
      <c r="F2507" t="s">
        <v>3891</v>
      </c>
      <c r="G2507" t="s">
        <v>270</v>
      </c>
      <c r="H2507" t="s">
        <v>277</v>
      </c>
      <c r="I2507">
        <v>79</v>
      </c>
    </row>
    <row r="2508" spans="1:10" x14ac:dyDescent="0.2">
      <c r="A2508" t="s">
        <v>437</v>
      </c>
      <c r="B2508" t="s">
        <v>1689</v>
      </c>
      <c r="C2508" t="s">
        <v>268</v>
      </c>
      <c r="D2508" t="s">
        <v>265</v>
      </c>
      <c r="E2508">
        <v>7042</v>
      </c>
      <c r="F2508" t="s">
        <v>3892</v>
      </c>
      <c r="G2508" t="s">
        <v>270</v>
      </c>
      <c r="H2508" t="s">
        <v>271</v>
      </c>
      <c r="I2508">
        <v>14</v>
      </c>
    </row>
    <row r="2509" spans="1:10" x14ac:dyDescent="0.2">
      <c r="A2509" t="s">
        <v>437</v>
      </c>
      <c r="B2509" t="s">
        <v>1689</v>
      </c>
      <c r="C2509" t="s">
        <v>264</v>
      </c>
      <c r="D2509" t="s">
        <v>265</v>
      </c>
      <c r="E2509">
        <v>7057</v>
      </c>
      <c r="F2509" t="s">
        <v>541</v>
      </c>
      <c r="G2509" t="s">
        <v>270</v>
      </c>
      <c r="H2509" t="s">
        <v>271</v>
      </c>
      <c r="I2509">
        <v>42</v>
      </c>
    </row>
    <row r="2510" spans="1:10" x14ac:dyDescent="0.2">
      <c r="A2510" t="s">
        <v>437</v>
      </c>
      <c r="B2510" t="s">
        <v>1689</v>
      </c>
      <c r="C2510" t="s">
        <v>268</v>
      </c>
      <c r="D2510" t="s">
        <v>265</v>
      </c>
      <c r="E2510">
        <v>7071</v>
      </c>
      <c r="F2510" t="s">
        <v>1532</v>
      </c>
      <c r="G2510" t="s">
        <v>270</v>
      </c>
      <c r="H2510" t="s">
        <v>271</v>
      </c>
      <c r="I2510">
        <v>798</v>
      </c>
    </row>
    <row r="2511" spans="1:10" x14ac:dyDescent="0.2">
      <c r="A2511" t="s">
        <v>437</v>
      </c>
      <c r="B2511" t="s">
        <v>1689</v>
      </c>
      <c r="C2511" t="s">
        <v>264</v>
      </c>
      <c r="D2511" t="s">
        <v>265</v>
      </c>
      <c r="E2511">
        <v>7173</v>
      </c>
      <c r="F2511" t="s">
        <v>3893</v>
      </c>
      <c r="G2511" t="s">
        <v>266</v>
      </c>
      <c r="H2511" t="s">
        <v>484</v>
      </c>
      <c r="I2511">
        <v>427</v>
      </c>
    </row>
    <row r="2512" spans="1:10" x14ac:dyDescent="0.2">
      <c r="A2512" t="s">
        <v>437</v>
      </c>
      <c r="B2512" t="s">
        <v>1689</v>
      </c>
      <c r="C2512" t="s">
        <v>264</v>
      </c>
      <c r="D2512" t="s">
        <v>265</v>
      </c>
      <c r="E2512">
        <v>7180</v>
      </c>
      <c r="F2512" t="s">
        <v>3894</v>
      </c>
      <c r="G2512" t="s">
        <v>266</v>
      </c>
      <c r="H2512" t="s">
        <v>484</v>
      </c>
      <c r="I2512" t="s">
        <v>289</v>
      </c>
      <c r="J2512" t="s">
        <v>4714</v>
      </c>
    </row>
    <row r="2513" spans="1:10" x14ac:dyDescent="0.2">
      <c r="A2513" t="s">
        <v>437</v>
      </c>
      <c r="B2513" t="s">
        <v>1689</v>
      </c>
      <c r="C2513" t="s">
        <v>273</v>
      </c>
      <c r="D2513" t="s">
        <v>265</v>
      </c>
      <c r="E2513">
        <v>7244</v>
      </c>
      <c r="F2513" t="s">
        <v>1497</v>
      </c>
      <c r="G2513" t="s">
        <v>266</v>
      </c>
      <c r="H2513" t="s">
        <v>291</v>
      </c>
      <c r="I2513">
        <v>727</v>
      </c>
    </row>
    <row r="2514" spans="1:10" x14ac:dyDescent="0.2">
      <c r="A2514" t="s">
        <v>437</v>
      </c>
      <c r="B2514" t="s">
        <v>1689</v>
      </c>
      <c r="C2514" t="s">
        <v>264</v>
      </c>
      <c r="D2514" t="s">
        <v>265</v>
      </c>
      <c r="E2514">
        <v>7593</v>
      </c>
      <c r="F2514" t="s">
        <v>767</v>
      </c>
      <c r="G2514" t="s">
        <v>266</v>
      </c>
      <c r="H2514" t="s">
        <v>276</v>
      </c>
      <c r="I2514">
        <v>552</v>
      </c>
    </row>
    <row r="2515" spans="1:10" x14ac:dyDescent="0.2">
      <c r="A2515" t="s">
        <v>437</v>
      </c>
      <c r="B2515" t="s">
        <v>1689</v>
      </c>
      <c r="C2515" t="s">
        <v>264</v>
      </c>
      <c r="D2515" t="s">
        <v>265</v>
      </c>
      <c r="E2515">
        <v>7677</v>
      </c>
      <c r="F2515" t="s">
        <v>609</v>
      </c>
      <c r="G2515" t="s">
        <v>274</v>
      </c>
      <c r="H2515" t="s">
        <v>272</v>
      </c>
      <c r="I2515">
        <v>55</v>
      </c>
    </row>
    <row r="2516" spans="1:10" x14ac:dyDescent="0.2">
      <c r="A2516" t="s">
        <v>437</v>
      </c>
      <c r="B2516" t="s">
        <v>1689</v>
      </c>
      <c r="C2516" t="s">
        <v>264</v>
      </c>
      <c r="D2516" t="s">
        <v>265</v>
      </c>
      <c r="E2516">
        <v>7815</v>
      </c>
      <c r="F2516" t="s">
        <v>3895</v>
      </c>
      <c r="G2516" t="s">
        <v>274</v>
      </c>
      <c r="H2516" t="s">
        <v>288</v>
      </c>
      <c r="I2516">
        <v>28</v>
      </c>
    </row>
    <row r="2517" spans="1:10" x14ac:dyDescent="0.2">
      <c r="A2517" t="s">
        <v>437</v>
      </c>
      <c r="B2517" t="s">
        <v>1689</v>
      </c>
      <c r="C2517" t="s">
        <v>264</v>
      </c>
      <c r="D2517" t="s">
        <v>265</v>
      </c>
      <c r="E2517">
        <v>7999</v>
      </c>
      <c r="F2517" t="s">
        <v>3896</v>
      </c>
      <c r="G2517" t="s">
        <v>266</v>
      </c>
      <c r="H2517" t="s">
        <v>291</v>
      </c>
      <c r="I2517">
        <v>95</v>
      </c>
    </row>
    <row r="2518" spans="1:10" x14ac:dyDescent="0.2">
      <c r="A2518" t="s">
        <v>437</v>
      </c>
      <c r="B2518" t="s">
        <v>1689</v>
      </c>
      <c r="C2518" t="s">
        <v>273</v>
      </c>
      <c r="D2518" t="s">
        <v>265</v>
      </c>
      <c r="E2518">
        <v>8508</v>
      </c>
      <c r="F2518" t="s">
        <v>3897</v>
      </c>
      <c r="G2518" t="s">
        <v>274</v>
      </c>
      <c r="H2518" t="s">
        <v>302</v>
      </c>
      <c r="I2518">
        <v>517</v>
      </c>
    </row>
    <row r="2519" spans="1:10" x14ac:dyDescent="0.2">
      <c r="A2519" t="s">
        <v>437</v>
      </c>
      <c r="B2519" t="s">
        <v>1689</v>
      </c>
      <c r="C2519" t="s">
        <v>264</v>
      </c>
      <c r="D2519" t="s">
        <v>265</v>
      </c>
      <c r="E2519">
        <v>8995</v>
      </c>
      <c r="F2519" t="s">
        <v>3898</v>
      </c>
      <c r="G2519" t="s">
        <v>274</v>
      </c>
      <c r="H2519" t="s">
        <v>292</v>
      </c>
      <c r="I2519">
        <v>13</v>
      </c>
    </row>
    <row r="2520" spans="1:10" x14ac:dyDescent="0.2">
      <c r="A2520" t="s">
        <v>437</v>
      </c>
      <c r="B2520" t="s">
        <v>1689</v>
      </c>
      <c r="C2520" t="s">
        <v>264</v>
      </c>
      <c r="D2520" t="s">
        <v>265</v>
      </c>
      <c r="E2520">
        <v>9421</v>
      </c>
      <c r="F2520" t="s">
        <v>3899</v>
      </c>
      <c r="G2520" t="s">
        <v>270</v>
      </c>
      <c r="H2520" t="s">
        <v>277</v>
      </c>
      <c r="I2520">
        <v>56</v>
      </c>
    </row>
    <row r="2521" spans="1:10" x14ac:dyDescent="0.2">
      <c r="A2521" t="s">
        <v>437</v>
      </c>
      <c r="B2521" t="s">
        <v>1689</v>
      </c>
      <c r="C2521" t="s">
        <v>264</v>
      </c>
      <c r="D2521" t="s">
        <v>265</v>
      </c>
      <c r="E2521">
        <v>9767</v>
      </c>
      <c r="F2521" t="s">
        <v>3900</v>
      </c>
      <c r="G2521" t="s">
        <v>274</v>
      </c>
      <c r="H2521" t="s">
        <v>271</v>
      </c>
      <c r="I2521">
        <v>18</v>
      </c>
    </row>
    <row r="2522" spans="1:10" x14ac:dyDescent="0.2">
      <c r="A2522" t="s">
        <v>437</v>
      </c>
      <c r="B2522" t="s">
        <v>1689</v>
      </c>
      <c r="C2522" t="s">
        <v>273</v>
      </c>
      <c r="D2522" t="s">
        <v>269</v>
      </c>
      <c r="E2522">
        <v>9827</v>
      </c>
      <c r="F2522" t="s">
        <v>3901</v>
      </c>
      <c r="G2522" t="s">
        <v>270</v>
      </c>
      <c r="H2522" t="s">
        <v>272</v>
      </c>
      <c r="I2522">
        <v>28</v>
      </c>
    </row>
    <row r="2523" spans="1:10" x14ac:dyDescent="0.2">
      <c r="A2523" t="s">
        <v>437</v>
      </c>
      <c r="B2523" t="s">
        <v>1689</v>
      </c>
      <c r="C2523" t="s">
        <v>264</v>
      </c>
      <c r="D2523" t="s">
        <v>265</v>
      </c>
      <c r="E2523">
        <v>9929</v>
      </c>
      <c r="F2523" t="s">
        <v>3902</v>
      </c>
      <c r="G2523" t="s">
        <v>274</v>
      </c>
      <c r="H2523" t="s">
        <v>272</v>
      </c>
      <c r="I2523">
        <v>47</v>
      </c>
    </row>
    <row r="2524" spans="1:10" x14ac:dyDescent="0.2">
      <c r="A2524" t="s">
        <v>437</v>
      </c>
      <c r="B2524" t="s">
        <v>1689</v>
      </c>
      <c r="C2524" t="s">
        <v>268</v>
      </c>
      <c r="D2524" t="s">
        <v>269</v>
      </c>
      <c r="E2524">
        <v>9941</v>
      </c>
      <c r="F2524" t="s">
        <v>3903</v>
      </c>
      <c r="G2524" t="s">
        <v>270</v>
      </c>
      <c r="H2524" t="s">
        <v>272</v>
      </c>
      <c r="I2524">
        <v>7</v>
      </c>
    </row>
    <row r="2525" spans="1:10" x14ac:dyDescent="0.2">
      <c r="A2525" t="s">
        <v>437</v>
      </c>
      <c r="B2525" t="s">
        <v>1931</v>
      </c>
      <c r="C2525" t="s">
        <v>275</v>
      </c>
      <c r="D2525" t="s">
        <v>265</v>
      </c>
      <c r="E2525">
        <v>6239</v>
      </c>
      <c r="F2525" t="s">
        <v>1870</v>
      </c>
      <c r="G2525" t="s">
        <v>270</v>
      </c>
      <c r="H2525" t="s">
        <v>287</v>
      </c>
      <c r="I2525">
        <v>119</v>
      </c>
    </row>
    <row r="2526" spans="1:10" x14ac:dyDescent="0.2">
      <c r="A2526" t="s">
        <v>437</v>
      </c>
      <c r="B2526" t="s">
        <v>1931</v>
      </c>
      <c r="C2526" t="s">
        <v>264</v>
      </c>
      <c r="D2526" t="s">
        <v>265</v>
      </c>
      <c r="E2526">
        <v>6993</v>
      </c>
      <c r="F2526" t="s">
        <v>3904</v>
      </c>
      <c r="G2526" t="s">
        <v>274</v>
      </c>
      <c r="H2526" t="s">
        <v>276</v>
      </c>
      <c r="I2526">
        <v>36</v>
      </c>
    </row>
    <row r="2527" spans="1:10" x14ac:dyDescent="0.2">
      <c r="A2527" t="s">
        <v>437</v>
      </c>
      <c r="B2527" t="s">
        <v>1931</v>
      </c>
      <c r="C2527" t="s">
        <v>264</v>
      </c>
      <c r="D2527" t="s">
        <v>265</v>
      </c>
      <c r="E2527">
        <v>7201</v>
      </c>
      <c r="F2527" t="s">
        <v>4531</v>
      </c>
      <c r="G2527" t="s">
        <v>266</v>
      </c>
      <c r="H2527" t="s">
        <v>296</v>
      </c>
      <c r="I2527" t="s">
        <v>4299</v>
      </c>
      <c r="J2527" t="s">
        <v>5073</v>
      </c>
    </row>
    <row r="2528" spans="1:10" x14ac:dyDescent="0.2">
      <c r="A2528" t="s">
        <v>437</v>
      </c>
      <c r="B2528" t="s">
        <v>1931</v>
      </c>
      <c r="C2528" t="s">
        <v>264</v>
      </c>
      <c r="D2528" t="s">
        <v>265</v>
      </c>
      <c r="E2528">
        <v>7222</v>
      </c>
      <c r="F2528" t="s">
        <v>4533</v>
      </c>
      <c r="G2528" t="s">
        <v>266</v>
      </c>
      <c r="H2528" t="s">
        <v>296</v>
      </c>
      <c r="I2528" t="s">
        <v>297</v>
      </c>
      <c r="J2528" t="s">
        <v>4272</v>
      </c>
    </row>
    <row r="2529" spans="1:9" x14ac:dyDescent="0.2">
      <c r="A2529" t="s">
        <v>437</v>
      </c>
      <c r="B2529" t="s">
        <v>1931</v>
      </c>
      <c r="C2529" t="s">
        <v>268</v>
      </c>
      <c r="D2529" t="s">
        <v>269</v>
      </c>
      <c r="E2529">
        <v>7800</v>
      </c>
      <c r="F2529" t="s">
        <v>612</v>
      </c>
      <c r="G2529" t="s">
        <v>270</v>
      </c>
      <c r="H2529" t="s">
        <v>288</v>
      </c>
      <c r="I2529">
        <v>36</v>
      </c>
    </row>
    <row r="2530" spans="1:9" x14ac:dyDescent="0.2">
      <c r="A2530" t="s">
        <v>437</v>
      </c>
      <c r="B2530" t="s">
        <v>3294</v>
      </c>
      <c r="C2530" t="s">
        <v>268</v>
      </c>
      <c r="D2530" t="s">
        <v>265</v>
      </c>
      <c r="E2530">
        <v>3920</v>
      </c>
      <c r="F2530" t="s">
        <v>3905</v>
      </c>
      <c r="G2530" t="s">
        <v>266</v>
      </c>
      <c r="H2530" t="s">
        <v>277</v>
      </c>
      <c r="I2530">
        <v>82</v>
      </c>
    </row>
    <row r="2531" spans="1:9" x14ac:dyDescent="0.2">
      <c r="A2531" t="s">
        <v>437</v>
      </c>
      <c r="B2531" t="s">
        <v>263</v>
      </c>
      <c r="C2531" t="s">
        <v>273</v>
      </c>
      <c r="D2531" t="s">
        <v>265</v>
      </c>
      <c r="E2531">
        <v>1435</v>
      </c>
      <c r="F2531" t="s">
        <v>3906</v>
      </c>
      <c r="G2531" t="s">
        <v>266</v>
      </c>
      <c r="H2531" t="s">
        <v>293</v>
      </c>
      <c r="I2531">
        <v>199</v>
      </c>
    </row>
    <row r="2532" spans="1:9" x14ac:dyDescent="0.2">
      <c r="A2532" t="s">
        <v>437</v>
      </c>
      <c r="B2532" t="s">
        <v>263</v>
      </c>
      <c r="C2532" t="s">
        <v>264</v>
      </c>
      <c r="D2532" t="s">
        <v>265</v>
      </c>
      <c r="E2532">
        <v>2138</v>
      </c>
      <c r="F2532" t="s">
        <v>3907</v>
      </c>
      <c r="G2532" t="s">
        <v>270</v>
      </c>
      <c r="H2532" t="s">
        <v>277</v>
      </c>
      <c r="I2532">
        <v>150</v>
      </c>
    </row>
    <row r="2533" spans="1:9" x14ac:dyDescent="0.2">
      <c r="A2533" t="s">
        <v>437</v>
      </c>
      <c r="B2533" t="s">
        <v>263</v>
      </c>
      <c r="C2533" t="s">
        <v>273</v>
      </c>
      <c r="D2533" t="s">
        <v>265</v>
      </c>
      <c r="E2533">
        <v>2170</v>
      </c>
      <c r="F2533" t="s">
        <v>440</v>
      </c>
      <c r="G2533" t="s">
        <v>266</v>
      </c>
      <c r="H2533" t="s">
        <v>271</v>
      </c>
      <c r="I2533">
        <v>701</v>
      </c>
    </row>
    <row r="2534" spans="1:9" x14ac:dyDescent="0.2">
      <c r="A2534" t="s">
        <v>437</v>
      </c>
      <c r="B2534" t="s">
        <v>263</v>
      </c>
      <c r="C2534" t="s">
        <v>264</v>
      </c>
      <c r="D2534" t="s">
        <v>265</v>
      </c>
      <c r="E2534">
        <v>2323</v>
      </c>
      <c r="F2534" t="s">
        <v>654</v>
      </c>
      <c r="G2534" t="s">
        <v>270</v>
      </c>
      <c r="H2534" t="s">
        <v>277</v>
      </c>
      <c r="I2534">
        <v>14</v>
      </c>
    </row>
    <row r="2535" spans="1:9" x14ac:dyDescent="0.2">
      <c r="A2535" t="s">
        <v>437</v>
      </c>
      <c r="B2535" t="s">
        <v>263</v>
      </c>
      <c r="C2535" t="s">
        <v>273</v>
      </c>
      <c r="D2535" t="s">
        <v>265</v>
      </c>
      <c r="E2535">
        <v>2325</v>
      </c>
      <c r="F2535" t="s">
        <v>3908</v>
      </c>
      <c r="G2535" t="s">
        <v>266</v>
      </c>
      <c r="H2535" t="s">
        <v>271</v>
      </c>
      <c r="I2535">
        <v>185</v>
      </c>
    </row>
    <row r="2536" spans="1:9" x14ac:dyDescent="0.2">
      <c r="A2536" t="s">
        <v>437</v>
      </c>
      <c r="B2536" t="s">
        <v>263</v>
      </c>
      <c r="C2536" t="s">
        <v>264</v>
      </c>
      <c r="D2536" t="s">
        <v>265</v>
      </c>
      <c r="E2536">
        <v>2340</v>
      </c>
      <c r="F2536" t="s">
        <v>3909</v>
      </c>
      <c r="G2536" t="s">
        <v>270</v>
      </c>
      <c r="H2536" t="s">
        <v>271</v>
      </c>
      <c r="I2536">
        <v>93</v>
      </c>
    </row>
    <row r="2537" spans="1:9" x14ac:dyDescent="0.2">
      <c r="A2537" t="s">
        <v>437</v>
      </c>
      <c r="B2537" t="s">
        <v>263</v>
      </c>
      <c r="C2537" t="s">
        <v>273</v>
      </c>
      <c r="D2537" t="s">
        <v>265</v>
      </c>
      <c r="E2537">
        <v>2743</v>
      </c>
      <c r="F2537" t="s">
        <v>1494</v>
      </c>
      <c r="G2537" t="s">
        <v>270</v>
      </c>
      <c r="H2537" t="s">
        <v>272</v>
      </c>
      <c r="I2537">
        <v>48</v>
      </c>
    </row>
    <row r="2538" spans="1:9" x14ac:dyDescent="0.2">
      <c r="A2538" t="s">
        <v>437</v>
      </c>
      <c r="B2538" t="s">
        <v>263</v>
      </c>
      <c r="C2538" t="s">
        <v>275</v>
      </c>
      <c r="D2538" t="s">
        <v>269</v>
      </c>
      <c r="E2538">
        <v>2762</v>
      </c>
      <c r="F2538" t="s">
        <v>3910</v>
      </c>
      <c r="G2538" t="s">
        <v>274</v>
      </c>
      <c r="H2538" t="s">
        <v>276</v>
      </c>
      <c r="I2538">
        <v>65</v>
      </c>
    </row>
    <row r="2539" spans="1:9" x14ac:dyDescent="0.2">
      <c r="A2539" t="s">
        <v>437</v>
      </c>
      <c r="B2539" t="s">
        <v>263</v>
      </c>
      <c r="C2539" t="s">
        <v>264</v>
      </c>
      <c r="D2539" t="s">
        <v>265</v>
      </c>
      <c r="E2539">
        <v>3175</v>
      </c>
      <c r="F2539" t="s">
        <v>3911</v>
      </c>
      <c r="G2539" t="s">
        <v>266</v>
      </c>
      <c r="H2539" t="s">
        <v>276</v>
      </c>
      <c r="I2539">
        <v>47</v>
      </c>
    </row>
    <row r="2540" spans="1:9" x14ac:dyDescent="0.2">
      <c r="A2540" t="s">
        <v>437</v>
      </c>
      <c r="B2540" t="s">
        <v>263</v>
      </c>
      <c r="C2540" t="s">
        <v>264</v>
      </c>
      <c r="D2540" t="s">
        <v>265</v>
      </c>
      <c r="E2540">
        <v>3293</v>
      </c>
      <c r="F2540" t="s">
        <v>3912</v>
      </c>
      <c r="G2540" t="s">
        <v>270</v>
      </c>
      <c r="H2540" t="s">
        <v>292</v>
      </c>
      <c r="I2540">
        <v>73</v>
      </c>
    </row>
    <row r="2541" spans="1:9" x14ac:dyDescent="0.2">
      <c r="A2541" t="s">
        <v>437</v>
      </c>
      <c r="B2541" t="s">
        <v>263</v>
      </c>
      <c r="C2541" t="s">
        <v>264</v>
      </c>
      <c r="D2541" t="s">
        <v>265</v>
      </c>
      <c r="E2541">
        <v>3390</v>
      </c>
      <c r="F2541" t="s">
        <v>3913</v>
      </c>
      <c r="G2541" t="s">
        <v>270</v>
      </c>
      <c r="H2541" t="s">
        <v>272</v>
      </c>
      <c r="I2541">
        <v>44</v>
      </c>
    </row>
    <row r="2542" spans="1:9" x14ac:dyDescent="0.2">
      <c r="A2542" t="s">
        <v>437</v>
      </c>
      <c r="B2542" t="s">
        <v>263</v>
      </c>
      <c r="C2542" t="s">
        <v>273</v>
      </c>
      <c r="D2542" t="s">
        <v>265</v>
      </c>
      <c r="E2542">
        <v>3445</v>
      </c>
      <c r="F2542" t="s">
        <v>3914</v>
      </c>
      <c r="G2542" t="s">
        <v>266</v>
      </c>
      <c r="H2542" t="s">
        <v>281</v>
      </c>
      <c r="I2542">
        <v>421</v>
      </c>
    </row>
    <row r="2543" spans="1:9" x14ac:dyDescent="0.2">
      <c r="A2543" t="s">
        <v>437</v>
      </c>
      <c r="B2543" t="s">
        <v>263</v>
      </c>
      <c r="C2543" t="s">
        <v>268</v>
      </c>
      <c r="D2543" t="s">
        <v>265</v>
      </c>
      <c r="E2543">
        <v>3624</v>
      </c>
      <c r="F2543" t="s">
        <v>4534</v>
      </c>
      <c r="G2543" t="s">
        <v>278</v>
      </c>
      <c r="H2543" t="s">
        <v>277</v>
      </c>
      <c r="I2543">
        <v>45</v>
      </c>
    </row>
    <row r="2544" spans="1:9" x14ac:dyDescent="0.2">
      <c r="A2544" t="s">
        <v>437</v>
      </c>
      <c r="B2544" t="s">
        <v>263</v>
      </c>
      <c r="C2544" t="s">
        <v>273</v>
      </c>
      <c r="D2544" t="s">
        <v>265</v>
      </c>
      <c r="E2544">
        <v>3675</v>
      </c>
      <c r="F2544" t="s">
        <v>3915</v>
      </c>
      <c r="G2544" t="s">
        <v>266</v>
      </c>
      <c r="H2544" t="s">
        <v>277</v>
      </c>
      <c r="I2544">
        <v>80</v>
      </c>
    </row>
    <row r="2545" spans="1:10" x14ac:dyDescent="0.2">
      <c r="A2545" t="s">
        <v>437</v>
      </c>
      <c r="B2545" t="s">
        <v>263</v>
      </c>
      <c r="C2545" t="s">
        <v>268</v>
      </c>
      <c r="D2545" t="s">
        <v>265</v>
      </c>
      <c r="E2545">
        <v>3689</v>
      </c>
      <c r="F2545" t="s">
        <v>3916</v>
      </c>
      <c r="G2545" t="s">
        <v>278</v>
      </c>
      <c r="H2545" t="s">
        <v>277</v>
      </c>
      <c r="I2545">
        <v>151</v>
      </c>
    </row>
    <row r="2546" spans="1:10" x14ac:dyDescent="0.2">
      <c r="A2546" t="s">
        <v>437</v>
      </c>
      <c r="B2546" t="s">
        <v>263</v>
      </c>
      <c r="C2546" t="s">
        <v>268</v>
      </c>
      <c r="D2546" t="s">
        <v>265</v>
      </c>
      <c r="E2546">
        <v>3900</v>
      </c>
      <c r="F2546" t="s">
        <v>3917</v>
      </c>
      <c r="G2546" t="s">
        <v>278</v>
      </c>
      <c r="H2546" t="s">
        <v>277</v>
      </c>
      <c r="I2546">
        <v>162</v>
      </c>
    </row>
    <row r="2547" spans="1:10" x14ac:dyDescent="0.2">
      <c r="A2547" t="s">
        <v>437</v>
      </c>
      <c r="B2547" t="s">
        <v>263</v>
      </c>
      <c r="C2547" t="s">
        <v>273</v>
      </c>
      <c r="D2547" t="s">
        <v>265</v>
      </c>
      <c r="E2547">
        <v>3968</v>
      </c>
      <c r="F2547" t="s">
        <v>3918</v>
      </c>
      <c r="G2547" t="s">
        <v>266</v>
      </c>
      <c r="H2547" t="s">
        <v>277</v>
      </c>
      <c r="I2547">
        <v>109</v>
      </c>
    </row>
    <row r="2548" spans="1:10" x14ac:dyDescent="0.2">
      <c r="A2548" t="s">
        <v>437</v>
      </c>
      <c r="B2548" t="s">
        <v>263</v>
      </c>
      <c r="C2548" t="s">
        <v>275</v>
      </c>
      <c r="D2548" t="s">
        <v>265</v>
      </c>
      <c r="E2548">
        <v>4391</v>
      </c>
      <c r="F2548" t="s">
        <v>1865</v>
      </c>
      <c r="G2548" t="s">
        <v>278</v>
      </c>
      <c r="H2548" t="s">
        <v>277</v>
      </c>
      <c r="I2548">
        <v>63</v>
      </c>
    </row>
    <row r="2549" spans="1:10" x14ac:dyDescent="0.2">
      <c r="A2549" t="s">
        <v>437</v>
      </c>
      <c r="B2549" t="s">
        <v>263</v>
      </c>
      <c r="C2549" t="s">
        <v>264</v>
      </c>
      <c r="D2549" t="s">
        <v>265</v>
      </c>
      <c r="E2549">
        <v>4406</v>
      </c>
      <c r="F2549" t="s">
        <v>3919</v>
      </c>
      <c r="G2549" t="s">
        <v>266</v>
      </c>
      <c r="H2549" t="s">
        <v>279</v>
      </c>
      <c r="I2549">
        <v>78</v>
      </c>
    </row>
    <row r="2550" spans="1:10" x14ac:dyDescent="0.2">
      <c r="A2550" t="s">
        <v>437</v>
      </c>
      <c r="B2550" t="s">
        <v>263</v>
      </c>
      <c r="C2550" t="s">
        <v>273</v>
      </c>
      <c r="D2550" t="s">
        <v>265</v>
      </c>
      <c r="E2550">
        <v>4764</v>
      </c>
      <c r="F2550" t="s">
        <v>3920</v>
      </c>
      <c r="G2550" t="s">
        <v>270</v>
      </c>
      <c r="H2550" t="s">
        <v>277</v>
      </c>
      <c r="I2550">
        <v>49</v>
      </c>
    </row>
    <row r="2551" spans="1:10" x14ac:dyDescent="0.2">
      <c r="A2551" t="s">
        <v>437</v>
      </c>
      <c r="B2551" t="s">
        <v>263</v>
      </c>
      <c r="C2551" t="s">
        <v>264</v>
      </c>
      <c r="D2551" t="s">
        <v>265</v>
      </c>
      <c r="E2551">
        <v>5021</v>
      </c>
      <c r="F2551" t="s">
        <v>3921</v>
      </c>
      <c r="G2551" t="s">
        <v>266</v>
      </c>
      <c r="H2551" t="s">
        <v>1442</v>
      </c>
      <c r="I2551" t="s">
        <v>289</v>
      </c>
      <c r="J2551" t="s">
        <v>4293</v>
      </c>
    </row>
    <row r="2552" spans="1:10" x14ac:dyDescent="0.2">
      <c r="A2552" t="s">
        <v>437</v>
      </c>
      <c r="B2552" t="s">
        <v>263</v>
      </c>
      <c r="C2552" t="s">
        <v>264</v>
      </c>
      <c r="D2552" t="s">
        <v>265</v>
      </c>
      <c r="E2552">
        <v>5965</v>
      </c>
      <c r="F2552" t="s">
        <v>3922</v>
      </c>
      <c r="G2552" t="s">
        <v>274</v>
      </c>
      <c r="H2552" t="s">
        <v>281</v>
      </c>
      <c r="I2552">
        <v>125</v>
      </c>
    </row>
    <row r="2553" spans="1:10" x14ac:dyDescent="0.2">
      <c r="A2553" t="s">
        <v>437</v>
      </c>
      <c r="B2553" t="s">
        <v>263</v>
      </c>
      <c r="C2553" t="s">
        <v>264</v>
      </c>
      <c r="D2553" t="s">
        <v>269</v>
      </c>
      <c r="E2553">
        <v>6074</v>
      </c>
      <c r="F2553" t="s">
        <v>3923</v>
      </c>
      <c r="G2553" t="s">
        <v>270</v>
      </c>
      <c r="H2553" t="s">
        <v>271</v>
      </c>
      <c r="I2553">
        <v>32</v>
      </c>
    </row>
    <row r="2554" spans="1:10" x14ac:dyDescent="0.2">
      <c r="A2554" t="s">
        <v>437</v>
      </c>
      <c r="B2554" t="s">
        <v>263</v>
      </c>
      <c r="C2554" t="s">
        <v>264</v>
      </c>
      <c r="D2554" t="s">
        <v>265</v>
      </c>
      <c r="E2554">
        <v>6096</v>
      </c>
      <c r="F2554" t="s">
        <v>3924</v>
      </c>
      <c r="G2554" t="s">
        <v>278</v>
      </c>
      <c r="H2554" t="s">
        <v>271</v>
      </c>
      <c r="I2554">
        <v>241</v>
      </c>
    </row>
    <row r="2555" spans="1:10" x14ac:dyDescent="0.2">
      <c r="A2555" t="s">
        <v>437</v>
      </c>
      <c r="B2555" t="s">
        <v>263</v>
      </c>
      <c r="C2555" t="s">
        <v>273</v>
      </c>
      <c r="D2555" t="s">
        <v>265</v>
      </c>
      <c r="E2555">
        <v>6177</v>
      </c>
      <c r="F2555" t="s">
        <v>3925</v>
      </c>
      <c r="G2555" t="s">
        <v>278</v>
      </c>
      <c r="H2555" t="s">
        <v>271</v>
      </c>
      <c r="I2555">
        <v>24</v>
      </c>
    </row>
    <row r="2556" spans="1:10" x14ac:dyDescent="0.2">
      <c r="A2556" t="s">
        <v>437</v>
      </c>
      <c r="B2556" t="s">
        <v>263</v>
      </c>
      <c r="C2556" t="s">
        <v>264</v>
      </c>
      <c r="D2556" t="s">
        <v>265</v>
      </c>
      <c r="E2556">
        <v>6187</v>
      </c>
      <c r="F2556" t="s">
        <v>3926</v>
      </c>
      <c r="G2556" t="s">
        <v>266</v>
      </c>
      <c r="H2556" t="s">
        <v>271</v>
      </c>
      <c r="I2556">
        <v>465</v>
      </c>
    </row>
    <row r="2557" spans="1:10" x14ac:dyDescent="0.2">
      <c r="A2557" t="s">
        <v>437</v>
      </c>
      <c r="B2557" t="s">
        <v>263</v>
      </c>
      <c r="C2557" t="s">
        <v>264</v>
      </c>
      <c r="D2557" t="s">
        <v>265</v>
      </c>
      <c r="E2557">
        <v>6294</v>
      </c>
      <c r="F2557" t="s">
        <v>3927</v>
      </c>
      <c r="G2557" t="s">
        <v>266</v>
      </c>
      <c r="H2557" t="s">
        <v>287</v>
      </c>
      <c r="I2557">
        <v>108</v>
      </c>
    </row>
    <row r="2558" spans="1:10" x14ac:dyDescent="0.2">
      <c r="A2558" t="s">
        <v>437</v>
      </c>
      <c r="B2558" t="s">
        <v>263</v>
      </c>
      <c r="C2558" t="s">
        <v>264</v>
      </c>
      <c r="D2558" t="s">
        <v>269</v>
      </c>
      <c r="E2558">
        <v>6538</v>
      </c>
      <c r="F2558" t="s">
        <v>3928</v>
      </c>
      <c r="G2558" t="s">
        <v>266</v>
      </c>
      <c r="H2558" t="s">
        <v>271</v>
      </c>
      <c r="I2558">
        <v>86</v>
      </c>
    </row>
    <row r="2559" spans="1:10" x14ac:dyDescent="0.2">
      <c r="A2559" t="s">
        <v>437</v>
      </c>
      <c r="B2559" t="s">
        <v>263</v>
      </c>
      <c r="C2559" t="s">
        <v>264</v>
      </c>
      <c r="D2559" t="s">
        <v>265</v>
      </c>
      <c r="E2559">
        <v>6564</v>
      </c>
      <c r="F2559" t="s">
        <v>3929</v>
      </c>
      <c r="G2559" t="s">
        <v>266</v>
      </c>
      <c r="H2559" t="s">
        <v>271</v>
      </c>
      <c r="I2559">
        <v>218</v>
      </c>
    </row>
    <row r="2560" spans="1:10" x14ac:dyDescent="0.2">
      <c r="A2560" t="s">
        <v>437</v>
      </c>
      <c r="B2560" t="s">
        <v>263</v>
      </c>
      <c r="C2560" t="s">
        <v>273</v>
      </c>
      <c r="D2560" t="s">
        <v>265</v>
      </c>
      <c r="E2560">
        <v>6592</v>
      </c>
      <c r="F2560" t="s">
        <v>3930</v>
      </c>
      <c r="G2560" t="s">
        <v>266</v>
      </c>
      <c r="H2560" t="s">
        <v>291</v>
      </c>
      <c r="I2560" t="s">
        <v>289</v>
      </c>
      <c r="J2560" t="s">
        <v>4551</v>
      </c>
    </row>
    <row r="2561" spans="1:10" x14ac:dyDescent="0.2">
      <c r="A2561" t="s">
        <v>437</v>
      </c>
      <c r="B2561" t="s">
        <v>263</v>
      </c>
      <c r="C2561" t="s">
        <v>275</v>
      </c>
      <c r="D2561" t="s">
        <v>269</v>
      </c>
      <c r="E2561">
        <v>6597</v>
      </c>
      <c r="F2561" t="s">
        <v>597</v>
      </c>
      <c r="G2561" t="s">
        <v>278</v>
      </c>
      <c r="H2561" t="s">
        <v>291</v>
      </c>
      <c r="I2561">
        <v>120</v>
      </c>
    </row>
    <row r="2562" spans="1:10" x14ac:dyDescent="0.2">
      <c r="A2562" t="s">
        <v>437</v>
      </c>
      <c r="B2562" t="s">
        <v>263</v>
      </c>
      <c r="C2562" t="s">
        <v>264</v>
      </c>
      <c r="D2562" t="s">
        <v>265</v>
      </c>
      <c r="E2562">
        <v>6819</v>
      </c>
      <c r="F2562" t="s">
        <v>599</v>
      </c>
      <c r="G2562" t="s">
        <v>270</v>
      </c>
      <c r="H2562" t="s">
        <v>271</v>
      </c>
      <c r="I2562">
        <v>36</v>
      </c>
    </row>
    <row r="2563" spans="1:10" x14ac:dyDescent="0.2">
      <c r="A2563" t="s">
        <v>437</v>
      </c>
      <c r="B2563" t="s">
        <v>263</v>
      </c>
      <c r="C2563" t="s">
        <v>275</v>
      </c>
      <c r="D2563" t="s">
        <v>265</v>
      </c>
      <c r="E2563">
        <v>7063</v>
      </c>
      <c r="F2563" t="s">
        <v>602</v>
      </c>
      <c r="G2563" t="s">
        <v>278</v>
      </c>
      <c r="H2563" t="s">
        <v>271</v>
      </c>
      <c r="I2563">
        <v>118</v>
      </c>
    </row>
    <row r="2564" spans="1:10" x14ac:dyDescent="0.2">
      <c r="A2564" t="s">
        <v>437</v>
      </c>
      <c r="B2564" t="s">
        <v>263</v>
      </c>
      <c r="C2564" t="s">
        <v>264</v>
      </c>
      <c r="D2564" t="s">
        <v>265</v>
      </c>
      <c r="E2564">
        <v>7242</v>
      </c>
      <c r="F2564" t="s">
        <v>606</v>
      </c>
      <c r="G2564" t="s">
        <v>266</v>
      </c>
      <c r="H2564" t="s">
        <v>296</v>
      </c>
      <c r="I2564">
        <v>812</v>
      </c>
    </row>
    <row r="2565" spans="1:10" x14ac:dyDescent="0.2">
      <c r="A2565" t="s">
        <v>437</v>
      </c>
      <c r="B2565" t="s">
        <v>263</v>
      </c>
      <c r="C2565" t="s">
        <v>264</v>
      </c>
      <c r="D2565" t="s">
        <v>265</v>
      </c>
      <c r="E2565">
        <v>7618</v>
      </c>
      <c r="F2565" t="s">
        <v>3931</v>
      </c>
      <c r="G2565" t="s">
        <v>266</v>
      </c>
      <c r="H2565" t="s">
        <v>276</v>
      </c>
      <c r="I2565">
        <v>313</v>
      </c>
    </row>
    <row r="2566" spans="1:10" x14ac:dyDescent="0.2">
      <c r="A2566" t="s">
        <v>437</v>
      </c>
      <c r="B2566" t="s">
        <v>263</v>
      </c>
      <c r="C2566" t="s">
        <v>264</v>
      </c>
      <c r="D2566" t="s">
        <v>265</v>
      </c>
      <c r="E2566">
        <v>7670</v>
      </c>
      <c r="F2566" t="s">
        <v>3932</v>
      </c>
      <c r="G2566" t="s">
        <v>274</v>
      </c>
      <c r="H2566" t="s">
        <v>272</v>
      </c>
      <c r="I2566">
        <v>75</v>
      </c>
    </row>
    <row r="2567" spans="1:10" x14ac:dyDescent="0.2">
      <c r="A2567" t="s">
        <v>437</v>
      </c>
      <c r="B2567" t="s">
        <v>263</v>
      </c>
      <c r="C2567" t="s">
        <v>264</v>
      </c>
      <c r="D2567" t="s">
        <v>265</v>
      </c>
      <c r="E2567">
        <v>7758</v>
      </c>
      <c r="F2567" t="s">
        <v>3933</v>
      </c>
      <c r="G2567" t="s">
        <v>274</v>
      </c>
      <c r="H2567" t="s">
        <v>287</v>
      </c>
      <c r="I2567">
        <v>22</v>
      </c>
    </row>
    <row r="2568" spans="1:10" x14ac:dyDescent="0.2">
      <c r="A2568" t="s">
        <v>437</v>
      </c>
      <c r="B2568" t="s">
        <v>263</v>
      </c>
      <c r="C2568" t="s">
        <v>273</v>
      </c>
      <c r="D2568" t="s">
        <v>265</v>
      </c>
      <c r="E2568">
        <v>7814</v>
      </c>
      <c r="F2568" t="s">
        <v>3934</v>
      </c>
      <c r="G2568" t="s">
        <v>270</v>
      </c>
      <c r="H2568" t="s">
        <v>288</v>
      </c>
      <c r="I2568">
        <v>289</v>
      </c>
    </row>
    <row r="2569" spans="1:10" x14ac:dyDescent="0.2">
      <c r="A2569" t="s">
        <v>437</v>
      </c>
      <c r="B2569" t="s">
        <v>263</v>
      </c>
      <c r="C2569" t="s">
        <v>264</v>
      </c>
      <c r="D2569" t="s">
        <v>269</v>
      </c>
      <c r="E2569">
        <v>7851</v>
      </c>
      <c r="F2569" t="s">
        <v>3935</v>
      </c>
      <c r="G2569" t="s">
        <v>274</v>
      </c>
      <c r="H2569" t="s">
        <v>288</v>
      </c>
      <c r="I2569">
        <v>15</v>
      </c>
    </row>
    <row r="2570" spans="1:10" x14ac:dyDescent="0.2">
      <c r="A2570" t="s">
        <v>437</v>
      </c>
      <c r="B2570" t="s">
        <v>263</v>
      </c>
      <c r="C2570" t="s">
        <v>264</v>
      </c>
      <c r="D2570" t="s">
        <v>265</v>
      </c>
      <c r="E2570">
        <v>8066</v>
      </c>
      <c r="F2570" t="s">
        <v>3936</v>
      </c>
      <c r="G2570" t="s">
        <v>274</v>
      </c>
      <c r="H2570" t="s">
        <v>272</v>
      </c>
      <c r="I2570" t="s">
        <v>297</v>
      </c>
      <c r="J2570" t="s">
        <v>4950</v>
      </c>
    </row>
    <row r="2571" spans="1:10" x14ac:dyDescent="0.2">
      <c r="A2571" t="s">
        <v>437</v>
      </c>
      <c r="B2571" t="s">
        <v>263</v>
      </c>
      <c r="C2571" t="s">
        <v>273</v>
      </c>
      <c r="D2571" t="s">
        <v>265</v>
      </c>
      <c r="E2571">
        <v>8165</v>
      </c>
      <c r="F2571" t="s">
        <v>3937</v>
      </c>
      <c r="G2571" t="s">
        <v>266</v>
      </c>
      <c r="H2571" t="s">
        <v>276</v>
      </c>
      <c r="I2571">
        <v>243</v>
      </c>
    </row>
    <row r="2572" spans="1:10" x14ac:dyDescent="0.2">
      <c r="A2572" t="s">
        <v>437</v>
      </c>
      <c r="B2572" t="s">
        <v>263</v>
      </c>
      <c r="C2572" t="s">
        <v>264</v>
      </c>
      <c r="D2572" t="s">
        <v>265</v>
      </c>
      <c r="E2572">
        <v>8462</v>
      </c>
      <c r="F2572" t="s">
        <v>3938</v>
      </c>
      <c r="G2572" t="s">
        <v>270</v>
      </c>
      <c r="H2572" t="s">
        <v>1448</v>
      </c>
      <c r="I2572">
        <v>92</v>
      </c>
    </row>
    <row r="2573" spans="1:10" x14ac:dyDescent="0.2">
      <c r="A2573" t="s">
        <v>437</v>
      </c>
      <c r="B2573" t="s">
        <v>263</v>
      </c>
      <c r="C2573" t="s">
        <v>264</v>
      </c>
      <c r="D2573" t="s">
        <v>265</v>
      </c>
      <c r="E2573">
        <v>8783</v>
      </c>
      <c r="F2573" t="s">
        <v>3939</v>
      </c>
      <c r="G2573" t="s">
        <v>270</v>
      </c>
      <c r="H2573" t="s">
        <v>302</v>
      </c>
      <c r="I2573">
        <v>24</v>
      </c>
    </row>
    <row r="2574" spans="1:10" x14ac:dyDescent="0.2">
      <c r="A2574" t="s">
        <v>437</v>
      </c>
      <c r="B2574" t="s">
        <v>263</v>
      </c>
      <c r="C2574" t="s">
        <v>275</v>
      </c>
      <c r="D2574" t="s">
        <v>265</v>
      </c>
      <c r="E2574">
        <v>8912</v>
      </c>
      <c r="F2574" t="s">
        <v>3940</v>
      </c>
      <c r="G2574" t="s">
        <v>274</v>
      </c>
      <c r="H2574" t="s">
        <v>292</v>
      </c>
      <c r="I2574">
        <v>25</v>
      </c>
    </row>
    <row r="2575" spans="1:10" x14ac:dyDescent="0.2">
      <c r="A2575" t="s">
        <v>437</v>
      </c>
      <c r="B2575" t="s">
        <v>263</v>
      </c>
      <c r="C2575" t="s">
        <v>273</v>
      </c>
      <c r="D2575" t="s">
        <v>265</v>
      </c>
      <c r="E2575">
        <v>9419</v>
      </c>
      <c r="F2575" t="s">
        <v>4535</v>
      </c>
      <c r="G2575" t="s">
        <v>266</v>
      </c>
      <c r="H2575" t="s">
        <v>277</v>
      </c>
      <c r="I2575">
        <v>81</v>
      </c>
    </row>
    <row r="2576" spans="1:10" x14ac:dyDescent="0.2">
      <c r="A2576" t="s">
        <v>437</v>
      </c>
      <c r="B2576" t="s">
        <v>263</v>
      </c>
      <c r="C2576" t="s">
        <v>273</v>
      </c>
      <c r="D2576" t="s">
        <v>265</v>
      </c>
      <c r="E2576">
        <v>9755</v>
      </c>
      <c r="F2576" t="s">
        <v>1533</v>
      </c>
      <c r="G2576" t="s">
        <v>266</v>
      </c>
      <c r="H2576" t="s">
        <v>271</v>
      </c>
      <c r="I2576">
        <v>404</v>
      </c>
    </row>
    <row r="2577" spans="1:10" x14ac:dyDescent="0.2">
      <c r="A2577" t="s">
        <v>437</v>
      </c>
      <c r="B2577" t="s">
        <v>263</v>
      </c>
      <c r="C2577" t="s">
        <v>268</v>
      </c>
      <c r="D2577" t="s">
        <v>265</v>
      </c>
      <c r="E2577">
        <v>9823</v>
      </c>
      <c r="F2577" t="s">
        <v>3941</v>
      </c>
      <c r="G2577" t="s">
        <v>270</v>
      </c>
      <c r="H2577" t="s">
        <v>276</v>
      </c>
      <c r="I2577">
        <v>204</v>
      </c>
    </row>
    <row r="2578" spans="1:10" x14ac:dyDescent="0.2">
      <c r="A2578" t="s">
        <v>452</v>
      </c>
      <c r="B2578" t="s">
        <v>1915</v>
      </c>
      <c r="C2578" t="s">
        <v>264</v>
      </c>
      <c r="D2578" t="s">
        <v>265</v>
      </c>
      <c r="E2578">
        <v>1914</v>
      </c>
      <c r="F2578" t="s">
        <v>3942</v>
      </c>
      <c r="G2578" t="s">
        <v>266</v>
      </c>
      <c r="H2578" t="s">
        <v>293</v>
      </c>
      <c r="I2578">
        <v>126</v>
      </c>
    </row>
    <row r="2579" spans="1:10" x14ac:dyDescent="0.2">
      <c r="A2579" t="s">
        <v>452</v>
      </c>
      <c r="B2579" t="s">
        <v>1915</v>
      </c>
      <c r="C2579" t="s">
        <v>273</v>
      </c>
      <c r="D2579" t="s">
        <v>265</v>
      </c>
      <c r="E2579">
        <v>5105</v>
      </c>
      <c r="F2579" t="s">
        <v>3943</v>
      </c>
      <c r="G2579" t="s">
        <v>266</v>
      </c>
      <c r="H2579" t="s">
        <v>535</v>
      </c>
      <c r="I2579" t="s">
        <v>289</v>
      </c>
      <c r="J2579" t="s">
        <v>4370</v>
      </c>
    </row>
    <row r="2580" spans="1:10" x14ac:dyDescent="0.2">
      <c r="A2580" t="s">
        <v>452</v>
      </c>
      <c r="B2580" t="s">
        <v>1915</v>
      </c>
      <c r="C2580" t="s">
        <v>264</v>
      </c>
      <c r="D2580" t="s">
        <v>265</v>
      </c>
      <c r="E2580">
        <v>6699</v>
      </c>
      <c r="F2580" t="s">
        <v>3945</v>
      </c>
      <c r="G2580" t="s">
        <v>266</v>
      </c>
      <c r="H2580" t="s">
        <v>291</v>
      </c>
      <c r="I2580">
        <v>77</v>
      </c>
    </row>
    <row r="2581" spans="1:10" x14ac:dyDescent="0.2">
      <c r="A2581" t="s">
        <v>452</v>
      </c>
      <c r="B2581" t="s">
        <v>1915</v>
      </c>
      <c r="C2581" t="s">
        <v>264</v>
      </c>
      <c r="D2581" t="s">
        <v>265</v>
      </c>
      <c r="E2581">
        <v>8147</v>
      </c>
      <c r="F2581" t="s">
        <v>3946</v>
      </c>
      <c r="G2581" t="s">
        <v>270</v>
      </c>
      <c r="H2581" t="s">
        <v>272</v>
      </c>
      <c r="I2581">
        <v>79</v>
      </c>
    </row>
    <row r="2582" spans="1:10" x14ac:dyDescent="0.2">
      <c r="A2582" t="s">
        <v>452</v>
      </c>
      <c r="B2582" t="s">
        <v>684</v>
      </c>
      <c r="C2582" t="s">
        <v>273</v>
      </c>
      <c r="D2582" t="s">
        <v>265</v>
      </c>
      <c r="E2582">
        <v>4245</v>
      </c>
      <c r="F2582" t="s">
        <v>578</v>
      </c>
      <c r="G2582" t="s">
        <v>266</v>
      </c>
      <c r="H2582" t="s">
        <v>279</v>
      </c>
      <c r="I2582">
        <v>112</v>
      </c>
    </row>
    <row r="2583" spans="1:10" x14ac:dyDescent="0.2">
      <c r="A2583" t="s">
        <v>452</v>
      </c>
      <c r="B2583" t="s">
        <v>684</v>
      </c>
      <c r="C2583" t="s">
        <v>273</v>
      </c>
      <c r="D2583" t="s">
        <v>265</v>
      </c>
      <c r="E2583">
        <v>4631</v>
      </c>
      <c r="F2583" t="s">
        <v>589</v>
      </c>
      <c r="G2583" t="s">
        <v>266</v>
      </c>
      <c r="H2583" t="s">
        <v>279</v>
      </c>
      <c r="I2583" t="s">
        <v>289</v>
      </c>
      <c r="J2583" t="s">
        <v>5002</v>
      </c>
    </row>
    <row r="2584" spans="1:10" x14ac:dyDescent="0.2">
      <c r="A2584" t="s">
        <v>452</v>
      </c>
      <c r="B2584" t="s">
        <v>684</v>
      </c>
      <c r="C2584" t="s">
        <v>273</v>
      </c>
      <c r="D2584" t="s">
        <v>265</v>
      </c>
      <c r="E2584">
        <v>6141</v>
      </c>
      <c r="F2584" t="s">
        <v>455</v>
      </c>
      <c r="G2584" t="s">
        <v>266</v>
      </c>
      <c r="H2584" t="s">
        <v>287</v>
      </c>
      <c r="I2584" t="s">
        <v>289</v>
      </c>
      <c r="J2584" t="s">
        <v>5074</v>
      </c>
    </row>
    <row r="2585" spans="1:10" x14ac:dyDescent="0.2">
      <c r="A2585" t="s">
        <v>452</v>
      </c>
      <c r="B2585" t="s">
        <v>684</v>
      </c>
      <c r="C2585" t="s">
        <v>273</v>
      </c>
      <c r="D2585" t="s">
        <v>269</v>
      </c>
      <c r="E2585">
        <v>6164</v>
      </c>
      <c r="F2585" t="s">
        <v>3947</v>
      </c>
      <c r="G2585" t="s">
        <v>270</v>
      </c>
      <c r="H2585" t="s">
        <v>287</v>
      </c>
      <c r="I2585">
        <v>84</v>
      </c>
    </row>
    <row r="2586" spans="1:10" x14ac:dyDescent="0.2">
      <c r="A2586" t="s">
        <v>452</v>
      </c>
      <c r="B2586" t="s">
        <v>684</v>
      </c>
      <c r="C2586" t="s">
        <v>264</v>
      </c>
      <c r="D2586" t="s">
        <v>265</v>
      </c>
      <c r="E2586">
        <v>9435</v>
      </c>
      <c r="F2586" t="s">
        <v>3948</v>
      </c>
      <c r="G2586" t="s">
        <v>266</v>
      </c>
      <c r="H2586" t="s">
        <v>277</v>
      </c>
      <c r="I2586" t="s">
        <v>545</v>
      </c>
      <c r="J2586" t="s">
        <v>5007</v>
      </c>
    </row>
    <row r="2587" spans="1:10" x14ac:dyDescent="0.2">
      <c r="A2587" t="s">
        <v>452</v>
      </c>
      <c r="B2587" t="s">
        <v>1481</v>
      </c>
      <c r="C2587" t="s">
        <v>264</v>
      </c>
      <c r="D2587" t="s">
        <v>265</v>
      </c>
      <c r="E2587">
        <v>4203</v>
      </c>
      <c r="F2587" t="s">
        <v>1524</v>
      </c>
      <c r="G2587" t="s">
        <v>266</v>
      </c>
      <c r="H2587" t="s">
        <v>279</v>
      </c>
      <c r="I2587" t="s">
        <v>289</v>
      </c>
      <c r="J2587" t="s">
        <v>4448</v>
      </c>
    </row>
    <row r="2588" spans="1:10" x14ac:dyDescent="0.2">
      <c r="A2588" t="s">
        <v>452</v>
      </c>
      <c r="B2588" t="s">
        <v>1481</v>
      </c>
      <c r="C2588" t="s">
        <v>264</v>
      </c>
      <c r="D2588" t="s">
        <v>265</v>
      </c>
      <c r="E2588">
        <v>4401</v>
      </c>
      <c r="F2588" t="s">
        <v>3949</v>
      </c>
      <c r="G2588" t="s">
        <v>266</v>
      </c>
      <c r="H2588" t="s">
        <v>279</v>
      </c>
      <c r="I2588" t="s">
        <v>297</v>
      </c>
      <c r="J2588" t="s">
        <v>4605</v>
      </c>
    </row>
    <row r="2589" spans="1:10" x14ac:dyDescent="0.2">
      <c r="A2589" t="s">
        <v>452</v>
      </c>
      <c r="B2589" t="s">
        <v>1481</v>
      </c>
      <c r="C2589" t="s">
        <v>273</v>
      </c>
      <c r="D2589" t="s">
        <v>265</v>
      </c>
      <c r="E2589">
        <v>4578</v>
      </c>
      <c r="F2589" t="s">
        <v>3950</v>
      </c>
      <c r="G2589" t="s">
        <v>266</v>
      </c>
      <c r="H2589" t="s">
        <v>311</v>
      </c>
      <c r="I2589" t="s">
        <v>3951</v>
      </c>
      <c r="J2589" t="s">
        <v>4620</v>
      </c>
    </row>
    <row r="2590" spans="1:10" x14ac:dyDescent="0.2">
      <c r="A2590" t="s">
        <v>452</v>
      </c>
      <c r="B2590" t="s">
        <v>1481</v>
      </c>
      <c r="C2590" t="s">
        <v>273</v>
      </c>
      <c r="D2590" t="s">
        <v>265</v>
      </c>
      <c r="E2590">
        <v>5101</v>
      </c>
      <c r="F2590" t="s">
        <v>1832</v>
      </c>
      <c r="G2590" t="s">
        <v>266</v>
      </c>
      <c r="H2590" t="s">
        <v>535</v>
      </c>
      <c r="I2590" t="s">
        <v>333</v>
      </c>
      <c r="J2590" t="s">
        <v>5075</v>
      </c>
    </row>
    <row r="2591" spans="1:10" x14ac:dyDescent="0.2">
      <c r="A2591" t="s">
        <v>452</v>
      </c>
      <c r="B2591" t="s">
        <v>1481</v>
      </c>
      <c r="C2591" t="s">
        <v>264</v>
      </c>
      <c r="D2591" t="s">
        <v>269</v>
      </c>
      <c r="E2591">
        <v>5268</v>
      </c>
      <c r="F2591" t="s">
        <v>3952</v>
      </c>
      <c r="G2591" t="s">
        <v>274</v>
      </c>
      <c r="H2591" t="s">
        <v>308</v>
      </c>
      <c r="I2591">
        <v>98</v>
      </c>
    </row>
    <row r="2592" spans="1:10" x14ac:dyDescent="0.2">
      <c r="A2592" t="s">
        <v>452</v>
      </c>
      <c r="B2592" t="s">
        <v>1481</v>
      </c>
      <c r="C2592" t="s">
        <v>273</v>
      </c>
      <c r="D2592" t="s">
        <v>265</v>
      </c>
      <c r="E2592">
        <v>6078</v>
      </c>
      <c r="F2592" t="s">
        <v>3953</v>
      </c>
      <c r="G2592" t="s">
        <v>266</v>
      </c>
      <c r="H2592" t="s">
        <v>271</v>
      </c>
      <c r="I2592">
        <v>199</v>
      </c>
    </row>
    <row r="2593" spans="1:9" x14ac:dyDescent="0.2">
      <c r="A2593" t="s">
        <v>452</v>
      </c>
      <c r="B2593" t="s">
        <v>1481</v>
      </c>
      <c r="C2593" t="s">
        <v>275</v>
      </c>
      <c r="D2593" t="s">
        <v>265</v>
      </c>
      <c r="E2593">
        <v>9417</v>
      </c>
      <c r="F2593" t="s">
        <v>3954</v>
      </c>
      <c r="G2593" t="s">
        <v>266</v>
      </c>
      <c r="H2593" t="s">
        <v>277</v>
      </c>
      <c r="I2593">
        <v>84</v>
      </c>
    </row>
    <row r="2594" spans="1:9" x14ac:dyDescent="0.2">
      <c r="A2594" t="s">
        <v>452</v>
      </c>
      <c r="B2594" t="s">
        <v>1481</v>
      </c>
      <c r="C2594" t="s">
        <v>264</v>
      </c>
      <c r="D2594" t="s">
        <v>269</v>
      </c>
      <c r="E2594">
        <v>9904</v>
      </c>
      <c r="F2594" t="s">
        <v>3955</v>
      </c>
      <c r="G2594" t="s">
        <v>274</v>
      </c>
      <c r="H2594" t="s">
        <v>276</v>
      </c>
      <c r="I2594">
        <v>98</v>
      </c>
    </row>
    <row r="2595" spans="1:9" x14ac:dyDescent="0.2">
      <c r="A2595" t="s">
        <v>452</v>
      </c>
      <c r="B2595" t="s">
        <v>686</v>
      </c>
      <c r="C2595" t="s">
        <v>264</v>
      </c>
      <c r="D2595" t="s">
        <v>265</v>
      </c>
      <c r="E2595">
        <v>1780</v>
      </c>
      <c r="F2595" t="s">
        <v>3956</v>
      </c>
      <c r="G2595" t="s">
        <v>266</v>
      </c>
      <c r="H2595" t="s">
        <v>293</v>
      </c>
      <c r="I2595">
        <v>198</v>
      </c>
    </row>
    <row r="2596" spans="1:9" x14ac:dyDescent="0.2">
      <c r="A2596" t="s">
        <v>452</v>
      </c>
      <c r="B2596" t="s">
        <v>686</v>
      </c>
      <c r="C2596" t="s">
        <v>264</v>
      </c>
      <c r="D2596" t="s">
        <v>265</v>
      </c>
      <c r="E2596">
        <v>1841</v>
      </c>
      <c r="F2596" t="s">
        <v>3957</v>
      </c>
      <c r="G2596" t="s">
        <v>270</v>
      </c>
      <c r="H2596" t="s">
        <v>293</v>
      </c>
      <c r="I2596">
        <v>42</v>
      </c>
    </row>
    <row r="2597" spans="1:9" x14ac:dyDescent="0.2">
      <c r="A2597" t="s">
        <v>452</v>
      </c>
      <c r="B2597" t="s">
        <v>686</v>
      </c>
      <c r="C2597" t="s">
        <v>273</v>
      </c>
      <c r="D2597" t="s">
        <v>269</v>
      </c>
      <c r="E2597">
        <v>3940</v>
      </c>
      <c r="F2597" t="s">
        <v>3958</v>
      </c>
      <c r="G2597" t="s">
        <v>266</v>
      </c>
      <c r="H2597" t="s">
        <v>277</v>
      </c>
      <c r="I2597">
        <v>63</v>
      </c>
    </row>
    <row r="2598" spans="1:9" x14ac:dyDescent="0.2">
      <c r="A2598" t="s">
        <v>452</v>
      </c>
      <c r="B2598" t="s">
        <v>686</v>
      </c>
      <c r="C2598" t="s">
        <v>264</v>
      </c>
      <c r="D2598" t="s">
        <v>265</v>
      </c>
      <c r="E2598">
        <v>4022</v>
      </c>
      <c r="F2598" t="s">
        <v>3959</v>
      </c>
      <c r="G2598" t="s">
        <v>266</v>
      </c>
      <c r="H2598" t="s">
        <v>279</v>
      </c>
      <c r="I2598">
        <v>122</v>
      </c>
    </row>
    <row r="2599" spans="1:9" x14ac:dyDescent="0.2">
      <c r="A2599" t="s">
        <v>452</v>
      </c>
      <c r="B2599" t="s">
        <v>686</v>
      </c>
      <c r="C2599" t="s">
        <v>264</v>
      </c>
      <c r="D2599" t="s">
        <v>265</v>
      </c>
      <c r="E2599">
        <v>4031</v>
      </c>
      <c r="F2599" t="s">
        <v>4536</v>
      </c>
      <c r="G2599" t="s">
        <v>266</v>
      </c>
      <c r="H2599" t="s">
        <v>279</v>
      </c>
      <c r="I2599">
        <v>124</v>
      </c>
    </row>
    <row r="2600" spans="1:9" x14ac:dyDescent="0.2">
      <c r="A2600" t="s">
        <v>452</v>
      </c>
      <c r="B2600" t="s">
        <v>686</v>
      </c>
      <c r="C2600" t="s">
        <v>264</v>
      </c>
      <c r="D2600" t="s">
        <v>269</v>
      </c>
      <c r="E2600">
        <v>4598</v>
      </c>
      <c r="F2600" t="s">
        <v>3960</v>
      </c>
      <c r="G2600" t="s">
        <v>278</v>
      </c>
      <c r="H2600" t="s">
        <v>311</v>
      </c>
      <c r="I2600">
        <v>69</v>
      </c>
    </row>
    <row r="2601" spans="1:9" x14ac:dyDescent="0.2">
      <c r="A2601" t="s">
        <v>452</v>
      </c>
      <c r="B2601" t="s">
        <v>686</v>
      </c>
      <c r="C2601" t="s">
        <v>264</v>
      </c>
      <c r="D2601" t="s">
        <v>265</v>
      </c>
      <c r="E2601">
        <v>4620</v>
      </c>
      <c r="F2601" t="s">
        <v>454</v>
      </c>
      <c r="G2601" t="s">
        <v>266</v>
      </c>
      <c r="H2601" t="s">
        <v>279</v>
      </c>
      <c r="I2601">
        <v>187</v>
      </c>
    </row>
    <row r="2602" spans="1:9" x14ac:dyDescent="0.2">
      <c r="A2602" t="s">
        <v>452</v>
      </c>
      <c r="B2602" t="s">
        <v>686</v>
      </c>
      <c r="C2602" t="s">
        <v>273</v>
      </c>
      <c r="D2602" t="s">
        <v>265</v>
      </c>
      <c r="E2602">
        <v>5184</v>
      </c>
      <c r="F2602" t="s">
        <v>3961</v>
      </c>
      <c r="G2602" t="s">
        <v>274</v>
      </c>
      <c r="H2602" t="s">
        <v>535</v>
      </c>
      <c r="I2602">
        <v>281</v>
      </c>
    </row>
    <row r="2603" spans="1:9" x14ac:dyDescent="0.2">
      <c r="A2603" t="s">
        <v>452</v>
      </c>
      <c r="B2603" t="s">
        <v>686</v>
      </c>
      <c r="C2603" t="s">
        <v>264</v>
      </c>
      <c r="D2603" t="s">
        <v>265</v>
      </c>
      <c r="E2603">
        <v>5262</v>
      </c>
      <c r="F2603" t="s">
        <v>3962</v>
      </c>
      <c r="G2603" t="s">
        <v>266</v>
      </c>
      <c r="H2603" t="s">
        <v>308</v>
      </c>
      <c r="I2603">
        <v>245</v>
      </c>
    </row>
    <row r="2604" spans="1:9" x14ac:dyDescent="0.2">
      <c r="A2604" t="s">
        <v>452</v>
      </c>
      <c r="B2604" t="s">
        <v>686</v>
      </c>
      <c r="C2604" t="s">
        <v>273</v>
      </c>
      <c r="D2604" t="s">
        <v>265</v>
      </c>
      <c r="E2604">
        <v>6149</v>
      </c>
      <c r="F2604" t="s">
        <v>3963</v>
      </c>
      <c r="G2604" t="s">
        <v>270</v>
      </c>
      <c r="H2604" t="s">
        <v>287</v>
      </c>
      <c r="I2604">
        <v>157</v>
      </c>
    </row>
    <row r="2605" spans="1:9" x14ac:dyDescent="0.2">
      <c r="A2605" t="s">
        <v>452</v>
      </c>
      <c r="B2605" t="s">
        <v>686</v>
      </c>
      <c r="C2605" t="s">
        <v>264</v>
      </c>
      <c r="D2605" t="s">
        <v>265</v>
      </c>
      <c r="E2605">
        <v>6247</v>
      </c>
      <c r="F2605" t="s">
        <v>456</v>
      </c>
      <c r="G2605" t="s">
        <v>266</v>
      </c>
      <c r="H2605" t="s">
        <v>287</v>
      </c>
      <c r="I2605">
        <v>313</v>
      </c>
    </row>
    <row r="2606" spans="1:9" x14ac:dyDescent="0.2">
      <c r="A2606" t="s">
        <v>452</v>
      </c>
      <c r="B2606" t="s">
        <v>686</v>
      </c>
      <c r="C2606" t="s">
        <v>264</v>
      </c>
      <c r="D2606" t="s">
        <v>265</v>
      </c>
      <c r="E2606">
        <v>6620</v>
      </c>
      <c r="F2606" t="s">
        <v>3964</v>
      </c>
      <c r="G2606" t="s">
        <v>266</v>
      </c>
      <c r="H2606" t="s">
        <v>291</v>
      </c>
      <c r="I2606">
        <v>429</v>
      </c>
    </row>
    <row r="2607" spans="1:9" x14ac:dyDescent="0.2">
      <c r="A2607" t="s">
        <v>452</v>
      </c>
      <c r="B2607" t="s">
        <v>686</v>
      </c>
      <c r="C2607" t="s">
        <v>273</v>
      </c>
      <c r="D2607" t="s">
        <v>265</v>
      </c>
      <c r="E2607">
        <v>6977</v>
      </c>
      <c r="F2607" t="s">
        <v>3965</v>
      </c>
      <c r="G2607" t="s">
        <v>274</v>
      </c>
      <c r="H2607" t="s">
        <v>291</v>
      </c>
      <c r="I2607">
        <v>15</v>
      </c>
    </row>
    <row r="2608" spans="1:9" x14ac:dyDescent="0.2">
      <c r="A2608" t="s">
        <v>452</v>
      </c>
      <c r="B2608" t="s">
        <v>686</v>
      </c>
      <c r="C2608" t="s">
        <v>264</v>
      </c>
      <c r="D2608" t="s">
        <v>265</v>
      </c>
      <c r="E2608">
        <v>7953</v>
      </c>
      <c r="F2608" t="s">
        <v>3966</v>
      </c>
      <c r="G2608" t="s">
        <v>274</v>
      </c>
      <c r="H2608" t="s">
        <v>288</v>
      </c>
      <c r="I2608">
        <v>62</v>
      </c>
    </row>
    <row r="2609" spans="1:10" x14ac:dyDescent="0.2">
      <c r="A2609" t="s">
        <v>452</v>
      </c>
      <c r="B2609" t="s">
        <v>686</v>
      </c>
      <c r="C2609" t="s">
        <v>273</v>
      </c>
      <c r="D2609" t="s">
        <v>269</v>
      </c>
      <c r="E2609">
        <v>8040</v>
      </c>
      <c r="F2609" t="s">
        <v>3967</v>
      </c>
      <c r="G2609" t="s">
        <v>274</v>
      </c>
      <c r="H2609" t="s">
        <v>299</v>
      </c>
      <c r="I2609">
        <v>33</v>
      </c>
    </row>
    <row r="2610" spans="1:10" x14ac:dyDescent="0.2">
      <c r="A2610" t="s">
        <v>452</v>
      </c>
      <c r="B2610" t="s">
        <v>686</v>
      </c>
      <c r="C2610" t="s">
        <v>264</v>
      </c>
      <c r="D2610" t="s">
        <v>265</v>
      </c>
      <c r="E2610">
        <v>9605</v>
      </c>
      <c r="F2610" t="s">
        <v>3968</v>
      </c>
      <c r="G2610" t="s">
        <v>266</v>
      </c>
      <c r="H2610" t="s">
        <v>277</v>
      </c>
      <c r="I2610" t="s">
        <v>289</v>
      </c>
      <c r="J2610" t="s">
        <v>4695</v>
      </c>
    </row>
    <row r="2611" spans="1:10" x14ac:dyDescent="0.2">
      <c r="A2611" t="s">
        <v>452</v>
      </c>
      <c r="B2611" t="s">
        <v>327</v>
      </c>
      <c r="C2611" t="s">
        <v>264</v>
      </c>
      <c r="D2611" t="s">
        <v>265</v>
      </c>
      <c r="E2611">
        <v>1443</v>
      </c>
      <c r="F2611" t="s">
        <v>3969</v>
      </c>
      <c r="G2611" t="s">
        <v>274</v>
      </c>
      <c r="H2611" t="s">
        <v>293</v>
      </c>
      <c r="I2611">
        <v>69</v>
      </c>
    </row>
    <row r="2612" spans="1:10" x14ac:dyDescent="0.2">
      <c r="A2612" t="s">
        <v>452</v>
      </c>
      <c r="B2612" t="s">
        <v>327</v>
      </c>
      <c r="C2612" t="s">
        <v>275</v>
      </c>
      <c r="D2612" t="s">
        <v>265</v>
      </c>
      <c r="E2612">
        <v>1716</v>
      </c>
      <c r="F2612" t="s">
        <v>3970</v>
      </c>
      <c r="G2612" t="s">
        <v>266</v>
      </c>
      <c r="H2612" t="s">
        <v>293</v>
      </c>
      <c r="I2612">
        <v>111</v>
      </c>
    </row>
    <row r="2613" spans="1:10" x14ac:dyDescent="0.2">
      <c r="A2613" t="s">
        <v>452</v>
      </c>
      <c r="B2613" t="s">
        <v>327</v>
      </c>
      <c r="C2613" t="s">
        <v>264</v>
      </c>
      <c r="D2613" t="s">
        <v>265</v>
      </c>
      <c r="E2613">
        <v>1782</v>
      </c>
      <c r="F2613" t="s">
        <v>3971</v>
      </c>
      <c r="G2613" t="s">
        <v>270</v>
      </c>
      <c r="H2613" t="s">
        <v>293</v>
      </c>
      <c r="I2613">
        <v>50</v>
      </c>
    </row>
    <row r="2614" spans="1:10" x14ac:dyDescent="0.2">
      <c r="A2614" t="s">
        <v>452</v>
      </c>
      <c r="B2614" t="s">
        <v>327</v>
      </c>
      <c r="C2614" t="s">
        <v>268</v>
      </c>
      <c r="D2614" t="s">
        <v>265</v>
      </c>
      <c r="E2614">
        <v>1783</v>
      </c>
      <c r="F2614" t="s">
        <v>3972</v>
      </c>
      <c r="G2614" t="s">
        <v>270</v>
      </c>
      <c r="H2614" t="s">
        <v>293</v>
      </c>
      <c r="I2614">
        <v>36</v>
      </c>
    </row>
    <row r="2615" spans="1:10" x14ac:dyDescent="0.2">
      <c r="A2615" t="s">
        <v>452</v>
      </c>
      <c r="B2615" t="s">
        <v>327</v>
      </c>
      <c r="C2615" t="s">
        <v>264</v>
      </c>
      <c r="D2615" t="s">
        <v>269</v>
      </c>
      <c r="E2615">
        <v>1971</v>
      </c>
      <c r="F2615" t="s">
        <v>3973</v>
      </c>
      <c r="G2615" t="s">
        <v>274</v>
      </c>
      <c r="H2615" t="s">
        <v>281</v>
      </c>
      <c r="I2615">
        <v>18</v>
      </c>
    </row>
    <row r="2616" spans="1:10" x14ac:dyDescent="0.2">
      <c r="A2616" t="s">
        <v>452</v>
      </c>
      <c r="B2616" t="s">
        <v>327</v>
      </c>
      <c r="C2616" t="s">
        <v>273</v>
      </c>
      <c r="D2616" t="s">
        <v>265</v>
      </c>
      <c r="E2616">
        <v>2124</v>
      </c>
      <c r="F2616" t="s">
        <v>3974</v>
      </c>
      <c r="G2616" t="s">
        <v>266</v>
      </c>
      <c r="H2616" t="s">
        <v>271</v>
      </c>
      <c r="I2616">
        <v>752</v>
      </c>
    </row>
    <row r="2617" spans="1:10" x14ac:dyDescent="0.2">
      <c r="A2617" t="s">
        <v>452</v>
      </c>
      <c r="B2617" t="s">
        <v>327</v>
      </c>
      <c r="C2617" t="s">
        <v>275</v>
      </c>
      <c r="D2617" t="s">
        <v>265</v>
      </c>
      <c r="E2617">
        <v>2154</v>
      </c>
      <c r="F2617" t="s">
        <v>3975</v>
      </c>
      <c r="G2617" t="s">
        <v>266</v>
      </c>
      <c r="H2617" t="s">
        <v>271</v>
      </c>
      <c r="I2617">
        <v>566</v>
      </c>
    </row>
    <row r="2618" spans="1:10" x14ac:dyDescent="0.2">
      <c r="A2618" t="s">
        <v>452</v>
      </c>
      <c r="B2618" t="s">
        <v>327</v>
      </c>
      <c r="C2618" t="s">
        <v>273</v>
      </c>
      <c r="D2618" t="s">
        <v>265</v>
      </c>
      <c r="E2618">
        <v>2160</v>
      </c>
      <c r="F2618" t="s">
        <v>4537</v>
      </c>
      <c r="G2618" t="s">
        <v>278</v>
      </c>
      <c r="H2618" t="s">
        <v>311</v>
      </c>
      <c r="I2618">
        <v>934</v>
      </c>
    </row>
    <row r="2619" spans="1:10" x14ac:dyDescent="0.2">
      <c r="A2619" t="s">
        <v>452</v>
      </c>
      <c r="B2619" t="s">
        <v>327</v>
      </c>
      <c r="C2619" t="s">
        <v>273</v>
      </c>
      <c r="D2619" t="s">
        <v>265</v>
      </c>
      <c r="E2619">
        <v>2174</v>
      </c>
      <c r="F2619" t="s">
        <v>3976</v>
      </c>
      <c r="G2619" t="s">
        <v>266</v>
      </c>
      <c r="H2619" t="s">
        <v>271</v>
      </c>
      <c r="I2619">
        <v>396</v>
      </c>
    </row>
    <row r="2620" spans="1:10" x14ac:dyDescent="0.2">
      <c r="A2620" t="s">
        <v>452</v>
      </c>
      <c r="B2620" t="s">
        <v>327</v>
      </c>
      <c r="C2620" t="s">
        <v>264</v>
      </c>
      <c r="D2620" t="s">
        <v>265</v>
      </c>
      <c r="E2620">
        <v>2181</v>
      </c>
      <c r="F2620" t="s">
        <v>656</v>
      </c>
      <c r="G2620" t="s">
        <v>266</v>
      </c>
      <c r="H2620" t="s">
        <v>271</v>
      </c>
      <c r="I2620" t="s">
        <v>316</v>
      </c>
      <c r="J2620" t="s">
        <v>5076</v>
      </c>
    </row>
    <row r="2621" spans="1:10" x14ac:dyDescent="0.2">
      <c r="A2621" t="s">
        <v>452</v>
      </c>
      <c r="B2621" t="s">
        <v>327</v>
      </c>
      <c r="C2621" t="s">
        <v>273</v>
      </c>
      <c r="D2621" t="s">
        <v>265</v>
      </c>
      <c r="E2621">
        <v>2195</v>
      </c>
      <c r="F2621" t="s">
        <v>3977</v>
      </c>
      <c r="G2621" t="s">
        <v>270</v>
      </c>
      <c r="H2621" t="s">
        <v>271</v>
      </c>
      <c r="I2621">
        <v>35</v>
      </c>
    </row>
    <row r="2622" spans="1:10" x14ac:dyDescent="0.2">
      <c r="A2622" t="s">
        <v>452</v>
      </c>
      <c r="B2622" t="s">
        <v>327</v>
      </c>
      <c r="C2622" t="s">
        <v>273</v>
      </c>
      <c r="D2622" t="s">
        <v>265</v>
      </c>
      <c r="E2622">
        <v>2206</v>
      </c>
      <c r="F2622" t="s">
        <v>3978</v>
      </c>
      <c r="G2622" t="s">
        <v>266</v>
      </c>
      <c r="H2622" t="s">
        <v>267</v>
      </c>
      <c r="I2622" t="s">
        <v>333</v>
      </c>
      <c r="J2622" t="s">
        <v>5051</v>
      </c>
    </row>
    <row r="2623" spans="1:10" x14ac:dyDescent="0.2">
      <c r="A2623" t="s">
        <v>452</v>
      </c>
      <c r="B2623" t="s">
        <v>327</v>
      </c>
      <c r="C2623" t="s">
        <v>273</v>
      </c>
      <c r="D2623" t="s">
        <v>265</v>
      </c>
      <c r="E2623">
        <v>2212</v>
      </c>
      <c r="F2623" t="s">
        <v>3979</v>
      </c>
      <c r="G2623" t="s">
        <v>266</v>
      </c>
      <c r="H2623" t="s">
        <v>267</v>
      </c>
      <c r="I2623" t="s">
        <v>316</v>
      </c>
      <c r="J2623" t="s">
        <v>4978</v>
      </c>
    </row>
    <row r="2624" spans="1:10" x14ac:dyDescent="0.2">
      <c r="A2624" t="s">
        <v>452</v>
      </c>
      <c r="B2624" t="s">
        <v>327</v>
      </c>
      <c r="C2624" t="s">
        <v>264</v>
      </c>
      <c r="D2624" t="s">
        <v>265</v>
      </c>
      <c r="E2624">
        <v>2329</v>
      </c>
      <c r="F2624" t="s">
        <v>3980</v>
      </c>
      <c r="G2624" t="s">
        <v>270</v>
      </c>
      <c r="H2624" t="s">
        <v>277</v>
      </c>
      <c r="I2624">
        <v>315</v>
      </c>
    </row>
    <row r="2625" spans="1:10" x14ac:dyDescent="0.2">
      <c r="A2625" t="s">
        <v>452</v>
      </c>
      <c r="B2625" t="s">
        <v>327</v>
      </c>
      <c r="C2625" t="s">
        <v>264</v>
      </c>
      <c r="D2625" t="s">
        <v>265</v>
      </c>
      <c r="E2625">
        <v>2415</v>
      </c>
      <c r="F2625" t="s">
        <v>3981</v>
      </c>
      <c r="G2625" t="s">
        <v>270</v>
      </c>
      <c r="H2625" t="s">
        <v>271</v>
      </c>
      <c r="I2625">
        <v>153</v>
      </c>
    </row>
    <row r="2626" spans="1:10" x14ac:dyDescent="0.2">
      <c r="A2626" t="s">
        <v>452</v>
      </c>
      <c r="B2626" t="s">
        <v>327</v>
      </c>
      <c r="C2626" t="s">
        <v>273</v>
      </c>
      <c r="D2626" t="s">
        <v>265</v>
      </c>
      <c r="E2626">
        <v>2418</v>
      </c>
      <c r="F2626" t="s">
        <v>3982</v>
      </c>
      <c r="G2626" t="s">
        <v>266</v>
      </c>
      <c r="H2626" t="s">
        <v>271</v>
      </c>
      <c r="I2626">
        <v>288</v>
      </c>
    </row>
    <row r="2627" spans="1:10" x14ac:dyDescent="0.2">
      <c r="A2627" t="s">
        <v>452</v>
      </c>
      <c r="B2627" t="s">
        <v>327</v>
      </c>
      <c r="C2627" t="s">
        <v>273</v>
      </c>
      <c r="D2627" t="s">
        <v>265</v>
      </c>
      <c r="E2627">
        <v>2492</v>
      </c>
      <c r="F2627" t="s">
        <v>734</v>
      </c>
      <c r="G2627" t="s">
        <v>266</v>
      </c>
      <c r="H2627" t="s">
        <v>271</v>
      </c>
      <c r="I2627" t="s">
        <v>289</v>
      </c>
      <c r="J2627" t="s">
        <v>5077</v>
      </c>
    </row>
    <row r="2628" spans="1:10" x14ac:dyDescent="0.2">
      <c r="A2628" t="s">
        <v>452</v>
      </c>
      <c r="B2628" t="s">
        <v>327</v>
      </c>
      <c r="C2628" t="s">
        <v>268</v>
      </c>
      <c r="D2628" t="s">
        <v>265</v>
      </c>
      <c r="E2628">
        <v>2498</v>
      </c>
      <c r="F2628" t="s">
        <v>1502</v>
      </c>
      <c r="G2628" t="s">
        <v>270</v>
      </c>
      <c r="H2628" t="s">
        <v>271</v>
      </c>
      <c r="I2628">
        <v>215</v>
      </c>
    </row>
    <row r="2629" spans="1:10" x14ac:dyDescent="0.2">
      <c r="A2629" t="s">
        <v>452</v>
      </c>
      <c r="B2629" t="s">
        <v>327</v>
      </c>
      <c r="C2629" t="s">
        <v>273</v>
      </c>
      <c r="D2629" t="s">
        <v>265</v>
      </c>
      <c r="E2629">
        <v>2503</v>
      </c>
      <c r="F2629" t="s">
        <v>3983</v>
      </c>
      <c r="G2629" t="s">
        <v>266</v>
      </c>
      <c r="H2629" t="s">
        <v>267</v>
      </c>
      <c r="I2629" t="s">
        <v>1783</v>
      </c>
      <c r="J2629" t="s">
        <v>4307</v>
      </c>
    </row>
    <row r="2630" spans="1:10" x14ac:dyDescent="0.2">
      <c r="A2630" t="s">
        <v>452</v>
      </c>
      <c r="B2630" t="s">
        <v>327</v>
      </c>
      <c r="C2630" t="s">
        <v>264</v>
      </c>
      <c r="D2630" t="s">
        <v>265</v>
      </c>
      <c r="E2630">
        <v>2673</v>
      </c>
      <c r="F2630" t="s">
        <v>3984</v>
      </c>
      <c r="G2630" t="s">
        <v>270</v>
      </c>
      <c r="H2630" t="s">
        <v>276</v>
      </c>
      <c r="I2630">
        <v>15</v>
      </c>
    </row>
    <row r="2631" spans="1:10" x14ac:dyDescent="0.2">
      <c r="A2631" t="s">
        <v>452</v>
      </c>
      <c r="B2631" t="s">
        <v>327</v>
      </c>
      <c r="C2631" t="s">
        <v>273</v>
      </c>
      <c r="D2631" t="s">
        <v>265</v>
      </c>
      <c r="E2631">
        <v>2700</v>
      </c>
      <c r="F2631" t="s">
        <v>1824</v>
      </c>
      <c r="G2631" t="s">
        <v>270</v>
      </c>
      <c r="H2631" t="s">
        <v>272</v>
      </c>
      <c r="I2631">
        <v>59</v>
      </c>
    </row>
    <row r="2632" spans="1:10" x14ac:dyDescent="0.2">
      <c r="A2632" t="s">
        <v>452</v>
      </c>
      <c r="B2632" t="s">
        <v>327</v>
      </c>
      <c r="C2632" t="s">
        <v>264</v>
      </c>
      <c r="D2632" t="s">
        <v>265</v>
      </c>
      <c r="E2632">
        <v>2708</v>
      </c>
      <c r="F2632" t="s">
        <v>3985</v>
      </c>
      <c r="G2632" t="s">
        <v>270</v>
      </c>
      <c r="H2632" t="s">
        <v>272</v>
      </c>
      <c r="I2632">
        <v>36</v>
      </c>
    </row>
    <row r="2633" spans="1:10" x14ac:dyDescent="0.2">
      <c r="A2633" t="s">
        <v>452</v>
      </c>
      <c r="B2633" t="s">
        <v>327</v>
      </c>
      <c r="C2633" t="s">
        <v>273</v>
      </c>
      <c r="D2633" t="s">
        <v>265</v>
      </c>
      <c r="E2633">
        <v>2752</v>
      </c>
      <c r="F2633" t="s">
        <v>3986</v>
      </c>
      <c r="G2633" t="s">
        <v>266</v>
      </c>
      <c r="H2633" t="s">
        <v>276</v>
      </c>
      <c r="I2633">
        <v>825</v>
      </c>
    </row>
    <row r="2634" spans="1:10" x14ac:dyDescent="0.2">
      <c r="A2634" t="s">
        <v>452</v>
      </c>
      <c r="B2634" t="s">
        <v>327</v>
      </c>
      <c r="C2634" t="s">
        <v>264</v>
      </c>
      <c r="D2634" t="s">
        <v>265</v>
      </c>
      <c r="E2634">
        <v>2767</v>
      </c>
      <c r="F2634" t="s">
        <v>4538</v>
      </c>
      <c r="G2634" t="s">
        <v>266</v>
      </c>
      <c r="H2634" t="s">
        <v>272</v>
      </c>
      <c r="I2634">
        <v>212</v>
      </c>
    </row>
    <row r="2635" spans="1:10" x14ac:dyDescent="0.2">
      <c r="A2635" t="s">
        <v>452</v>
      </c>
      <c r="B2635" t="s">
        <v>327</v>
      </c>
      <c r="C2635" t="s">
        <v>273</v>
      </c>
      <c r="D2635" t="s">
        <v>265</v>
      </c>
      <c r="E2635">
        <v>2788</v>
      </c>
      <c r="F2635" t="s">
        <v>3987</v>
      </c>
      <c r="G2635" t="s">
        <v>274</v>
      </c>
      <c r="H2635" t="s">
        <v>272</v>
      </c>
      <c r="I2635">
        <v>31</v>
      </c>
    </row>
    <row r="2636" spans="1:10" x14ac:dyDescent="0.2">
      <c r="A2636" t="s">
        <v>452</v>
      </c>
      <c r="B2636" t="s">
        <v>327</v>
      </c>
      <c r="C2636" t="s">
        <v>264</v>
      </c>
      <c r="D2636" t="s">
        <v>265</v>
      </c>
      <c r="E2636">
        <v>2795</v>
      </c>
      <c r="F2636" t="s">
        <v>3988</v>
      </c>
      <c r="G2636" t="s">
        <v>270</v>
      </c>
      <c r="H2636" t="s">
        <v>272</v>
      </c>
      <c r="I2636">
        <v>50</v>
      </c>
    </row>
    <row r="2637" spans="1:10" x14ac:dyDescent="0.2">
      <c r="A2637" t="s">
        <v>452</v>
      </c>
      <c r="B2637" t="s">
        <v>327</v>
      </c>
      <c r="C2637" t="s">
        <v>264</v>
      </c>
      <c r="D2637" t="s">
        <v>265</v>
      </c>
      <c r="E2637">
        <v>2877</v>
      </c>
      <c r="F2637" t="s">
        <v>3989</v>
      </c>
      <c r="G2637" t="s">
        <v>270</v>
      </c>
      <c r="H2637" t="s">
        <v>267</v>
      </c>
      <c r="I2637">
        <v>110</v>
      </c>
    </row>
    <row r="2638" spans="1:10" x14ac:dyDescent="0.2">
      <c r="A2638" t="s">
        <v>452</v>
      </c>
      <c r="B2638" t="s">
        <v>327</v>
      </c>
      <c r="C2638" t="s">
        <v>264</v>
      </c>
      <c r="D2638" t="s">
        <v>265</v>
      </c>
      <c r="E2638">
        <v>2916</v>
      </c>
      <c r="F2638" t="s">
        <v>3990</v>
      </c>
      <c r="G2638" t="s">
        <v>270</v>
      </c>
      <c r="H2638" t="s">
        <v>267</v>
      </c>
      <c r="I2638">
        <v>81</v>
      </c>
    </row>
    <row r="2639" spans="1:10" x14ac:dyDescent="0.2">
      <c r="A2639" t="s">
        <v>452</v>
      </c>
      <c r="B2639" t="s">
        <v>327</v>
      </c>
      <c r="C2639" t="s">
        <v>264</v>
      </c>
      <c r="D2639" t="s">
        <v>265</v>
      </c>
      <c r="E2639">
        <v>2980</v>
      </c>
      <c r="F2639" t="s">
        <v>3991</v>
      </c>
      <c r="G2639" t="s">
        <v>278</v>
      </c>
      <c r="H2639" t="s">
        <v>292</v>
      </c>
      <c r="I2639">
        <v>388</v>
      </c>
    </row>
    <row r="2640" spans="1:10" x14ac:dyDescent="0.2">
      <c r="A2640" t="s">
        <v>452</v>
      </c>
      <c r="B2640" t="s">
        <v>327</v>
      </c>
      <c r="C2640" t="s">
        <v>264</v>
      </c>
      <c r="D2640" t="s">
        <v>265</v>
      </c>
      <c r="E2640">
        <v>3020</v>
      </c>
      <c r="F2640" t="s">
        <v>3992</v>
      </c>
      <c r="G2640" t="s">
        <v>270</v>
      </c>
      <c r="H2640" t="s">
        <v>276</v>
      </c>
      <c r="I2640">
        <v>59</v>
      </c>
    </row>
    <row r="2641" spans="1:10" x14ac:dyDescent="0.2">
      <c r="A2641" t="s">
        <v>452</v>
      </c>
      <c r="B2641" t="s">
        <v>327</v>
      </c>
      <c r="C2641" t="s">
        <v>264</v>
      </c>
      <c r="D2641" t="s">
        <v>265</v>
      </c>
      <c r="E2641">
        <v>3042</v>
      </c>
      <c r="F2641" t="s">
        <v>3993</v>
      </c>
      <c r="G2641" t="s">
        <v>270</v>
      </c>
      <c r="H2641" t="s">
        <v>277</v>
      </c>
      <c r="I2641">
        <v>35</v>
      </c>
    </row>
    <row r="2642" spans="1:10" x14ac:dyDescent="0.2">
      <c r="A2642" t="s">
        <v>452</v>
      </c>
      <c r="B2642" t="s">
        <v>327</v>
      </c>
      <c r="C2642" t="s">
        <v>264</v>
      </c>
      <c r="D2642" t="s">
        <v>265</v>
      </c>
      <c r="E2642">
        <v>3058</v>
      </c>
      <c r="F2642" t="s">
        <v>1654</v>
      </c>
      <c r="G2642" t="s">
        <v>270</v>
      </c>
      <c r="H2642" t="s">
        <v>276</v>
      </c>
      <c r="I2642">
        <v>60</v>
      </c>
    </row>
    <row r="2643" spans="1:10" x14ac:dyDescent="0.2">
      <c r="A2643" t="s">
        <v>452</v>
      </c>
      <c r="B2643" t="s">
        <v>327</v>
      </c>
      <c r="C2643" t="s">
        <v>275</v>
      </c>
      <c r="D2643" t="s">
        <v>265</v>
      </c>
      <c r="E2643">
        <v>3076</v>
      </c>
      <c r="F2643" t="s">
        <v>3994</v>
      </c>
      <c r="G2643" t="s">
        <v>266</v>
      </c>
      <c r="H2643" t="s">
        <v>272</v>
      </c>
      <c r="I2643" t="s">
        <v>297</v>
      </c>
      <c r="J2643" t="s">
        <v>5078</v>
      </c>
    </row>
    <row r="2644" spans="1:10" x14ac:dyDescent="0.2">
      <c r="A2644" t="s">
        <v>452</v>
      </c>
      <c r="B2644" t="s">
        <v>327</v>
      </c>
      <c r="C2644" t="s">
        <v>264</v>
      </c>
      <c r="D2644" t="s">
        <v>265</v>
      </c>
      <c r="E2644">
        <v>3096</v>
      </c>
      <c r="F2644" t="s">
        <v>3995</v>
      </c>
      <c r="G2644" t="s">
        <v>270</v>
      </c>
      <c r="H2644" t="s">
        <v>276</v>
      </c>
      <c r="I2644">
        <v>99</v>
      </c>
    </row>
    <row r="2645" spans="1:10" x14ac:dyDescent="0.2">
      <c r="A2645" t="s">
        <v>452</v>
      </c>
      <c r="B2645" t="s">
        <v>327</v>
      </c>
      <c r="C2645" t="s">
        <v>264</v>
      </c>
      <c r="D2645" t="s">
        <v>265</v>
      </c>
      <c r="E2645">
        <v>3121</v>
      </c>
      <c r="F2645" t="s">
        <v>3996</v>
      </c>
      <c r="G2645" t="s">
        <v>274</v>
      </c>
      <c r="H2645" t="s">
        <v>271</v>
      </c>
      <c r="I2645">
        <v>86</v>
      </c>
    </row>
    <row r="2646" spans="1:10" x14ac:dyDescent="0.2">
      <c r="A2646" t="s">
        <v>452</v>
      </c>
      <c r="B2646" t="s">
        <v>327</v>
      </c>
      <c r="C2646" t="s">
        <v>275</v>
      </c>
      <c r="D2646" t="s">
        <v>265</v>
      </c>
      <c r="E2646">
        <v>3135</v>
      </c>
      <c r="F2646" t="s">
        <v>453</v>
      </c>
      <c r="G2646" t="s">
        <v>278</v>
      </c>
      <c r="H2646" t="s">
        <v>276</v>
      </c>
      <c r="I2646">
        <v>150</v>
      </c>
    </row>
    <row r="2647" spans="1:10" x14ac:dyDescent="0.2">
      <c r="A2647" t="s">
        <v>452</v>
      </c>
      <c r="B2647" t="s">
        <v>327</v>
      </c>
      <c r="C2647" t="s">
        <v>264</v>
      </c>
      <c r="D2647" t="s">
        <v>265</v>
      </c>
      <c r="E2647">
        <v>3184</v>
      </c>
      <c r="F2647" t="s">
        <v>735</v>
      </c>
      <c r="G2647" t="s">
        <v>274</v>
      </c>
      <c r="H2647" t="s">
        <v>276</v>
      </c>
      <c r="I2647">
        <v>39</v>
      </c>
    </row>
    <row r="2648" spans="1:10" x14ac:dyDescent="0.2">
      <c r="A2648" t="s">
        <v>452</v>
      </c>
      <c r="B2648" t="s">
        <v>327</v>
      </c>
      <c r="C2648" t="s">
        <v>268</v>
      </c>
      <c r="D2648" t="s">
        <v>269</v>
      </c>
      <c r="E2648">
        <v>3187</v>
      </c>
      <c r="F2648" t="s">
        <v>1825</v>
      </c>
      <c r="G2648" t="s">
        <v>278</v>
      </c>
      <c r="H2648" t="s">
        <v>276</v>
      </c>
      <c r="I2648">
        <v>53</v>
      </c>
    </row>
    <row r="2649" spans="1:10" x14ac:dyDescent="0.2">
      <c r="A2649" t="s">
        <v>452</v>
      </c>
      <c r="B2649" t="s">
        <v>327</v>
      </c>
      <c r="C2649" t="s">
        <v>264</v>
      </c>
      <c r="D2649" t="s">
        <v>265</v>
      </c>
      <c r="E2649">
        <v>3238</v>
      </c>
      <c r="F2649" t="s">
        <v>3997</v>
      </c>
      <c r="G2649" t="s">
        <v>274</v>
      </c>
      <c r="H2649" t="s">
        <v>292</v>
      </c>
      <c r="I2649">
        <v>31</v>
      </c>
    </row>
    <row r="2650" spans="1:10" x14ac:dyDescent="0.2">
      <c r="A2650" t="s">
        <v>452</v>
      </c>
      <c r="B2650" t="s">
        <v>327</v>
      </c>
      <c r="C2650" t="s">
        <v>273</v>
      </c>
      <c r="D2650" t="s">
        <v>265</v>
      </c>
      <c r="E2650">
        <v>3277</v>
      </c>
      <c r="F2650" t="s">
        <v>1826</v>
      </c>
      <c r="G2650" t="s">
        <v>266</v>
      </c>
      <c r="H2650" t="s">
        <v>292</v>
      </c>
      <c r="I2650">
        <v>77</v>
      </c>
    </row>
    <row r="2651" spans="1:10" x14ac:dyDescent="0.2">
      <c r="A2651" t="s">
        <v>452</v>
      </c>
      <c r="B2651" t="s">
        <v>327</v>
      </c>
      <c r="C2651" t="s">
        <v>268</v>
      </c>
      <c r="D2651" t="s">
        <v>265</v>
      </c>
      <c r="E2651">
        <v>3288</v>
      </c>
      <c r="F2651" t="s">
        <v>3998</v>
      </c>
      <c r="G2651" t="s">
        <v>266</v>
      </c>
      <c r="H2651" t="s">
        <v>292</v>
      </c>
      <c r="I2651" t="s">
        <v>333</v>
      </c>
      <c r="J2651" t="s">
        <v>4731</v>
      </c>
    </row>
    <row r="2652" spans="1:10" x14ac:dyDescent="0.2">
      <c r="A2652" t="s">
        <v>452</v>
      </c>
      <c r="B2652" t="s">
        <v>327</v>
      </c>
      <c r="C2652" t="s">
        <v>273</v>
      </c>
      <c r="D2652" t="s">
        <v>265</v>
      </c>
      <c r="E2652">
        <v>3299</v>
      </c>
      <c r="F2652" t="s">
        <v>3999</v>
      </c>
      <c r="G2652" t="s">
        <v>266</v>
      </c>
      <c r="H2652" t="s">
        <v>292</v>
      </c>
      <c r="I2652">
        <v>186</v>
      </c>
    </row>
    <row r="2653" spans="1:10" x14ac:dyDescent="0.2">
      <c r="A2653" t="s">
        <v>452</v>
      </c>
      <c r="B2653" t="s">
        <v>327</v>
      </c>
      <c r="C2653" t="s">
        <v>275</v>
      </c>
      <c r="D2653" t="s">
        <v>265</v>
      </c>
      <c r="E2653">
        <v>3300</v>
      </c>
      <c r="F2653" t="s">
        <v>4000</v>
      </c>
      <c r="G2653" t="s">
        <v>278</v>
      </c>
      <c r="H2653" t="s">
        <v>292</v>
      </c>
      <c r="I2653">
        <v>82</v>
      </c>
    </row>
    <row r="2654" spans="1:10" x14ac:dyDescent="0.2">
      <c r="A2654" t="s">
        <v>452</v>
      </c>
      <c r="B2654" t="s">
        <v>327</v>
      </c>
      <c r="C2654" t="s">
        <v>273</v>
      </c>
      <c r="D2654" t="s">
        <v>265</v>
      </c>
      <c r="E2654">
        <v>3302</v>
      </c>
      <c r="F2654" t="s">
        <v>4001</v>
      </c>
      <c r="G2654" t="s">
        <v>266</v>
      </c>
      <c r="H2654" t="s">
        <v>299</v>
      </c>
      <c r="I2654">
        <v>641</v>
      </c>
    </row>
    <row r="2655" spans="1:10" x14ac:dyDescent="0.2">
      <c r="A2655" t="s">
        <v>452</v>
      </c>
      <c r="B2655" t="s">
        <v>327</v>
      </c>
      <c r="C2655" t="s">
        <v>264</v>
      </c>
      <c r="D2655" t="s">
        <v>265</v>
      </c>
      <c r="E2655">
        <v>3322</v>
      </c>
      <c r="F2655" t="s">
        <v>4002</v>
      </c>
      <c r="G2655" t="s">
        <v>270</v>
      </c>
      <c r="H2655" t="s">
        <v>272</v>
      </c>
      <c r="I2655">
        <v>51</v>
      </c>
    </row>
    <row r="2656" spans="1:10" x14ac:dyDescent="0.2">
      <c r="A2656" t="s">
        <v>452</v>
      </c>
      <c r="B2656" t="s">
        <v>327</v>
      </c>
      <c r="C2656" t="s">
        <v>264</v>
      </c>
      <c r="D2656" t="s">
        <v>269</v>
      </c>
      <c r="E2656">
        <v>3358</v>
      </c>
      <c r="F2656" t="s">
        <v>4003</v>
      </c>
      <c r="G2656" t="s">
        <v>270</v>
      </c>
      <c r="H2656" t="s">
        <v>276</v>
      </c>
      <c r="I2656">
        <v>10</v>
      </c>
    </row>
    <row r="2657" spans="1:10" x14ac:dyDescent="0.2">
      <c r="A2657" t="s">
        <v>452</v>
      </c>
      <c r="B2657" t="s">
        <v>327</v>
      </c>
      <c r="C2657" t="s">
        <v>268</v>
      </c>
      <c r="D2657" t="s">
        <v>265</v>
      </c>
      <c r="E2657">
        <v>3359</v>
      </c>
      <c r="F2657" t="s">
        <v>4004</v>
      </c>
      <c r="G2657" t="s">
        <v>278</v>
      </c>
      <c r="H2657" t="s">
        <v>272</v>
      </c>
      <c r="I2657">
        <v>45</v>
      </c>
    </row>
    <row r="2658" spans="1:10" x14ac:dyDescent="0.2">
      <c r="A2658" t="s">
        <v>452</v>
      </c>
      <c r="B2658" t="s">
        <v>327</v>
      </c>
      <c r="C2658" t="s">
        <v>264</v>
      </c>
      <c r="D2658" t="s">
        <v>265</v>
      </c>
      <c r="E2658">
        <v>3372</v>
      </c>
      <c r="F2658" t="s">
        <v>763</v>
      </c>
      <c r="G2658" t="s">
        <v>274</v>
      </c>
      <c r="H2658" t="s">
        <v>276</v>
      </c>
      <c r="I2658">
        <v>55</v>
      </c>
    </row>
    <row r="2659" spans="1:10" x14ac:dyDescent="0.2">
      <c r="A2659" t="s">
        <v>452</v>
      </c>
      <c r="B2659" t="s">
        <v>327</v>
      </c>
      <c r="C2659" t="s">
        <v>273</v>
      </c>
      <c r="D2659" t="s">
        <v>265</v>
      </c>
      <c r="E2659">
        <v>3386</v>
      </c>
      <c r="F2659" t="s">
        <v>4006</v>
      </c>
      <c r="G2659" t="s">
        <v>270</v>
      </c>
      <c r="H2659" t="s">
        <v>272</v>
      </c>
      <c r="I2659">
        <v>65</v>
      </c>
    </row>
    <row r="2660" spans="1:10" x14ac:dyDescent="0.2">
      <c r="A2660" t="s">
        <v>452</v>
      </c>
      <c r="B2660" t="s">
        <v>327</v>
      </c>
      <c r="C2660" t="s">
        <v>273</v>
      </c>
      <c r="D2660" t="s">
        <v>265</v>
      </c>
      <c r="E2660">
        <v>3452</v>
      </c>
      <c r="F2660" t="s">
        <v>1827</v>
      </c>
      <c r="G2660" t="s">
        <v>266</v>
      </c>
      <c r="H2660" t="s">
        <v>292</v>
      </c>
      <c r="I2660">
        <v>147</v>
      </c>
    </row>
    <row r="2661" spans="1:10" x14ac:dyDescent="0.2">
      <c r="A2661" t="s">
        <v>452</v>
      </c>
      <c r="B2661" t="s">
        <v>327</v>
      </c>
      <c r="C2661" t="s">
        <v>273</v>
      </c>
      <c r="D2661" t="s">
        <v>265</v>
      </c>
      <c r="E2661">
        <v>3482</v>
      </c>
      <c r="F2661" t="s">
        <v>722</v>
      </c>
      <c r="G2661" t="s">
        <v>278</v>
      </c>
      <c r="H2661" t="s">
        <v>292</v>
      </c>
      <c r="I2661">
        <v>220</v>
      </c>
    </row>
    <row r="2662" spans="1:10" x14ac:dyDescent="0.2">
      <c r="A2662" t="s">
        <v>452</v>
      </c>
      <c r="B2662" t="s">
        <v>327</v>
      </c>
      <c r="C2662" t="s">
        <v>273</v>
      </c>
      <c r="D2662" t="s">
        <v>269</v>
      </c>
      <c r="E2662">
        <v>3487</v>
      </c>
      <c r="F2662" t="s">
        <v>4007</v>
      </c>
      <c r="G2662" t="s">
        <v>303</v>
      </c>
      <c r="H2662" t="s">
        <v>304</v>
      </c>
      <c r="I2662">
        <v>373</v>
      </c>
    </row>
    <row r="2663" spans="1:10" x14ac:dyDescent="0.2">
      <c r="A2663" t="s">
        <v>452</v>
      </c>
      <c r="B2663" t="s">
        <v>327</v>
      </c>
      <c r="C2663" t="s">
        <v>264</v>
      </c>
      <c r="D2663" t="s">
        <v>269</v>
      </c>
      <c r="E2663">
        <v>3489</v>
      </c>
      <c r="F2663" t="s">
        <v>736</v>
      </c>
      <c r="G2663" t="s">
        <v>278</v>
      </c>
      <c r="H2663" t="s">
        <v>292</v>
      </c>
      <c r="I2663">
        <v>87</v>
      </c>
    </row>
    <row r="2664" spans="1:10" x14ac:dyDescent="0.2">
      <c r="A2664" t="s">
        <v>452</v>
      </c>
      <c r="B2664" t="s">
        <v>327</v>
      </c>
      <c r="C2664" t="s">
        <v>268</v>
      </c>
      <c r="D2664" t="s">
        <v>269</v>
      </c>
      <c r="E2664">
        <v>3494</v>
      </c>
      <c r="F2664" t="s">
        <v>4008</v>
      </c>
      <c r="G2664" t="s">
        <v>270</v>
      </c>
      <c r="H2664" t="s">
        <v>292</v>
      </c>
      <c r="I2664">
        <v>23</v>
      </c>
    </row>
    <row r="2665" spans="1:10" x14ac:dyDescent="0.2">
      <c r="A2665" t="s">
        <v>452</v>
      </c>
      <c r="B2665" t="s">
        <v>327</v>
      </c>
      <c r="C2665" t="s">
        <v>264</v>
      </c>
      <c r="D2665" t="s">
        <v>265</v>
      </c>
      <c r="E2665">
        <v>3528</v>
      </c>
      <c r="F2665" t="s">
        <v>4009</v>
      </c>
      <c r="G2665" t="s">
        <v>274</v>
      </c>
      <c r="H2665" t="s">
        <v>292</v>
      </c>
      <c r="I2665">
        <v>139</v>
      </c>
    </row>
    <row r="2666" spans="1:10" x14ac:dyDescent="0.2">
      <c r="A2666" t="s">
        <v>452</v>
      </c>
      <c r="B2666" t="s">
        <v>327</v>
      </c>
      <c r="C2666" t="s">
        <v>264</v>
      </c>
      <c r="D2666" t="s">
        <v>265</v>
      </c>
      <c r="E2666">
        <v>3661</v>
      </c>
      <c r="F2666" t="s">
        <v>4010</v>
      </c>
      <c r="G2666" t="s">
        <v>266</v>
      </c>
      <c r="H2666" t="s">
        <v>277</v>
      </c>
      <c r="I2666">
        <v>255</v>
      </c>
    </row>
    <row r="2667" spans="1:10" x14ac:dyDescent="0.2">
      <c r="A2667" t="s">
        <v>452</v>
      </c>
      <c r="B2667" t="s">
        <v>327</v>
      </c>
      <c r="C2667" t="s">
        <v>264</v>
      </c>
      <c r="D2667" t="s">
        <v>265</v>
      </c>
      <c r="E2667">
        <v>3679</v>
      </c>
      <c r="F2667" t="s">
        <v>4011</v>
      </c>
      <c r="G2667" t="s">
        <v>266</v>
      </c>
      <c r="H2667" t="s">
        <v>277</v>
      </c>
      <c r="I2667">
        <v>591</v>
      </c>
    </row>
    <row r="2668" spans="1:10" x14ac:dyDescent="0.2">
      <c r="A2668" t="s">
        <v>452</v>
      </c>
      <c r="B2668" t="s">
        <v>327</v>
      </c>
      <c r="C2668" t="s">
        <v>273</v>
      </c>
      <c r="D2668" t="s">
        <v>265</v>
      </c>
      <c r="E2668">
        <v>3680</v>
      </c>
      <c r="F2668" t="s">
        <v>4012</v>
      </c>
      <c r="G2668" t="s">
        <v>278</v>
      </c>
      <c r="H2668" t="s">
        <v>277</v>
      </c>
      <c r="I2668">
        <v>55</v>
      </c>
    </row>
    <row r="2669" spans="1:10" x14ac:dyDescent="0.2">
      <c r="A2669" t="s">
        <v>452</v>
      </c>
      <c r="B2669" t="s">
        <v>327</v>
      </c>
      <c r="C2669" t="s">
        <v>268</v>
      </c>
      <c r="D2669" t="s">
        <v>265</v>
      </c>
      <c r="E2669">
        <v>3691</v>
      </c>
      <c r="F2669" t="s">
        <v>4013</v>
      </c>
      <c r="G2669" t="s">
        <v>278</v>
      </c>
      <c r="H2669" t="s">
        <v>277</v>
      </c>
      <c r="I2669">
        <v>21</v>
      </c>
    </row>
    <row r="2670" spans="1:10" x14ac:dyDescent="0.2">
      <c r="A2670" t="s">
        <v>452</v>
      </c>
      <c r="B2670" t="s">
        <v>327</v>
      </c>
      <c r="C2670" t="s">
        <v>264</v>
      </c>
      <c r="D2670" t="s">
        <v>265</v>
      </c>
      <c r="E2670">
        <v>3694</v>
      </c>
      <c r="F2670" t="s">
        <v>4014</v>
      </c>
      <c r="G2670" t="s">
        <v>266</v>
      </c>
      <c r="H2670" t="s">
        <v>277</v>
      </c>
      <c r="I2670" t="s">
        <v>297</v>
      </c>
      <c r="J2670" t="s">
        <v>4426</v>
      </c>
    </row>
    <row r="2671" spans="1:10" x14ac:dyDescent="0.2">
      <c r="A2671" t="s">
        <v>452</v>
      </c>
      <c r="B2671" t="s">
        <v>327</v>
      </c>
      <c r="C2671" t="s">
        <v>273</v>
      </c>
      <c r="D2671" t="s">
        <v>265</v>
      </c>
      <c r="E2671">
        <v>3696</v>
      </c>
      <c r="F2671" t="s">
        <v>4015</v>
      </c>
      <c r="G2671" t="s">
        <v>266</v>
      </c>
      <c r="H2671" t="s">
        <v>277</v>
      </c>
      <c r="I2671">
        <v>155</v>
      </c>
    </row>
    <row r="2672" spans="1:10" x14ac:dyDescent="0.2">
      <c r="A2672" t="s">
        <v>452</v>
      </c>
      <c r="B2672" t="s">
        <v>327</v>
      </c>
      <c r="C2672" t="s">
        <v>268</v>
      </c>
      <c r="D2672" t="s">
        <v>265</v>
      </c>
      <c r="E2672">
        <v>3747</v>
      </c>
      <c r="F2672" t="s">
        <v>4016</v>
      </c>
      <c r="G2672" t="s">
        <v>274</v>
      </c>
      <c r="H2672" t="s">
        <v>277</v>
      </c>
      <c r="I2672">
        <v>43</v>
      </c>
    </row>
    <row r="2673" spans="1:9" x14ac:dyDescent="0.2">
      <c r="A2673" t="s">
        <v>452</v>
      </c>
      <c r="B2673" t="s">
        <v>327</v>
      </c>
      <c r="C2673" t="s">
        <v>264</v>
      </c>
      <c r="D2673" t="s">
        <v>265</v>
      </c>
      <c r="E2673">
        <v>3753</v>
      </c>
      <c r="F2673" t="s">
        <v>4017</v>
      </c>
      <c r="G2673" t="s">
        <v>274</v>
      </c>
      <c r="H2673" t="s">
        <v>277</v>
      </c>
      <c r="I2673">
        <v>85</v>
      </c>
    </row>
    <row r="2674" spans="1:9" x14ac:dyDescent="0.2">
      <c r="A2674" t="s">
        <v>452</v>
      </c>
      <c r="B2674" t="s">
        <v>327</v>
      </c>
      <c r="C2674" t="s">
        <v>264</v>
      </c>
      <c r="D2674" t="s">
        <v>265</v>
      </c>
      <c r="E2674">
        <v>3825</v>
      </c>
      <c r="F2674" t="s">
        <v>4018</v>
      </c>
      <c r="G2674" t="s">
        <v>274</v>
      </c>
      <c r="H2674" t="s">
        <v>277</v>
      </c>
      <c r="I2674">
        <v>108</v>
      </c>
    </row>
    <row r="2675" spans="1:9" x14ac:dyDescent="0.2">
      <c r="A2675" t="s">
        <v>452</v>
      </c>
      <c r="B2675" t="s">
        <v>327</v>
      </c>
      <c r="C2675" t="s">
        <v>264</v>
      </c>
      <c r="D2675" t="s">
        <v>265</v>
      </c>
      <c r="E2675">
        <v>3851</v>
      </c>
      <c r="F2675" t="s">
        <v>4539</v>
      </c>
      <c r="G2675" t="s">
        <v>270</v>
      </c>
      <c r="H2675" t="s">
        <v>277</v>
      </c>
      <c r="I2675">
        <v>71</v>
      </c>
    </row>
    <row r="2676" spans="1:9" x14ac:dyDescent="0.2">
      <c r="A2676" t="s">
        <v>452</v>
      </c>
      <c r="B2676" t="s">
        <v>327</v>
      </c>
      <c r="C2676" t="s">
        <v>264</v>
      </c>
      <c r="D2676" t="s">
        <v>265</v>
      </c>
      <c r="E2676">
        <v>3853</v>
      </c>
      <c r="F2676" t="s">
        <v>4019</v>
      </c>
      <c r="G2676" t="s">
        <v>266</v>
      </c>
      <c r="H2676" t="s">
        <v>277</v>
      </c>
      <c r="I2676">
        <v>104</v>
      </c>
    </row>
    <row r="2677" spans="1:9" x14ac:dyDescent="0.2">
      <c r="A2677" t="s">
        <v>452</v>
      </c>
      <c r="B2677" t="s">
        <v>327</v>
      </c>
      <c r="C2677" t="s">
        <v>264</v>
      </c>
      <c r="D2677" t="s">
        <v>265</v>
      </c>
      <c r="E2677">
        <v>3858</v>
      </c>
      <c r="F2677" t="s">
        <v>4020</v>
      </c>
      <c r="G2677" t="s">
        <v>270</v>
      </c>
      <c r="H2677" t="s">
        <v>277</v>
      </c>
      <c r="I2677">
        <v>82</v>
      </c>
    </row>
    <row r="2678" spans="1:9" x14ac:dyDescent="0.2">
      <c r="A2678" t="s">
        <v>452</v>
      </c>
      <c r="B2678" t="s">
        <v>327</v>
      </c>
      <c r="C2678" t="s">
        <v>273</v>
      </c>
      <c r="D2678" t="s">
        <v>265</v>
      </c>
      <c r="E2678">
        <v>3909</v>
      </c>
      <c r="F2678" t="s">
        <v>1828</v>
      </c>
      <c r="G2678" t="s">
        <v>266</v>
      </c>
      <c r="H2678" t="s">
        <v>277</v>
      </c>
      <c r="I2678">
        <v>51</v>
      </c>
    </row>
    <row r="2679" spans="1:9" x14ac:dyDescent="0.2">
      <c r="A2679" t="s">
        <v>452</v>
      </c>
      <c r="B2679" t="s">
        <v>327</v>
      </c>
      <c r="C2679" t="s">
        <v>273</v>
      </c>
      <c r="D2679" t="s">
        <v>269</v>
      </c>
      <c r="E2679">
        <v>3911</v>
      </c>
      <c r="F2679" t="s">
        <v>4021</v>
      </c>
      <c r="G2679" t="s">
        <v>278</v>
      </c>
      <c r="H2679" t="s">
        <v>277</v>
      </c>
      <c r="I2679">
        <v>112</v>
      </c>
    </row>
    <row r="2680" spans="1:9" x14ac:dyDescent="0.2">
      <c r="A2680" t="s">
        <v>452</v>
      </c>
      <c r="B2680" t="s">
        <v>327</v>
      </c>
      <c r="C2680" t="s">
        <v>264</v>
      </c>
      <c r="D2680" t="s">
        <v>265</v>
      </c>
      <c r="E2680">
        <v>3917</v>
      </c>
      <c r="F2680" t="s">
        <v>4022</v>
      </c>
      <c r="G2680" t="s">
        <v>278</v>
      </c>
      <c r="H2680" t="s">
        <v>277</v>
      </c>
      <c r="I2680">
        <v>87</v>
      </c>
    </row>
    <row r="2681" spans="1:9" x14ac:dyDescent="0.2">
      <c r="A2681" t="s">
        <v>452</v>
      </c>
      <c r="B2681" t="s">
        <v>327</v>
      </c>
      <c r="C2681" t="s">
        <v>273</v>
      </c>
      <c r="D2681" t="s">
        <v>265</v>
      </c>
      <c r="E2681">
        <v>3928</v>
      </c>
      <c r="F2681" t="s">
        <v>4023</v>
      </c>
      <c r="G2681" t="s">
        <v>266</v>
      </c>
      <c r="H2681" t="s">
        <v>277</v>
      </c>
      <c r="I2681">
        <v>62</v>
      </c>
    </row>
    <row r="2682" spans="1:9" x14ac:dyDescent="0.2">
      <c r="A2682" t="s">
        <v>452</v>
      </c>
      <c r="B2682" t="s">
        <v>327</v>
      </c>
      <c r="C2682" t="s">
        <v>273</v>
      </c>
      <c r="D2682" t="s">
        <v>265</v>
      </c>
      <c r="E2682">
        <v>3961</v>
      </c>
      <c r="F2682" t="s">
        <v>4024</v>
      </c>
      <c r="G2682" t="s">
        <v>278</v>
      </c>
      <c r="H2682" t="s">
        <v>277</v>
      </c>
      <c r="I2682">
        <v>40</v>
      </c>
    </row>
    <row r="2683" spans="1:9" x14ac:dyDescent="0.2">
      <c r="A2683" t="s">
        <v>452</v>
      </c>
      <c r="B2683" t="s">
        <v>327</v>
      </c>
      <c r="C2683" t="s">
        <v>264</v>
      </c>
      <c r="D2683" t="s">
        <v>265</v>
      </c>
      <c r="E2683">
        <v>3963</v>
      </c>
      <c r="F2683" t="s">
        <v>577</v>
      </c>
      <c r="G2683" t="s">
        <v>266</v>
      </c>
      <c r="H2683" t="s">
        <v>277</v>
      </c>
      <c r="I2683">
        <v>157</v>
      </c>
    </row>
    <row r="2684" spans="1:9" x14ac:dyDescent="0.2">
      <c r="A2684" t="s">
        <v>452</v>
      </c>
      <c r="B2684" t="s">
        <v>327</v>
      </c>
      <c r="C2684" t="s">
        <v>273</v>
      </c>
      <c r="D2684" t="s">
        <v>265</v>
      </c>
      <c r="E2684">
        <v>3964</v>
      </c>
      <c r="F2684" t="s">
        <v>1829</v>
      </c>
      <c r="G2684" t="s">
        <v>266</v>
      </c>
      <c r="H2684" t="s">
        <v>277</v>
      </c>
      <c r="I2684">
        <v>350</v>
      </c>
    </row>
    <row r="2685" spans="1:9" x14ac:dyDescent="0.2">
      <c r="A2685" t="s">
        <v>452</v>
      </c>
      <c r="B2685" t="s">
        <v>327</v>
      </c>
      <c r="C2685" t="s">
        <v>268</v>
      </c>
      <c r="D2685" t="s">
        <v>265</v>
      </c>
      <c r="E2685">
        <v>3965</v>
      </c>
      <c r="F2685" t="s">
        <v>4025</v>
      </c>
      <c r="G2685" t="s">
        <v>274</v>
      </c>
      <c r="H2685" t="s">
        <v>277</v>
      </c>
      <c r="I2685">
        <v>81</v>
      </c>
    </row>
    <row r="2686" spans="1:9" x14ac:dyDescent="0.2">
      <c r="A2686" t="s">
        <v>452</v>
      </c>
      <c r="B2686" t="s">
        <v>327</v>
      </c>
      <c r="C2686" t="s">
        <v>273</v>
      </c>
      <c r="D2686" t="s">
        <v>269</v>
      </c>
      <c r="E2686">
        <v>3981</v>
      </c>
      <c r="F2686" t="s">
        <v>4026</v>
      </c>
      <c r="G2686" t="s">
        <v>266</v>
      </c>
      <c r="H2686" t="s">
        <v>277</v>
      </c>
      <c r="I2686">
        <v>76</v>
      </c>
    </row>
    <row r="2687" spans="1:9" x14ac:dyDescent="0.2">
      <c r="A2687" t="s">
        <v>452</v>
      </c>
      <c r="B2687" t="s">
        <v>327</v>
      </c>
      <c r="C2687" t="s">
        <v>273</v>
      </c>
      <c r="D2687" t="s">
        <v>265</v>
      </c>
      <c r="E2687">
        <v>3983</v>
      </c>
      <c r="F2687" t="s">
        <v>4027</v>
      </c>
      <c r="G2687" t="s">
        <v>266</v>
      </c>
      <c r="H2687" t="s">
        <v>277</v>
      </c>
      <c r="I2687">
        <v>637</v>
      </c>
    </row>
    <row r="2688" spans="1:9" x14ac:dyDescent="0.2">
      <c r="A2688" t="s">
        <v>452</v>
      </c>
      <c r="B2688" t="s">
        <v>327</v>
      </c>
      <c r="C2688" t="s">
        <v>264</v>
      </c>
      <c r="D2688" t="s">
        <v>265</v>
      </c>
      <c r="E2688">
        <v>3987</v>
      </c>
      <c r="F2688" t="s">
        <v>4028</v>
      </c>
      <c r="G2688" t="s">
        <v>278</v>
      </c>
      <c r="H2688" t="s">
        <v>277</v>
      </c>
      <c r="I2688">
        <v>75</v>
      </c>
    </row>
    <row r="2689" spans="1:10" x14ac:dyDescent="0.2">
      <c r="A2689" t="s">
        <v>452</v>
      </c>
      <c r="B2689" t="s">
        <v>327</v>
      </c>
      <c r="C2689" t="s">
        <v>268</v>
      </c>
      <c r="D2689" t="s">
        <v>265</v>
      </c>
      <c r="E2689">
        <v>3999</v>
      </c>
      <c r="F2689" t="s">
        <v>4029</v>
      </c>
      <c r="G2689" t="s">
        <v>278</v>
      </c>
      <c r="H2689" t="s">
        <v>277</v>
      </c>
      <c r="I2689">
        <v>41</v>
      </c>
    </row>
    <row r="2690" spans="1:10" x14ac:dyDescent="0.2">
      <c r="A2690" t="s">
        <v>452</v>
      </c>
      <c r="B2690" t="s">
        <v>327</v>
      </c>
      <c r="C2690" t="s">
        <v>264</v>
      </c>
      <c r="D2690" t="s">
        <v>265</v>
      </c>
      <c r="E2690">
        <v>4047</v>
      </c>
      <c r="F2690" t="s">
        <v>4030</v>
      </c>
      <c r="G2690" t="s">
        <v>266</v>
      </c>
      <c r="H2690" t="s">
        <v>279</v>
      </c>
      <c r="I2690">
        <v>565</v>
      </c>
    </row>
    <row r="2691" spans="1:10" x14ac:dyDescent="0.2">
      <c r="A2691" t="s">
        <v>452</v>
      </c>
      <c r="B2691" t="s">
        <v>327</v>
      </c>
      <c r="C2691" t="s">
        <v>264</v>
      </c>
      <c r="D2691" t="s">
        <v>265</v>
      </c>
      <c r="E2691">
        <v>4098</v>
      </c>
      <c r="F2691" t="s">
        <v>4031</v>
      </c>
      <c r="G2691" t="s">
        <v>266</v>
      </c>
      <c r="H2691" t="s">
        <v>279</v>
      </c>
      <c r="I2691">
        <v>78</v>
      </c>
    </row>
    <row r="2692" spans="1:10" x14ac:dyDescent="0.2">
      <c r="A2692" t="s">
        <v>452</v>
      </c>
      <c r="B2692" t="s">
        <v>327</v>
      </c>
      <c r="C2692" t="s">
        <v>273</v>
      </c>
      <c r="D2692" t="s">
        <v>265</v>
      </c>
      <c r="E2692">
        <v>4221</v>
      </c>
      <c r="F2692" t="s">
        <v>4032</v>
      </c>
      <c r="G2692" t="s">
        <v>266</v>
      </c>
      <c r="H2692" t="s">
        <v>279</v>
      </c>
      <c r="I2692">
        <v>234</v>
      </c>
    </row>
    <row r="2693" spans="1:10" x14ac:dyDescent="0.2">
      <c r="A2693" t="s">
        <v>452</v>
      </c>
      <c r="B2693" t="s">
        <v>327</v>
      </c>
      <c r="C2693" t="s">
        <v>264</v>
      </c>
      <c r="D2693" t="s">
        <v>265</v>
      </c>
      <c r="E2693">
        <v>4234</v>
      </c>
      <c r="F2693" t="s">
        <v>1503</v>
      </c>
      <c r="G2693" t="s">
        <v>270</v>
      </c>
      <c r="H2693" t="s">
        <v>279</v>
      </c>
      <c r="I2693">
        <v>63</v>
      </c>
    </row>
    <row r="2694" spans="1:10" x14ac:dyDescent="0.2">
      <c r="A2694" t="s">
        <v>452</v>
      </c>
      <c r="B2694" t="s">
        <v>327</v>
      </c>
      <c r="C2694" t="s">
        <v>273</v>
      </c>
      <c r="D2694" t="s">
        <v>265</v>
      </c>
      <c r="E2694">
        <v>4235</v>
      </c>
      <c r="F2694" t="s">
        <v>4033</v>
      </c>
      <c r="G2694" t="s">
        <v>270</v>
      </c>
      <c r="H2694" t="s">
        <v>279</v>
      </c>
      <c r="I2694">
        <v>106</v>
      </c>
    </row>
    <row r="2695" spans="1:10" x14ac:dyDescent="0.2">
      <c r="A2695" t="s">
        <v>452</v>
      </c>
      <c r="B2695" t="s">
        <v>327</v>
      </c>
      <c r="C2695" t="s">
        <v>264</v>
      </c>
      <c r="D2695" t="s">
        <v>265</v>
      </c>
      <c r="E2695">
        <v>4242</v>
      </c>
      <c r="F2695" t="s">
        <v>1830</v>
      </c>
      <c r="G2695" t="s">
        <v>270</v>
      </c>
      <c r="H2695" t="s">
        <v>279</v>
      </c>
      <c r="I2695">
        <v>85</v>
      </c>
    </row>
    <row r="2696" spans="1:10" x14ac:dyDescent="0.2">
      <c r="A2696" t="s">
        <v>452</v>
      </c>
      <c r="B2696" t="s">
        <v>327</v>
      </c>
      <c r="C2696" t="s">
        <v>273</v>
      </c>
      <c r="D2696" t="s">
        <v>265</v>
      </c>
      <c r="E2696">
        <v>4286</v>
      </c>
      <c r="F2696" t="s">
        <v>4034</v>
      </c>
      <c r="G2696" t="s">
        <v>266</v>
      </c>
      <c r="H2696" t="s">
        <v>271</v>
      </c>
      <c r="I2696">
        <v>180</v>
      </c>
    </row>
    <row r="2697" spans="1:10" x14ac:dyDescent="0.2">
      <c r="A2697" t="s">
        <v>452</v>
      </c>
      <c r="B2697" t="s">
        <v>327</v>
      </c>
      <c r="C2697" t="s">
        <v>273</v>
      </c>
      <c r="D2697" t="s">
        <v>265</v>
      </c>
      <c r="E2697">
        <v>4392</v>
      </c>
      <c r="F2697" t="s">
        <v>1504</v>
      </c>
      <c r="G2697" t="s">
        <v>266</v>
      </c>
      <c r="H2697" t="s">
        <v>277</v>
      </c>
      <c r="I2697">
        <v>95</v>
      </c>
    </row>
    <row r="2698" spans="1:10" x14ac:dyDescent="0.2">
      <c r="A2698" t="s">
        <v>452</v>
      </c>
      <c r="B2698" t="s">
        <v>327</v>
      </c>
      <c r="C2698" t="s">
        <v>273</v>
      </c>
      <c r="D2698" t="s">
        <v>265</v>
      </c>
      <c r="E2698">
        <v>4420</v>
      </c>
      <c r="F2698" t="s">
        <v>4035</v>
      </c>
      <c r="G2698" t="s">
        <v>266</v>
      </c>
      <c r="H2698" t="s">
        <v>277</v>
      </c>
      <c r="I2698">
        <v>502</v>
      </c>
    </row>
    <row r="2699" spans="1:10" x14ac:dyDescent="0.2">
      <c r="A2699" t="s">
        <v>452</v>
      </c>
      <c r="B2699" t="s">
        <v>327</v>
      </c>
      <c r="C2699" t="s">
        <v>268</v>
      </c>
      <c r="D2699" t="s">
        <v>265</v>
      </c>
      <c r="E2699">
        <v>4421</v>
      </c>
      <c r="F2699" t="s">
        <v>1831</v>
      </c>
      <c r="G2699" t="s">
        <v>270</v>
      </c>
      <c r="H2699" t="s">
        <v>277</v>
      </c>
      <c r="I2699">
        <v>25</v>
      </c>
    </row>
    <row r="2700" spans="1:10" x14ac:dyDescent="0.2">
      <c r="A2700" t="s">
        <v>452</v>
      </c>
      <c r="B2700" t="s">
        <v>327</v>
      </c>
      <c r="C2700" t="s">
        <v>268</v>
      </c>
      <c r="D2700" t="s">
        <v>269</v>
      </c>
      <c r="E2700">
        <v>4445</v>
      </c>
      <c r="F2700" t="s">
        <v>4036</v>
      </c>
      <c r="G2700" t="s">
        <v>278</v>
      </c>
      <c r="H2700" t="s">
        <v>277</v>
      </c>
      <c r="I2700">
        <v>37</v>
      </c>
    </row>
    <row r="2701" spans="1:10" x14ac:dyDescent="0.2">
      <c r="A2701" t="s">
        <v>452</v>
      </c>
      <c r="B2701" t="s">
        <v>327</v>
      </c>
      <c r="C2701" t="s">
        <v>273</v>
      </c>
      <c r="D2701" t="s">
        <v>269</v>
      </c>
      <c r="E2701">
        <v>4448</v>
      </c>
      <c r="F2701" t="s">
        <v>583</v>
      </c>
      <c r="G2701" t="s">
        <v>278</v>
      </c>
      <c r="H2701" t="s">
        <v>277</v>
      </c>
      <c r="I2701">
        <v>353</v>
      </c>
    </row>
    <row r="2702" spans="1:10" x14ac:dyDescent="0.2">
      <c r="A2702" t="s">
        <v>452</v>
      </c>
      <c r="B2702" t="s">
        <v>327</v>
      </c>
      <c r="C2702" t="s">
        <v>273</v>
      </c>
      <c r="D2702" t="s">
        <v>265</v>
      </c>
      <c r="E2702">
        <v>4449</v>
      </c>
      <c r="F2702" t="s">
        <v>584</v>
      </c>
      <c r="G2702" t="s">
        <v>278</v>
      </c>
      <c r="H2702" t="s">
        <v>277</v>
      </c>
      <c r="I2702">
        <v>462</v>
      </c>
    </row>
    <row r="2703" spans="1:10" x14ac:dyDescent="0.2">
      <c r="A2703" t="s">
        <v>452</v>
      </c>
      <c r="B2703" t="s">
        <v>327</v>
      </c>
      <c r="C2703" t="s">
        <v>273</v>
      </c>
      <c r="D2703" t="s">
        <v>269</v>
      </c>
      <c r="E2703">
        <v>4476</v>
      </c>
      <c r="F2703" t="s">
        <v>587</v>
      </c>
      <c r="G2703" t="s">
        <v>278</v>
      </c>
      <c r="H2703" t="s">
        <v>277</v>
      </c>
      <c r="I2703">
        <v>86</v>
      </c>
    </row>
    <row r="2704" spans="1:10" x14ac:dyDescent="0.2">
      <c r="A2704" t="s">
        <v>452</v>
      </c>
      <c r="B2704" t="s">
        <v>327</v>
      </c>
      <c r="C2704" t="s">
        <v>275</v>
      </c>
      <c r="D2704" t="s">
        <v>265</v>
      </c>
      <c r="E2704">
        <v>4478</v>
      </c>
      <c r="F2704" t="s">
        <v>4037</v>
      </c>
      <c r="G2704" t="s">
        <v>278</v>
      </c>
      <c r="H2704" t="s">
        <v>277</v>
      </c>
      <c r="I2704" t="s">
        <v>297</v>
      </c>
      <c r="J2704" t="s">
        <v>4863</v>
      </c>
    </row>
    <row r="2705" spans="1:10" x14ac:dyDescent="0.2">
      <c r="A2705" t="s">
        <v>452</v>
      </c>
      <c r="B2705" t="s">
        <v>327</v>
      </c>
      <c r="C2705" t="s">
        <v>273</v>
      </c>
      <c r="D2705" t="s">
        <v>265</v>
      </c>
      <c r="E2705">
        <v>4480</v>
      </c>
      <c r="F2705" t="s">
        <v>4038</v>
      </c>
      <c r="G2705" t="s">
        <v>278</v>
      </c>
      <c r="H2705" t="s">
        <v>277</v>
      </c>
      <c r="I2705">
        <v>352</v>
      </c>
    </row>
    <row r="2706" spans="1:10" x14ac:dyDescent="0.2">
      <c r="A2706" t="s">
        <v>452</v>
      </c>
      <c r="B2706" t="s">
        <v>327</v>
      </c>
      <c r="C2706" t="s">
        <v>273</v>
      </c>
      <c r="D2706" t="s">
        <v>265</v>
      </c>
      <c r="E2706">
        <v>4481</v>
      </c>
      <c r="F2706" t="s">
        <v>1505</v>
      </c>
      <c r="G2706" t="s">
        <v>274</v>
      </c>
      <c r="H2706" t="s">
        <v>277</v>
      </c>
      <c r="I2706">
        <v>251</v>
      </c>
    </row>
    <row r="2707" spans="1:10" x14ac:dyDescent="0.2">
      <c r="A2707" t="s">
        <v>452</v>
      </c>
      <c r="B2707" t="s">
        <v>327</v>
      </c>
      <c r="C2707" t="s">
        <v>264</v>
      </c>
      <c r="D2707" t="s">
        <v>265</v>
      </c>
      <c r="E2707">
        <v>4541</v>
      </c>
      <c r="F2707" t="s">
        <v>4039</v>
      </c>
      <c r="G2707" t="s">
        <v>266</v>
      </c>
      <c r="H2707" t="s">
        <v>311</v>
      </c>
      <c r="I2707">
        <v>863</v>
      </c>
    </row>
    <row r="2708" spans="1:10" x14ac:dyDescent="0.2">
      <c r="A2708" t="s">
        <v>452</v>
      </c>
      <c r="B2708" t="s">
        <v>327</v>
      </c>
      <c r="C2708" t="s">
        <v>264</v>
      </c>
      <c r="D2708" t="s">
        <v>265</v>
      </c>
      <c r="E2708">
        <v>4555</v>
      </c>
      <c r="F2708" t="s">
        <v>4040</v>
      </c>
      <c r="G2708" t="s">
        <v>266</v>
      </c>
      <c r="H2708" t="s">
        <v>311</v>
      </c>
      <c r="I2708" t="s">
        <v>333</v>
      </c>
      <c r="J2708" t="s">
        <v>4349</v>
      </c>
    </row>
    <row r="2709" spans="1:10" x14ac:dyDescent="0.2">
      <c r="A2709" t="s">
        <v>452</v>
      </c>
      <c r="B2709" t="s">
        <v>327</v>
      </c>
      <c r="C2709" t="s">
        <v>264</v>
      </c>
      <c r="D2709" t="s">
        <v>269</v>
      </c>
      <c r="E2709">
        <v>4571</v>
      </c>
      <c r="F2709" t="s">
        <v>4041</v>
      </c>
      <c r="G2709" t="s">
        <v>278</v>
      </c>
      <c r="H2709" t="s">
        <v>311</v>
      </c>
      <c r="I2709">
        <v>191</v>
      </c>
    </row>
    <row r="2710" spans="1:10" x14ac:dyDescent="0.2">
      <c r="A2710" t="s">
        <v>452</v>
      </c>
      <c r="B2710" t="s">
        <v>327</v>
      </c>
      <c r="C2710" t="s">
        <v>273</v>
      </c>
      <c r="D2710" t="s">
        <v>265</v>
      </c>
      <c r="E2710">
        <v>4579</v>
      </c>
      <c r="F2710" t="s">
        <v>4042</v>
      </c>
      <c r="G2710" t="s">
        <v>270</v>
      </c>
      <c r="H2710" t="s">
        <v>311</v>
      </c>
      <c r="I2710">
        <v>271</v>
      </c>
    </row>
    <row r="2711" spans="1:10" x14ac:dyDescent="0.2">
      <c r="A2711" t="s">
        <v>452</v>
      </c>
      <c r="B2711" t="s">
        <v>327</v>
      </c>
      <c r="C2711" t="s">
        <v>264</v>
      </c>
      <c r="D2711" t="s">
        <v>269</v>
      </c>
      <c r="E2711">
        <v>4594</v>
      </c>
      <c r="F2711" t="s">
        <v>4043</v>
      </c>
      <c r="G2711" t="s">
        <v>278</v>
      </c>
      <c r="H2711" t="s">
        <v>311</v>
      </c>
      <c r="I2711">
        <v>135</v>
      </c>
    </row>
    <row r="2712" spans="1:10" x14ac:dyDescent="0.2">
      <c r="A2712" t="s">
        <v>452</v>
      </c>
      <c r="B2712" t="s">
        <v>327</v>
      </c>
      <c r="C2712" t="s">
        <v>273</v>
      </c>
      <c r="D2712" t="s">
        <v>265</v>
      </c>
      <c r="E2712">
        <v>4633</v>
      </c>
      <c r="F2712" t="s">
        <v>4044</v>
      </c>
      <c r="G2712" t="s">
        <v>266</v>
      </c>
      <c r="H2712" t="s">
        <v>279</v>
      </c>
      <c r="I2712">
        <v>729</v>
      </c>
    </row>
    <row r="2713" spans="1:10" x14ac:dyDescent="0.2">
      <c r="A2713" t="s">
        <v>452</v>
      </c>
      <c r="B2713" t="s">
        <v>327</v>
      </c>
      <c r="C2713" t="s">
        <v>264</v>
      </c>
      <c r="D2713" t="s">
        <v>265</v>
      </c>
      <c r="E2713">
        <v>4653</v>
      </c>
      <c r="F2713" t="s">
        <v>4045</v>
      </c>
      <c r="G2713" t="s">
        <v>266</v>
      </c>
      <c r="H2713" t="s">
        <v>271</v>
      </c>
      <c r="I2713">
        <v>186</v>
      </c>
    </row>
    <row r="2714" spans="1:10" x14ac:dyDescent="0.2">
      <c r="A2714" t="s">
        <v>452</v>
      </c>
      <c r="B2714" t="s">
        <v>327</v>
      </c>
      <c r="C2714" t="s">
        <v>273</v>
      </c>
      <c r="D2714" t="s">
        <v>265</v>
      </c>
      <c r="E2714">
        <v>4669</v>
      </c>
      <c r="F2714" t="s">
        <v>4046</v>
      </c>
      <c r="G2714" t="s">
        <v>270</v>
      </c>
      <c r="H2714" t="s">
        <v>271</v>
      </c>
      <c r="I2714">
        <v>18</v>
      </c>
    </row>
    <row r="2715" spans="1:10" x14ac:dyDescent="0.2">
      <c r="A2715" t="s">
        <v>452</v>
      </c>
      <c r="B2715" t="s">
        <v>327</v>
      </c>
      <c r="C2715" t="s">
        <v>273</v>
      </c>
      <c r="D2715" t="s">
        <v>265</v>
      </c>
      <c r="E2715">
        <v>4725</v>
      </c>
      <c r="F2715" t="s">
        <v>4047</v>
      </c>
      <c r="G2715" t="s">
        <v>266</v>
      </c>
      <c r="H2715" t="s">
        <v>277</v>
      </c>
      <c r="I2715">
        <v>318</v>
      </c>
    </row>
    <row r="2716" spans="1:10" x14ac:dyDescent="0.2">
      <c r="A2716" t="s">
        <v>452</v>
      </c>
      <c r="B2716" t="s">
        <v>327</v>
      </c>
      <c r="C2716" t="s">
        <v>264</v>
      </c>
      <c r="D2716" t="s">
        <v>265</v>
      </c>
      <c r="E2716">
        <v>4833</v>
      </c>
      <c r="F2716" t="s">
        <v>4048</v>
      </c>
      <c r="G2716" t="s">
        <v>270</v>
      </c>
      <c r="H2716" t="s">
        <v>271</v>
      </c>
      <c r="I2716">
        <v>119</v>
      </c>
    </row>
    <row r="2717" spans="1:10" x14ac:dyDescent="0.2">
      <c r="A2717" t="s">
        <v>452</v>
      </c>
      <c r="B2717" t="s">
        <v>327</v>
      </c>
      <c r="C2717" t="s">
        <v>273</v>
      </c>
      <c r="D2717" t="s">
        <v>265</v>
      </c>
      <c r="E2717">
        <v>4927</v>
      </c>
      <c r="F2717" t="s">
        <v>4049</v>
      </c>
      <c r="G2717" t="s">
        <v>266</v>
      </c>
      <c r="H2717" t="s">
        <v>279</v>
      </c>
      <c r="I2717" t="s">
        <v>283</v>
      </c>
      <c r="J2717" t="s">
        <v>4653</v>
      </c>
    </row>
    <row r="2718" spans="1:10" x14ac:dyDescent="0.2">
      <c r="A2718" t="s">
        <v>452</v>
      </c>
      <c r="B2718" t="s">
        <v>327</v>
      </c>
      <c r="C2718" t="s">
        <v>273</v>
      </c>
      <c r="D2718" t="s">
        <v>265</v>
      </c>
      <c r="E2718">
        <v>5010</v>
      </c>
      <c r="F2718" t="s">
        <v>4050</v>
      </c>
      <c r="G2718" t="s">
        <v>274</v>
      </c>
      <c r="H2718" t="s">
        <v>1442</v>
      </c>
      <c r="I2718">
        <v>51</v>
      </c>
    </row>
    <row r="2719" spans="1:10" x14ac:dyDescent="0.2">
      <c r="A2719" t="s">
        <v>452</v>
      </c>
      <c r="B2719" t="s">
        <v>327</v>
      </c>
      <c r="C2719" t="s">
        <v>264</v>
      </c>
      <c r="D2719" t="s">
        <v>265</v>
      </c>
      <c r="E2719">
        <v>5019</v>
      </c>
      <c r="F2719" t="s">
        <v>1867</v>
      </c>
      <c r="G2719" t="s">
        <v>266</v>
      </c>
      <c r="H2719" t="s">
        <v>1442</v>
      </c>
      <c r="I2719" t="s">
        <v>343</v>
      </c>
      <c r="J2719" t="s">
        <v>5079</v>
      </c>
    </row>
    <row r="2720" spans="1:10" x14ac:dyDescent="0.2">
      <c r="A2720" t="s">
        <v>452</v>
      </c>
      <c r="B2720" t="s">
        <v>327</v>
      </c>
      <c r="C2720" t="s">
        <v>264</v>
      </c>
      <c r="D2720" t="s">
        <v>265</v>
      </c>
      <c r="E2720">
        <v>5290</v>
      </c>
      <c r="F2720" t="s">
        <v>4051</v>
      </c>
      <c r="G2720" t="s">
        <v>274</v>
      </c>
      <c r="H2720" t="s">
        <v>308</v>
      </c>
      <c r="I2720">
        <v>248</v>
      </c>
    </row>
    <row r="2721" spans="1:10" x14ac:dyDescent="0.2">
      <c r="A2721" t="s">
        <v>452</v>
      </c>
      <c r="B2721" t="s">
        <v>327</v>
      </c>
      <c r="C2721" t="s">
        <v>273</v>
      </c>
      <c r="D2721" t="s">
        <v>265</v>
      </c>
      <c r="E2721">
        <v>5310</v>
      </c>
      <c r="F2721" t="s">
        <v>1833</v>
      </c>
      <c r="G2721" t="s">
        <v>266</v>
      </c>
      <c r="H2721" t="s">
        <v>308</v>
      </c>
      <c r="I2721">
        <v>477</v>
      </c>
    </row>
    <row r="2722" spans="1:10" x14ac:dyDescent="0.2">
      <c r="A2722" t="s">
        <v>452</v>
      </c>
      <c r="B2722" t="s">
        <v>327</v>
      </c>
      <c r="C2722" t="s">
        <v>273</v>
      </c>
      <c r="D2722" t="s">
        <v>265</v>
      </c>
      <c r="E2722">
        <v>5337</v>
      </c>
      <c r="F2722" t="s">
        <v>4052</v>
      </c>
      <c r="G2722" t="s">
        <v>266</v>
      </c>
      <c r="H2722" t="s">
        <v>308</v>
      </c>
      <c r="I2722">
        <v>34</v>
      </c>
    </row>
    <row r="2723" spans="1:10" x14ac:dyDescent="0.2">
      <c r="A2723" t="s">
        <v>452</v>
      </c>
      <c r="B2723" t="s">
        <v>327</v>
      </c>
      <c r="C2723" t="s">
        <v>273</v>
      </c>
      <c r="D2723" t="s">
        <v>265</v>
      </c>
      <c r="E2723">
        <v>5699</v>
      </c>
      <c r="F2723" t="s">
        <v>4053</v>
      </c>
      <c r="G2723" t="s">
        <v>270</v>
      </c>
      <c r="H2723" t="s">
        <v>726</v>
      </c>
      <c r="I2723">
        <v>48</v>
      </c>
    </row>
    <row r="2724" spans="1:10" x14ac:dyDescent="0.2">
      <c r="A2724" t="s">
        <v>452</v>
      </c>
      <c r="B2724" t="s">
        <v>327</v>
      </c>
      <c r="C2724" t="s">
        <v>264</v>
      </c>
      <c r="D2724" t="s">
        <v>265</v>
      </c>
      <c r="E2724">
        <v>5918</v>
      </c>
      <c r="F2724" t="s">
        <v>4054</v>
      </c>
      <c r="G2724" t="s">
        <v>274</v>
      </c>
      <c r="H2724" t="s">
        <v>281</v>
      </c>
      <c r="I2724">
        <v>140</v>
      </c>
    </row>
    <row r="2725" spans="1:10" x14ac:dyDescent="0.2">
      <c r="A2725" t="s">
        <v>452</v>
      </c>
      <c r="B2725" t="s">
        <v>327</v>
      </c>
      <c r="C2725" t="s">
        <v>273</v>
      </c>
      <c r="D2725" t="s">
        <v>265</v>
      </c>
      <c r="E2725">
        <v>5959</v>
      </c>
      <c r="F2725" t="s">
        <v>1506</v>
      </c>
      <c r="G2725" t="s">
        <v>266</v>
      </c>
      <c r="H2725" t="s">
        <v>281</v>
      </c>
      <c r="I2725">
        <v>487</v>
      </c>
    </row>
    <row r="2726" spans="1:10" x14ac:dyDescent="0.2">
      <c r="A2726" t="s">
        <v>452</v>
      </c>
      <c r="B2726" t="s">
        <v>327</v>
      </c>
      <c r="C2726" t="s">
        <v>275</v>
      </c>
      <c r="D2726" t="s">
        <v>265</v>
      </c>
      <c r="E2726">
        <v>5987</v>
      </c>
      <c r="F2726" t="s">
        <v>4055</v>
      </c>
      <c r="G2726" t="s">
        <v>270</v>
      </c>
      <c r="H2726" t="s">
        <v>281</v>
      </c>
      <c r="I2726">
        <v>16</v>
      </c>
    </row>
    <row r="2727" spans="1:10" x14ac:dyDescent="0.2">
      <c r="A2727" t="s">
        <v>452</v>
      </c>
      <c r="B2727" t="s">
        <v>327</v>
      </c>
      <c r="C2727" t="s">
        <v>275</v>
      </c>
      <c r="D2727" t="s">
        <v>265</v>
      </c>
      <c r="E2727">
        <v>6038</v>
      </c>
      <c r="F2727" t="s">
        <v>1507</v>
      </c>
      <c r="G2727" t="s">
        <v>278</v>
      </c>
      <c r="H2727" t="s">
        <v>271</v>
      </c>
      <c r="I2727">
        <v>49</v>
      </c>
    </row>
    <row r="2728" spans="1:10" x14ac:dyDescent="0.2">
      <c r="A2728" t="s">
        <v>452</v>
      </c>
      <c r="B2728" t="s">
        <v>327</v>
      </c>
      <c r="C2728" t="s">
        <v>273</v>
      </c>
      <c r="D2728" t="s">
        <v>265</v>
      </c>
      <c r="E2728">
        <v>6054</v>
      </c>
      <c r="F2728" t="s">
        <v>4056</v>
      </c>
      <c r="G2728" t="s">
        <v>266</v>
      </c>
      <c r="H2728" t="s">
        <v>271</v>
      </c>
      <c r="I2728">
        <v>82</v>
      </c>
    </row>
    <row r="2729" spans="1:10" x14ac:dyDescent="0.2">
      <c r="A2729" t="s">
        <v>452</v>
      </c>
      <c r="B2729" t="s">
        <v>327</v>
      </c>
      <c r="C2729" t="s">
        <v>264</v>
      </c>
      <c r="D2729" t="s">
        <v>265</v>
      </c>
      <c r="E2729">
        <v>6069</v>
      </c>
      <c r="F2729" t="s">
        <v>4057</v>
      </c>
      <c r="G2729" t="s">
        <v>278</v>
      </c>
      <c r="H2729" t="s">
        <v>271</v>
      </c>
      <c r="I2729">
        <v>54</v>
      </c>
    </row>
    <row r="2730" spans="1:10" x14ac:dyDescent="0.2">
      <c r="A2730" t="s">
        <v>452</v>
      </c>
      <c r="B2730" t="s">
        <v>327</v>
      </c>
      <c r="C2730" t="s">
        <v>273</v>
      </c>
      <c r="D2730" t="s">
        <v>265</v>
      </c>
      <c r="E2730">
        <v>6071</v>
      </c>
      <c r="F2730" t="s">
        <v>4058</v>
      </c>
      <c r="G2730" t="s">
        <v>266</v>
      </c>
      <c r="H2730" t="s">
        <v>271</v>
      </c>
      <c r="I2730">
        <v>546</v>
      </c>
    </row>
    <row r="2731" spans="1:10" x14ac:dyDescent="0.2">
      <c r="A2731" t="s">
        <v>452</v>
      </c>
      <c r="B2731" t="s">
        <v>327</v>
      </c>
      <c r="C2731" t="s">
        <v>264</v>
      </c>
      <c r="D2731" t="s">
        <v>265</v>
      </c>
      <c r="E2731">
        <v>6082</v>
      </c>
      <c r="F2731" t="s">
        <v>592</v>
      </c>
      <c r="G2731" t="s">
        <v>266</v>
      </c>
      <c r="H2731" t="s">
        <v>271</v>
      </c>
      <c r="I2731">
        <v>222</v>
      </c>
    </row>
    <row r="2732" spans="1:10" x14ac:dyDescent="0.2">
      <c r="A2732" t="s">
        <v>452</v>
      </c>
      <c r="B2732" t="s">
        <v>327</v>
      </c>
      <c r="C2732" t="s">
        <v>268</v>
      </c>
      <c r="D2732" t="s">
        <v>265</v>
      </c>
      <c r="E2732">
        <v>6094</v>
      </c>
      <c r="F2732" t="s">
        <v>4059</v>
      </c>
      <c r="G2732" t="s">
        <v>278</v>
      </c>
      <c r="H2732" t="s">
        <v>271</v>
      </c>
      <c r="I2732">
        <v>221</v>
      </c>
    </row>
    <row r="2733" spans="1:10" x14ac:dyDescent="0.2">
      <c r="A2733" t="s">
        <v>452</v>
      </c>
      <c r="B2733" t="s">
        <v>327</v>
      </c>
      <c r="C2733" t="s">
        <v>264</v>
      </c>
      <c r="D2733" t="s">
        <v>265</v>
      </c>
      <c r="E2733">
        <v>6098</v>
      </c>
      <c r="F2733" t="s">
        <v>1834</v>
      </c>
      <c r="G2733" t="s">
        <v>266</v>
      </c>
      <c r="H2733" t="s">
        <v>271</v>
      </c>
      <c r="I2733" t="s">
        <v>1835</v>
      </c>
      <c r="J2733" t="s">
        <v>5080</v>
      </c>
    </row>
    <row r="2734" spans="1:10" x14ac:dyDescent="0.2">
      <c r="A2734" t="s">
        <v>452</v>
      </c>
      <c r="B2734" t="s">
        <v>327</v>
      </c>
      <c r="C2734" t="s">
        <v>273</v>
      </c>
      <c r="D2734" t="s">
        <v>265</v>
      </c>
      <c r="E2734">
        <v>6143</v>
      </c>
      <c r="F2734" t="s">
        <v>4060</v>
      </c>
      <c r="G2734" t="s">
        <v>266</v>
      </c>
      <c r="H2734" t="s">
        <v>287</v>
      </c>
      <c r="I2734">
        <v>510</v>
      </c>
    </row>
    <row r="2735" spans="1:10" x14ac:dyDescent="0.2">
      <c r="A2735" t="s">
        <v>452</v>
      </c>
      <c r="B2735" t="s">
        <v>327</v>
      </c>
      <c r="C2735" t="s">
        <v>264</v>
      </c>
      <c r="D2735" t="s">
        <v>265</v>
      </c>
      <c r="E2735">
        <v>6178</v>
      </c>
      <c r="F2735" t="s">
        <v>4061</v>
      </c>
      <c r="G2735" t="s">
        <v>266</v>
      </c>
      <c r="H2735" t="s">
        <v>271</v>
      </c>
      <c r="I2735" t="s">
        <v>1692</v>
      </c>
      <c r="J2735" t="s">
        <v>4869</v>
      </c>
    </row>
    <row r="2736" spans="1:10" x14ac:dyDescent="0.2">
      <c r="A2736" t="s">
        <v>452</v>
      </c>
      <c r="B2736" t="s">
        <v>327</v>
      </c>
      <c r="C2736" t="s">
        <v>264</v>
      </c>
      <c r="D2736" t="s">
        <v>265</v>
      </c>
      <c r="E2736">
        <v>6181</v>
      </c>
      <c r="F2736" t="s">
        <v>4062</v>
      </c>
      <c r="G2736" t="s">
        <v>278</v>
      </c>
      <c r="H2736" t="s">
        <v>271</v>
      </c>
      <c r="I2736">
        <v>46</v>
      </c>
    </row>
    <row r="2737" spans="1:10" x14ac:dyDescent="0.2">
      <c r="A2737" t="s">
        <v>452</v>
      </c>
      <c r="B2737" t="s">
        <v>327</v>
      </c>
      <c r="C2737" t="s">
        <v>264</v>
      </c>
      <c r="D2737" t="s">
        <v>265</v>
      </c>
      <c r="E2737">
        <v>6190</v>
      </c>
      <c r="F2737" t="s">
        <v>4063</v>
      </c>
      <c r="G2737" t="s">
        <v>278</v>
      </c>
      <c r="H2737" t="s">
        <v>271</v>
      </c>
      <c r="I2737">
        <v>24</v>
      </c>
    </row>
    <row r="2738" spans="1:10" x14ac:dyDescent="0.2">
      <c r="A2738" t="s">
        <v>452</v>
      </c>
      <c r="B2738" t="s">
        <v>327</v>
      </c>
      <c r="C2738" t="s">
        <v>264</v>
      </c>
      <c r="D2738" t="s">
        <v>269</v>
      </c>
      <c r="E2738">
        <v>6232</v>
      </c>
      <c r="F2738" t="s">
        <v>4064</v>
      </c>
      <c r="G2738" t="s">
        <v>278</v>
      </c>
      <c r="H2738" t="s">
        <v>287</v>
      </c>
      <c r="I2738">
        <v>403</v>
      </c>
    </row>
    <row r="2739" spans="1:10" x14ac:dyDescent="0.2">
      <c r="A2739" t="s">
        <v>452</v>
      </c>
      <c r="B2739" t="s">
        <v>327</v>
      </c>
      <c r="C2739" t="s">
        <v>268</v>
      </c>
      <c r="D2739" t="s">
        <v>269</v>
      </c>
      <c r="E2739">
        <v>6233</v>
      </c>
      <c r="F2739" t="s">
        <v>4065</v>
      </c>
      <c r="G2739" t="s">
        <v>270</v>
      </c>
      <c r="H2739" t="s">
        <v>287</v>
      </c>
      <c r="I2739">
        <v>38</v>
      </c>
    </row>
    <row r="2740" spans="1:10" x14ac:dyDescent="0.2">
      <c r="A2740" t="s">
        <v>452</v>
      </c>
      <c r="B2740" t="s">
        <v>327</v>
      </c>
      <c r="C2740" t="s">
        <v>273</v>
      </c>
      <c r="D2740" t="s">
        <v>265</v>
      </c>
      <c r="E2740">
        <v>6266</v>
      </c>
      <c r="F2740" t="s">
        <v>4066</v>
      </c>
      <c r="G2740" t="s">
        <v>266</v>
      </c>
      <c r="H2740" t="s">
        <v>287</v>
      </c>
      <c r="I2740">
        <v>189</v>
      </c>
    </row>
    <row r="2741" spans="1:10" x14ac:dyDescent="0.2">
      <c r="A2741" t="s">
        <v>452</v>
      </c>
      <c r="B2741" t="s">
        <v>327</v>
      </c>
      <c r="C2741" t="s">
        <v>273</v>
      </c>
      <c r="D2741" t="s">
        <v>265</v>
      </c>
      <c r="E2741">
        <v>6310</v>
      </c>
      <c r="F2741" t="s">
        <v>4067</v>
      </c>
      <c r="G2741" t="s">
        <v>266</v>
      </c>
      <c r="H2741" t="s">
        <v>287</v>
      </c>
      <c r="I2741">
        <v>361</v>
      </c>
    </row>
    <row r="2742" spans="1:10" x14ac:dyDescent="0.2">
      <c r="A2742" t="s">
        <v>452</v>
      </c>
      <c r="B2742" t="s">
        <v>327</v>
      </c>
      <c r="C2742" t="s">
        <v>264</v>
      </c>
      <c r="D2742" t="s">
        <v>265</v>
      </c>
      <c r="E2742">
        <v>6319</v>
      </c>
      <c r="F2742" t="s">
        <v>4068</v>
      </c>
      <c r="G2742" t="s">
        <v>266</v>
      </c>
      <c r="H2742" t="s">
        <v>726</v>
      </c>
      <c r="I2742">
        <v>263</v>
      </c>
    </row>
    <row r="2743" spans="1:10" x14ac:dyDescent="0.2">
      <c r="A2743" t="s">
        <v>452</v>
      </c>
      <c r="B2743" t="s">
        <v>327</v>
      </c>
      <c r="C2743" t="s">
        <v>273</v>
      </c>
      <c r="D2743" t="s">
        <v>265</v>
      </c>
      <c r="E2743">
        <v>6326</v>
      </c>
      <c r="F2743" t="s">
        <v>4069</v>
      </c>
      <c r="G2743" t="s">
        <v>266</v>
      </c>
      <c r="H2743" t="s">
        <v>287</v>
      </c>
      <c r="I2743" t="s">
        <v>475</v>
      </c>
      <c r="J2743" t="s">
        <v>4259</v>
      </c>
    </row>
    <row r="2744" spans="1:10" x14ac:dyDescent="0.2">
      <c r="A2744" t="s">
        <v>452</v>
      </c>
      <c r="B2744" t="s">
        <v>327</v>
      </c>
      <c r="C2744" t="s">
        <v>264</v>
      </c>
      <c r="D2744" t="s">
        <v>265</v>
      </c>
      <c r="E2744">
        <v>6343</v>
      </c>
      <c r="F2744" t="s">
        <v>4070</v>
      </c>
      <c r="G2744" t="s">
        <v>274</v>
      </c>
      <c r="H2744" t="s">
        <v>287</v>
      </c>
      <c r="I2744">
        <v>83</v>
      </c>
    </row>
    <row r="2745" spans="1:10" x14ac:dyDescent="0.2">
      <c r="A2745" t="s">
        <v>452</v>
      </c>
      <c r="B2745" t="s">
        <v>327</v>
      </c>
      <c r="C2745" t="s">
        <v>273</v>
      </c>
      <c r="D2745" t="s">
        <v>265</v>
      </c>
      <c r="E2745">
        <v>6376</v>
      </c>
      <c r="F2745" t="s">
        <v>4071</v>
      </c>
      <c r="G2745" t="s">
        <v>266</v>
      </c>
      <c r="H2745" t="s">
        <v>342</v>
      </c>
      <c r="I2745" t="s">
        <v>297</v>
      </c>
      <c r="J2745" t="s">
        <v>4375</v>
      </c>
    </row>
    <row r="2746" spans="1:10" x14ac:dyDescent="0.2">
      <c r="A2746" t="s">
        <v>452</v>
      </c>
      <c r="B2746" t="s">
        <v>327</v>
      </c>
      <c r="C2746" t="s">
        <v>264</v>
      </c>
      <c r="D2746" t="s">
        <v>265</v>
      </c>
      <c r="E2746">
        <v>6462</v>
      </c>
      <c r="F2746" t="s">
        <v>4072</v>
      </c>
      <c r="G2746" t="s">
        <v>266</v>
      </c>
      <c r="H2746" t="s">
        <v>287</v>
      </c>
      <c r="I2746">
        <v>432</v>
      </c>
    </row>
    <row r="2747" spans="1:10" x14ac:dyDescent="0.2">
      <c r="A2747" t="s">
        <v>452</v>
      </c>
      <c r="B2747" t="s">
        <v>327</v>
      </c>
      <c r="C2747" t="s">
        <v>273</v>
      </c>
      <c r="D2747" t="s">
        <v>265</v>
      </c>
      <c r="E2747">
        <v>6497</v>
      </c>
      <c r="F2747" t="s">
        <v>4073</v>
      </c>
      <c r="G2747" t="s">
        <v>270</v>
      </c>
      <c r="H2747" t="s">
        <v>287</v>
      </c>
      <c r="I2747">
        <v>71</v>
      </c>
    </row>
    <row r="2748" spans="1:10" x14ac:dyDescent="0.2">
      <c r="A2748" t="s">
        <v>452</v>
      </c>
      <c r="B2748" t="s">
        <v>327</v>
      </c>
      <c r="C2748" t="s">
        <v>275</v>
      </c>
      <c r="D2748" t="s">
        <v>265</v>
      </c>
      <c r="E2748">
        <v>6531</v>
      </c>
      <c r="F2748" t="s">
        <v>4074</v>
      </c>
      <c r="G2748" t="s">
        <v>278</v>
      </c>
      <c r="H2748" t="s">
        <v>271</v>
      </c>
      <c r="I2748">
        <v>41</v>
      </c>
    </row>
    <row r="2749" spans="1:10" x14ac:dyDescent="0.2">
      <c r="A2749" t="s">
        <v>452</v>
      </c>
      <c r="B2749" t="s">
        <v>327</v>
      </c>
      <c r="C2749" t="s">
        <v>273</v>
      </c>
      <c r="D2749" t="s">
        <v>265</v>
      </c>
      <c r="E2749">
        <v>6533</v>
      </c>
      <c r="F2749" t="s">
        <v>4075</v>
      </c>
      <c r="G2749" t="s">
        <v>266</v>
      </c>
      <c r="H2749" t="s">
        <v>271</v>
      </c>
      <c r="I2749">
        <v>134</v>
      </c>
    </row>
    <row r="2750" spans="1:10" x14ac:dyDescent="0.2">
      <c r="A2750" t="s">
        <v>452</v>
      </c>
      <c r="B2750" t="s">
        <v>327</v>
      </c>
      <c r="C2750" t="s">
        <v>264</v>
      </c>
      <c r="D2750" t="s">
        <v>269</v>
      </c>
      <c r="E2750">
        <v>6545</v>
      </c>
      <c r="F2750" t="s">
        <v>4076</v>
      </c>
      <c r="G2750" t="s">
        <v>278</v>
      </c>
      <c r="H2750" t="s">
        <v>271</v>
      </c>
      <c r="I2750">
        <v>44</v>
      </c>
    </row>
    <row r="2751" spans="1:10" x14ac:dyDescent="0.2">
      <c r="A2751" t="s">
        <v>452</v>
      </c>
      <c r="B2751" t="s">
        <v>327</v>
      </c>
      <c r="C2751" t="s">
        <v>264</v>
      </c>
      <c r="D2751" t="s">
        <v>265</v>
      </c>
      <c r="E2751">
        <v>6550</v>
      </c>
      <c r="F2751" t="s">
        <v>1837</v>
      </c>
      <c r="G2751" t="s">
        <v>278</v>
      </c>
      <c r="H2751" t="s">
        <v>271</v>
      </c>
      <c r="I2751">
        <v>83</v>
      </c>
    </row>
    <row r="2752" spans="1:10" x14ac:dyDescent="0.2">
      <c r="A2752" t="s">
        <v>452</v>
      </c>
      <c r="B2752" t="s">
        <v>327</v>
      </c>
      <c r="C2752" t="s">
        <v>268</v>
      </c>
      <c r="D2752" t="s">
        <v>265</v>
      </c>
      <c r="E2752">
        <v>6551</v>
      </c>
      <c r="F2752" t="s">
        <v>4077</v>
      </c>
      <c r="G2752" t="s">
        <v>266</v>
      </c>
      <c r="H2752" t="s">
        <v>271</v>
      </c>
      <c r="I2752">
        <v>59</v>
      </c>
    </row>
    <row r="2753" spans="1:10" x14ac:dyDescent="0.2">
      <c r="A2753" t="s">
        <v>452</v>
      </c>
      <c r="B2753" t="s">
        <v>327</v>
      </c>
      <c r="C2753" t="s">
        <v>268</v>
      </c>
      <c r="D2753" t="s">
        <v>265</v>
      </c>
      <c r="E2753">
        <v>6554</v>
      </c>
      <c r="F2753" t="s">
        <v>4078</v>
      </c>
      <c r="G2753" t="s">
        <v>278</v>
      </c>
      <c r="H2753" t="s">
        <v>271</v>
      </c>
      <c r="I2753">
        <v>46</v>
      </c>
    </row>
    <row r="2754" spans="1:10" x14ac:dyDescent="0.2">
      <c r="A2754" t="s">
        <v>452</v>
      </c>
      <c r="B2754" t="s">
        <v>327</v>
      </c>
      <c r="C2754" t="s">
        <v>273</v>
      </c>
      <c r="D2754" t="s">
        <v>265</v>
      </c>
      <c r="E2754">
        <v>6561</v>
      </c>
      <c r="F2754" t="s">
        <v>4079</v>
      </c>
      <c r="G2754" t="s">
        <v>278</v>
      </c>
      <c r="H2754" t="s">
        <v>271</v>
      </c>
      <c r="I2754">
        <v>113</v>
      </c>
    </row>
    <row r="2755" spans="1:10" x14ac:dyDescent="0.2">
      <c r="A2755" t="s">
        <v>452</v>
      </c>
      <c r="B2755" t="s">
        <v>327</v>
      </c>
      <c r="C2755" t="s">
        <v>264</v>
      </c>
      <c r="D2755" t="s">
        <v>265</v>
      </c>
      <c r="E2755">
        <v>6575</v>
      </c>
      <c r="F2755" t="s">
        <v>4080</v>
      </c>
      <c r="G2755" t="s">
        <v>278</v>
      </c>
      <c r="H2755" t="s">
        <v>271</v>
      </c>
      <c r="I2755">
        <v>33</v>
      </c>
    </row>
    <row r="2756" spans="1:10" x14ac:dyDescent="0.2">
      <c r="A2756" t="s">
        <v>452</v>
      </c>
      <c r="B2756" t="s">
        <v>327</v>
      </c>
      <c r="C2756" t="s">
        <v>264</v>
      </c>
      <c r="D2756" t="s">
        <v>269</v>
      </c>
      <c r="E2756">
        <v>6580</v>
      </c>
      <c r="F2756" t="s">
        <v>4081</v>
      </c>
      <c r="G2756" t="s">
        <v>278</v>
      </c>
      <c r="H2756" t="s">
        <v>271</v>
      </c>
      <c r="I2756">
        <v>46</v>
      </c>
    </row>
    <row r="2757" spans="1:10" x14ac:dyDescent="0.2">
      <c r="A2757" t="s">
        <v>452</v>
      </c>
      <c r="B2757" t="s">
        <v>327</v>
      </c>
      <c r="C2757" t="s">
        <v>264</v>
      </c>
      <c r="D2757" t="s">
        <v>265</v>
      </c>
      <c r="E2757">
        <v>6615</v>
      </c>
      <c r="F2757" t="s">
        <v>4082</v>
      </c>
      <c r="G2757" t="s">
        <v>266</v>
      </c>
      <c r="H2757" t="s">
        <v>291</v>
      </c>
      <c r="I2757">
        <v>93</v>
      </c>
    </row>
    <row r="2758" spans="1:10" x14ac:dyDescent="0.2">
      <c r="A2758" t="s">
        <v>452</v>
      </c>
      <c r="B2758" t="s">
        <v>327</v>
      </c>
      <c r="C2758" t="s">
        <v>264</v>
      </c>
      <c r="D2758" t="s">
        <v>265</v>
      </c>
      <c r="E2758">
        <v>6618</v>
      </c>
      <c r="F2758" t="s">
        <v>1872</v>
      </c>
      <c r="G2758" t="s">
        <v>278</v>
      </c>
      <c r="H2758" t="s">
        <v>291</v>
      </c>
      <c r="I2758">
        <v>77</v>
      </c>
    </row>
    <row r="2759" spans="1:10" x14ac:dyDescent="0.2">
      <c r="A2759" t="s">
        <v>452</v>
      </c>
      <c r="B2759" t="s">
        <v>327</v>
      </c>
      <c r="C2759" t="s">
        <v>264</v>
      </c>
      <c r="D2759" t="s">
        <v>265</v>
      </c>
      <c r="E2759">
        <v>6625</v>
      </c>
      <c r="F2759" t="s">
        <v>4083</v>
      </c>
      <c r="G2759" t="s">
        <v>270</v>
      </c>
      <c r="H2759" t="s">
        <v>292</v>
      </c>
      <c r="I2759">
        <v>194</v>
      </c>
    </row>
    <row r="2760" spans="1:10" x14ac:dyDescent="0.2">
      <c r="A2760" t="s">
        <v>452</v>
      </c>
      <c r="B2760" t="s">
        <v>327</v>
      </c>
      <c r="C2760" t="s">
        <v>273</v>
      </c>
      <c r="D2760" t="s">
        <v>265</v>
      </c>
      <c r="E2760">
        <v>6635</v>
      </c>
      <c r="F2760" t="s">
        <v>4084</v>
      </c>
      <c r="G2760" t="s">
        <v>270</v>
      </c>
      <c r="H2760" t="s">
        <v>291</v>
      </c>
      <c r="I2760">
        <v>38</v>
      </c>
    </row>
    <row r="2761" spans="1:10" x14ac:dyDescent="0.2">
      <c r="A2761" t="s">
        <v>452</v>
      </c>
      <c r="B2761" t="s">
        <v>327</v>
      </c>
      <c r="C2761" t="s">
        <v>264</v>
      </c>
      <c r="D2761" t="s">
        <v>265</v>
      </c>
      <c r="E2761">
        <v>6658</v>
      </c>
      <c r="F2761" t="s">
        <v>4085</v>
      </c>
      <c r="G2761" t="s">
        <v>270</v>
      </c>
      <c r="H2761" t="s">
        <v>291</v>
      </c>
      <c r="I2761">
        <v>43</v>
      </c>
    </row>
    <row r="2762" spans="1:10" x14ac:dyDescent="0.2">
      <c r="A2762" t="s">
        <v>452</v>
      </c>
      <c r="B2762" t="s">
        <v>327</v>
      </c>
      <c r="C2762" t="s">
        <v>273</v>
      </c>
      <c r="D2762" t="s">
        <v>265</v>
      </c>
      <c r="E2762">
        <v>6694</v>
      </c>
      <c r="F2762" t="s">
        <v>4086</v>
      </c>
      <c r="G2762" t="s">
        <v>270</v>
      </c>
      <c r="H2762" t="s">
        <v>291</v>
      </c>
      <c r="I2762">
        <v>32</v>
      </c>
    </row>
    <row r="2763" spans="1:10" x14ac:dyDescent="0.2">
      <c r="A2763" t="s">
        <v>452</v>
      </c>
      <c r="B2763" t="s">
        <v>327</v>
      </c>
      <c r="C2763" t="s">
        <v>273</v>
      </c>
      <c r="D2763" t="s">
        <v>265</v>
      </c>
      <c r="E2763">
        <v>6697</v>
      </c>
      <c r="F2763" t="s">
        <v>4087</v>
      </c>
      <c r="G2763" t="s">
        <v>278</v>
      </c>
      <c r="H2763" t="s">
        <v>291</v>
      </c>
      <c r="I2763">
        <v>45</v>
      </c>
    </row>
    <row r="2764" spans="1:10" x14ac:dyDescent="0.2">
      <c r="A2764" t="s">
        <v>452</v>
      </c>
      <c r="B2764" t="s">
        <v>327</v>
      </c>
      <c r="C2764" t="s">
        <v>273</v>
      </c>
      <c r="D2764" t="s">
        <v>265</v>
      </c>
      <c r="E2764">
        <v>6789</v>
      </c>
      <c r="F2764" t="s">
        <v>4088</v>
      </c>
      <c r="G2764" t="s">
        <v>266</v>
      </c>
      <c r="H2764" t="s">
        <v>291</v>
      </c>
      <c r="I2764">
        <v>268</v>
      </c>
    </row>
    <row r="2765" spans="1:10" x14ac:dyDescent="0.2">
      <c r="A2765" t="s">
        <v>452</v>
      </c>
      <c r="B2765" t="s">
        <v>327</v>
      </c>
      <c r="C2765" t="s">
        <v>273</v>
      </c>
      <c r="D2765" t="s">
        <v>265</v>
      </c>
      <c r="E2765">
        <v>6835</v>
      </c>
      <c r="F2765" t="s">
        <v>4089</v>
      </c>
      <c r="G2765" t="s">
        <v>274</v>
      </c>
      <c r="H2765" t="s">
        <v>291</v>
      </c>
      <c r="I2765">
        <v>95</v>
      </c>
    </row>
    <row r="2766" spans="1:10" x14ac:dyDescent="0.2">
      <c r="A2766" t="s">
        <v>452</v>
      </c>
      <c r="B2766" t="s">
        <v>327</v>
      </c>
      <c r="C2766" t="s">
        <v>273</v>
      </c>
      <c r="D2766" t="s">
        <v>265</v>
      </c>
      <c r="E2766">
        <v>6856</v>
      </c>
      <c r="F2766" t="s">
        <v>4090</v>
      </c>
      <c r="G2766" t="s">
        <v>266</v>
      </c>
      <c r="H2766" t="s">
        <v>291</v>
      </c>
      <c r="I2766" t="s">
        <v>333</v>
      </c>
      <c r="J2766" t="s">
        <v>2196</v>
      </c>
    </row>
    <row r="2767" spans="1:10" x14ac:dyDescent="0.2">
      <c r="A2767" t="s">
        <v>452</v>
      </c>
      <c r="B2767" t="s">
        <v>327</v>
      </c>
      <c r="C2767" t="s">
        <v>264</v>
      </c>
      <c r="D2767" t="s">
        <v>265</v>
      </c>
      <c r="E2767">
        <v>6890</v>
      </c>
      <c r="F2767" t="s">
        <v>4091</v>
      </c>
      <c r="G2767" t="s">
        <v>270</v>
      </c>
      <c r="H2767" t="s">
        <v>291</v>
      </c>
      <c r="I2767">
        <v>339</v>
      </c>
    </row>
    <row r="2768" spans="1:10" x14ac:dyDescent="0.2">
      <c r="A2768" t="s">
        <v>452</v>
      </c>
      <c r="B2768" t="s">
        <v>327</v>
      </c>
      <c r="C2768" t="s">
        <v>273</v>
      </c>
      <c r="D2768" t="s">
        <v>265</v>
      </c>
      <c r="E2768">
        <v>6914</v>
      </c>
      <c r="F2768" t="s">
        <v>4092</v>
      </c>
      <c r="G2768" t="s">
        <v>266</v>
      </c>
      <c r="H2768" t="s">
        <v>291</v>
      </c>
      <c r="I2768">
        <v>622</v>
      </c>
    </row>
    <row r="2769" spans="1:10" x14ac:dyDescent="0.2">
      <c r="A2769" t="s">
        <v>452</v>
      </c>
      <c r="B2769" t="s">
        <v>327</v>
      </c>
      <c r="C2769" t="s">
        <v>273</v>
      </c>
      <c r="D2769" t="s">
        <v>265</v>
      </c>
      <c r="E2769">
        <v>6915</v>
      </c>
      <c r="F2769" t="s">
        <v>4093</v>
      </c>
      <c r="G2769" t="s">
        <v>266</v>
      </c>
      <c r="H2769" t="s">
        <v>291</v>
      </c>
      <c r="I2769">
        <v>295</v>
      </c>
    </row>
    <row r="2770" spans="1:10" x14ac:dyDescent="0.2">
      <c r="A2770" t="s">
        <v>452</v>
      </c>
      <c r="B2770" t="s">
        <v>327</v>
      </c>
      <c r="C2770" t="s">
        <v>264</v>
      </c>
      <c r="D2770" t="s">
        <v>265</v>
      </c>
      <c r="E2770">
        <v>7067</v>
      </c>
      <c r="F2770" t="s">
        <v>603</v>
      </c>
      <c r="G2770" t="s">
        <v>278</v>
      </c>
      <c r="H2770" t="s">
        <v>271</v>
      </c>
      <c r="I2770">
        <v>39</v>
      </c>
    </row>
    <row r="2771" spans="1:10" x14ac:dyDescent="0.2">
      <c r="A2771" t="s">
        <v>452</v>
      </c>
      <c r="B2771" t="s">
        <v>327</v>
      </c>
      <c r="C2771" t="s">
        <v>264</v>
      </c>
      <c r="D2771" t="s">
        <v>265</v>
      </c>
      <c r="E2771">
        <v>7070</v>
      </c>
      <c r="F2771" t="s">
        <v>449</v>
      </c>
      <c r="G2771" t="s">
        <v>270</v>
      </c>
      <c r="H2771" t="s">
        <v>271</v>
      </c>
      <c r="I2771">
        <v>70</v>
      </c>
    </row>
    <row r="2772" spans="1:10" x14ac:dyDescent="0.2">
      <c r="A2772" t="s">
        <v>452</v>
      </c>
      <c r="B2772" t="s">
        <v>327</v>
      </c>
      <c r="C2772" t="s">
        <v>264</v>
      </c>
      <c r="D2772" t="s">
        <v>265</v>
      </c>
      <c r="E2772">
        <v>7161</v>
      </c>
      <c r="F2772" t="s">
        <v>4094</v>
      </c>
      <c r="G2772" t="s">
        <v>266</v>
      </c>
      <c r="H2772" t="s">
        <v>484</v>
      </c>
      <c r="I2772">
        <v>197</v>
      </c>
    </row>
    <row r="2773" spans="1:10" x14ac:dyDescent="0.2">
      <c r="A2773" t="s">
        <v>452</v>
      </c>
      <c r="B2773" t="s">
        <v>327</v>
      </c>
      <c r="C2773" t="s">
        <v>264</v>
      </c>
      <c r="D2773" t="s">
        <v>265</v>
      </c>
      <c r="E2773">
        <v>7181</v>
      </c>
      <c r="F2773" t="s">
        <v>1839</v>
      </c>
      <c r="G2773" t="s">
        <v>266</v>
      </c>
      <c r="H2773" t="s">
        <v>665</v>
      </c>
      <c r="I2773" t="s">
        <v>359</v>
      </c>
      <c r="J2773" t="s">
        <v>5081</v>
      </c>
    </row>
    <row r="2774" spans="1:10" x14ac:dyDescent="0.2">
      <c r="A2774" t="s">
        <v>452</v>
      </c>
      <c r="B2774" t="s">
        <v>327</v>
      </c>
      <c r="C2774" t="s">
        <v>264</v>
      </c>
      <c r="D2774" t="s">
        <v>265</v>
      </c>
      <c r="E2774">
        <v>7182</v>
      </c>
      <c r="F2774" t="s">
        <v>4095</v>
      </c>
      <c r="G2774" t="s">
        <v>266</v>
      </c>
      <c r="H2774" t="s">
        <v>484</v>
      </c>
      <c r="I2774" t="s">
        <v>4540</v>
      </c>
      <c r="J2774" t="s">
        <v>4904</v>
      </c>
    </row>
    <row r="2775" spans="1:10" x14ac:dyDescent="0.2">
      <c r="A2775" t="s">
        <v>452</v>
      </c>
      <c r="B2775" t="s">
        <v>327</v>
      </c>
      <c r="C2775" t="s">
        <v>264</v>
      </c>
      <c r="D2775" t="s">
        <v>265</v>
      </c>
      <c r="E2775">
        <v>7199</v>
      </c>
      <c r="F2775" t="s">
        <v>457</v>
      </c>
      <c r="G2775" t="s">
        <v>266</v>
      </c>
      <c r="H2775" t="s">
        <v>302</v>
      </c>
      <c r="I2775">
        <v>286</v>
      </c>
    </row>
    <row r="2776" spans="1:10" x14ac:dyDescent="0.2">
      <c r="A2776" t="s">
        <v>452</v>
      </c>
      <c r="B2776" t="s">
        <v>327</v>
      </c>
      <c r="C2776" t="s">
        <v>264</v>
      </c>
      <c r="D2776" t="s">
        <v>265</v>
      </c>
      <c r="E2776">
        <v>7254</v>
      </c>
      <c r="F2776" t="s">
        <v>4096</v>
      </c>
      <c r="G2776" t="s">
        <v>274</v>
      </c>
      <c r="H2776" t="s">
        <v>296</v>
      </c>
      <c r="I2776">
        <v>64</v>
      </c>
    </row>
    <row r="2777" spans="1:10" x14ac:dyDescent="0.2">
      <c r="A2777" t="s">
        <v>452</v>
      </c>
      <c r="B2777" t="s">
        <v>327</v>
      </c>
      <c r="C2777" t="s">
        <v>264</v>
      </c>
      <c r="D2777" t="s">
        <v>265</v>
      </c>
      <c r="E2777">
        <v>7271</v>
      </c>
      <c r="F2777" t="s">
        <v>4097</v>
      </c>
      <c r="G2777" t="s">
        <v>266</v>
      </c>
      <c r="H2777" t="s">
        <v>296</v>
      </c>
      <c r="I2777">
        <v>158</v>
      </c>
    </row>
    <row r="2778" spans="1:10" x14ac:dyDescent="0.2">
      <c r="A2778" t="s">
        <v>452</v>
      </c>
      <c r="B2778" t="s">
        <v>327</v>
      </c>
      <c r="C2778" t="s">
        <v>264</v>
      </c>
      <c r="D2778" t="s">
        <v>265</v>
      </c>
      <c r="E2778">
        <v>7416</v>
      </c>
      <c r="F2778" t="s">
        <v>4098</v>
      </c>
      <c r="G2778" t="s">
        <v>266</v>
      </c>
      <c r="H2778" t="s">
        <v>276</v>
      </c>
      <c r="I2778">
        <v>145</v>
      </c>
    </row>
    <row r="2779" spans="1:10" x14ac:dyDescent="0.2">
      <c r="A2779" t="s">
        <v>452</v>
      </c>
      <c r="B2779" t="s">
        <v>327</v>
      </c>
      <c r="C2779" t="s">
        <v>273</v>
      </c>
      <c r="D2779" t="s">
        <v>269</v>
      </c>
      <c r="E2779">
        <v>7425</v>
      </c>
      <c r="F2779" t="s">
        <v>4099</v>
      </c>
      <c r="G2779" t="s">
        <v>270</v>
      </c>
      <c r="H2779" t="s">
        <v>272</v>
      </c>
      <c r="I2779">
        <v>31</v>
      </c>
    </row>
    <row r="2780" spans="1:10" x14ac:dyDescent="0.2">
      <c r="A2780" t="s">
        <v>452</v>
      </c>
      <c r="B2780" t="s">
        <v>327</v>
      </c>
      <c r="C2780" t="s">
        <v>264</v>
      </c>
      <c r="D2780" t="s">
        <v>265</v>
      </c>
      <c r="E2780">
        <v>7455</v>
      </c>
      <c r="F2780" t="s">
        <v>4100</v>
      </c>
      <c r="G2780" t="s">
        <v>266</v>
      </c>
      <c r="H2780" t="s">
        <v>276</v>
      </c>
      <c r="I2780">
        <v>173</v>
      </c>
    </row>
    <row r="2781" spans="1:10" x14ac:dyDescent="0.2">
      <c r="A2781" t="s">
        <v>452</v>
      </c>
      <c r="B2781" t="s">
        <v>327</v>
      </c>
      <c r="C2781" t="s">
        <v>264</v>
      </c>
      <c r="D2781" t="s">
        <v>269</v>
      </c>
      <c r="E2781">
        <v>7524</v>
      </c>
      <c r="F2781" t="s">
        <v>4101</v>
      </c>
      <c r="G2781" t="s">
        <v>266</v>
      </c>
      <c r="H2781" t="s">
        <v>276</v>
      </c>
      <c r="I2781">
        <v>67</v>
      </c>
    </row>
    <row r="2782" spans="1:10" x14ac:dyDescent="0.2">
      <c r="A2782" t="s">
        <v>452</v>
      </c>
      <c r="B2782" t="s">
        <v>327</v>
      </c>
      <c r="C2782" t="s">
        <v>264</v>
      </c>
      <c r="D2782" t="s">
        <v>265</v>
      </c>
      <c r="E2782">
        <v>7555</v>
      </c>
      <c r="F2782" t="s">
        <v>4102</v>
      </c>
      <c r="G2782" t="s">
        <v>270</v>
      </c>
      <c r="H2782" t="s">
        <v>272</v>
      </c>
      <c r="I2782">
        <v>43</v>
      </c>
    </row>
    <row r="2783" spans="1:10" x14ac:dyDescent="0.2">
      <c r="A2783" t="s">
        <v>452</v>
      </c>
      <c r="B2783" t="s">
        <v>327</v>
      </c>
      <c r="C2783" t="s">
        <v>264</v>
      </c>
      <c r="D2783" t="s">
        <v>265</v>
      </c>
      <c r="E2783">
        <v>7571</v>
      </c>
      <c r="F2783" t="s">
        <v>4103</v>
      </c>
      <c r="G2783" t="s">
        <v>270</v>
      </c>
      <c r="H2783" t="s">
        <v>276</v>
      </c>
      <c r="I2783">
        <v>31</v>
      </c>
    </row>
    <row r="2784" spans="1:10" x14ac:dyDescent="0.2">
      <c r="A2784" t="s">
        <v>452</v>
      </c>
      <c r="B2784" t="s">
        <v>327</v>
      </c>
      <c r="C2784" t="s">
        <v>275</v>
      </c>
      <c r="D2784" t="s">
        <v>265</v>
      </c>
      <c r="E2784">
        <v>7585</v>
      </c>
      <c r="F2784" t="s">
        <v>4104</v>
      </c>
      <c r="G2784" t="s">
        <v>270</v>
      </c>
      <c r="H2784" t="s">
        <v>276</v>
      </c>
      <c r="I2784">
        <v>41</v>
      </c>
    </row>
    <row r="2785" spans="1:10" x14ac:dyDescent="0.2">
      <c r="A2785" t="s">
        <v>452</v>
      </c>
      <c r="B2785" t="s">
        <v>327</v>
      </c>
      <c r="C2785" t="s">
        <v>268</v>
      </c>
      <c r="D2785" t="s">
        <v>265</v>
      </c>
      <c r="E2785">
        <v>7681</v>
      </c>
      <c r="F2785" t="s">
        <v>610</v>
      </c>
      <c r="G2785" t="s">
        <v>274</v>
      </c>
      <c r="H2785" t="s">
        <v>272</v>
      </c>
      <c r="I2785">
        <v>64</v>
      </c>
    </row>
    <row r="2786" spans="1:10" x14ac:dyDescent="0.2">
      <c r="A2786" t="s">
        <v>452</v>
      </c>
      <c r="B2786" t="s">
        <v>327</v>
      </c>
      <c r="C2786" t="s">
        <v>264</v>
      </c>
      <c r="D2786" t="s">
        <v>265</v>
      </c>
      <c r="E2786">
        <v>7686</v>
      </c>
      <c r="F2786" t="s">
        <v>1664</v>
      </c>
      <c r="G2786" t="s">
        <v>274</v>
      </c>
      <c r="H2786" t="s">
        <v>272</v>
      </c>
      <c r="I2786">
        <v>141</v>
      </c>
    </row>
    <row r="2787" spans="1:10" x14ac:dyDescent="0.2">
      <c r="A2787" t="s">
        <v>452</v>
      </c>
      <c r="B2787" t="s">
        <v>327</v>
      </c>
      <c r="C2787" t="s">
        <v>275</v>
      </c>
      <c r="D2787" t="s">
        <v>265</v>
      </c>
      <c r="E2787">
        <v>7707</v>
      </c>
      <c r="F2787" t="s">
        <v>4105</v>
      </c>
      <c r="G2787" t="s">
        <v>278</v>
      </c>
      <c r="H2787" t="s">
        <v>342</v>
      </c>
      <c r="I2787">
        <v>104</v>
      </c>
    </row>
    <row r="2788" spans="1:10" x14ac:dyDescent="0.2">
      <c r="A2788" t="s">
        <v>452</v>
      </c>
      <c r="B2788" t="s">
        <v>327</v>
      </c>
      <c r="C2788" t="s">
        <v>264</v>
      </c>
      <c r="D2788" t="s">
        <v>265</v>
      </c>
      <c r="E2788">
        <v>7729</v>
      </c>
      <c r="F2788" t="s">
        <v>4106</v>
      </c>
      <c r="G2788" t="s">
        <v>266</v>
      </c>
      <c r="H2788" t="s">
        <v>342</v>
      </c>
      <c r="I2788" t="s">
        <v>297</v>
      </c>
      <c r="J2788" t="s">
        <v>4970</v>
      </c>
    </row>
    <row r="2789" spans="1:10" x14ac:dyDescent="0.2">
      <c r="A2789" t="s">
        <v>452</v>
      </c>
      <c r="B2789" t="s">
        <v>327</v>
      </c>
      <c r="C2789" t="s">
        <v>264</v>
      </c>
      <c r="D2789" t="s">
        <v>265</v>
      </c>
      <c r="E2789">
        <v>7779</v>
      </c>
      <c r="F2789" t="s">
        <v>4107</v>
      </c>
      <c r="G2789" t="s">
        <v>278</v>
      </c>
      <c r="H2789" t="s">
        <v>342</v>
      </c>
      <c r="I2789">
        <v>777</v>
      </c>
    </row>
    <row r="2790" spans="1:10" x14ac:dyDescent="0.2">
      <c r="A2790" t="s">
        <v>452</v>
      </c>
      <c r="B2790" t="s">
        <v>327</v>
      </c>
      <c r="C2790" t="s">
        <v>275</v>
      </c>
      <c r="D2790" t="s">
        <v>265</v>
      </c>
      <c r="E2790">
        <v>7781</v>
      </c>
      <c r="F2790" t="s">
        <v>4108</v>
      </c>
      <c r="G2790" t="s">
        <v>270</v>
      </c>
      <c r="H2790" t="s">
        <v>342</v>
      </c>
      <c r="I2790">
        <v>55</v>
      </c>
    </row>
    <row r="2791" spans="1:10" x14ac:dyDescent="0.2">
      <c r="A2791" t="s">
        <v>452</v>
      </c>
      <c r="B2791" t="s">
        <v>327</v>
      </c>
      <c r="C2791" t="s">
        <v>273</v>
      </c>
      <c r="D2791" t="s">
        <v>265</v>
      </c>
      <c r="E2791">
        <v>7782</v>
      </c>
      <c r="F2791" t="s">
        <v>4109</v>
      </c>
      <c r="G2791" t="s">
        <v>266</v>
      </c>
      <c r="H2791" t="s">
        <v>342</v>
      </c>
      <c r="I2791">
        <v>52</v>
      </c>
    </row>
    <row r="2792" spans="1:10" x14ac:dyDescent="0.2">
      <c r="A2792" t="s">
        <v>452</v>
      </c>
      <c r="B2792" t="s">
        <v>327</v>
      </c>
      <c r="C2792" t="s">
        <v>268</v>
      </c>
      <c r="D2792" t="s">
        <v>265</v>
      </c>
      <c r="E2792">
        <v>7806</v>
      </c>
      <c r="F2792" t="s">
        <v>4110</v>
      </c>
      <c r="G2792" t="s">
        <v>278</v>
      </c>
      <c r="H2792" t="s">
        <v>288</v>
      </c>
      <c r="I2792">
        <v>377</v>
      </c>
    </row>
    <row r="2793" spans="1:10" x14ac:dyDescent="0.2">
      <c r="A2793" t="s">
        <v>452</v>
      </c>
      <c r="B2793" t="s">
        <v>327</v>
      </c>
      <c r="C2793" t="s">
        <v>273</v>
      </c>
      <c r="D2793" t="s">
        <v>265</v>
      </c>
      <c r="E2793">
        <v>7915</v>
      </c>
      <c r="F2793" t="s">
        <v>1821</v>
      </c>
      <c r="G2793" t="s">
        <v>266</v>
      </c>
      <c r="H2793" t="s">
        <v>288</v>
      </c>
      <c r="I2793">
        <v>552</v>
      </c>
    </row>
    <row r="2794" spans="1:10" x14ac:dyDescent="0.2">
      <c r="A2794" t="s">
        <v>452</v>
      </c>
      <c r="B2794" t="s">
        <v>327</v>
      </c>
      <c r="C2794" t="s">
        <v>273</v>
      </c>
      <c r="D2794" t="s">
        <v>265</v>
      </c>
      <c r="E2794">
        <v>7936</v>
      </c>
      <c r="F2794" t="s">
        <v>4111</v>
      </c>
      <c r="G2794" t="s">
        <v>266</v>
      </c>
      <c r="H2794" t="s">
        <v>288</v>
      </c>
      <c r="I2794" t="s">
        <v>333</v>
      </c>
      <c r="J2794" t="s">
        <v>4412</v>
      </c>
    </row>
    <row r="2795" spans="1:10" x14ac:dyDescent="0.2">
      <c r="A2795" t="s">
        <v>452</v>
      </c>
      <c r="B2795" t="s">
        <v>327</v>
      </c>
      <c r="C2795" t="s">
        <v>273</v>
      </c>
      <c r="D2795" t="s">
        <v>265</v>
      </c>
      <c r="E2795">
        <v>7957</v>
      </c>
      <c r="F2795" t="s">
        <v>4112</v>
      </c>
      <c r="G2795" t="s">
        <v>274</v>
      </c>
      <c r="H2795" t="s">
        <v>288</v>
      </c>
      <c r="I2795">
        <v>35</v>
      </c>
    </row>
    <row r="2796" spans="1:10" x14ac:dyDescent="0.2">
      <c r="A2796" t="s">
        <v>452</v>
      </c>
      <c r="B2796" t="s">
        <v>327</v>
      </c>
      <c r="C2796" t="s">
        <v>264</v>
      </c>
      <c r="D2796" t="s">
        <v>265</v>
      </c>
      <c r="E2796">
        <v>7958</v>
      </c>
      <c r="F2796" t="s">
        <v>1655</v>
      </c>
      <c r="G2796" t="s">
        <v>266</v>
      </c>
      <c r="H2796" t="s">
        <v>279</v>
      </c>
      <c r="I2796">
        <v>541</v>
      </c>
    </row>
    <row r="2797" spans="1:10" x14ac:dyDescent="0.2">
      <c r="A2797" t="s">
        <v>452</v>
      </c>
      <c r="B2797" t="s">
        <v>327</v>
      </c>
      <c r="C2797" t="s">
        <v>273</v>
      </c>
      <c r="D2797" t="s">
        <v>265</v>
      </c>
      <c r="E2797">
        <v>7976</v>
      </c>
      <c r="F2797" t="s">
        <v>4113</v>
      </c>
      <c r="G2797" t="s">
        <v>266</v>
      </c>
      <c r="H2797" t="s">
        <v>288</v>
      </c>
      <c r="I2797" t="s">
        <v>297</v>
      </c>
      <c r="J2797" t="s">
        <v>4900</v>
      </c>
    </row>
    <row r="2798" spans="1:10" x14ac:dyDescent="0.2">
      <c r="A2798" t="s">
        <v>452</v>
      </c>
      <c r="B2798" t="s">
        <v>327</v>
      </c>
      <c r="C2798" t="s">
        <v>264</v>
      </c>
      <c r="D2798" t="s">
        <v>265</v>
      </c>
      <c r="E2798">
        <v>8104</v>
      </c>
      <c r="F2798" t="s">
        <v>4114</v>
      </c>
      <c r="G2798" t="s">
        <v>266</v>
      </c>
      <c r="H2798" t="s">
        <v>272</v>
      </c>
      <c r="I2798">
        <v>116</v>
      </c>
    </row>
    <row r="2799" spans="1:10" x14ac:dyDescent="0.2">
      <c r="A2799" t="s">
        <v>452</v>
      </c>
      <c r="B2799" t="s">
        <v>327</v>
      </c>
      <c r="C2799" t="s">
        <v>264</v>
      </c>
      <c r="D2799" t="s">
        <v>265</v>
      </c>
      <c r="E2799">
        <v>8132</v>
      </c>
      <c r="F2799" t="s">
        <v>4115</v>
      </c>
      <c r="G2799" t="s">
        <v>266</v>
      </c>
      <c r="H2799" t="s">
        <v>272</v>
      </c>
      <c r="I2799">
        <v>264</v>
      </c>
    </row>
    <row r="2800" spans="1:10" x14ac:dyDescent="0.2">
      <c r="A2800" t="s">
        <v>452</v>
      </c>
      <c r="B2800" t="s">
        <v>327</v>
      </c>
      <c r="C2800" t="s">
        <v>264</v>
      </c>
      <c r="D2800" t="s">
        <v>265</v>
      </c>
      <c r="E2800">
        <v>8358</v>
      </c>
      <c r="F2800" t="s">
        <v>4116</v>
      </c>
      <c r="G2800" t="s">
        <v>266</v>
      </c>
      <c r="H2800" t="s">
        <v>484</v>
      </c>
      <c r="I2800" t="s">
        <v>297</v>
      </c>
      <c r="J2800" t="s">
        <v>5048</v>
      </c>
    </row>
    <row r="2801" spans="1:10" x14ac:dyDescent="0.2">
      <c r="A2801" t="s">
        <v>452</v>
      </c>
      <c r="B2801" t="s">
        <v>327</v>
      </c>
      <c r="C2801" t="s">
        <v>264</v>
      </c>
      <c r="D2801" t="s">
        <v>265</v>
      </c>
      <c r="E2801">
        <v>8518</v>
      </c>
      <c r="F2801" t="s">
        <v>1822</v>
      </c>
      <c r="G2801" t="s">
        <v>266</v>
      </c>
      <c r="H2801" t="s">
        <v>1448</v>
      </c>
      <c r="I2801">
        <v>51</v>
      </c>
    </row>
    <row r="2802" spans="1:10" x14ac:dyDescent="0.2">
      <c r="A2802" t="s">
        <v>452</v>
      </c>
      <c r="B2802" t="s">
        <v>327</v>
      </c>
      <c r="C2802" t="s">
        <v>264</v>
      </c>
      <c r="D2802" t="s">
        <v>265</v>
      </c>
      <c r="E2802">
        <v>8570</v>
      </c>
      <c r="F2802" t="s">
        <v>4271</v>
      </c>
      <c r="G2802" t="s">
        <v>266</v>
      </c>
      <c r="H2802" t="s">
        <v>302</v>
      </c>
      <c r="I2802" t="s">
        <v>333</v>
      </c>
      <c r="J2802" t="s">
        <v>4366</v>
      </c>
    </row>
    <row r="2803" spans="1:10" x14ac:dyDescent="0.2">
      <c r="A2803" t="s">
        <v>452</v>
      </c>
      <c r="B2803" t="s">
        <v>327</v>
      </c>
      <c r="C2803" t="s">
        <v>264</v>
      </c>
      <c r="D2803" t="s">
        <v>265</v>
      </c>
      <c r="E2803">
        <v>8600</v>
      </c>
      <c r="F2803" t="s">
        <v>4117</v>
      </c>
      <c r="G2803" t="s">
        <v>266</v>
      </c>
      <c r="H2803" t="s">
        <v>484</v>
      </c>
      <c r="I2803">
        <v>637</v>
      </c>
    </row>
    <row r="2804" spans="1:10" x14ac:dyDescent="0.2">
      <c r="A2804" t="s">
        <v>452</v>
      </c>
      <c r="B2804" t="s">
        <v>327</v>
      </c>
      <c r="C2804" t="s">
        <v>264</v>
      </c>
      <c r="D2804" t="s">
        <v>265</v>
      </c>
      <c r="E2804">
        <v>8705</v>
      </c>
      <c r="F2804" t="s">
        <v>4118</v>
      </c>
      <c r="G2804" t="s">
        <v>270</v>
      </c>
      <c r="H2804" t="s">
        <v>1448</v>
      </c>
      <c r="I2804">
        <v>22</v>
      </c>
    </row>
    <row r="2805" spans="1:10" x14ac:dyDescent="0.2">
      <c r="A2805" t="s">
        <v>452</v>
      </c>
      <c r="B2805" t="s">
        <v>327</v>
      </c>
      <c r="C2805" t="s">
        <v>264</v>
      </c>
      <c r="D2805" t="s">
        <v>265</v>
      </c>
      <c r="E2805">
        <v>8737</v>
      </c>
      <c r="F2805" t="s">
        <v>4119</v>
      </c>
      <c r="G2805" t="s">
        <v>274</v>
      </c>
      <c r="H2805" t="s">
        <v>1448</v>
      </c>
      <c r="I2805">
        <v>129</v>
      </c>
    </row>
    <row r="2806" spans="1:10" x14ac:dyDescent="0.2">
      <c r="A2806" t="s">
        <v>452</v>
      </c>
      <c r="B2806" t="s">
        <v>327</v>
      </c>
      <c r="C2806" t="s">
        <v>264</v>
      </c>
      <c r="D2806" t="s">
        <v>265</v>
      </c>
      <c r="E2806">
        <v>8795</v>
      </c>
      <c r="F2806" t="s">
        <v>4120</v>
      </c>
      <c r="G2806" t="s">
        <v>266</v>
      </c>
      <c r="H2806" t="s">
        <v>665</v>
      </c>
      <c r="I2806" t="s">
        <v>343</v>
      </c>
      <c r="J2806" t="s">
        <v>5082</v>
      </c>
    </row>
    <row r="2807" spans="1:10" x14ac:dyDescent="0.2">
      <c r="A2807" t="s">
        <v>452</v>
      </c>
      <c r="B2807" t="s">
        <v>327</v>
      </c>
      <c r="C2807" t="s">
        <v>264</v>
      </c>
      <c r="D2807" t="s">
        <v>265</v>
      </c>
      <c r="E2807">
        <v>8836</v>
      </c>
      <c r="F2807" t="s">
        <v>4121</v>
      </c>
      <c r="G2807" t="s">
        <v>270</v>
      </c>
      <c r="H2807" t="s">
        <v>292</v>
      </c>
      <c r="I2807">
        <v>25</v>
      </c>
    </row>
    <row r="2808" spans="1:10" x14ac:dyDescent="0.2">
      <c r="A2808" t="s">
        <v>452</v>
      </c>
      <c r="B2808" t="s">
        <v>327</v>
      </c>
      <c r="C2808" t="s">
        <v>264</v>
      </c>
      <c r="D2808" t="s">
        <v>265</v>
      </c>
      <c r="E2808">
        <v>8890</v>
      </c>
      <c r="F2808" t="s">
        <v>4122</v>
      </c>
      <c r="G2808" t="s">
        <v>270</v>
      </c>
      <c r="H2808" t="s">
        <v>292</v>
      </c>
      <c r="I2808">
        <v>468</v>
      </c>
    </row>
    <row r="2809" spans="1:10" x14ac:dyDescent="0.2">
      <c r="A2809" t="s">
        <v>452</v>
      </c>
      <c r="B2809" t="s">
        <v>327</v>
      </c>
      <c r="C2809" t="s">
        <v>273</v>
      </c>
      <c r="D2809" t="s">
        <v>265</v>
      </c>
      <c r="E2809">
        <v>8909</v>
      </c>
      <c r="F2809" t="s">
        <v>1840</v>
      </c>
      <c r="G2809" t="s">
        <v>270</v>
      </c>
      <c r="H2809" t="s">
        <v>292</v>
      </c>
      <c r="I2809">
        <v>477</v>
      </c>
    </row>
    <row r="2810" spans="1:10" x14ac:dyDescent="0.2">
      <c r="A2810" t="s">
        <v>452</v>
      </c>
      <c r="B2810" t="s">
        <v>327</v>
      </c>
      <c r="C2810" t="s">
        <v>273</v>
      </c>
      <c r="D2810" t="s">
        <v>269</v>
      </c>
      <c r="E2810">
        <v>8914</v>
      </c>
      <c r="F2810" t="s">
        <v>4123</v>
      </c>
      <c r="G2810" t="s">
        <v>278</v>
      </c>
      <c r="H2810" t="s">
        <v>292</v>
      </c>
      <c r="I2810">
        <v>167</v>
      </c>
    </row>
    <row r="2811" spans="1:10" x14ac:dyDescent="0.2">
      <c r="A2811" t="s">
        <v>452</v>
      </c>
      <c r="B2811" t="s">
        <v>327</v>
      </c>
      <c r="C2811" t="s">
        <v>273</v>
      </c>
      <c r="D2811" t="s">
        <v>269</v>
      </c>
      <c r="E2811">
        <v>8955</v>
      </c>
      <c r="F2811" t="s">
        <v>4124</v>
      </c>
      <c r="G2811" t="s">
        <v>303</v>
      </c>
      <c r="H2811" t="s">
        <v>304</v>
      </c>
      <c r="I2811" t="s">
        <v>316</v>
      </c>
      <c r="J2811" t="s">
        <v>4498</v>
      </c>
    </row>
    <row r="2812" spans="1:10" x14ac:dyDescent="0.2">
      <c r="A2812" t="s">
        <v>452</v>
      </c>
      <c r="B2812" t="s">
        <v>327</v>
      </c>
      <c r="C2812" t="s">
        <v>264</v>
      </c>
      <c r="D2812" t="s">
        <v>265</v>
      </c>
      <c r="E2812">
        <v>9025</v>
      </c>
      <c r="F2812" t="s">
        <v>4126</v>
      </c>
      <c r="G2812" t="s">
        <v>266</v>
      </c>
      <c r="H2812" t="s">
        <v>356</v>
      </c>
      <c r="I2812">
        <v>927</v>
      </c>
    </row>
    <row r="2813" spans="1:10" x14ac:dyDescent="0.2">
      <c r="A2813" t="s">
        <v>452</v>
      </c>
      <c r="B2813" t="s">
        <v>327</v>
      </c>
      <c r="C2813" t="s">
        <v>264</v>
      </c>
      <c r="D2813" t="s">
        <v>265</v>
      </c>
      <c r="E2813">
        <v>9268</v>
      </c>
      <c r="F2813" t="s">
        <v>4127</v>
      </c>
      <c r="G2813" t="s">
        <v>274</v>
      </c>
      <c r="H2813" t="s">
        <v>272</v>
      </c>
      <c r="I2813">
        <v>51</v>
      </c>
    </row>
    <row r="2814" spans="1:10" x14ac:dyDescent="0.2">
      <c r="A2814" t="s">
        <v>452</v>
      </c>
      <c r="B2814" t="s">
        <v>327</v>
      </c>
      <c r="C2814" t="s">
        <v>264</v>
      </c>
      <c r="D2814" t="s">
        <v>269</v>
      </c>
      <c r="E2814">
        <v>9272</v>
      </c>
      <c r="F2814" t="s">
        <v>4128</v>
      </c>
      <c r="G2814" t="s">
        <v>278</v>
      </c>
      <c r="H2814" t="s">
        <v>276</v>
      </c>
      <c r="I2814">
        <v>88</v>
      </c>
    </row>
    <row r="2815" spans="1:10" x14ac:dyDescent="0.2">
      <c r="A2815" t="s">
        <v>452</v>
      </c>
      <c r="B2815" t="s">
        <v>327</v>
      </c>
      <c r="C2815" t="s">
        <v>264</v>
      </c>
      <c r="D2815" t="s">
        <v>265</v>
      </c>
      <c r="E2815">
        <v>9318</v>
      </c>
      <c r="F2815" t="s">
        <v>4129</v>
      </c>
      <c r="G2815" t="s">
        <v>274</v>
      </c>
      <c r="H2815" t="s">
        <v>1448</v>
      </c>
      <c r="I2815">
        <v>33</v>
      </c>
    </row>
    <row r="2816" spans="1:10" x14ac:dyDescent="0.2">
      <c r="A2816" t="s">
        <v>452</v>
      </c>
      <c r="B2816" t="s">
        <v>327</v>
      </c>
      <c r="C2816" t="s">
        <v>264</v>
      </c>
      <c r="D2816" t="s">
        <v>265</v>
      </c>
      <c r="E2816">
        <v>9364</v>
      </c>
      <c r="F2816" t="s">
        <v>555</v>
      </c>
      <c r="G2816" t="s">
        <v>266</v>
      </c>
      <c r="H2816" t="s">
        <v>556</v>
      </c>
      <c r="I2816" t="s">
        <v>333</v>
      </c>
      <c r="J2816" t="s">
        <v>4607</v>
      </c>
    </row>
    <row r="2817" spans="1:10" x14ac:dyDescent="0.2">
      <c r="A2817" t="s">
        <v>452</v>
      </c>
      <c r="B2817" t="s">
        <v>327</v>
      </c>
      <c r="C2817" t="s">
        <v>268</v>
      </c>
      <c r="D2817" t="s">
        <v>265</v>
      </c>
      <c r="E2817">
        <v>9446</v>
      </c>
      <c r="F2817" t="s">
        <v>4130</v>
      </c>
      <c r="G2817" t="s">
        <v>270</v>
      </c>
      <c r="H2817" t="s">
        <v>277</v>
      </c>
      <c r="I2817">
        <v>68</v>
      </c>
    </row>
    <row r="2818" spans="1:10" x14ac:dyDescent="0.2">
      <c r="A2818" t="s">
        <v>452</v>
      </c>
      <c r="B2818" t="s">
        <v>327</v>
      </c>
      <c r="C2818" t="s">
        <v>275</v>
      </c>
      <c r="D2818" t="s">
        <v>265</v>
      </c>
      <c r="E2818">
        <v>9450</v>
      </c>
      <c r="F2818" t="s">
        <v>1508</v>
      </c>
      <c r="G2818" t="s">
        <v>266</v>
      </c>
      <c r="H2818" t="s">
        <v>277</v>
      </c>
      <c r="I2818">
        <v>274</v>
      </c>
    </row>
    <row r="2819" spans="1:10" x14ac:dyDescent="0.2">
      <c r="A2819" t="s">
        <v>452</v>
      </c>
      <c r="B2819" t="s">
        <v>327</v>
      </c>
      <c r="C2819" t="s">
        <v>268</v>
      </c>
      <c r="D2819" t="s">
        <v>265</v>
      </c>
      <c r="E2819">
        <v>9470</v>
      </c>
      <c r="F2819" t="s">
        <v>4131</v>
      </c>
      <c r="G2819" t="s">
        <v>266</v>
      </c>
      <c r="H2819" t="s">
        <v>277</v>
      </c>
      <c r="I2819">
        <v>798</v>
      </c>
    </row>
    <row r="2820" spans="1:10" x14ac:dyDescent="0.2">
      <c r="A2820" t="s">
        <v>452</v>
      </c>
      <c r="B2820" t="s">
        <v>327</v>
      </c>
      <c r="C2820" t="s">
        <v>273</v>
      </c>
      <c r="D2820" t="s">
        <v>265</v>
      </c>
      <c r="E2820">
        <v>9539</v>
      </c>
      <c r="F2820" t="s">
        <v>4132</v>
      </c>
      <c r="G2820" t="s">
        <v>274</v>
      </c>
      <c r="H2820" t="s">
        <v>489</v>
      </c>
      <c r="I2820">
        <v>342</v>
      </c>
    </row>
    <row r="2821" spans="1:10" x14ac:dyDescent="0.2">
      <c r="A2821" t="s">
        <v>452</v>
      </c>
      <c r="B2821" t="s">
        <v>327</v>
      </c>
      <c r="C2821" t="s">
        <v>273</v>
      </c>
      <c r="D2821" t="s">
        <v>265</v>
      </c>
      <c r="E2821">
        <v>9621</v>
      </c>
      <c r="F2821" t="s">
        <v>4133</v>
      </c>
      <c r="G2821" t="s">
        <v>266</v>
      </c>
      <c r="H2821" t="s">
        <v>271</v>
      </c>
      <c r="I2821">
        <v>342</v>
      </c>
    </row>
    <row r="2822" spans="1:10" x14ac:dyDescent="0.2">
      <c r="A2822" t="s">
        <v>452</v>
      </c>
      <c r="B2822" t="s">
        <v>327</v>
      </c>
      <c r="C2822" t="s">
        <v>264</v>
      </c>
      <c r="D2822" t="s">
        <v>265</v>
      </c>
      <c r="E2822">
        <v>9633</v>
      </c>
      <c r="F2822" t="s">
        <v>4134</v>
      </c>
      <c r="G2822" t="s">
        <v>266</v>
      </c>
      <c r="H2822" t="s">
        <v>271</v>
      </c>
      <c r="I2822">
        <v>111</v>
      </c>
    </row>
    <row r="2823" spans="1:10" x14ac:dyDescent="0.2">
      <c r="A2823" t="s">
        <v>452</v>
      </c>
      <c r="B2823" t="s">
        <v>327</v>
      </c>
      <c r="C2823" t="s">
        <v>273</v>
      </c>
      <c r="D2823" t="s">
        <v>265</v>
      </c>
      <c r="E2823">
        <v>9672</v>
      </c>
      <c r="F2823" t="s">
        <v>614</v>
      </c>
      <c r="G2823" t="s">
        <v>266</v>
      </c>
      <c r="H2823" t="s">
        <v>271</v>
      </c>
      <c r="I2823">
        <v>941</v>
      </c>
    </row>
    <row r="2824" spans="1:10" x14ac:dyDescent="0.2">
      <c r="A2824" t="s">
        <v>452</v>
      </c>
      <c r="B2824" t="s">
        <v>327</v>
      </c>
      <c r="C2824" t="s">
        <v>273</v>
      </c>
      <c r="D2824" t="s">
        <v>265</v>
      </c>
      <c r="E2824">
        <v>9702</v>
      </c>
      <c r="F2824" t="s">
        <v>4135</v>
      </c>
      <c r="G2824" t="s">
        <v>266</v>
      </c>
      <c r="H2824" t="s">
        <v>277</v>
      </c>
      <c r="I2824">
        <v>108</v>
      </c>
    </row>
    <row r="2825" spans="1:10" x14ac:dyDescent="0.2">
      <c r="A2825" t="s">
        <v>452</v>
      </c>
      <c r="B2825" t="s">
        <v>327</v>
      </c>
      <c r="C2825" t="s">
        <v>273</v>
      </c>
      <c r="D2825" t="s">
        <v>265</v>
      </c>
      <c r="E2825">
        <v>9722</v>
      </c>
      <c r="F2825" t="s">
        <v>1656</v>
      </c>
      <c r="G2825" t="s">
        <v>266</v>
      </c>
      <c r="H2825" t="s">
        <v>271</v>
      </c>
      <c r="I2825">
        <v>341</v>
      </c>
    </row>
    <row r="2826" spans="1:10" x14ac:dyDescent="0.2">
      <c r="A2826" t="s">
        <v>452</v>
      </c>
      <c r="B2826" t="s">
        <v>290</v>
      </c>
      <c r="C2826" t="s">
        <v>275</v>
      </c>
      <c r="D2826" t="s">
        <v>265</v>
      </c>
      <c r="E2826">
        <v>7747</v>
      </c>
      <c r="F2826" t="s">
        <v>1653</v>
      </c>
      <c r="G2826" t="s">
        <v>266</v>
      </c>
      <c r="H2826" t="s">
        <v>342</v>
      </c>
      <c r="I2826" t="s">
        <v>343</v>
      </c>
      <c r="J2826" t="s">
        <v>5083</v>
      </c>
    </row>
    <row r="2827" spans="1:10" x14ac:dyDescent="0.2">
      <c r="A2827" t="s">
        <v>452</v>
      </c>
      <c r="B2827" t="s">
        <v>1689</v>
      </c>
      <c r="C2827" t="s">
        <v>264</v>
      </c>
      <c r="D2827" t="s">
        <v>265</v>
      </c>
      <c r="E2827">
        <v>2183</v>
      </c>
      <c r="F2827" t="s">
        <v>4136</v>
      </c>
      <c r="G2827" t="s">
        <v>266</v>
      </c>
      <c r="H2827" t="s">
        <v>271</v>
      </c>
      <c r="I2827">
        <v>285</v>
      </c>
    </row>
    <row r="2828" spans="1:10" x14ac:dyDescent="0.2">
      <c r="A2828" t="s">
        <v>452</v>
      </c>
      <c r="B2828" t="s">
        <v>1689</v>
      </c>
      <c r="C2828" t="s">
        <v>273</v>
      </c>
      <c r="D2828" t="s">
        <v>265</v>
      </c>
      <c r="E2828">
        <v>2215</v>
      </c>
      <c r="F2828" t="s">
        <v>4137</v>
      </c>
      <c r="G2828" t="s">
        <v>266</v>
      </c>
      <c r="H2828" t="s">
        <v>267</v>
      </c>
      <c r="I2828">
        <v>66</v>
      </c>
    </row>
    <row r="2829" spans="1:10" x14ac:dyDescent="0.2">
      <c r="A2829" t="s">
        <v>452</v>
      </c>
      <c r="B2829" t="s">
        <v>1689</v>
      </c>
      <c r="C2829" t="s">
        <v>264</v>
      </c>
      <c r="D2829" t="s">
        <v>265</v>
      </c>
      <c r="E2829">
        <v>2608</v>
      </c>
      <c r="F2829" t="s">
        <v>4138</v>
      </c>
      <c r="G2829" t="s">
        <v>274</v>
      </c>
      <c r="H2829" t="s">
        <v>267</v>
      </c>
      <c r="I2829">
        <v>14</v>
      </c>
    </row>
    <row r="2830" spans="1:10" x14ac:dyDescent="0.2">
      <c r="A2830" t="s">
        <v>452</v>
      </c>
      <c r="B2830" t="s">
        <v>1689</v>
      </c>
      <c r="C2830" t="s">
        <v>273</v>
      </c>
      <c r="D2830" t="s">
        <v>265</v>
      </c>
      <c r="E2830">
        <v>3001</v>
      </c>
      <c r="F2830" t="s">
        <v>4139</v>
      </c>
      <c r="G2830" t="s">
        <v>266</v>
      </c>
      <c r="H2830" t="s">
        <v>299</v>
      </c>
      <c r="I2830">
        <v>461</v>
      </c>
    </row>
    <row r="2831" spans="1:10" x14ac:dyDescent="0.2">
      <c r="A2831" t="s">
        <v>452</v>
      </c>
      <c r="B2831" t="s">
        <v>1689</v>
      </c>
      <c r="C2831" t="s">
        <v>273</v>
      </c>
      <c r="D2831" t="s">
        <v>265</v>
      </c>
      <c r="E2831">
        <v>3053</v>
      </c>
      <c r="F2831" t="s">
        <v>4140</v>
      </c>
      <c r="G2831" t="s">
        <v>266</v>
      </c>
      <c r="H2831" t="s">
        <v>276</v>
      </c>
      <c r="I2831">
        <v>212</v>
      </c>
    </row>
    <row r="2832" spans="1:10" x14ac:dyDescent="0.2">
      <c r="A2832" t="s">
        <v>452</v>
      </c>
      <c r="B2832" t="s">
        <v>1689</v>
      </c>
      <c r="C2832" t="s">
        <v>273</v>
      </c>
      <c r="D2832" t="s">
        <v>265</v>
      </c>
      <c r="E2832">
        <v>3196</v>
      </c>
      <c r="F2832" t="s">
        <v>4141</v>
      </c>
      <c r="G2832" t="s">
        <v>266</v>
      </c>
      <c r="H2832" t="s">
        <v>276</v>
      </c>
      <c r="I2832">
        <v>287</v>
      </c>
    </row>
    <row r="2833" spans="1:10" x14ac:dyDescent="0.2">
      <c r="A2833" t="s">
        <v>452</v>
      </c>
      <c r="B2833" t="s">
        <v>1689</v>
      </c>
      <c r="C2833" t="s">
        <v>264</v>
      </c>
      <c r="D2833" t="s">
        <v>269</v>
      </c>
      <c r="E2833">
        <v>3370</v>
      </c>
      <c r="F2833" t="s">
        <v>4142</v>
      </c>
      <c r="G2833" t="s">
        <v>270</v>
      </c>
      <c r="H2833" t="s">
        <v>276</v>
      </c>
      <c r="I2833">
        <v>13</v>
      </c>
    </row>
    <row r="2834" spans="1:10" x14ac:dyDescent="0.2">
      <c r="A2834" t="s">
        <v>452</v>
      </c>
      <c r="B2834" t="s">
        <v>1689</v>
      </c>
      <c r="C2834" t="s">
        <v>273</v>
      </c>
      <c r="D2834" t="s">
        <v>265</v>
      </c>
      <c r="E2834">
        <v>3663</v>
      </c>
      <c r="F2834" t="s">
        <v>4143</v>
      </c>
      <c r="G2834" t="s">
        <v>274</v>
      </c>
      <c r="H2834" t="s">
        <v>277</v>
      </c>
      <c r="I2834">
        <v>63</v>
      </c>
    </row>
    <row r="2835" spans="1:10" x14ac:dyDescent="0.2">
      <c r="A2835" t="s">
        <v>452</v>
      </c>
      <c r="B2835" t="s">
        <v>1689</v>
      </c>
      <c r="C2835" t="s">
        <v>264</v>
      </c>
      <c r="D2835" t="s">
        <v>265</v>
      </c>
      <c r="E2835">
        <v>3933</v>
      </c>
      <c r="F2835" t="s">
        <v>4144</v>
      </c>
      <c r="G2835" t="s">
        <v>270</v>
      </c>
      <c r="H2835" t="s">
        <v>277</v>
      </c>
      <c r="I2835">
        <v>110</v>
      </c>
    </row>
    <row r="2836" spans="1:10" x14ac:dyDescent="0.2">
      <c r="A2836" t="s">
        <v>452</v>
      </c>
      <c r="B2836" t="s">
        <v>1689</v>
      </c>
      <c r="C2836" t="s">
        <v>264</v>
      </c>
      <c r="D2836" t="s">
        <v>265</v>
      </c>
      <c r="E2836">
        <v>3979</v>
      </c>
      <c r="F2836" t="s">
        <v>4145</v>
      </c>
      <c r="G2836" t="s">
        <v>278</v>
      </c>
      <c r="H2836" t="s">
        <v>277</v>
      </c>
      <c r="I2836">
        <v>54</v>
      </c>
    </row>
    <row r="2837" spans="1:10" x14ac:dyDescent="0.2">
      <c r="A2837" t="s">
        <v>452</v>
      </c>
      <c r="B2837" t="s">
        <v>1689</v>
      </c>
      <c r="C2837" t="s">
        <v>268</v>
      </c>
      <c r="D2837" t="s">
        <v>265</v>
      </c>
      <c r="E2837">
        <v>3993</v>
      </c>
      <c r="F2837" t="s">
        <v>4146</v>
      </c>
      <c r="G2837" t="s">
        <v>278</v>
      </c>
      <c r="H2837" t="s">
        <v>277</v>
      </c>
      <c r="I2837" t="s">
        <v>297</v>
      </c>
      <c r="J2837" t="s">
        <v>4313</v>
      </c>
    </row>
    <row r="2838" spans="1:10" x14ac:dyDescent="0.2">
      <c r="A2838" t="s">
        <v>452</v>
      </c>
      <c r="B2838" t="s">
        <v>1689</v>
      </c>
      <c r="C2838" t="s">
        <v>268</v>
      </c>
      <c r="D2838" t="s">
        <v>265</v>
      </c>
      <c r="E2838">
        <v>4399</v>
      </c>
      <c r="F2838" t="s">
        <v>4147</v>
      </c>
      <c r="G2838" t="s">
        <v>278</v>
      </c>
      <c r="H2838" t="s">
        <v>277</v>
      </c>
      <c r="I2838">
        <v>238</v>
      </c>
    </row>
    <row r="2839" spans="1:10" x14ac:dyDescent="0.2">
      <c r="A2839" t="s">
        <v>452</v>
      </c>
      <c r="B2839" t="s">
        <v>1689</v>
      </c>
      <c r="C2839" t="s">
        <v>264</v>
      </c>
      <c r="D2839" t="s">
        <v>269</v>
      </c>
      <c r="E2839">
        <v>4435</v>
      </c>
      <c r="F2839" t="s">
        <v>581</v>
      </c>
      <c r="G2839" t="s">
        <v>278</v>
      </c>
      <c r="H2839" t="s">
        <v>277</v>
      </c>
      <c r="I2839">
        <v>427</v>
      </c>
    </row>
    <row r="2840" spans="1:10" x14ac:dyDescent="0.2">
      <c r="A2840" t="s">
        <v>452</v>
      </c>
      <c r="B2840" t="s">
        <v>1689</v>
      </c>
      <c r="C2840" t="s">
        <v>273</v>
      </c>
      <c r="D2840" t="s">
        <v>265</v>
      </c>
      <c r="E2840">
        <v>4840</v>
      </c>
      <c r="F2840" t="s">
        <v>4148</v>
      </c>
      <c r="G2840" t="s">
        <v>270</v>
      </c>
      <c r="H2840" t="s">
        <v>271</v>
      </c>
      <c r="I2840">
        <v>44</v>
      </c>
    </row>
    <row r="2841" spans="1:10" x14ac:dyDescent="0.2">
      <c r="A2841" t="s">
        <v>452</v>
      </c>
      <c r="B2841" t="s">
        <v>1689</v>
      </c>
      <c r="C2841" t="s">
        <v>264</v>
      </c>
      <c r="D2841" t="s">
        <v>269</v>
      </c>
      <c r="E2841">
        <v>5277</v>
      </c>
      <c r="F2841" t="s">
        <v>4149</v>
      </c>
      <c r="G2841" t="s">
        <v>270</v>
      </c>
      <c r="H2841" t="s">
        <v>308</v>
      </c>
      <c r="I2841">
        <v>34</v>
      </c>
    </row>
    <row r="2842" spans="1:10" x14ac:dyDescent="0.2">
      <c r="A2842" t="s">
        <v>452</v>
      </c>
      <c r="B2842" t="s">
        <v>1689</v>
      </c>
      <c r="C2842" t="s">
        <v>264</v>
      </c>
      <c r="D2842" t="s">
        <v>265</v>
      </c>
      <c r="E2842">
        <v>5363</v>
      </c>
      <c r="F2842" t="s">
        <v>4150</v>
      </c>
      <c r="G2842" t="s">
        <v>266</v>
      </c>
      <c r="H2842" t="s">
        <v>308</v>
      </c>
      <c r="I2842">
        <v>153</v>
      </c>
    </row>
    <row r="2843" spans="1:10" x14ac:dyDescent="0.2">
      <c r="A2843" t="s">
        <v>452</v>
      </c>
      <c r="B2843" t="s">
        <v>1689</v>
      </c>
      <c r="C2843" t="s">
        <v>264</v>
      </c>
      <c r="D2843" t="s">
        <v>265</v>
      </c>
      <c r="E2843">
        <v>5381</v>
      </c>
      <c r="F2843" t="s">
        <v>4542</v>
      </c>
      <c r="G2843" t="s">
        <v>270</v>
      </c>
      <c r="H2843" t="s">
        <v>308</v>
      </c>
      <c r="I2843">
        <v>51</v>
      </c>
    </row>
    <row r="2844" spans="1:10" x14ac:dyDescent="0.2">
      <c r="A2844" t="s">
        <v>452</v>
      </c>
      <c r="B2844" t="s">
        <v>1689</v>
      </c>
      <c r="C2844" t="s">
        <v>273</v>
      </c>
      <c r="D2844" t="s">
        <v>265</v>
      </c>
      <c r="E2844">
        <v>5395</v>
      </c>
      <c r="F2844" t="s">
        <v>4151</v>
      </c>
      <c r="G2844" t="s">
        <v>274</v>
      </c>
      <c r="H2844" t="s">
        <v>308</v>
      </c>
      <c r="I2844">
        <v>20</v>
      </c>
    </row>
    <row r="2845" spans="1:10" x14ac:dyDescent="0.2">
      <c r="A2845" t="s">
        <v>452</v>
      </c>
      <c r="B2845" t="s">
        <v>1689</v>
      </c>
      <c r="C2845" t="s">
        <v>273</v>
      </c>
      <c r="D2845" t="s">
        <v>269</v>
      </c>
      <c r="E2845">
        <v>5610</v>
      </c>
      <c r="F2845" t="s">
        <v>4152</v>
      </c>
      <c r="G2845" t="s">
        <v>274</v>
      </c>
      <c r="H2845" t="s">
        <v>726</v>
      </c>
      <c r="I2845">
        <v>14</v>
      </c>
    </row>
    <row r="2846" spans="1:10" x14ac:dyDescent="0.2">
      <c r="A2846" t="s">
        <v>452</v>
      </c>
      <c r="B2846" t="s">
        <v>1689</v>
      </c>
      <c r="C2846" t="s">
        <v>264</v>
      </c>
      <c r="D2846" t="s">
        <v>269</v>
      </c>
      <c r="E2846">
        <v>5721</v>
      </c>
      <c r="F2846" t="s">
        <v>4153</v>
      </c>
      <c r="G2846" t="s">
        <v>266</v>
      </c>
      <c r="H2846" t="s">
        <v>373</v>
      </c>
      <c r="I2846">
        <v>47</v>
      </c>
    </row>
    <row r="2847" spans="1:10" x14ac:dyDescent="0.2">
      <c r="A2847" t="s">
        <v>452</v>
      </c>
      <c r="B2847" t="s">
        <v>1689</v>
      </c>
      <c r="C2847" t="s">
        <v>264</v>
      </c>
      <c r="D2847" t="s">
        <v>269</v>
      </c>
      <c r="E2847">
        <v>5941</v>
      </c>
      <c r="F2847" t="s">
        <v>4154</v>
      </c>
      <c r="G2847" t="s">
        <v>274</v>
      </c>
      <c r="H2847" t="s">
        <v>281</v>
      </c>
      <c r="I2847">
        <v>74</v>
      </c>
    </row>
    <row r="2848" spans="1:10" x14ac:dyDescent="0.2">
      <c r="A2848" t="s">
        <v>452</v>
      </c>
      <c r="B2848" t="s">
        <v>1689</v>
      </c>
      <c r="C2848" t="s">
        <v>264</v>
      </c>
      <c r="D2848" t="s">
        <v>265</v>
      </c>
      <c r="E2848">
        <v>5964</v>
      </c>
      <c r="F2848" t="s">
        <v>536</v>
      </c>
      <c r="G2848" t="s">
        <v>274</v>
      </c>
      <c r="H2848" t="s">
        <v>281</v>
      </c>
      <c r="I2848">
        <v>22</v>
      </c>
    </row>
    <row r="2849" spans="1:9" x14ac:dyDescent="0.2">
      <c r="A2849" t="s">
        <v>452</v>
      </c>
      <c r="B2849" t="s">
        <v>1689</v>
      </c>
      <c r="C2849" t="s">
        <v>273</v>
      </c>
      <c r="D2849" t="s">
        <v>265</v>
      </c>
      <c r="E2849">
        <v>6067</v>
      </c>
      <c r="F2849" t="s">
        <v>4155</v>
      </c>
      <c r="G2849" t="s">
        <v>278</v>
      </c>
      <c r="H2849" t="s">
        <v>271</v>
      </c>
      <c r="I2849">
        <v>144</v>
      </c>
    </row>
    <row r="2850" spans="1:9" x14ac:dyDescent="0.2">
      <c r="A2850" t="s">
        <v>452</v>
      </c>
      <c r="B2850" t="s">
        <v>1689</v>
      </c>
      <c r="C2850" t="s">
        <v>273</v>
      </c>
      <c r="D2850" t="s">
        <v>265</v>
      </c>
      <c r="E2850">
        <v>6081</v>
      </c>
      <c r="F2850" t="s">
        <v>4156</v>
      </c>
      <c r="G2850" t="s">
        <v>278</v>
      </c>
      <c r="H2850" t="s">
        <v>271</v>
      </c>
      <c r="I2850">
        <v>54</v>
      </c>
    </row>
    <row r="2851" spans="1:9" x14ac:dyDescent="0.2">
      <c r="A2851" t="s">
        <v>452</v>
      </c>
      <c r="B2851" t="s">
        <v>1689</v>
      </c>
      <c r="C2851" t="s">
        <v>264</v>
      </c>
      <c r="D2851" t="s">
        <v>265</v>
      </c>
      <c r="E2851">
        <v>6092</v>
      </c>
      <c r="F2851" t="s">
        <v>4157</v>
      </c>
      <c r="G2851" t="s">
        <v>278</v>
      </c>
      <c r="H2851" t="s">
        <v>271</v>
      </c>
      <c r="I2851">
        <v>86</v>
      </c>
    </row>
    <row r="2852" spans="1:9" x14ac:dyDescent="0.2">
      <c r="A2852" t="s">
        <v>452</v>
      </c>
      <c r="B2852" t="s">
        <v>1689</v>
      </c>
      <c r="C2852" t="s">
        <v>273</v>
      </c>
      <c r="D2852" t="s">
        <v>265</v>
      </c>
      <c r="E2852">
        <v>6265</v>
      </c>
      <c r="F2852" t="s">
        <v>4158</v>
      </c>
      <c r="G2852" t="s">
        <v>270</v>
      </c>
      <c r="H2852" t="s">
        <v>287</v>
      </c>
      <c r="I2852">
        <v>35</v>
      </c>
    </row>
    <row r="2853" spans="1:9" x14ac:dyDescent="0.2">
      <c r="A2853" t="s">
        <v>452</v>
      </c>
      <c r="B2853" t="s">
        <v>1689</v>
      </c>
      <c r="C2853" t="s">
        <v>264</v>
      </c>
      <c r="D2853" t="s">
        <v>265</v>
      </c>
      <c r="E2853">
        <v>6276</v>
      </c>
      <c r="F2853" t="s">
        <v>4159</v>
      </c>
      <c r="G2853" t="s">
        <v>270</v>
      </c>
      <c r="H2853" t="s">
        <v>287</v>
      </c>
      <c r="I2853">
        <v>26</v>
      </c>
    </row>
    <row r="2854" spans="1:9" x14ac:dyDescent="0.2">
      <c r="A2854" t="s">
        <v>452</v>
      </c>
      <c r="B2854" t="s">
        <v>1689</v>
      </c>
      <c r="C2854" t="s">
        <v>273</v>
      </c>
      <c r="D2854" t="s">
        <v>269</v>
      </c>
      <c r="E2854">
        <v>6291</v>
      </c>
      <c r="F2854" t="s">
        <v>4160</v>
      </c>
      <c r="G2854" t="s">
        <v>266</v>
      </c>
      <c r="H2854" t="s">
        <v>287</v>
      </c>
      <c r="I2854">
        <v>92</v>
      </c>
    </row>
    <row r="2855" spans="1:9" x14ac:dyDescent="0.2">
      <c r="A2855" t="s">
        <v>452</v>
      </c>
      <c r="B2855" t="s">
        <v>1689</v>
      </c>
      <c r="C2855" t="s">
        <v>264</v>
      </c>
      <c r="D2855" t="s">
        <v>265</v>
      </c>
      <c r="E2855">
        <v>6342</v>
      </c>
      <c r="F2855" t="s">
        <v>4161</v>
      </c>
      <c r="G2855" t="s">
        <v>274</v>
      </c>
      <c r="H2855" t="s">
        <v>287</v>
      </c>
      <c r="I2855">
        <v>36</v>
      </c>
    </row>
    <row r="2856" spans="1:9" x14ac:dyDescent="0.2">
      <c r="A2856" t="s">
        <v>452</v>
      </c>
      <c r="B2856" t="s">
        <v>1689</v>
      </c>
      <c r="C2856" t="s">
        <v>264</v>
      </c>
      <c r="D2856" t="s">
        <v>265</v>
      </c>
      <c r="E2856">
        <v>6424</v>
      </c>
      <c r="F2856" t="s">
        <v>594</v>
      </c>
      <c r="G2856" t="s">
        <v>270</v>
      </c>
      <c r="H2856" t="s">
        <v>287</v>
      </c>
      <c r="I2856">
        <v>61</v>
      </c>
    </row>
    <row r="2857" spans="1:9" x14ac:dyDescent="0.2">
      <c r="A2857" t="s">
        <v>452</v>
      </c>
      <c r="B2857" t="s">
        <v>1689</v>
      </c>
      <c r="C2857" t="s">
        <v>273</v>
      </c>
      <c r="D2857" t="s">
        <v>265</v>
      </c>
      <c r="E2857">
        <v>6540</v>
      </c>
      <c r="F2857" t="s">
        <v>4162</v>
      </c>
      <c r="G2857" t="s">
        <v>266</v>
      </c>
      <c r="H2857" t="s">
        <v>271</v>
      </c>
      <c r="I2857">
        <v>110</v>
      </c>
    </row>
    <row r="2858" spans="1:9" x14ac:dyDescent="0.2">
      <c r="A2858" t="s">
        <v>452</v>
      </c>
      <c r="B2858" t="s">
        <v>1689</v>
      </c>
      <c r="C2858" t="s">
        <v>264</v>
      </c>
      <c r="D2858" t="s">
        <v>269</v>
      </c>
      <c r="E2858">
        <v>6549</v>
      </c>
      <c r="F2858" t="s">
        <v>4163</v>
      </c>
      <c r="G2858" t="s">
        <v>270</v>
      </c>
      <c r="H2858" t="s">
        <v>271</v>
      </c>
      <c r="I2858">
        <v>26</v>
      </c>
    </row>
    <row r="2859" spans="1:9" x14ac:dyDescent="0.2">
      <c r="A2859" t="s">
        <v>452</v>
      </c>
      <c r="B2859" t="s">
        <v>1689</v>
      </c>
      <c r="C2859" t="s">
        <v>273</v>
      </c>
      <c r="D2859" t="s">
        <v>265</v>
      </c>
      <c r="E2859">
        <v>6557</v>
      </c>
      <c r="F2859" t="s">
        <v>4164</v>
      </c>
      <c r="G2859" t="s">
        <v>278</v>
      </c>
      <c r="H2859" t="s">
        <v>271</v>
      </c>
      <c r="I2859">
        <v>89</v>
      </c>
    </row>
    <row r="2860" spans="1:9" x14ac:dyDescent="0.2">
      <c r="A2860" t="s">
        <v>452</v>
      </c>
      <c r="B2860" t="s">
        <v>1689</v>
      </c>
      <c r="C2860" t="s">
        <v>273</v>
      </c>
      <c r="D2860" t="s">
        <v>265</v>
      </c>
      <c r="E2860">
        <v>6633</v>
      </c>
      <c r="F2860" t="s">
        <v>1823</v>
      </c>
      <c r="G2860" t="s">
        <v>274</v>
      </c>
      <c r="H2860" t="s">
        <v>291</v>
      </c>
      <c r="I2860">
        <v>40</v>
      </c>
    </row>
    <row r="2861" spans="1:9" x14ac:dyDescent="0.2">
      <c r="A2861" t="s">
        <v>452</v>
      </c>
      <c r="B2861" t="s">
        <v>1689</v>
      </c>
      <c r="C2861" t="s">
        <v>268</v>
      </c>
      <c r="D2861" t="s">
        <v>265</v>
      </c>
      <c r="E2861">
        <v>6731</v>
      </c>
      <c r="F2861" t="s">
        <v>4543</v>
      </c>
      <c r="G2861" t="s">
        <v>274</v>
      </c>
      <c r="H2861" t="s">
        <v>291</v>
      </c>
      <c r="I2861">
        <v>28</v>
      </c>
    </row>
    <row r="2862" spans="1:9" x14ac:dyDescent="0.2">
      <c r="A2862" t="s">
        <v>452</v>
      </c>
      <c r="B2862" t="s">
        <v>1689</v>
      </c>
      <c r="C2862" t="s">
        <v>264</v>
      </c>
      <c r="D2862" t="s">
        <v>265</v>
      </c>
      <c r="E2862">
        <v>6736</v>
      </c>
      <c r="F2862" t="s">
        <v>1838</v>
      </c>
      <c r="G2862" t="s">
        <v>270</v>
      </c>
      <c r="H2862" t="s">
        <v>291</v>
      </c>
      <c r="I2862">
        <v>417</v>
      </c>
    </row>
    <row r="2863" spans="1:9" x14ac:dyDescent="0.2">
      <c r="A2863" t="s">
        <v>452</v>
      </c>
      <c r="B2863" t="s">
        <v>1689</v>
      </c>
      <c r="C2863" t="s">
        <v>264</v>
      </c>
      <c r="D2863" t="s">
        <v>265</v>
      </c>
      <c r="E2863">
        <v>6824</v>
      </c>
      <c r="F2863" t="s">
        <v>4165</v>
      </c>
      <c r="G2863" t="s">
        <v>270</v>
      </c>
      <c r="H2863" t="s">
        <v>291</v>
      </c>
      <c r="I2863">
        <v>216</v>
      </c>
    </row>
    <row r="2864" spans="1:9" x14ac:dyDescent="0.2">
      <c r="A2864" t="s">
        <v>452</v>
      </c>
      <c r="B2864" t="s">
        <v>1689</v>
      </c>
      <c r="C2864" t="s">
        <v>264</v>
      </c>
      <c r="D2864" t="s">
        <v>265</v>
      </c>
      <c r="E2864">
        <v>6838</v>
      </c>
      <c r="F2864" t="s">
        <v>4166</v>
      </c>
      <c r="G2864" t="s">
        <v>270</v>
      </c>
      <c r="H2864" t="s">
        <v>291</v>
      </c>
      <c r="I2864">
        <v>156</v>
      </c>
    </row>
    <row r="2865" spans="1:10" x14ac:dyDescent="0.2">
      <c r="A2865" t="s">
        <v>452</v>
      </c>
      <c r="B2865" t="s">
        <v>1689</v>
      </c>
      <c r="C2865" t="s">
        <v>264</v>
      </c>
      <c r="D2865" t="s">
        <v>265</v>
      </c>
      <c r="E2865">
        <v>6942</v>
      </c>
      <c r="F2865" t="s">
        <v>4167</v>
      </c>
      <c r="G2865" t="s">
        <v>270</v>
      </c>
      <c r="H2865" t="s">
        <v>277</v>
      </c>
      <c r="I2865">
        <v>28</v>
      </c>
    </row>
    <row r="2866" spans="1:10" x14ac:dyDescent="0.2">
      <c r="A2866" t="s">
        <v>452</v>
      </c>
      <c r="B2866" t="s">
        <v>1689</v>
      </c>
      <c r="C2866" t="s">
        <v>264</v>
      </c>
      <c r="D2866" t="s">
        <v>265</v>
      </c>
      <c r="E2866">
        <v>7078</v>
      </c>
      <c r="F2866" t="s">
        <v>4168</v>
      </c>
      <c r="G2866" t="s">
        <v>278</v>
      </c>
      <c r="H2866" t="s">
        <v>271</v>
      </c>
      <c r="I2866">
        <v>70</v>
      </c>
    </row>
    <row r="2867" spans="1:10" x14ac:dyDescent="0.2">
      <c r="A2867" t="s">
        <v>452</v>
      </c>
      <c r="B2867" t="s">
        <v>1689</v>
      </c>
      <c r="C2867" t="s">
        <v>264</v>
      </c>
      <c r="D2867" t="s">
        <v>265</v>
      </c>
      <c r="E2867">
        <v>7217</v>
      </c>
      <c r="F2867" t="s">
        <v>4169</v>
      </c>
      <c r="G2867" t="s">
        <v>270</v>
      </c>
      <c r="H2867" t="s">
        <v>296</v>
      </c>
      <c r="I2867">
        <v>44</v>
      </c>
    </row>
    <row r="2868" spans="1:10" x14ac:dyDescent="0.2">
      <c r="A2868" t="s">
        <v>452</v>
      </c>
      <c r="B2868" t="s">
        <v>1689</v>
      </c>
      <c r="C2868" t="s">
        <v>273</v>
      </c>
      <c r="D2868" t="s">
        <v>265</v>
      </c>
      <c r="E2868">
        <v>7986</v>
      </c>
      <c r="F2868" t="s">
        <v>4170</v>
      </c>
      <c r="G2868" t="s">
        <v>270</v>
      </c>
      <c r="H2868" t="s">
        <v>288</v>
      </c>
      <c r="I2868">
        <v>25</v>
      </c>
    </row>
    <row r="2869" spans="1:10" x14ac:dyDescent="0.2">
      <c r="A2869" t="s">
        <v>452</v>
      </c>
      <c r="B2869" t="s">
        <v>1689</v>
      </c>
      <c r="C2869" t="s">
        <v>273</v>
      </c>
      <c r="D2869" t="s">
        <v>265</v>
      </c>
      <c r="E2869">
        <v>8202</v>
      </c>
      <c r="F2869" t="s">
        <v>4171</v>
      </c>
      <c r="G2869" t="s">
        <v>274</v>
      </c>
      <c r="H2869" t="s">
        <v>276</v>
      </c>
      <c r="I2869">
        <v>324</v>
      </c>
    </row>
    <row r="2870" spans="1:10" x14ac:dyDescent="0.2">
      <c r="A2870" t="s">
        <v>452</v>
      </c>
      <c r="B2870" t="s">
        <v>1689</v>
      </c>
      <c r="C2870" t="s">
        <v>264</v>
      </c>
      <c r="D2870" t="s">
        <v>265</v>
      </c>
      <c r="E2870">
        <v>8750</v>
      </c>
      <c r="F2870" t="s">
        <v>4544</v>
      </c>
      <c r="G2870" t="s">
        <v>266</v>
      </c>
      <c r="H2870" t="s">
        <v>665</v>
      </c>
      <c r="I2870" t="s">
        <v>744</v>
      </c>
      <c r="J2870" t="s">
        <v>4532</v>
      </c>
    </row>
    <row r="2871" spans="1:10" x14ac:dyDescent="0.2">
      <c r="A2871" t="s">
        <v>452</v>
      </c>
      <c r="B2871" t="s">
        <v>1689</v>
      </c>
      <c r="C2871" t="s">
        <v>264</v>
      </c>
      <c r="D2871" t="s">
        <v>265</v>
      </c>
      <c r="E2871">
        <v>8766</v>
      </c>
      <c r="F2871" t="s">
        <v>4172</v>
      </c>
      <c r="G2871" t="s">
        <v>266</v>
      </c>
      <c r="H2871" t="s">
        <v>665</v>
      </c>
      <c r="I2871" t="s">
        <v>4270</v>
      </c>
      <c r="J2871" t="s">
        <v>4619</v>
      </c>
    </row>
    <row r="2872" spans="1:10" x14ac:dyDescent="0.2">
      <c r="A2872" t="s">
        <v>452</v>
      </c>
      <c r="B2872" t="s">
        <v>1689</v>
      </c>
      <c r="C2872" t="s">
        <v>273</v>
      </c>
      <c r="D2872" t="s">
        <v>269</v>
      </c>
      <c r="E2872">
        <v>8964</v>
      </c>
      <c r="F2872" t="s">
        <v>4173</v>
      </c>
      <c r="G2872" t="s">
        <v>303</v>
      </c>
      <c r="H2872" t="s">
        <v>304</v>
      </c>
      <c r="I2872" t="s">
        <v>289</v>
      </c>
      <c r="J2872" t="s">
        <v>4456</v>
      </c>
    </row>
    <row r="2873" spans="1:10" x14ac:dyDescent="0.2">
      <c r="A2873" t="s">
        <v>452</v>
      </c>
      <c r="B2873" t="s">
        <v>1689</v>
      </c>
      <c r="C2873" t="s">
        <v>264</v>
      </c>
      <c r="D2873" t="s">
        <v>265</v>
      </c>
      <c r="E2873">
        <v>9012</v>
      </c>
      <c r="F2873" t="s">
        <v>4174</v>
      </c>
      <c r="G2873" t="s">
        <v>270</v>
      </c>
      <c r="H2873" t="s">
        <v>356</v>
      </c>
      <c r="I2873">
        <v>38</v>
      </c>
    </row>
    <row r="2874" spans="1:10" x14ac:dyDescent="0.2">
      <c r="A2874" t="s">
        <v>452</v>
      </c>
      <c r="B2874" t="s">
        <v>1689</v>
      </c>
      <c r="C2874" t="s">
        <v>264</v>
      </c>
      <c r="D2874" t="s">
        <v>265</v>
      </c>
      <c r="E2874">
        <v>9360</v>
      </c>
      <c r="F2874" t="s">
        <v>4175</v>
      </c>
      <c r="G2874" t="s">
        <v>274</v>
      </c>
      <c r="H2874" t="s">
        <v>277</v>
      </c>
      <c r="I2874">
        <v>22</v>
      </c>
    </row>
    <row r="2875" spans="1:10" x14ac:dyDescent="0.2">
      <c r="A2875" t="s">
        <v>452</v>
      </c>
      <c r="B2875" t="s">
        <v>1689</v>
      </c>
      <c r="C2875" t="s">
        <v>273</v>
      </c>
      <c r="D2875" t="s">
        <v>265</v>
      </c>
      <c r="E2875">
        <v>9704</v>
      </c>
      <c r="F2875" t="s">
        <v>4176</v>
      </c>
      <c r="G2875" t="s">
        <v>266</v>
      </c>
      <c r="H2875" t="s">
        <v>271</v>
      </c>
      <c r="I2875">
        <v>93</v>
      </c>
    </row>
    <row r="2876" spans="1:10" x14ac:dyDescent="0.2">
      <c r="A2876" t="s">
        <v>452</v>
      </c>
      <c r="B2876" t="s">
        <v>1689</v>
      </c>
      <c r="C2876" t="s">
        <v>273</v>
      </c>
      <c r="D2876" t="s">
        <v>265</v>
      </c>
      <c r="E2876">
        <v>9758</v>
      </c>
      <c r="F2876" t="s">
        <v>1841</v>
      </c>
      <c r="G2876" t="s">
        <v>270</v>
      </c>
      <c r="H2876" t="s">
        <v>277</v>
      </c>
      <c r="I2876">
        <v>130</v>
      </c>
    </row>
    <row r="2877" spans="1:10" x14ac:dyDescent="0.2">
      <c r="A2877" t="s">
        <v>452</v>
      </c>
      <c r="B2877" t="s">
        <v>1689</v>
      </c>
      <c r="C2877" t="s">
        <v>275</v>
      </c>
      <c r="D2877" t="s">
        <v>265</v>
      </c>
      <c r="E2877">
        <v>9797</v>
      </c>
      <c r="F2877" t="s">
        <v>4177</v>
      </c>
      <c r="G2877" t="s">
        <v>274</v>
      </c>
      <c r="H2877" t="s">
        <v>271</v>
      </c>
      <c r="I2877">
        <v>59</v>
      </c>
    </row>
    <row r="2878" spans="1:10" x14ac:dyDescent="0.2">
      <c r="A2878" t="s">
        <v>452</v>
      </c>
      <c r="B2878" t="s">
        <v>1931</v>
      </c>
      <c r="C2878" t="s">
        <v>264</v>
      </c>
      <c r="D2878" t="s">
        <v>265</v>
      </c>
      <c r="E2878">
        <v>2764</v>
      </c>
      <c r="F2878" t="s">
        <v>4178</v>
      </c>
      <c r="G2878" t="s">
        <v>266</v>
      </c>
      <c r="H2878" t="s">
        <v>276</v>
      </c>
      <c r="I2878">
        <v>137</v>
      </c>
    </row>
    <row r="2879" spans="1:10" x14ac:dyDescent="0.2">
      <c r="A2879" t="s">
        <v>452</v>
      </c>
      <c r="B2879" t="s">
        <v>3294</v>
      </c>
      <c r="C2879" t="s">
        <v>268</v>
      </c>
      <c r="D2879" t="s">
        <v>265</v>
      </c>
      <c r="E2879">
        <v>6198</v>
      </c>
      <c r="F2879" t="s">
        <v>4179</v>
      </c>
      <c r="G2879" t="s">
        <v>278</v>
      </c>
      <c r="H2879" t="s">
        <v>271</v>
      </c>
      <c r="I2879">
        <v>44</v>
      </c>
    </row>
    <row r="2880" spans="1:10" x14ac:dyDescent="0.2">
      <c r="A2880" t="s">
        <v>452</v>
      </c>
      <c r="B2880" t="s">
        <v>4180</v>
      </c>
      <c r="C2880" t="s">
        <v>273</v>
      </c>
      <c r="D2880" t="s">
        <v>265</v>
      </c>
      <c r="E2880">
        <v>9260</v>
      </c>
      <c r="F2880" t="s">
        <v>4181</v>
      </c>
      <c r="G2880" t="s">
        <v>266</v>
      </c>
      <c r="H2880" t="s">
        <v>272</v>
      </c>
      <c r="I2880">
        <v>517</v>
      </c>
    </row>
    <row r="2881" spans="1:10" x14ac:dyDescent="0.2">
      <c r="A2881" t="s">
        <v>452</v>
      </c>
      <c r="B2881" t="s">
        <v>263</v>
      </c>
      <c r="C2881" t="s">
        <v>264</v>
      </c>
      <c r="D2881" t="s">
        <v>265</v>
      </c>
      <c r="E2881">
        <v>1447</v>
      </c>
      <c r="F2881" t="s">
        <v>4182</v>
      </c>
      <c r="G2881" t="s">
        <v>278</v>
      </c>
      <c r="H2881" t="s">
        <v>293</v>
      </c>
      <c r="I2881">
        <v>109</v>
      </c>
    </row>
    <row r="2882" spans="1:10" x14ac:dyDescent="0.2">
      <c r="A2882" t="s">
        <v>452</v>
      </c>
      <c r="B2882" t="s">
        <v>263</v>
      </c>
      <c r="C2882" t="s">
        <v>264</v>
      </c>
      <c r="D2882" t="s">
        <v>265</v>
      </c>
      <c r="E2882">
        <v>1448</v>
      </c>
      <c r="F2882" t="s">
        <v>4183</v>
      </c>
      <c r="G2882" t="s">
        <v>266</v>
      </c>
      <c r="H2882" t="s">
        <v>293</v>
      </c>
      <c r="I2882">
        <v>207</v>
      </c>
    </row>
    <row r="2883" spans="1:10" x14ac:dyDescent="0.2">
      <c r="A2883" t="s">
        <v>452</v>
      </c>
      <c r="B2883" t="s">
        <v>263</v>
      </c>
      <c r="C2883" t="s">
        <v>264</v>
      </c>
      <c r="D2883" t="s">
        <v>269</v>
      </c>
      <c r="E2883">
        <v>1450</v>
      </c>
      <c r="F2883" t="s">
        <v>562</v>
      </c>
      <c r="G2883" t="s">
        <v>270</v>
      </c>
      <c r="H2883" t="s">
        <v>293</v>
      </c>
      <c r="I2883">
        <v>62</v>
      </c>
    </row>
    <row r="2884" spans="1:10" x14ac:dyDescent="0.2">
      <c r="A2884" t="s">
        <v>452</v>
      </c>
      <c r="B2884" t="s">
        <v>263</v>
      </c>
      <c r="C2884" t="s">
        <v>264</v>
      </c>
      <c r="D2884" t="s">
        <v>265</v>
      </c>
      <c r="E2884">
        <v>2158</v>
      </c>
      <c r="F2884" t="s">
        <v>4184</v>
      </c>
      <c r="G2884" t="s">
        <v>278</v>
      </c>
      <c r="H2884" t="s">
        <v>271</v>
      </c>
      <c r="I2884">
        <v>123</v>
      </c>
    </row>
    <row r="2885" spans="1:10" x14ac:dyDescent="0.2">
      <c r="A2885" t="s">
        <v>452</v>
      </c>
      <c r="B2885" t="s">
        <v>263</v>
      </c>
      <c r="C2885" t="s">
        <v>264</v>
      </c>
      <c r="D2885" t="s">
        <v>265</v>
      </c>
      <c r="E2885">
        <v>2162</v>
      </c>
      <c r="F2885" t="s">
        <v>4185</v>
      </c>
      <c r="G2885" t="s">
        <v>270</v>
      </c>
      <c r="H2885" t="s">
        <v>271</v>
      </c>
      <c r="I2885">
        <v>114</v>
      </c>
    </row>
    <row r="2886" spans="1:10" x14ac:dyDescent="0.2">
      <c r="A2886" t="s">
        <v>452</v>
      </c>
      <c r="B2886" t="s">
        <v>263</v>
      </c>
      <c r="C2886" t="s">
        <v>264</v>
      </c>
      <c r="D2886" t="s">
        <v>265</v>
      </c>
      <c r="E2886">
        <v>2291</v>
      </c>
      <c r="F2886" t="s">
        <v>4186</v>
      </c>
      <c r="G2886" t="s">
        <v>274</v>
      </c>
      <c r="H2886" t="s">
        <v>267</v>
      </c>
      <c r="I2886">
        <v>72</v>
      </c>
    </row>
    <row r="2887" spans="1:10" x14ac:dyDescent="0.2">
      <c r="A2887" t="s">
        <v>452</v>
      </c>
      <c r="B2887" t="s">
        <v>263</v>
      </c>
      <c r="C2887" t="s">
        <v>264</v>
      </c>
      <c r="D2887" t="s">
        <v>269</v>
      </c>
      <c r="E2887">
        <v>2334</v>
      </c>
      <c r="F2887" t="s">
        <v>657</v>
      </c>
      <c r="G2887" t="s">
        <v>278</v>
      </c>
      <c r="H2887" t="s">
        <v>271</v>
      </c>
      <c r="I2887">
        <v>65</v>
      </c>
    </row>
    <row r="2888" spans="1:10" x14ac:dyDescent="0.2">
      <c r="A2888" t="s">
        <v>452</v>
      </c>
      <c r="B2888" t="s">
        <v>263</v>
      </c>
      <c r="C2888" t="s">
        <v>273</v>
      </c>
      <c r="D2888" t="s">
        <v>265</v>
      </c>
      <c r="E2888">
        <v>2427</v>
      </c>
      <c r="F2888" t="s">
        <v>4187</v>
      </c>
      <c r="G2888" t="s">
        <v>266</v>
      </c>
      <c r="H2888" t="s">
        <v>271</v>
      </c>
      <c r="I2888" t="s">
        <v>297</v>
      </c>
      <c r="J2888" t="s">
        <v>4718</v>
      </c>
    </row>
    <row r="2889" spans="1:10" x14ac:dyDescent="0.2">
      <c r="A2889" t="s">
        <v>452</v>
      </c>
      <c r="B2889" t="s">
        <v>263</v>
      </c>
      <c r="C2889" t="s">
        <v>273</v>
      </c>
      <c r="D2889" t="s">
        <v>265</v>
      </c>
      <c r="E2889">
        <v>2499</v>
      </c>
      <c r="F2889" t="s">
        <v>4188</v>
      </c>
      <c r="G2889" t="s">
        <v>274</v>
      </c>
      <c r="H2889" t="s">
        <v>271</v>
      </c>
      <c r="I2889">
        <v>36</v>
      </c>
    </row>
    <row r="2890" spans="1:10" x14ac:dyDescent="0.2">
      <c r="A2890" t="s">
        <v>452</v>
      </c>
      <c r="B2890" t="s">
        <v>263</v>
      </c>
      <c r="C2890" t="s">
        <v>268</v>
      </c>
      <c r="D2890" t="s">
        <v>269</v>
      </c>
      <c r="E2890">
        <v>2652</v>
      </c>
      <c r="F2890" t="s">
        <v>4189</v>
      </c>
      <c r="G2890" t="s">
        <v>274</v>
      </c>
      <c r="H2890" t="s">
        <v>276</v>
      </c>
      <c r="I2890">
        <v>44</v>
      </c>
    </row>
    <row r="2891" spans="1:10" x14ac:dyDescent="0.2">
      <c r="A2891" t="s">
        <v>452</v>
      </c>
      <c r="B2891" t="s">
        <v>263</v>
      </c>
      <c r="C2891" t="s">
        <v>264</v>
      </c>
      <c r="D2891" t="s">
        <v>269</v>
      </c>
      <c r="E2891">
        <v>2876</v>
      </c>
      <c r="F2891" t="s">
        <v>4190</v>
      </c>
      <c r="G2891" t="s">
        <v>270</v>
      </c>
      <c r="H2891" t="s">
        <v>267</v>
      </c>
      <c r="I2891">
        <v>42</v>
      </c>
    </row>
    <row r="2892" spans="1:10" x14ac:dyDescent="0.2">
      <c r="A2892" t="s">
        <v>452</v>
      </c>
      <c r="B2892" t="s">
        <v>263</v>
      </c>
      <c r="C2892" t="s">
        <v>264</v>
      </c>
      <c r="D2892" t="s">
        <v>265</v>
      </c>
      <c r="E2892">
        <v>2981</v>
      </c>
      <c r="F2892" t="s">
        <v>1662</v>
      </c>
      <c r="G2892" t="s">
        <v>278</v>
      </c>
      <c r="H2892" t="s">
        <v>292</v>
      </c>
      <c r="I2892">
        <v>77</v>
      </c>
    </row>
    <row r="2893" spans="1:10" x14ac:dyDescent="0.2">
      <c r="A2893" t="s">
        <v>452</v>
      </c>
      <c r="B2893" t="s">
        <v>263</v>
      </c>
      <c r="C2893" t="s">
        <v>275</v>
      </c>
      <c r="D2893" t="s">
        <v>265</v>
      </c>
      <c r="E2893">
        <v>3041</v>
      </c>
      <c r="F2893" t="s">
        <v>4191</v>
      </c>
      <c r="G2893" t="s">
        <v>274</v>
      </c>
      <c r="H2893" t="s">
        <v>272</v>
      </c>
      <c r="I2893">
        <v>15</v>
      </c>
    </row>
    <row r="2894" spans="1:10" x14ac:dyDescent="0.2">
      <c r="A2894" t="s">
        <v>452</v>
      </c>
      <c r="B2894" t="s">
        <v>263</v>
      </c>
      <c r="C2894" t="s">
        <v>273</v>
      </c>
      <c r="D2894" t="s">
        <v>265</v>
      </c>
      <c r="E2894">
        <v>3054</v>
      </c>
      <c r="F2894" t="s">
        <v>4192</v>
      </c>
      <c r="G2894" t="s">
        <v>274</v>
      </c>
      <c r="H2894" t="s">
        <v>272</v>
      </c>
      <c r="I2894">
        <v>61</v>
      </c>
    </row>
    <row r="2895" spans="1:10" x14ac:dyDescent="0.2">
      <c r="A2895" t="s">
        <v>452</v>
      </c>
      <c r="B2895" t="s">
        <v>263</v>
      </c>
      <c r="C2895" t="s">
        <v>264</v>
      </c>
      <c r="D2895" t="s">
        <v>265</v>
      </c>
      <c r="E2895">
        <v>3258</v>
      </c>
      <c r="F2895" t="s">
        <v>4193</v>
      </c>
      <c r="G2895" t="s">
        <v>266</v>
      </c>
      <c r="H2895" t="s">
        <v>292</v>
      </c>
      <c r="I2895" t="s">
        <v>297</v>
      </c>
      <c r="J2895" t="s">
        <v>5084</v>
      </c>
    </row>
    <row r="2896" spans="1:10" x14ac:dyDescent="0.2">
      <c r="A2896" t="s">
        <v>452</v>
      </c>
      <c r="B2896" t="s">
        <v>263</v>
      </c>
      <c r="C2896" t="s">
        <v>268</v>
      </c>
      <c r="D2896" t="s">
        <v>265</v>
      </c>
      <c r="E2896">
        <v>3323</v>
      </c>
      <c r="F2896" t="s">
        <v>4194</v>
      </c>
      <c r="G2896" t="s">
        <v>270</v>
      </c>
      <c r="H2896" t="s">
        <v>272</v>
      </c>
      <c r="I2896">
        <v>96</v>
      </c>
    </row>
    <row r="2897" spans="1:9" x14ac:dyDescent="0.2">
      <c r="A2897" t="s">
        <v>452</v>
      </c>
      <c r="B2897" t="s">
        <v>263</v>
      </c>
      <c r="C2897" t="s">
        <v>268</v>
      </c>
      <c r="D2897" t="s">
        <v>265</v>
      </c>
      <c r="E2897">
        <v>3556</v>
      </c>
      <c r="F2897" t="s">
        <v>4195</v>
      </c>
      <c r="G2897" t="s">
        <v>278</v>
      </c>
      <c r="H2897" t="s">
        <v>276</v>
      </c>
      <c r="I2897">
        <v>77</v>
      </c>
    </row>
    <row r="2898" spans="1:9" x14ac:dyDescent="0.2">
      <c r="A2898" t="s">
        <v>452</v>
      </c>
      <c r="B2898" t="s">
        <v>263</v>
      </c>
      <c r="C2898" t="s">
        <v>273</v>
      </c>
      <c r="D2898" t="s">
        <v>265</v>
      </c>
      <c r="E2898">
        <v>3673</v>
      </c>
      <c r="F2898" t="s">
        <v>4546</v>
      </c>
      <c r="G2898" t="s">
        <v>266</v>
      </c>
      <c r="H2898" t="s">
        <v>277</v>
      </c>
      <c r="I2898">
        <v>651</v>
      </c>
    </row>
    <row r="2899" spans="1:9" x14ac:dyDescent="0.2">
      <c r="A2899" t="s">
        <v>452</v>
      </c>
      <c r="B2899" t="s">
        <v>263</v>
      </c>
      <c r="C2899" t="s">
        <v>268</v>
      </c>
      <c r="D2899" t="s">
        <v>265</v>
      </c>
      <c r="E2899">
        <v>3674</v>
      </c>
      <c r="F2899" t="s">
        <v>4196</v>
      </c>
      <c r="G2899" t="s">
        <v>278</v>
      </c>
      <c r="H2899" t="s">
        <v>277</v>
      </c>
      <c r="I2899">
        <v>78</v>
      </c>
    </row>
    <row r="2900" spans="1:9" x14ac:dyDescent="0.2">
      <c r="A2900" t="s">
        <v>452</v>
      </c>
      <c r="B2900" t="s">
        <v>263</v>
      </c>
      <c r="C2900" t="s">
        <v>268</v>
      </c>
      <c r="D2900" t="s">
        <v>265</v>
      </c>
      <c r="E2900">
        <v>3726</v>
      </c>
      <c r="F2900" t="s">
        <v>4197</v>
      </c>
      <c r="G2900" t="s">
        <v>274</v>
      </c>
      <c r="H2900" t="s">
        <v>276</v>
      </c>
      <c r="I2900">
        <v>35</v>
      </c>
    </row>
    <row r="2901" spans="1:9" x14ac:dyDescent="0.2">
      <c r="A2901" t="s">
        <v>452</v>
      </c>
      <c r="B2901" t="s">
        <v>263</v>
      </c>
      <c r="C2901" t="s">
        <v>273</v>
      </c>
      <c r="D2901" t="s">
        <v>265</v>
      </c>
      <c r="E2901">
        <v>3758</v>
      </c>
      <c r="F2901" t="s">
        <v>4198</v>
      </c>
      <c r="G2901" t="s">
        <v>270</v>
      </c>
      <c r="H2901" t="s">
        <v>277</v>
      </c>
      <c r="I2901">
        <v>216</v>
      </c>
    </row>
    <row r="2902" spans="1:9" x14ac:dyDescent="0.2">
      <c r="A2902" t="s">
        <v>452</v>
      </c>
      <c r="B2902" t="s">
        <v>263</v>
      </c>
      <c r="C2902" t="s">
        <v>273</v>
      </c>
      <c r="D2902" t="s">
        <v>265</v>
      </c>
      <c r="E2902">
        <v>3782</v>
      </c>
      <c r="F2902" t="s">
        <v>4199</v>
      </c>
      <c r="G2902" t="s">
        <v>278</v>
      </c>
      <c r="H2902" t="s">
        <v>277</v>
      </c>
      <c r="I2902">
        <v>140</v>
      </c>
    </row>
    <row r="2903" spans="1:9" x14ac:dyDescent="0.2">
      <c r="A2903" t="s">
        <v>452</v>
      </c>
      <c r="B2903" t="s">
        <v>263</v>
      </c>
      <c r="C2903" t="s">
        <v>264</v>
      </c>
      <c r="D2903" t="s">
        <v>265</v>
      </c>
      <c r="E2903">
        <v>3840</v>
      </c>
      <c r="F2903" t="s">
        <v>4200</v>
      </c>
      <c r="G2903" t="s">
        <v>274</v>
      </c>
      <c r="H2903" t="s">
        <v>277</v>
      </c>
      <c r="I2903">
        <v>45</v>
      </c>
    </row>
    <row r="2904" spans="1:9" x14ac:dyDescent="0.2">
      <c r="A2904" t="s">
        <v>452</v>
      </c>
      <c r="B2904" t="s">
        <v>263</v>
      </c>
      <c r="C2904" t="s">
        <v>275</v>
      </c>
      <c r="D2904" t="s">
        <v>265</v>
      </c>
      <c r="E2904">
        <v>3856</v>
      </c>
      <c r="F2904" t="s">
        <v>574</v>
      </c>
      <c r="G2904" t="s">
        <v>274</v>
      </c>
      <c r="H2904" t="s">
        <v>291</v>
      </c>
      <c r="I2904">
        <v>53</v>
      </c>
    </row>
    <row r="2905" spans="1:9" x14ac:dyDescent="0.2">
      <c r="A2905" t="s">
        <v>452</v>
      </c>
      <c r="B2905" t="s">
        <v>263</v>
      </c>
      <c r="C2905" t="s">
        <v>264</v>
      </c>
      <c r="D2905" t="s">
        <v>265</v>
      </c>
      <c r="E2905">
        <v>4387</v>
      </c>
      <c r="F2905" t="s">
        <v>4201</v>
      </c>
      <c r="G2905" t="s">
        <v>278</v>
      </c>
      <c r="H2905" t="s">
        <v>277</v>
      </c>
      <c r="I2905">
        <v>87</v>
      </c>
    </row>
    <row r="2906" spans="1:9" x14ac:dyDescent="0.2">
      <c r="A2906" t="s">
        <v>452</v>
      </c>
      <c r="B2906" t="s">
        <v>263</v>
      </c>
      <c r="C2906" t="s">
        <v>264</v>
      </c>
      <c r="D2906" t="s">
        <v>265</v>
      </c>
      <c r="E2906">
        <v>4423</v>
      </c>
      <c r="F2906" t="s">
        <v>4202</v>
      </c>
      <c r="G2906" t="s">
        <v>266</v>
      </c>
      <c r="H2906" t="s">
        <v>277</v>
      </c>
      <c r="I2906">
        <v>954</v>
      </c>
    </row>
    <row r="2907" spans="1:9" x14ac:dyDescent="0.2">
      <c r="A2907" t="s">
        <v>452</v>
      </c>
      <c r="B2907" t="s">
        <v>263</v>
      </c>
      <c r="C2907" t="s">
        <v>273</v>
      </c>
      <c r="D2907" t="s">
        <v>269</v>
      </c>
      <c r="E2907">
        <v>4450</v>
      </c>
      <c r="F2907" t="s">
        <v>585</v>
      </c>
      <c r="G2907" t="s">
        <v>278</v>
      </c>
      <c r="H2907" t="s">
        <v>277</v>
      </c>
      <c r="I2907">
        <v>53</v>
      </c>
    </row>
    <row r="2908" spans="1:9" x14ac:dyDescent="0.2">
      <c r="A2908" t="s">
        <v>452</v>
      </c>
      <c r="B2908" t="s">
        <v>263</v>
      </c>
      <c r="C2908" t="s">
        <v>273</v>
      </c>
      <c r="D2908" t="s">
        <v>269</v>
      </c>
      <c r="E2908">
        <v>4482</v>
      </c>
      <c r="F2908" t="s">
        <v>1529</v>
      </c>
      <c r="G2908" t="s">
        <v>278</v>
      </c>
      <c r="H2908" t="s">
        <v>277</v>
      </c>
      <c r="I2908">
        <v>200</v>
      </c>
    </row>
    <row r="2909" spans="1:9" x14ac:dyDescent="0.2">
      <c r="A2909" t="s">
        <v>452</v>
      </c>
      <c r="B2909" t="s">
        <v>263</v>
      </c>
      <c r="C2909" t="s">
        <v>264</v>
      </c>
      <c r="D2909" t="s">
        <v>265</v>
      </c>
      <c r="E2909">
        <v>4484</v>
      </c>
      <c r="F2909" t="s">
        <v>1530</v>
      </c>
      <c r="G2909" t="s">
        <v>278</v>
      </c>
      <c r="H2909" t="s">
        <v>277</v>
      </c>
      <c r="I2909">
        <v>157</v>
      </c>
    </row>
    <row r="2910" spans="1:9" x14ac:dyDescent="0.2">
      <c r="A2910" t="s">
        <v>452</v>
      </c>
      <c r="B2910" t="s">
        <v>263</v>
      </c>
      <c r="C2910" t="s">
        <v>273</v>
      </c>
      <c r="D2910" t="s">
        <v>265</v>
      </c>
      <c r="E2910">
        <v>4486</v>
      </c>
      <c r="F2910" t="s">
        <v>4203</v>
      </c>
      <c r="G2910" t="s">
        <v>278</v>
      </c>
      <c r="H2910" t="s">
        <v>277</v>
      </c>
      <c r="I2910">
        <v>57</v>
      </c>
    </row>
    <row r="2911" spans="1:9" x14ac:dyDescent="0.2">
      <c r="A2911" t="s">
        <v>452</v>
      </c>
      <c r="B2911" t="s">
        <v>263</v>
      </c>
      <c r="C2911" t="s">
        <v>273</v>
      </c>
      <c r="D2911" t="s">
        <v>269</v>
      </c>
      <c r="E2911">
        <v>4583</v>
      </c>
      <c r="F2911" t="s">
        <v>4204</v>
      </c>
      <c r="G2911" t="s">
        <v>278</v>
      </c>
      <c r="H2911" t="s">
        <v>311</v>
      </c>
      <c r="I2911">
        <v>73</v>
      </c>
    </row>
    <row r="2912" spans="1:9" x14ac:dyDescent="0.2">
      <c r="A2912" t="s">
        <v>452</v>
      </c>
      <c r="B2912" t="s">
        <v>263</v>
      </c>
      <c r="C2912" t="s">
        <v>273</v>
      </c>
      <c r="D2912" t="s">
        <v>269</v>
      </c>
      <c r="E2912">
        <v>4772</v>
      </c>
      <c r="F2912" t="s">
        <v>4205</v>
      </c>
      <c r="G2912" t="s">
        <v>270</v>
      </c>
      <c r="H2912" t="s">
        <v>277</v>
      </c>
      <c r="I2912">
        <v>40</v>
      </c>
    </row>
    <row r="2913" spans="1:10" x14ac:dyDescent="0.2">
      <c r="A2913" t="s">
        <v>452</v>
      </c>
      <c r="B2913" t="s">
        <v>263</v>
      </c>
      <c r="C2913" t="s">
        <v>275</v>
      </c>
      <c r="D2913" t="s">
        <v>265</v>
      </c>
      <c r="E2913">
        <v>4845</v>
      </c>
      <c r="F2913" t="s">
        <v>591</v>
      </c>
      <c r="G2913" t="s">
        <v>266</v>
      </c>
      <c r="H2913" t="s">
        <v>277</v>
      </c>
      <c r="I2913">
        <v>144</v>
      </c>
    </row>
    <row r="2914" spans="1:10" x14ac:dyDescent="0.2">
      <c r="A2914" t="s">
        <v>452</v>
      </c>
      <c r="B2914" t="s">
        <v>263</v>
      </c>
      <c r="C2914" t="s">
        <v>273</v>
      </c>
      <c r="D2914" t="s">
        <v>265</v>
      </c>
      <c r="E2914">
        <v>4979</v>
      </c>
      <c r="F2914" t="s">
        <v>4206</v>
      </c>
      <c r="G2914" t="s">
        <v>266</v>
      </c>
      <c r="H2914" t="s">
        <v>279</v>
      </c>
      <c r="I2914">
        <v>86</v>
      </c>
    </row>
    <row r="2915" spans="1:10" x14ac:dyDescent="0.2">
      <c r="A2915" t="s">
        <v>452</v>
      </c>
      <c r="B2915" t="s">
        <v>263</v>
      </c>
      <c r="C2915" t="s">
        <v>264</v>
      </c>
      <c r="D2915" t="s">
        <v>265</v>
      </c>
      <c r="E2915">
        <v>5103</v>
      </c>
      <c r="F2915" t="s">
        <v>4207</v>
      </c>
      <c r="G2915" t="s">
        <v>274</v>
      </c>
      <c r="H2915" t="s">
        <v>535</v>
      </c>
      <c r="I2915">
        <v>41</v>
      </c>
    </row>
    <row r="2916" spans="1:10" x14ac:dyDescent="0.2">
      <c r="A2916" t="s">
        <v>452</v>
      </c>
      <c r="B2916" t="s">
        <v>263</v>
      </c>
      <c r="C2916" t="s">
        <v>273</v>
      </c>
      <c r="D2916" t="s">
        <v>265</v>
      </c>
      <c r="E2916">
        <v>6034</v>
      </c>
      <c r="F2916" t="s">
        <v>4208</v>
      </c>
      <c r="G2916" t="s">
        <v>278</v>
      </c>
      <c r="H2916" t="s">
        <v>271</v>
      </c>
      <c r="I2916">
        <v>54</v>
      </c>
    </row>
    <row r="2917" spans="1:10" x14ac:dyDescent="0.2">
      <c r="A2917" t="s">
        <v>452</v>
      </c>
      <c r="B2917" t="s">
        <v>263</v>
      </c>
      <c r="C2917" t="s">
        <v>273</v>
      </c>
      <c r="D2917" t="s">
        <v>265</v>
      </c>
      <c r="E2917">
        <v>6171</v>
      </c>
      <c r="F2917" t="s">
        <v>4209</v>
      </c>
      <c r="G2917" t="s">
        <v>266</v>
      </c>
      <c r="H2917" t="s">
        <v>271</v>
      </c>
      <c r="I2917">
        <v>68</v>
      </c>
    </row>
    <row r="2918" spans="1:10" x14ac:dyDescent="0.2">
      <c r="A2918" t="s">
        <v>452</v>
      </c>
      <c r="B2918" t="s">
        <v>263</v>
      </c>
      <c r="C2918" t="s">
        <v>268</v>
      </c>
      <c r="D2918" t="s">
        <v>265</v>
      </c>
      <c r="E2918">
        <v>6191</v>
      </c>
      <c r="F2918" t="s">
        <v>4547</v>
      </c>
      <c r="G2918" t="s">
        <v>266</v>
      </c>
      <c r="H2918" t="s">
        <v>271</v>
      </c>
      <c r="I2918">
        <v>390</v>
      </c>
    </row>
    <row r="2919" spans="1:10" x14ac:dyDescent="0.2">
      <c r="A2919" t="s">
        <v>452</v>
      </c>
      <c r="B2919" t="s">
        <v>263</v>
      </c>
      <c r="C2919" t="s">
        <v>264</v>
      </c>
      <c r="D2919" t="s">
        <v>265</v>
      </c>
      <c r="E2919">
        <v>6237</v>
      </c>
      <c r="F2919" t="s">
        <v>4210</v>
      </c>
      <c r="G2919" t="s">
        <v>266</v>
      </c>
      <c r="H2919" t="s">
        <v>287</v>
      </c>
      <c r="I2919">
        <v>289</v>
      </c>
    </row>
    <row r="2920" spans="1:10" x14ac:dyDescent="0.2">
      <c r="A2920" t="s">
        <v>452</v>
      </c>
      <c r="B2920" t="s">
        <v>263</v>
      </c>
      <c r="C2920" t="s">
        <v>264</v>
      </c>
      <c r="D2920" t="s">
        <v>265</v>
      </c>
      <c r="E2920">
        <v>6334</v>
      </c>
      <c r="F2920" t="s">
        <v>4211</v>
      </c>
      <c r="G2920" t="s">
        <v>274</v>
      </c>
      <c r="H2920" t="s">
        <v>287</v>
      </c>
      <c r="I2920">
        <v>35</v>
      </c>
    </row>
    <row r="2921" spans="1:10" x14ac:dyDescent="0.2">
      <c r="A2921" t="s">
        <v>452</v>
      </c>
      <c r="B2921" t="s">
        <v>263</v>
      </c>
      <c r="C2921" t="s">
        <v>273</v>
      </c>
      <c r="D2921" t="s">
        <v>265</v>
      </c>
      <c r="E2921">
        <v>6425</v>
      </c>
      <c r="F2921" t="s">
        <v>4212</v>
      </c>
      <c r="G2921" t="s">
        <v>270</v>
      </c>
      <c r="H2921" t="s">
        <v>287</v>
      </c>
      <c r="I2921" t="s">
        <v>289</v>
      </c>
      <c r="J2921" t="s">
        <v>5056</v>
      </c>
    </row>
    <row r="2922" spans="1:10" x14ac:dyDescent="0.2">
      <c r="A2922" t="s">
        <v>452</v>
      </c>
      <c r="B2922" t="s">
        <v>263</v>
      </c>
      <c r="C2922" t="s">
        <v>264</v>
      </c>
      <c r="D2922" t="s">
        <v>265</v>
      </c>
      <c r="E2922">
        <v>6502</v>
      </c>
      <c r="F2922" t="s">
        <v>1836</v>
      </c>
      <c r="G2922" t="s">
        <v>274</v>
      </c>
      <c r="H2922" t="s">
        <v>291</v>
      </c>
      <c r="I2922" t="s">
        <v>294</v>
      </c>
      <c r="J2922" t="s">
        <v>4468</v>
      </c>
    </row>
    <row r="2923" spans="1:10" x14ac:dyDescent="0.2">
      <c r="A2923" t="s">
        <v>452</v>
      </c>
      <c r="B2923" t="s">
        <v>263</v>
      </c>
      <c r="C2923" t="s">
        <v>268</v>
      </c>
      <c r="D2923" t="s">
        <v>269</v>
      </c>
      <c r="E2923">
        <v>6563</v>
      </c>
      <c r="F2923" t="s">
        <v>4213</v>
      </c>
      <c r="G2923" t="s">
        <v>278</v>
      </c>
      <c r="H2923" t="s">
        <v>271</v>
      </c>
      <c r="I2923">
        <v>46</v>
      </c>
    </row>
    <row r="2924" spans="1:10" x14ac:dyDescent="0.2">
      <c r="A2924" t="s">
        <v>452</v>
      </c>
      <c r="B2924" t="s">
        <v>263</v>
      </c>
      <c r="C2924" t="s">
        <v>264</v>
      </c>
      <c r="D2924" t="s">
        <v>265</v>
      </c>
      <c r="E2924">
        <v>6566</v>
      </c>
      <c r="F2924" t="s">
        <v>4214</v>
      </c>
      <c r="G2924" t="s">
        <v>274</v>
      </c>
      <c r="H2924" t="s">
        <v>271</v>
      </c>
      <c r="I2924">
        <v>134</v>
      </c>
    </row>
    <row r="2925" spans="1:10" x14ac:dyDescent="0.2">
      <c r="A2925" t="s">
        <v>452</v>
      </c>
      <c r="B2925" t="s">
        <v>263</v>
      </c>
      <c r="C2925" t="s">
        <v>264</v>
      </c>
      <c r="D2925" t="s">
        <v>265</v>
      </c>
      <c r="E2925">
        <v>6628</v>
      </c>
      <c r="F2925" t="s">
        <v>4215</v>
      </c>
      <c r="G2925" t="s">
        <v>270</v>
      </c>
      <c r="H2925" t="s">
        <v>291</v>
      </c>
      <c r="I2925">
        <v>51</v>
      </c>
    </row>
    <row r="2926" spans="1:10" x14ac:dyDescent="0.2">
      <c r="A2926" t="s">
        <v>452</v>
      </c>
      <c r="B2926" t="s">
        <v>263</v>
      </c>
      <c r="C2926" t="s">
        <v>264</v>
      </c>
      <c r="D2926" t="s">
        <v>265</v>
      </c>
      <c r="E2926">
        <v>6786</v>
      </c>
      <c r="F2926" t="s">
        <v>4548</v>
      </c>
      <c r="G2926" t="s">
        <v>274</v>
      </c>
      <c r="H2926" t="s">
        <v>271</v>
      </c>
      <c r="I2926">
        <v>42</v>
      </c>
    </row>
    <row r="2927" spans="1:10" x14ac:dyDescent="0.2">
      <c r="A2927" t="s">
        <v>452</v>
      </c>
      <c r="B2927" t="s">
        <v>263</v>
      </c>
      <c r="C2927" t="s">
        <v>268</v>
      </c>
      <c r="D2927" t="s">
        <v>265</v>
      </c>
      <c r="E2927">
        <v>7041</v>
      </c>
      <c r="F2927" t="s">
        <v>4216</v>
      </c>
      <c r="G2927" t="s">
        <v>278</v>
      </c>
      <c r="H2927" t="s">
        <v>271</v>
      </c>
      <c r="I2927">
        <v>58</v>
      </c>
    </row>
    <row r="2928" spans="1:10" x14ac:dyDescent="0.2">
      <c r="A2928" t="s">
        <v>452</v>
      </c>
      <c r="B2928" t="s">
        <v>263</v>
      </c>
      <c r="C2928" t="s">
        <v>268</v>
      </c>
      <c r="D2928" t="s">
        <v>269</v>
      </c>
      <c r="E2928">
        <v>7072</v>
      </c>
      <c r="F2928" t="s">
        <v>604</v>
      </c>
      <c r="G2928" t="s">
        <v>278</v>
      </c>
      <c r="H2928" t="s">
        <v>271</v>
      </c>
      <c r="I2928">
        <v>86</v>
      </c>
    </row>
    <row r="2929" spans="1:10" x14ac:dyDescent="0.2">
      <c r="A2929" t="s">
        <v>452</v>
      </c>
      <c r="B2929" t="s">
        <v>263</v>
      </c>
      <c r="C2929" t="s">
        <v>264</v>
      </c>
      <c r="D2929" t="s">
        <v>265</v>
      </c>
      <c r="E2929">
        <v>7297</v>
      </c>
      <c r="F2929" t="s">
        <v>4217</v>
      </c>
      <c r="G2929" t="s">
        <v>270</v>
      </c>
      <c r="H2929" t="s">
        <v>296</v>
      </c>
      <c r="I2929">
        <v>77</v>
      </c>
    </row>
    <row r="2930" spans="1:10" x14ac:dyDescent="0.2">
      <c r="A2930" t="s">
        <v>452</v>
      </c>
      <c r="B2930" t="s">
        <v>263</v>
      </c>
      <c r="C2930" t="s">
        <v>264</v>
      </c>
      <c r="D2930" t="s">
        <v>265</v>
      </c>
      <c r="E2930">
        <v>7746</v>
      </c>
      <c r="F2930" t="s">
        <v>4218</v>
      </c>
      <c r="G2930" t="s">
        <v>270</v>
      </c>
      <c r="H2930" t="s">
        <v>342</v>
      </c>
      <c r="I2930">
        <v>67</v>
      </c>
    </row>
    <row r="2931" spans="1:10" x14ac:dyDescent="0.2">
      <c r="A2931" t="s">
        <v>452</v>
      </c>
      <c r="B2931" t="s">
        <v>263</v>
      </c>
      <c r="C2931" t="s">
        <v>273</v>
      </c>
      <c r="D2931" t="s">
        <v>265</v>
      </c>
      <c r="E2931">
        <v>7972</v>
      </c>
      <c r="F2931" t="s">
        <v>4219</v>
      </c>
      <c r="G2931" t="s">
        <v>266</v>
      </c>
      <c r="H2931" t="s">
        <v>288</v>
      </c>
      <c r="I2931">
        <v>233</v>
      </c>
    </row>
    <row r="2932" spans="1:10" x14ac:dyDescent="0.2">
      <c r="A2932" t="s">
        <v>452</v>
      </c>
      <c r="B2932" t="s">
        <v>263</v>
      </c>
      <c r="C2932" t="s">
        <v>273</v>
      </c>
      <c r="D2932" t="s">
        <v>265</v>
      </c>
      <c r="E2932">
        <v>8179</v>
      </c>
      <c r="F2932" t="s">
        <v>4220</v>
      </c>
      <c r="G2932" t="s">
        <v>266</v>
      </c>
      <c r="H2932" t="s">
        <v>276</v>
      </c>
      <c r="I2932">
        <v>975</v>
      </c>
    </row>
    <row r="2933" spans="1:10" x14ac:dyDescent="0.2">
      <c r="A2933" t="s">
        <v>452</v>
      </c>
      <c r="B2933" t="s">
        <v>263</v>
      </c>
      <c r="C2933" t="s">
        <v>264</v>
      </c>
      <c r="D2933" t="s">
        <v>265</v>
      </c>
      <c r="E2933">
        <v>8630</v>
      </c>
      <c r="F2933" t="s">
        <v>4221</v>
      </c>
      <c r="G2933" t="s">
        <v>266</v>
      </c>
      <c r="H2933" t="s">
        <v>665</v>
      </c>
      <c r="I2933" t="s">
        <v>1856</v>
      </c>
      <c r="J2933" t="s">
        <v>5085</v>
      </c>
    </row>
    <row r="2934" spans="1:10" x14ac:dyDescent="0.2">
      <c r="A2934" t="s">
        <v>452</v>
      </c>
      <c r="B2934" t="s">
        <v>263</v>
      </c>
      <c r="C2934" t="s">
        <v>264</v>
      </c>
      <c r="D2934" t="s">
        <v>265</v>
      </c>
      <c r="E2934">
        <v>8725</v>
      </c>
      <c r="F2934" t="s">
        <v>4222</v>
      </c>
      <c r="G2934" t="s">
        <v>266</v>
      </c>
      <c r="H2934" t="s">
        <v>665</v>
      </c>
      <c r="I2934" t="s">
        <v>475</v>
      </c>
      <c r="J2934" t="s">
        <v>4664</v>
      </c>
    </row>
    <row r="2935" spans="1:10" x14ac:dyDescent="0.2">
      <c r="A2935" t="s">
        <v>452</v>
      </c>
      <c r="B2935" t="s">
        <v>263</v>
      </c>
      <c r="C2935" t="s">
        <v>273</v>
      </c>
      <c r="D2935" t="s">
        <v>265</v>
      </c>
      <c r="E2935">
        <v>8946</v>
      </c>
      <c r="F2935" t="s">
        <v>4223</v>
      </c>
      <c r="G2935" t="s">
        <v>270</v>
      </c>
      <c r="H2935" t="s">
        <v>292</v>
      </c>
      <c r="I2935">
        <v>24</v>
      </c>
    </row>
    <row r="2936" spans="1:10" x14ac:dyDescent="0.2">
      <c r="A2936" t="s">
        <v>452</v>
      </c>
      <c r="B2936" t="s">
        <v>263</v>
      </c>
      <c r="C2936" t="s">
        <v>264</v>
      </c>
      <c r="D2936" t="s">
        <v>265</v>
      </c>
      <c r="E2936">
        <v>9274</v>
      </c>
      <c r="F2936" t="s">
        <v>4224</v>
      </c>
      <c r="G2936" t="s">
        <v>266</v>
      </c>
      <c r="H2936" t="s">
        <v>272</v>
      </c>
      <c r="I2936">
        <v>225</v>
      </c>
    </row>
    <row r="2937" spans="1:10" x14ac:dyDescent="0.2">
      <c r="A2937" t="s">
        <v>452</v>
      </c>
      <c r="B2937" t="s">
        <v>263</v>
      </c>
      <c r="C2937" t="s">
        <v>273</v>
      </c>
      <c r="D2937" t="s">
        <v>269</v>
      </c>
      <c r="E2937">
        <v>9285</v>
      </c>
      <c r="F2937" t="s">
        <v>4225</v>
      </c>
      <c r="G2937" t="s">
        <v>303</v>
      </c>
      <c r="H2937" t="s">
        <v>304</v>
      </c>
      <c r="I2937">
        <v>50</v>
      </c>
    </row>
    <row r="2938" spans="1:10" x14ac:dyDescent="0.2">
      <c r="A2938" t="s">
        <v>452</v>
      </c>
      <c r="B2938" t="s">
        <v>263</v>
      </c>
      <c r="C2938" t="s">
        <v>273</v>
      </c>
      <c r="D2938" t="s">
        <v>265</v>
      </c>
      <c r="E2938">
        <v>9612</v>
      </c>
      <c r="F2938" t="s">
        <v>4226</v>
      </c>
      <c r="G2938" t="s">
        <v>266</v>
      </c>
      <c r="H2938" t="s">
        <v>271</v>
      </c>
      <c r="I2938">
        <v>217</v>
      </c>
    </row>
    <row r="2939" spans="1:10" x14ac:dyDescent="0.2">
      <c r="A2939" t="s">
        <v>4227</v>
      </c>
      <c r="B2939" t="s">
        <v>327</v>
      </c>
      <c r="C2939" t="s">
        <v>273</v>
      </c>
      <c r="D2939" t="s">
        <v>265</v>
      </c>
      <c r="E2939">
        <v>4634</v>
      </c>
      <c r="F2939" t="s">
        <v>4228</v>
      </c>
      <c r="G2939" t="s">
        <v>266</v>
      </c>
      <c r="H2939" t="s">
        <v>279</v>
      </c>
      <c r="I2939" t="s">
        <v>297</v>
      </c>
      <c r="J2939" t="s">
        <v>4296</v>
      </c>
    </row>
    <row r="2940" spans="1:10" x14ac:dyDescent="0.2">
      <c r="A2940" t="s">
        <v>4227</v>
      </c>
      <c r="B2940" t="s">
        <v>327</v>
      </c>
      <c r="C2940" t="s">
        <v>273</v>
      </c>
      <c r="D2940" t="s">
        <v>265</v>
      </c>
      <c r="E2940">
        <v>5108</v>
      </c>
      <c r="F2940" t="s">
        <v>4232</v>
      </c>
      <c r="G2940" t="s">
        <v>266</v>
      </c>
      <c r="H2940" t="s">
        <v>535</v>
      </c>
      <c r="I2940" t="s">
        <v>4892</v>
      </c>
      <c r="J2940" t="s">
        <v>4675</v>
      </c>
    </row>
    <row r="2941" spans="1:10" x14ac:dyDescent="0.2">
      <c r="A2941" t="s">
        <v>4227</v>
      </c>
      <c r="B2941" t="s">
        <v>327</v>
      </c>
      <c r="C2941" t="s">
        <v>273</v>
      </c>
      <c r="D2941" t="s">
        <v>265</v>
      </c>
      <c r="E2941">
        <v>7531</v>
      </c>
      <c r="F2941" t="s">
        <v>4229</v>
      </c>
      <c r="G2941" t="s">
        <v>270</v>
      </c>
      <c r="H2941" t="s">
        <v>272</v>
      </c>
      <c r="I2941">
        <v>145</v>
      </c>
    </row>
    <row r="2942" spans="1:10" x14ac:dyDescent="0.2">
      <c r="A2942" t="s">
        <v>4227</v>
      </c>
      <c r="B2942" t="s">
        <v>327</v>
      </c>
      <c r="C2942" t="s">
        <v>273</v>
      </c>
      <c r="D2942" t="s">
        <v>269</v>
      </c>
      <c r="E2942">
        <v>8987</v>
      </c>
      <c r="F2942" t="s">
        <v>4230</v>
      </c>
      <c r="G2942" t="s">
        <v>303</v>
      </c>
      <c r="H2942" t="s">
        <v>304</v>
      </c>
      <c r="I2942" t="s">
        <v>289</v>
      </c>
      <c r="J2942" t="s">
        <v>4905</v>
      </c>
    </row>
    <row r="2943" spans="1:10" x14ac:dyDescent="0.2">
      <c r="A2943" t="s">
        <v>4227</v>
      </c>
      <c r="B2943" t="s">
        <v>263</v>
      </c>
      <c r="C2943" t="s">
        <v>273</v>
      </c>
      <c r="D2943" t="s">
        <v>265</v>
      </c>
      <c r="E2943">
        <v>3807</v>
      </c>
      <c r="F2943" t="s">
        <v>4231</v>
      </c>
      <c r="G2943" t="s">
        <v>270</v>
      </c>
      <c r="H2943" t="s">
        <v>277</v>
      </c>
      <c r="I2943">
        <v>69</v>
      </c>
    </row>
    <row r="2944" spans="1:10" x14ac:dyDescent="0.2">
      <c r="A2944" t="s">
        <v>4233</v>
      </c>
      <c r="B2944" t="s">
        <v>1481</v>
      </c>
      <c r="C2944" t="s">
        <v>273</v>
      </c>
      <c r="D2944" t="s">
        <v>265</v>
      </c>
      <c r="E2944">
        <v>9176</v>
      </c>
      <c r="F2944" t="s">
        <v>4234</v>
      </c>
      <c r="G2944" t="s">
        <v>270</v>
      </c>
      <c r="H2944" t="s">
        <v>2193</v>
      </c>
      <c r="I2944">
        <v>36</v>
      </c>
    </row>
    <row r="2945" spans="1:10" x14ac:dyDescent="0.2">
      <c r="A2945" t="s">
        <v>4233</v>
      </c>
      <c r="B2945" t="s">
        <v>327</v>
      </c>
      <c r="C2945" t="s">
        <v>273</v>
      </c>
      <c r="D2945" t="s">
        <v>269</v>
      </c>
      <c r="E2945">
        <v>3470</v>
      </c>
      <c r="F2945" t="s">
        <v>4235</v>
      </c>
      <c r="G2945" t="s">
        <v>303</v>
      </c>
      <c r="H2945" t="s">
        <v>304</v>
      </c>
      <c r="I2945">
        <v>193</v>
      </c>
    </row>
    <row r="2946" spans="1:10" x14ac:dyDescent="0.2">
      <c r="A2946" t="s">
        <v>4233</v>
      </c>
      <c r="B2946" t="s">
        <v>327</v>
      </c>
      <c r="C2946" t="s">
        <v>273</v>
      </c>
      <c r="D2946" t="s">
        <v>265</v>
      </c>
      <c r="E2946">
        <v>4704</v>
      </c>
      <c r="F2946" t="s">
        <v>4549</v>
      </c>
      <c r="G2946" t="s">
        <v>266</v>
      </c>
      <c r="H2946" t="s">
        <v>277</v>
      </c>
      <c r="I2946" t="s">
        <v>343</v>
      </c>
      <c r="J2946" t="s">
        <v>5086</v>
      </c>
    </row>
    <row r="2947" spans="1:10" x14ac:dyDescent="0.2">
      <c r="A2947" t="s">
        <v>4233</v>
      </c>
      <c r="B2947" t="s">
        <v>263</v>
      </c>
      <c r="C2947" t="s">
        <v>273</v>
      </c>
      <c r="D2947" t="s">
        <v>269</v>
      </c>
      <c r="E2947">
        <v>3473</v>
      </c>
      <c r="F2947" t="s">
        <v>4236</v>
      </c>
      <c r="G2947" t="s">
        <v>303</v>
      </c>
      <c r="H2947" t="s">
        <v>304</v>
      </c>
      <c r="I2947">
        <v>320</v>
      </c>
    </row>
    <row r="2948" spans="1:10" x14ac:dyDescent="0.2">
      <c r="A2948" t="s">
        <v>1509</v>
      </c>
      <c r="B2948" t="s">
        <v>327</v>
      </c>
      <c r="C2948" t="s">
        <v>273</v>
      </c>
      <c r="D2948" t="s">
        <v>265</v>
      </c>
      <c r="E2948">
        <v>3350</v>
      </c>
      <c r="F2948" t="s">
        <v>4237</v>
      </c>
      <c r="G2948" t="s">
        <v>270</v>
      </c>
      <c r="H2948" t="s">
        <v>272</v>
      </c>
      <c r="I2948">
        <v>67</v>
      </c>
    </row>
    <row r="2949" spans="1:10" x14ac:dyDescent="0.2">
      <c r="A2949" t="s">
        <v>1509</v>
      </c>
      <c r="B2949" t="s">
        <v>1689</v>
      </c>
      <c r="C2949" t="s">
        <v>273</v>
      </c>
      <c r="D2949" t="s">
        <v>265</v>
      </c>
      <c r="E2949">
        <v>2721</v>
      </c>
      <c r="F2949" t="s">
        <v>4238</v>
      </c>
      <c r="G2949" t="s">
        <v>270</v>
      </c>
      <c r="H2949" t="s">
        <v>272</v>
      </c>
      <c r="I2949">
        <v>12</v>
      </c>
    </row>
    <row r="2950" spans="1:10" x14ac:dyDescent="0.2">
      <c r="A2950" t="s">
        <v>1509</v>
      </c>
      <c r="B2950" t="s">
        <v>263</v>
      </c>
      <c r="C2950" t="s">
        <v>273</v>
      </c>
      <c r="D2950" t="s">
        <v>269</v>
      </c>
      <c r="E2950">
        <v>3296</v>
      </c>
      <c r="F2950" t="s">
        <v>4239</v>
      </c>
      <c r="G2950" t="s">
        <v>303</v>
      </c>
      <c r="H2950" t="s">
        <v>304</v>
      </c>
      <c r="I2950" t="s">
        <v>289</v>
      </c>
      <c r="J2950" t="s">
        <v>5087</v>
      </c>
    </row>
    <row r="2951" spans="1:10" x14ac:dyDescent="0.2">
      <c r="A2951" t="s">
        <v>1509</v>
      </c>
      <c r="B2951" t="s">
        <v>263</v>
      </c>
      <c r="C2951" t="s">
        <v>273</v>
      </c>
      <c r="D2951" t="s">
        <v>265</v>
      </c>
      <c r="E2951">
        <v>3975</v>
      </c>
      <c r="F2951" t="s">
        <v>1510</v>
      </c>
      <c r="G2951" t="s">
        <v>266</v>
      </c>
      <c r="H2951" t="s">
        <v>277</v>
      </c>
      <c r="I2951">
        <v>181</v>
      </c>
    </row>
    <row r="2952" spans="1:10" x14ac:dyDescent="0.2">
      <c r="A2952" t="s">
        <v>458</v>
      </c>
      <c r="B2952" t="s">
        <v>327</v>
      </c>
      <c r="C2952" t="s">
        <v>273</v>
      </c>
      <c r="D2952" t="s">
        <v>269</v>
      </c>
      <c r="E2952">
        <v>3227</v>
      </c>
      <c r="F2952" t="s">
        <v>4240</v>
      </c>
      <c r="G2952" t="s">
        <v>303</v>
      </c>
      <c r="H2952" t="s">
        <v>304</v>
      </c>
      <c r="I2952" t="s">
        <v>289</v>
      </c>
      <c r="J2952" t="s">
        <v>4729</v>
      </c>
    </row>
    <row r="2953" spans="1:10" x14ac:dyDescent="0.2">
      <c r="A2953" t="s">
        <v>458</v>
      </c>
      <c r="B2953" t="s">
        <v>327</v>
      </c>
      <c r="C2953" t="s">
        <v>273</v>
      </c>
      <c r="D2953" t="s">
        <v>269</v>
      </c>
      <c r="E2953">
        <v>8963</v>
      </c>
      <c r="F2953" t="s">
        <v>4241</v>
      </c>
      <c r="G2953" t="s">
        <v>303</v>
      </c>
      <c r="H2953" t="s">
        <v>304</v>
      </c>
      <c r="I2953" t="s">
        <v>333</v>
      </c>
      <c r="J2953" t="s">
        <v>5088</v>
      </c>
    </row>
    <row r="2954" spans="1:10" x14ac:dyDescent="0.2">
      <c r="A2954" t="s">
        <v>458</v>
      </c>
      <c r="B2954" t="s">
        <v>327</v>
      </c>
      <c r="C2954" t="s">
        <v>273</v>
      </c>
      <c r="D2954" t="s">
        <v>269</v>
      </c>
      <c r="E2954">
        <v>8985</v>
      </c>
      <c r="F2954" t="s">
        <v>459</v>
      </c>
      <c r="G2954" t="s">
        <v>303</v>
      </c>
      <c r="H2954" t="s">
        <v>304</v>
      </c>
      <c r="I2954" t="s">
        <v>333</v>
      </c>
      <c r="J2954" t="s">
        <v>4511</v>
      </c>
    </row>
    <row r="2955" spans="1:10" x14ac:dyDescent="0.2">
      <c r="A2955" t="s">
        <v>4380</v>
      </c>
      <c r="B2955" t="s">
        <v>263</v>
      </c>
      <c r="C2955" t="s">
        <v>275</v>
      </c>
      <c r="D2955" t="s">
        <v>269</v>
      </c>
      <c r="E2955">
        <v>2391</v>
      </c>
      <c r="F2955" t="s">
        <v>1659</v>
      </c>
      <c r="G2955" t="s">
        <v>270</v>
      </c>
      <c r="H2955" t="s">
        <v>271</v>
      </c>
      <c r="I2955">
        <v>102</v>
      </c>
    </row>
    <row r="2956" spans="1:10" x14ac:dyDescent="0.2">
      <c r="A2956" t="s">
        <v>1511</v>
      </c>
      <c r="B2956" t="s">
        <v>263</v>
      </c>
      <c r="C2956" t="s">
        <v>268</v>
      </c>
      <c r="D2956" t="s">
        <v>265</v>
      </c>
      <c r="E2956">
        <v>4666</v>
      </c>
      <c r="F2956" t="s">
        <v>324</v>
      </c>
      <c r="G2956" t="s">
        <v>266</v>
      </c>
      <c r="H2956" t="s">
        <v>292</v>
      </c>
      <c r="I2956" t="s">
        <v>316</v>
      </c>
      <c r="J2956" t="s">
        <v>4721</v>
      </c>
    </row>
    <row r="2957" spans="1:10" x14ac:dyDescent="0.2">
      <c r="A2957" t="s">
        <v>5089</v>
      </c>
      <c r="B2957" t="s">
        <v>263</v>
      </c>
      <c r="C2957" t="s">
        <v>275</v>
      </c>
      <c r="D2957" t="s">
        <v>265</v>
      </c>
      <c r="E2957">
        <v>3816</v>
      </c>
      <c r="F2957" t="s">
        <v>5090</v>
      </c>
      <c r="G2957" t="s">
        <v>270</v>
      </c>
      <c r="H2957" t="s">
        <v>277</v>
      </c>
      <c r="I2957">
        <v>67</v>
      </c>
    </row>
    <row r="2958" spans="1:10" x14ac:dyDescent="0.2">
      <c r="A2958" t="s">
        <v>737</v>
      </c>
      <c r="B2958" t="s">
        <v>263</v>
      </c>
      <c r="C2958" t="s">
        <v>264</v>
      </c>
      <c r="D2958" t="s">
        <v>265</v>
      </c>
      <c r="E2958">
        <v>2593</v>
      </c>
      <c r="F2958" t="s">
        <v>282</v>
      </c>
      <c r="G2958" t="s">
        <v>266</v>
      </c>
      <c r="H2958" t="s">
        <v>267</v>
      </c>
      <c r="I2958" t="s">
        <v>316</v>
      </c>
      <c r="J2958" t="s">
        <v>4665</v>
      </c>
    </row>
    <row r="2959" spans="1:10" x14ac:dyDescent="0.2">
      <c r="A2959" t="s">
        <v>737</v>
      </c>
      <c r="B2959" t="s">
        <v>263</v>
      </c>
      <c r="C2959" t="s">
        <v>275</v>
      </c>
      <c r="D2959" t="s">
        <v>265</v>
      </c>
      <c r="E2959">
        <v>6267</v>
      </c>
      <c r="F2959" t="s">
        <v>286</v>
      </c>
      <c r="G2959" t="s">
        <v>270</v>
      </c>
      <c r="H2959" t="s">
        <v>287</v>
      </c>
      <c r="I2959">
        <v>38</v>
      </c>
    </row>
    <row r="2960" spans="1:10" x14ac:dyDescent="0.2">
      <c r="A2960" t="s">
        <v>738</v>
      </c>
      <c r="B2960" t="s">
        <v>263</v>
      </c>
      <c r="C2960" t="s">
        <v>264</v>
      </c>
      <c r="D2960" t="s">
        <v>265</v>
      </c>
      <c r="E2960">
        <v>4750</v>
      </c>
      <c r="F2960" t="s">
        <v>280</v>
      </c>
      <c r="G2960" t="s">
        <v>274</v>
      </c>
      <c r="H2960" t="s">
        <v>271</v>
      </c>
      <c r="I2960">
        <v>53</v>
      </c>
    </row>
    <row r="2961" spans="1:9" x14ac:dyDescent="0.2">
      <c r="A2961" t="s">
        <v>738</v>
      </c>
      <c r="B2961" t="s">
        <v>263</v>
      </c>
      <c r="C2961" t="s">
        <v>273</v>
      </c>
      <c r="D2961" t="s">
        <v>265</v>
      </c>
      <c r="E2961">
        <v>7590</v>
      </c>
      <c r="F2961" t="s">
        <v>1512</v>
      </c>
      <c r="G2961" t="s">
        <v>266</v>
      </c>
      <c r="H2961" t="s">
        <v>272</v>
      </c>
      <c r="I2961">
        <v>71</v>
      </c>
    </row>
    <row r="2962" spans="1:9" x14ac:dyDescent="0.2">
      <c r="A2962" t="s">
        <v>4314</v>
      </c>
      <c r="B2962" t="s">
        <v>263</v>
      </c>
      <c r="C2962" t="s">
        <v>264</v>
      </c>
      <c r="D2962" t="s">
        <v>265</v>
      </c>
      <c r="E2962">
        <v>3031</v>
      </c>
      <c r="F2962" t="s">
        <v>4315</v>
      </c>
      <c r="G2962" t="s">
        <v>266</v>
      </c>
      <c r="H2962" t="s">
        <v>272</v>
      </c>
      <c r="I2962">
        <v>159</v>
      </c>
    </row>
    <row r="2963" spans="1:9" x14ac:dyDescent="0.2">
      <c r="A2963" t="s">
        <v>1842</v>
      </c>
      <c r="B2963" t="s">
        <v>263</v>
      </c>
      <c r="C2963" t="s">
        <v>264</v>
      </c>
      <c r="D2963" t="s">
        <v>269</v>
      </c>
      <c r="E2963">
        <v>2438</v>
      </c>
      <c r="F2963" t="s">
        <v>4316</v>
      </c>
      <c r="G2963" t="s">
        <v>278</v>
      </c>
      <c r="H2963" t="s">
        <v>271</v>
      </c>
      <c r="I2963">
        <v>256</v>
      </c>
    </row>
    <row r="2964" spans="1:9" x14ac:dyDescent="0.2">
      <c r="A2964" t="s">
        <v>1842</v>
      </c>
      <c r="B2964" t="s">
        <v>263</v>
      </c>
      <c r="C2964" t="s">
        <v>275</v>
      </c>
      <c r="D2964" t="s">
        <v>265</v>
      </c>
      <c r="E2964">
        <v>2929</v>
      </c>
      <c r="F2964" t="s">
        <v>4382</v>
      </c>
      <c r="G2964" t="s">
        <v>274</v>
      </c>
      <c r="H2964" t="s">
        <v>267</v>
      </c>
      <c r="I2964">
        <v>241</v>
      </c>
    </row>
    <row r="2965" spans="1:9" x14ac:dyDescent="0.2">
      <c r="A2965" t="s">
        <v>1842</v>
      </c>
      <c r="B2965" t="s">
        <v>263</v>
      </c>
      <c r="C2965" t="s">
        <v>264</v>
      </c>
      <c r="D2965" t="s">
        <v>269</v>
      </c>
      <c r="E2965">
        <v>7901</v>
      </c>
      <c r="F2965" t="s">
        <v>1843</v>
      </c>
      <c r="G2965" t="s">
        <v>270</v>
      </c>
      <c r="H2965" t="s">
        <v>288</v>
      </c>
      <c r="I2965">
        <v>10</v>
      </c>
    </row>
    <row r="2966" spans="1:9" x14ac:dyDescent="0.2">
      <c r="A2966" t="s">
        <v>1513</v>
      </c>
      <c r="B2966" t="s">
        <v>263</v>
      </c>
      <c r="C2966" t="s">
        <v>268</v>
      </c>
      <c r="D2966" t="s">
        <v>265</v>
      </c>
      <c r="E2966">
        <v>1383</v>
      </c>
      <c r="F2966" t="s">
        <v>313</v>
      </c>
      <c r="G2966" t="s">
        <v>270</v>
      </c>
      <c r="H2966" t="s">
        <v>314</v>
      </c>
      <c r="I2966">
        <v>34</v>
      </c>
    </row>
    <row r="2967" spans="1:9" x14ac:dyDescent="0.2">
      <c r="A2967" t="s">
        <v>1514</v>
      </c>
      <c r="B2967" t="s">
        <v>263</v>
      </c>
      <c r="C2967" t="s">
        <v>264</v>
      </c>
      <c r="D2967" t="s">
        <v>265</v>
      </c>
      <c r="E2967">
        <v>3161</v>
      </c>
      <c r="F2967" t="s">
        <v>1844</v>
      </c>
      <c r="G2967" t="s">
        <v>274</v>
      </c>
      <c r="H2967" t="s">
        <v>272</v>
      </c>
      <c r="I2967">
        <v>65</v>
      </c>
    </row>
    <row r="2968" spans="1:9" x14ac:dyDescent="0.2">
      <c r="A2968" t="s">
        <v>1514</v>
      </c>
      <c r="B2968" t="s">
        <v>263</v>
      </c>
      <c r="C2968" t="s">
        <v>275</v>
      </c>
      <c r="D2968" t="s">
        <v>269</v>
      </c>
      <c r="E2968">
        <v>9262</v>
      </c>
      <c r="F2968" t="s">
        <v>307</v>
      </c>
      <c r="G2968" t="s">
        <v>278</v>
      </c>
      <c r="H2968" t="s">
        <v>276</v>
      </c>
      <c r="I2968">
        <v>305</v>
      </c>
    </row>
    <row r="2969" spans="1:9" x14ac:dyDescent="0.2">
      <c r="A2969" t="s">
        <v>1515</v>
      </c>
      <c r="B2969" t="s">
        <v>290</v>
      </c>
      <c r="C2969" t="s">
        <v>275</v>
      </c>
      <c r="D2969" t="s">
        <v>269</v>
      </c>
      <c r="E2969">
        <v>6387</v>
      </c>
      <c r="F2969" t="s">
        <v>1845</v>
      </c>
      <c r="G2969" t="s">
        <v>266</v>
      </c>
      <c r="H2969" t="s">
        <v>287</v>
      </c>
      <c r="I2969">
        <v>167</v>
      </c>
    </row>
    <row r="2970" spans="1:9" x14ac:dyDescent="0.2">
      <c r="A2970" t="s">
        <v>1515</v>
      </c>
      <c r="B2970" t="s">
        <v>263</v>
      </c>
      <c r="C2970" t="s">
        <v>264</v>
      </c>
      <c r="D2970" t="s">
        <v>265</v>
      </c>
      <c r="E2970">
        <v>3361</v>
      </c>
      <c r="F2970" t="s">
        <v>4383</v>
      </c>
      <c r="G2970" t="s">
        <v>266</v>
      </c>
      <c r="H2970" t="s">
        <v>276</v>
      </c>
      <c r="I2970">
        <v>163</v>
      </c>
    </row>
    <row r="2971" spans="1:9" x14ac:dyDescent="0.2">
      <c r="A2971" t="s">
        <v>1515</v>
      </c>
      <c r="B2971" t="s">
        <v>263</v>
      </c>
      <c r="C2971" t="s">
        <v>273</v>
      </c>
      <c r="D2971" t="s">
        <v>265</v>
      </c>
      <c r="E2971">
        <v>3995</v>
      </c>
      <c r="F2971" t="s">
        <v>318</v>
      </c>
      <c r="G2971" t="s">
        <v>278</v>
      </c>
      <c r="H2971" t="s">
        <v>277</v>
      </c>
      <c r="I2971">
        <v>66</v>
      </c>
    </row>
    <row r="2972" spans="1:9" x14ac:dyDescent="0.2">
      <c r="A2972" t="s">
        <v>1516</v>
      </c>
      <c r="B2972" t="s">
        <v>263</v>
      </c>
      <c r="C2972" t="s">
        <v>275</v>
      </c>
      <c r="D2972" t="s">
        <v>269</v>
      </c>
      <c r="E2972">
        <v>2424</v>
      </c>
      <c r="F2972" t="s">
        <v>315</v>
      </c>
      <c r="G2972" t="s">
        <v>266</v>
      </c>
      <c r="H2972" t="s">
        <v>271</v>
      </c>
      <c r="I2972">
        <v>47</v>
      </c>
    </row>
    <row r="2973" spans="1:9" x14ac:dyDescent="0.2">
      <c r="A2973" t="s">
        <v>1516</v>
      </c>
      <c r="B2973" t="s">
        <v>263</v>
      </c>
      <c r="C2973" t="s">
        <v>268</v>
      </c>
      <c r="D2973" t="s">
        <v>265</v>
      </c>
      <c r="E2973">
        <v>3653</v>
      </c>
      <c r="F2973" t="s">
        <v>5091</v>
      </c>
      <c r="G2973" t="s">
        <v>278</v>
      </c>
      <c r="H2973" t="s">
        <v>277</v>
      </c>
      <c r="I2973">
        <v>176</v>
      </c>
    </row>
    <row r="2974" spans="1:9" x14ac:dyDescent="0.2">
      <c r="A2974" t="s">
        <v>1516</v>
      </c>
      <c r="B2974" t="s">
        <v>263</v>
      </c>
      <c r="C2974" t="s">
        <v>264</v>
      </c>
      <c r="D2974" t="s">
        <v>265</v>
      </c>
      <c r="E2974">
        <v>3843</v>
      </c>
      <c r="F2974" t="s">
        <v>4384</v>
      </c>
      <c r="G2974" t="s">
        <v>266</v>
      </c>
      <c r="H2974" t="s">
        <v>277</v>
      </c>
      <c r="I2974">
        <v>232</v>
      </c>
    </row>
    <row r="2975" spans="1:9" x14ac:dyDescent="0.2">
      <c r="A2975" t="s">
        <v>1516</v>
      </c>
      <c r="B2975" t="s">
        <v>263</v>
      </c>
      <c r="C2975" t="s">
        <v>264</v>
      </c>
      <c r="D2975" t="s">
        <v>269</v>
      </c>
      <c r="E2975">
        <v>4431</v>
      </c>
      <c r="F2975" t="s">
        <v>319</v>
      </c>
      <c r="G2975" t="s">
        <v>278</v>
      </c>
      <c r="H2975" t="s">
        <v>277</v>
      </c>
      <c r="I2975">
        <v>307</v>
      </c>
    </row>
    <row r="2976" spans="1:9" x14ac:dyDescent="0.2">
      <c r="A2976" t="s">
        <v>1846</v>
      </c>
      <c r="B2976" t="s">
        <v>263</v>
      </c>
      <c r="C2976" t="s">
        <v>273</v>
      </c>
      <c r="D2976" t="s">
        <v>265</v>
      </c>
      <c r="E2976">
        <v>3169</v>
      </c>
      <c r="F2976" t="s">
        <v>1847</v>
      </c>
      <c r="G2976" t="s">
        <v>266</v>
      </c>
      <c r="H2976" t="s">
        <v>276</v>
      </c>
      <c r="I2976">
        <v>52</v>
      </c>
    </row>
    <row r="2977" spans="1:10" x14ac:dyDescent="0.2">
      <c r="A2977" t="s">
        <v>1846</v>
      </c>
      <c r="B2977" t="s">
        <v>263</v>
      </c>
      <c r="C2977" t="s">
        <v>273</v>
      </c>
      <c r="D2977" t="s">
        <v>269</v>
      </c>
      <c r="E2977">
        <v>3665</v>
      </c>
      <c r="F2977" t="s">
        <v>4735</v>
      </c>
      <c r="G2977" t="s">
        <v>266</v>
      </c>
      <c r="H2977" t="s">
        <v>277</v>
      </c>
      <c r="I2977">
        <v>383</v>
      </c>
    </row>
    <row r="2978" spans="1:10" x14ac:dyDescent="0.2">
      <c r="A2978" t="s">
        <v>1846</v>
      </c>
      <c r="B2978" t="s">
        <v>263</v>
      </c>
      <c r="C2978" t="s">
        <v>273</v>
      </c>
      <c r="D2978" t="s">
        <v>265</v>
      </c>
      <c r="E2978">
        <v>7683</v>
      </c>
      <c r="F2978" t="s">
        <v>323</v>
      </c>
      <c r="G2978" t="s">
        <v>278</v>
      </c>
      <c r="H2978" t="s">
        <v>276</v>
      </c>
      <c r="I2978">
        <v>161</v>
      </c>
    </row>
    <row r="2979" spans="1:10" x14ac:dyDescent="0.2">
      <c r="A2979" t="s">
        <v>1848</v>
      </c>
      <c r="B2979" t="s">
        <v>263</v>
      </c>
      <c r="C2979" t="s">
        <v>264</v>
      </c>
      <c r="D2979" t="s">
        <v>265</v>
      </c>
      <c r="E2979">
        <v>2678</v>
      </c>
      <c r="F2979" t="s">
        <v>1849</v>
      </c>
      <c r="G2979" t="s">
        <v>266</v>
      </c>
      <c r="H2979" t="s">
        <v>276</v>
      </c>
      <c r="I2979" t="s">
        <v>297</v>
      </c>
      <c r="J2979" t="s">
        <v>4356</v>
      </c>
    </row>
    <row r="2980" spans="1:10" x14ac:dyDescent="0.2">
      <c r="A2980" t="s">
        <v>4273</v>
      </c>
      <c r="B2980" t="s">
        <v>263</v>
      </c>
      <c r="C2980" t="s">
        <v>273</v>
      </c>
      <c r="D2980" t="s">
        <v>265</v>
      </c>
      <c r="E2980">
        <v>6336</v>
      </c>
      <c r="F2980" t="s">
        <v>4274</v>
      </c>
      <c r="G2980" t="s">
        <v>274</v>
      </c>
      <c r="H2980" t="s">
        <v>287</v>
      </c>
      <c r="I2980">
        <v>60</v>
      </c>
    </row>
    <row r="2981" spans="1:10" x14ac:dyDescent="0.2">
      <c r="A2981" t="s">
        <v>1850</v>
      </c>
      <c r="B2981" t="s">
        <v>263</v>
      </c>
      <c r="C2981" t="s">
        <v>264</v>
      </c>
      <c r="D2981" t="s">
        <v>265</v>
      </c>
      <c r="E2981">
        <v>2792</v>
      </c>
      <c r="F2981" t="s">
        <v>330</v>
      </c>
      <c r="G2981" t="s">
        <v>266</v>
      </c>
      <c r="H2981" t="s">
        <v>276</v>
      </c>
      <c r="I2981">
        <v>411</v>
      </c>
    </row>
    <row r="2982" spans="1:10" x14ac:dyDescent="0.2">
      <c r="A2982" t="s">
        <v>1851</v>
      </c>
      <c r="B2982" t="s">
        <v>263</v>
      </c>
      <c r="C2982" t="s">
        <v>264</v>
      </c>
      <c r="D2982" t="s">
        <v>265</v>
      </c>
      <c r="E2982">
        <v>4829</v>
      </c>
      <c r="F2982" t="s">
        <v>336</v>
      </c>
      <c r="G2982" t="s">
        <v>266</v>
      </c>
      <c r="H2982" t="s">
        <v>277</v>
      </c>
      <c r="I2982">
        <v>101</v>
      </c>
    </row>
    <row r="2983" spans="1:10" x14ac:dyDescent="0.2">
      <c r="A2983" t="s">
        <v>1851</v>
      </c>
      <c r="B2983" t="s">
        <v>263</v>
      </c>
      <c r="C2983" t="s">
        <v>264</v>
      </c>
      <c r="D2983" t="s">
        <v>265</v>
      </c>
      <c r="E2983">
        <v>9651</v>
      </c>
      <c r="F2983" t="s">
        <v>329</v>
      </c>
      <c r="G2983" t="s">
        <v>270</v>
      </c>
      <c r="H2983" t="s">
        <v>277</v>
      </c>
      <c r="I2983">
        <v>93</v>
      </c>
    </row>
    <row r="2984" spans="1:10" x14ac:dyDescent="0.2">
      <c r="A2984" t="s">
        <v>1852</v>
      </c>
      <c r="B2984" t="s">
        <v>263</v>
      </c>
      <c r="C2984" t="s">
        <v>275</v>
      </c>
      <c r="D2984" t="s">
        <v>265</v>
      </c>
      <c r="E2984">
        <v>3035</v>
      </c>
      <c r="F2984" t="s">
        <v>326</v>
      </c>
      <c r="G2984" t="s">
        <v>270</v>
      </c>
      <c r="H2984" t="s">
        <v>272</v>
      </c>
      <c r="I2984">
        <v>25</v>
      </c>
    </row>
    <row r="2985" spans="1:10" x14ac:dyDescent="0.2">
      <c r="A2985" t="s">
        <v>1852</v>
      </c>
      <c r="B2985" t="s">
        <v>263</v>
      </c>
      <c r="C2985" t="s">
        <v>268</v>
      </c>
      <c r="D2985" t="s">
        <v>265</v>
      </c>
      <c r="E2985">
        <v>4187</v>
      </c>
      <c r="F2985" t="s">
        <v>1434</v>
      </c>
      <c r="G2985" t="s">
        <v>266</v>
      </c>
      <c r="H2985" t="s">
        <v>279</v>
      </c>
      <c r="I2985">
        <v>403</v>
      </c>
    </row>
    <row r="2986" spans="1:10" x14ac:dyDescent="0.2">
      <c r="A2986" t="s">
        <v>1853</v>
      </c>
      <c r="B2986" t="s">
        <v>263</v>
      </c>
      <c r="C2986" t="s">
        <v>273</v>
      </c>
      <c r="D2986" t="s">
        <v>265</v>
      </c>
      <c r="E2986">
        <v>4714</v>
      </c>
      <c r="F2986" t="s">
        <v>331</v>
      </c>
      <c r="G2986" t="s">
        <v>266</v>
      </c>
      <c r="H2986" t="s">
        <v>271</v>
      </c>
      <c r="I2986">
        <v>580</v>
      </c>
    </row>
    <row r="2987" spans="1:10" x14ac:dyDescent="0.2">
      <c r="A2987" t="s">
        <v>1854</v>
      </c>
      <c r="B2987" t="s">
        <v>263</v>
      </c>
      <c r="C2987" t="s">
        <v>264</v>
      </c>
      <c r="D2987" t="s">
        <v>269</v>
      </c>
      <c r="E2987">
        <v>2303</v>
      </c>
      <c r="F2987" t="s">
        <v>5092</v>
      </c>
      <c r="G2987" t="s">
        <v>270</v>
      </c>
      <c r="H2987" t="s">
        <v>277</v>
      </c>
      <c r="I2987">
        <v>81</v>
      </c>
    </row>
    <row r="2988" spans="1:10" x14ac:dyDescent="0.2">
      <c r="A2988" t="s">
        <v>1854</v>
      </c>
      <c r="B2988" t="s">
        <v>263</v>
      </c>
      <c r="C2988" t="s">
        <v>275</v>
      </c>
      <c r="D2988" t="s">
        <v>265</v>
      </c>
      <c r="E2988">
        <v>2735</v>
      </c>
      <c r="F2988" t="s">
        <v>5093</v>
      </c>
      <c r="G2988" t="s">
        <v>266</v>
      </c>
      <c r="H2988" t="s">
        <v>276</v>
      </c>
      <c r="I2988">
        <v>88</v>
      </c>
    </row>
    <row r="2989" spans="1:10" x14ac:dyDescent="0.2">
      <c r="A2989" t="s">
        <v>1854</v>
      </c>
      <c r="B2989" t="s">
        <v>263</v>
      </c>
      <c r="C2989" t="s">
        <v>275</v>
      </c>
      <c r="D2989" t="s">
        <v>265</v>
      </c>
      <c r="E2989">
        <v>3697</v>
      </c>
      <c r="F2989" t="s">
        <v>5094</v>
      </c>
      <c r="G2989" t="s">
        <v>266</v>
      </c>
      <c r="H2989" t="s">
        <v>277</v>
      </c>
      <c r="I2989" t="s">
        <v>297</v>
      </c>
      <c r="J2989" t="s">
        <v>4432</v>
      </c>
    </row>
    <row r="2990" spans="1:10" x14ac:dyDescent="0.2">
      <c r="A2990" t="s">
        <v>1854</v>
      </c>
      <c r="B2990" t="s">
        <v>263</v>
      </c>
      <c r="C2990" t="s">
        <v>275</v>
      </c>
      <c r="D2990" t="s">
        <v>265</v>
      </c>
      <c r="E2990">
        <v>9983</v>
      </c>
      <c r="F2990" t="s">
        <v>334</v>
      </c>
      <c r="G2990" t="s">
        <v>266</v>
      </c>
      <c r="H2990" t="s">
        <v>276</v>
      </c>
      <c r="I2990" t="s">
        <v>5095</v>
      </c>
      <c r="J2990" t="s">
        <v>4414</v>
      </c>
    </row>
    <row r="2991" spans="1:10" x14ac:dyDescent="0.2">
      <c r="A2991" t="s">
        <v>4242</v>
      </c>
      <c r="B2991" t="s">
        <v>263</v>
      </c>
      <c r="C2991" t="s">
        <v>275</v>
      </c>
      <c r="D2991" t="s">
        <v>265</v>
      </c>
      <c r="E2991">
        <v>4668</v>
      </c>
      <c r="F2991" t="s">
        <v>340</v>
      </c>
      <c r="G2991" t="s">
        <v>266</v>
      </c>
      <c r="H2991" t="s">
        <v>271</v>
      </c>
      <c r="I2991">
        <v>279</v>
      </c>
    </row>
    <row r="2992" spans="1:10" x14ac:dyDescent="0.2">
      <c r="A2992" t="s">
        <v>4242</v>
      </c>
      <c r="B2992" t="s">
        <v>263</v>
      </c>
      <c r="C2992" t="s">
        <v>268</v>
      </c>
      <c r="D2992" t="s">
        <v>269</v>
      </c>
      <c r="E2992">
        <v>7501</v>
      </c>
      <c r="F2992" t="s">
        <v>346</v>
      </c>
      <c r="G2992" t="s">
        <v>270</v>
      </c>
      <c r="H2992" t="s">
        <v>272</v>
      </c>
      <c r="I2992">
        <v>20</v>
      </c>
    </row>
    <row r="2993" spans="1:10" x14ac:dyDescent="0.2">
      <c r="A2993" t="s">
        <v>4242</v>
      </c>
      <c r="B2993" t="s">
        <v>263</v>
      </c>
      <c r="C2993" t="s">
        <v>264</v>
      </c>
      <c r="D2993" t="s">
        <v>265</v>
      </c>
      <c r="E2993">
        <v>7725</v>
      </c>
      <c r="F2993" t="s">
        <v>1436</v>
      </c>
      <c r="G2993" t="s">
        <v>266</v>
      </c>
      <c r="H2993" t="s">
        <v>342</v>
      </c>
      <c r="I2993">
        <v>313</v>
      </c>
    </row>
    <row r="2994" spans="1:10" x14ac:dyDescent="0.2">
      <c r="A2994" t="s">
        <v>4242</v>
      </c>
      <c r="B2994" t="s">
        <v>263</v>
      </c>
      <c r="C2994" t="s">
        <v>273</v>
      </c>
      <c r="D2994" t="s">
        <v>265</v>
      </c>
      <c r="E2994">
        <v>9740</v>
      </c>
      <c r="F2994" t="s">
        <v>1438</v>
      </c>
      <c r="G2994" t="s">
        <v>266</v>
      </c>
      <c r="H2994" t="s">
        <v>271</v>
      </c>
      <c r="I2994">
        <v>885</v>
      </c>
    </row>
    <row r="2995" spans="1:10" x14ac:dyDescent="0.2">
      <c r="A2995" t="s">
        <v>4243</v>
      </c>
      <c r="B2995" t="s">
        <v>263</v>
      </c>
      <c r="C2995" t="s">
        <v>273</v>
      </c>
      <c r="D2995" t="s">
        <v>265</v>
      </c>
      <c r="E2995">
        <v>3479</v>
      </c>
      <c r="F2995" t="s">
        <v>338</v>
      </c>
      <c r="G2995" t="s">
        <v>278</v>
      </c>
      <c r="H2995" t="s">
        <v>292</v>
      </c>
      <c r="I2995" t="s">
        <v>297</v>
      </c>
      <c r="J2995" t="s">
        <v>4446</v>
      </c>
    </row>
    <row r="2996" spans="1:10" x14ac:dyDescent="0.2">
      <c r="A2996" t="s">
        <v>4243</v>
      </c>
      <c r="B2996" t="s">
        <v>263</v>
      </c>
      <c r="C2996" t="s">
        <v>275</v>
      </c>
      <c r="D2996" t="s">
        <v>265</v>
      </c>
      <c r="E2996">
        <v>7818</v>
      </c>
      <c r="F2996" t="s">
        <v>1437</v>
      </c>
      <c r="G2996" t="s">
        <v>266</v>
      </c>
      <c r="H2996" t="s">
        <v>288</v>
      </c>
      <c r="I2996">
        <v>332</v>
      </c>
    </row>
    <row r="2997" spans="1:10" x14ac:dyDescent="0.2">
      <c r="A2997" t="s">
        <v>4275</v>
      </c>
      <c r="B2997" t="s">
        <v>263</v>
      </c>
      <c r="C2997" t="s">
        <v>273</v>
      </c>
      <c r="D2997" t="s">
        <v>265</v>
      </c>
      <c r="E2997">
        <v>3548</v>
      </c>
      <c r="F2997" t="s">
        <v>505</v>
      </c>
      <c r="G2997" t="s">
        <v>266</v>
      </c>
      <c r="H2997" t="s">
        <v>276</v>
      </c>
      <c r="I2997">
        <v>406</v>
      </c>
    </row>
    <row r="2998" spans="1:10" x14ac:dyDescent="0.2">
      <c r="A2998" t="s">
        <v>4275</v>
      </c>
      <c r="B2998" t="s">
        <v>263</v>
      </c>
      <c r="C2998" t="s">
        <v>273</v>
      </c>
      <c r="D2998" t="s">
        <v>265</v>
      </c>
      <c r="E2998">
        <v>3678</v>
      </c>
      <c r="F2998" t="s">
        <v>339</v>
      </c>
      <c r="G2998" t="s">
        <v>266</v>
      </c>
      <c r="H2998" t="s">
        <v>277</v>
      </c>
      <c r="I2998">
        <v>487</v>
      </c>
    </row>
    <row r="2999" spans="1:10" x14ac:dyDescent="0.2">
      <c r="A2999" t="s">
        <v>4275</v>
      </c>
      <c r="B2999" t="s">
        <v>263</v>
      </c>
      <c r="C2999" t="s">
        <v>275</v>
      </c>
      <c r="D2999" t="s">
        <v>265</v>
      </c>
      <c r="E2999">
        <v>3991</v>
      </c>
      <c r="F2999" t="s">
        <v>1440</v>
      </c>
      <c r="G2999" t="s">
        <v>278</v>
      </c>
      <c r="H2999" t="s">
        <v>277</v>
      </c>
      <c r="I2999">
        <v>155</v>
      </c>
    </row>
    <row r="3000" spans="1:10" x14ac:dyDescent="0.2">
      <c r="A3000" t="s">
        <v>4275</v>
      </c>
      <c r="B3000" t="s">
        <v>263</v>
      </c>
      <c r="C3000" t="s">
        <v>273</v>
      </c>
      <c r="D3000" t="s">
        <v>265</v>
      </c>
      <c r="E3000">
        <v>6814</v>
      </c>
      <c r="F3000" t="s">
        <v>341</v>
      </c>
      <c r="G3000" t="s">
        <v>266</v>
      </c>
      <c r="H3000" t="s">
        <v>291</v>
      </c>
      <c r="I3000">
        <v>392</v>
      </c>
    </row>
    <row r="3001" spans="1:10" x14ac:dyDescent="0.2">
      <c r="A3001" t="s">
        <v>4275</v>
      </c>
      <c r="B3001" t="s">
        <v>263</v>
      </c>
      <c r="C3001" t="s">
        <v>273</v>
      </c>
      <c r="D3001" t="s">
        <v>269</v>
      </c>
      <c r="E3001">
        <v>7610</v>
      </c>
      <c r="F3001" t="s">
        <v>345</v>
      </c>
      <c r="G3001" t="s">
        <v>270</v>
      </c>
      <c r="H3001" t="s">
        <v>276</v>
      </c>
      <c r="I3001">
        <v>24</v>
      </c>
    </row>
    <row r="3002" spans="1:10" x14ac:dyDescent="0.2">
      <c r="A3002" t="s">
        <v>4385</v>
      </c>
      <c r="B3002" t="s">
        <v>263</v>
      </c>
      <c r="C3002" t="s">
        <v>273</v>
      </c>
      <c r="D3002" t="s">
        <v>269</v>
      </c>
      <c r="E3002">
        <v>3466</v>
      </c>
      <c r="F3002" t="s">
        <v>620</v>
      </c>
      <c r="G3002" t="s">
        <v>303</v>
      </c>
      <c r="H3002" t="s">
        <v>304</v>
      </c>
      <c r="I3002" t="s">
        <v>289</v>
      </c>
      <c r="J3002" t="s">
        <v>4348</v>
      </c>
    </row>
    <row r="3003" spans="1:10" x14ac:dyDescent="0.2">
      <c r="A3003" t="s">
        <v>515</v>
      </c>
      <c r="B3003" t="s">
        <v>263</v>
      </c>
      <c r="C3003" t="s">
        <v>264</v>
      </c>
      <c r="D3003" t="s">
        <v>265</v>
      </c>
      <c r="E3003">
        <v>2288</v>
      </c>
      <c r="F3003" t="s">
        <v>524</v>
      </c>
      <c r="G3003" t="s">
        <v>266</v>
      </c>
      <c r="H3003" t="s">
        <v>267</v>
      </c>
      <c r="I3003">
        <v>576</v>
      </c>
    </row>
    <row r="3004" spans="1:10" x14ac:dyDescent="0.2">
      <c r="A3004" t="s">
        <v>515</v>
      </c>
      <c r="B3004" t="s">
        <v>263</v>
      </c>
      <c r="C3004" t="s">
        <v>264</v>
      </c>
      <c r="D3004" t="s">
        <v>265</v>
      </c>
      <c r="E3004">
        <v>2903</v>
      </c>
      <c r="F3004" t="s">
        <v>751</v>
      </c>
      <c r="G3004" t="s">
        <v>274</v>
      </c>
      <c r="H3004" t="s">
        <v>267</v>
      </c>
      <c r="I3004">
        <v>95</v>
      </c>
    </row>
    <row r="3005" spans="1:10" x14ac:dyDescent="0.2">
      <c r="A3005" t="s">
        <v>515</v>
      </c>
      <c r="B3005" t="s">
        <v>263</v>
      </c>
      <c r="C3005" t="s">
        <v>264</v>
      </c>
      <c r="D3005" t="s">
        <v>265</v>
      </c>
      <c r="E3005">
        <v>3289</v>
      </c>
      <c r="F3005" t="s">
        <v>754</v>
      </c>
      <c r="G3005" t="s">
        <v>266</v>
      </c>
      <c r="H3005" t="s">
        <v>292</v>
      </c>
      <c r="I3005" t="s">
        <v>283</v>
      </c>
      <c r="J3005" t="s">
        <v>5096</v>
      </c>
    </row>
    <row r="3006" spans="1:10" x14ac:dyDescent="0.2">
      <c r="A3006" t="s">
        <v>515</v>
      </c>
      <c r="B3006" t="s">
        <v>263</v>
      </c>
      <c r="C3006" t="s">
        <v>264</v>
      </c>
      <c r="D3006" t="s">
        <v>265</v>
      </c>
      <c r="E3006">
        <v>3943</v>
      </c>
      <c r="F3006" t="s">
        <v>529</v>
      </c>
      <c r="G3006" t="s">
        <v>429</v>
      </c>
      <c r="H3006" t="s">
        <v>300</v>
      </c>
      <c r="I3006">
        <v>82</v>
      </c>
    </row>
    <row r="3007" spans="1:10" x14ac:dyDescent="0.2">
      <c r="A3007" t="s">
        <v>515</v>
      </c>
      <c r="B3007" t="s">
        <v>263</v>
      </c>
      <c r="C3007" t="s">
        <v>268</v>
      </c>
      <c r="D3007" t="s">
        <v>269</v>
      </c>
      <c r="E3007">
        <v>4447</v>
      </c>
      <c r="F3007" t="s">
        <v>532</v>
      </c>
      <c r="G3007" t="s">
        <v>429</v>
      </c>
      <c r="H3007" t="s">
        <v>277</v>
      </c>
      <c r="I3007">
        <v>40</v>
      </c>
    </row>
    <row r="3008" spans="1:10" x14ac:dyDescent="0.2">
      <c r="A3008" t="s">
        <v>515</v>
      </c>
      <c r="B3008" t="s">
        <v>263</v>
      </c>
      <c r="C3008" t="s">
        <v>264</v>
      </c>
      <c r="D3008" t="s">
        <v>265</v>
      </c>
      <c r="E3008">
        <v>7259</v>
      </c>
      <c r="F3008" t="s">
        <v>544</v>
      </c>
      <c r="G3008" t="s">
        <v>266</v>
      </c>
      <c r="H3008" t="s">
        <v>296</v>
      </c>
      <c r="I3008" t="s">
        <v>490</v>
      </c>
      <c r="J3008" t="s">
        <v>5097</v>
      </c>
    </row>
    <row r="3009" spans="1:9" x14ac:dyDescent="0.2">
      <c r="A3009" t="s">
        <v>515</v>
      </c>
      <c r="B3009" t="s">
        <v>263</v>
      </c>
      <c r="C3009" t="s">
        <v>264</v>
      </c>
      <c r="D3009" t="s">
        <v>265</v>
      </c>
      <c r="E3009">
        <v>9035</v>
      </c>
      <c r="F3009" t="s">
        <v>1661</v>
      </c>
      <c r="G3009" t="s">
        <v>429</v>
      </c>
      <c r="H3009" t="s">
        <v>356</v>
      </c>
      <c r="I3009">
        <v>354</v>
      </c>
    </row>
    <row r="3010" spans="1:9" x14ac:dyDescent="0.2">
      <c r="A3010" t="s">
        <v>561</v>
      </c>
      <c r="B3010" t="s">
        <v>263</v>
      </c>
      <c r="C3010" t="s">
        <v>264</v>
      </c>
      <c r="D3010" t="s">
        <v>265</v>
      </c>
      <c r="E3010">
        <v>2134</v>
      </c>
      <c r="F3010" t="s">
        <v>569</v>
      </c>
      <c r="G3010" t="s">
        <v>270</v>
      </c>
      <c r="H3010" t="s">
        <v>271</v>
      </c>
      <c r="I3010">
        <v>54</v>
      </c>
    </row>
    <row r="3011" spans="1:9" x14ac:dyDescent="0.2">
      <c r="A3011" t="s">
        <v>561</v>
      </c>
      <c r="B3011" t="s">
        <v>263</v>
      </c>
      <c r="C3011" t="s">
        <v>264</v>
      </c>
      <c r="D3011" t="s">
        <v>265</v>
      </c>
      <c r="E3011">
        <v>2321</v>
      </c>
      <c r="F3011" t="s">
        <v>1864</v>
      </c>
      <c r="G3011" t="s">
        <v>270</v>
      </c>
      <c r="H3011" t="s">
        <v>277</v>
      </c>
      <c r="I3011">
        <v>35</v>
      </c>
    </row>
    <row r="3012" spans="1:9" x14ac:dyDescent="0.2">
      <c r="A3012" t="s">
        <v>561</v>
      </c>
      <c r="B3012" t="s">
        <v>263</v>
      </c>
      <c r="C3012" t="s">
        <v>268</v>
      </c>
      <c r="D3012" t="s">
        <v>265</v>
      </c>
      <c r="E3012">
        <v>2974</v>
      </c>
      <c r="F3012" t="s">
        <v>570</v>
      </c>
      <c r="G3012" t="s">
        <v>429</v>
      </c>
      <c r="H3012" t="s">
        <v>292</v>
      </c>
      <c r="I3012">
        <v>35</v>
      </c>
    </row>
    <row r="3013" spans="1:9" x14ac:dyDescent="0.2">
      <c r="A3013" t="s">
        <v>561</v>
      </c>
      <c r="B3013" t="s">
        <v>263</v>
      </c>
      <c r="C3013" t="s">
        <v>264</v>
      </c>
      <c r="D3013" t="s">
        <v>265</v>
      </c>
      <c r="E3013">
        <v>2976</v>
      </c>
      <c r="F3013" t="s">
        <v>571</v>
      </c>
      <c r="G3013" t="s">
        <v>572</v>
      </c>
      <c r="H3013" t="s">
        <v>292</v>
      </c>
      <c r="I3013">
        <v>14</v>
      </c>
    </row>
    <row r="3014" spans="1:9" x14ac:dyDescent="0.2">
      <c r="A3014" t="s">
        <v>561</v>
      </c>
      <c r="B3014" t="s">
        <v>263</v>
      </c>
      <c r="C3014" t="s">
        <v>264</v>
      </c>
      <c r="D3014" t="s">
        <v>269</v>
      </c>
      <c r="E3014">
        <v>4488</v>
      </c>
      <c r="F3014" t="s">
        <v>1866</v>
      </c>
      <c r="G3014" t="s">
        <v>278</v>
      </c>
      <c r="H3014" t="s">
        <v>277</v>
      </c>
      <c r="I3014">
        <v>476</v>
      </c>
    </row>
    <row r="3015" spans="1:9" x14ac:dyDescent="0.2">
      <c r="A3015" t="s">
        <v>561</v>
      </c>
      <c r="B3015" t="s">
        <v>263</v>
      </c>
      <c r="C3015" t="s">
        <v>273</v>
      </c>
      <c r="D3015" t="s">
        <v>265</v>
      </c>
      <c r="E3015">
        <v>7080</v>
      </c>
      <c r="F3015" t="s">
        <v>1874</v>
      </c>
      <c r="G3015" t="s">
        <v>278</v>
      </c>
      <c r="H3015" t="s">
        <v>271</v>
      </c>
      <c r="I3015">
        <v>57</v>
      </c>
    </row>
    <row r="3016" spans="1:9" x14ac:dyDescent="0.2">
      <c r="A3016" t="s">
        <v>561</v>
      </c>
      <c r="B3016" t="s">
        <v>263</v>
      </c>
      <c r="C3016" t="s">
        <v>275</v>
      </c>
      <c r="D3016" t="s">
        <v>265</v>
      </c>
      <c r="E3016">
        <v>7325</v>
      </c>
      <c r="F3016" t="s">
        <v>664</v>
      </c>
      <c r="G3016" t="s">
        <v>278</v>
      </c>
      <c r="H3016" t="s">
        <v>665</v>
      </c>
      <c r="I3016">
        <v>124</v>
      </c>
    </row>
    <row r="3017" spans="1:9" x14ac:dyDescent="0.2">
      <c r="A3017" t="s">
        <v>1665</v>
      </c>
      <c r="B3017" t="s">
        <v>263</v>
      </c>
      <c r="C3017" t="s">
        <v>273</v>
      </c>
      <c r="D3017" t="s">
        <v>265</v>
      </c>
      <c r="E3017">
        <v>2354</v>
      </c>
      <c r="F3017" t="s">
        <v>621</v>
      </c>
      <c r="G3017" t="s">
        <v>274</v>
      </c>
      <c r="H3017" t="s">
        <v>277</v>
      </c>
      <c r="I3017">
        <v>125</v>
      </c>
    </row>
    <row r="3018" spans="1:9" x14ac:dyDescent="0.2">
      <c r="A3018" t="s">
        <v>1665</v>
      </c>
      <c r="B3018" t="s">
        <v>263</v>
      </c>
      <c r="C3018" t="s">
        <v>264</v>
      </c>
      <c r="D3018" t="s">
        <v>265</v>
      </c>
      <c r="E3018">
        <v>3160</v>
      </c>
      <c r="F3018" t="s">
        <v>622</v>
      </c>
      <c r="G3018" t="s">
        <v>266</v>
      </c>
      <c r="H3018" t="s">
        <v>272</v>
      </c>
      <c r="I3018">
        <v>90</v>
      </c>
    </row>
    <row r="3019" spans="1:9" x14ac:dyDescent="0.2">
      <c r="A3019" t="s">
        <v>1665</v>
      </c>
      <c r="B3019" t="s">
        <v>263</v>
      </c>
      <c r="C3019" t="s">
        <v>275</v>
      </c>
      <c r="D3019" t="s">
        <v>269</v>
      </c>
      <c r="E3019">
        <v>6264</v>
      </c>
      <c r="F3019" t="s">
        <v>499</v>
      </c>
      <c r="G3019" t="s">
        <v>266</v>
      </c>
      <c r="H3019" t="s">
        <v>287</v>
      </c>
      <c r="I3019">
        <v>120</v>
      </c>
    </row>
    <row r="3020" spans="1:9" x14ac:dyDescent="0.2">
      <c r="A3020" t="s">
        <v>1665</v>
      </c>
      <c r="B3020" t="s">
        <v>263</v>
      </c>
      <c r="C3020" t="s">
        <v>264</v>
      </c>
      <c r="D3020" t="s">
        <v>269</v>
      </c>
      <c r="E3020">
        <v>7068</v>
      </c>
      <c r="F3020" t="s">
        <v>328</v>
      </c>
      <c r="G3020" t="s">
        <v>278</v>
      </c>
      <c r="H3020" t="s">
        <v>271</v>
      </c>
      <c r="I3020">
        <v>160</v>
      </c>
    </row>
    <row r="3021" spans="1:9" x14ac:dyDescent="0.2">
      <c r="A3021" t="s">
        <v>1665</v>
      </c>
      <c r="B3021" t="s">
        <v>263</v>
      </c>
      <c r="C3021" t="s">
        <v>264</v>
      </c>
      <c r="D3021" t="s">
        <v>269</v>
      </c>
      <c r="E3021">
        <v>8155</v>
      </c>
      <c r="F3021" t="s">
        <v>624</v>
      </c>
      <c r="G3021" t="s">
        <v>266</v>
      </c>
      <c r="H3021" t="s">
        <v>281</v>
      </c>
      <c r="I3021">
        <v>795</v>
      </c>
    </row>
    <row r="3022" spans="1:9" x14ac:dyDescent="0.2">
      <c r="A3022" t="s">
        <v>768</v>
      </c>
      <c r="B3022" t="s">
        <v>263</v>
      </c>
      <c r="C3022" t="s">
        <v>264</v>
      </c>
      <c r="D3022" t="s">
        <v>265</v>
      </c>
      <c r="E3022">
        <v>2910</v>
      </c>
      <c r="F3022" t="s">
        <v>284</v>
      </c>
      <c r="G3022" t="s">
        <v>266</v>
      </c>
      <c r="H3022" t="s">
        <v>267</v>
      </c>
      <c r="I3022">
        <v>416</v>
      </c>
    </row>
    <row r="3023" spans="1:9" x14ac:dyDescent="0.2">
      <c r="A3023" t="s">
        <v>768</v>
      </c>
      <c r="B3023" t="s">
        <v>263</v>
      </c>
      <c r="C3023" t="s">
        <v>264</v>
      </c>
      <c r="D3023" t="s">
        <v>265</v>
      </c>
      <c r="E3023">
        <v>3770</v>
      </c>
      <c r="F3023" t="s">
        <v>285</v>
      </c>
      <c r="G3023" t="s">
        <v>266</v>
      </c>
      <c r="H3023" t="s">
        <v>277</v>
      </c>
      <c r="I3023">
        <v>58</v>
      </c>
    </row>
    <row r="3024" spans="1:9" x14ac:dyDescent="0.2">
      <c r="A3024" t="s">
        <v>768</v>
      </c>
      <c r="B3024" t="s">
        <v>263</v>
      </c>
      <c r="C3024" t="s">
        <v>275</v>
      </c>
      <c r="D3024" t="s">
        <v>265</v>
      </c>
      <c r="E3024">
        <v>3854</v>
      </c>
      <c r="F3024" t="s">
        <v>1876</v>
      </c>
      <c r="G3024" t="s">
        <v>266</v>
      </c>
      <c r="H3024" t="s">
        <v>277</v>
      </c>
      <c r="I3024">
        <v>532</v>
      </c>
    </row>
    <row r="3025" spans="1:10" x14ac:dyDescent="0.2">
      <c r="A3025" t="s">
        <v>768</v>
      </c>
      <c r="B3025" t="s">
        <v>263</v>
      </c>
      <c r="C3025" t="s">
        <v>268</v>
      </c>
      <c r="D3025" t="s">
        <v>265</v>
      </c>
      <c r="E3025">
        <v>4996</v>
      </c>
      <c r="F3025" t="s">
        <v>320</v>
      </c>
      <c r="G3025" t="s">
        <v>266</v>
      </c>
      <c r="H3025" t="s">
        <v>279</v>
      </c>
      <c r="I3025" t="s">
        <v>297</v>
      </c>
      <c r="J3025" t="s">
        <v>4632</v>
      </c>
    </row>
    <row r="3026" spans="1:10" x14ac:dyDescent="0.2">
      <c r="A3026" t="s">
        <v>768</v>
      </c>
      <c r="B3026" t="s">
        <v>263</v>
      </c>
      <c r="C3026" t="s">
        <v>275</v>
      </c>
      <c r="D3026" t="s">
        <v>265</v>
      </c>
      <c r="E3026">
        <v>6040</v>
      </c>
      <c r="F3026" t="s">
        <v>295</v>
      </c>
      <c r="G3026" t="s">
        <v>278</v>
      </c>
      <c r="H3026" t="s">
        <v>271</v>
      </c>
      <c r="I3026">
        <v>130</v>
      </c>
    </row>
    <row r="3027" spans="1:10" x14ac:dyDescent="0.2">
      <c r="A3027" t="s">
        <v>768</v>
      </c>
      <c r="B3027" t="s">
        <v>263</v>
      </c>
      <c r="C3027" t="s">
        <v>273</v>
      </c>
      <c r="D3027" t="s">
        <v>265</v>
      </c>
      <c r="E3027">
        <v>6696</v>
      </c>
      <c r="F3027" t="s">
        <v>306</v>
      </c>
      <c r="G3027" t="s">
        <v>278</v>
      </c>
      <c r="H3027" t="s">
        <v>291</v>
      </c>
      <c r="I3027">
        <v>49</v>
      </c>
    </row>
    <row r="3028" spans="1:10" x14ac:dyDescent="0.2">
      <c r="A3028" t="s">
        <v>768</v>
      </c>
      <c r="B3028" t="s">
        <v>263</v>
      </c>
      <c r="C3028" t="s">
        <v>273</v>
      </c>
      <c r="D3028" t="s">
        <v>265</v>
      </c>
      <c r="E3028">
        <v>6757</v>
      </c>
      <c r="F3028" t="s">
        <v>625</v>
      </c>
      <c r="G3028" t="s">
        <v>270</v>
      </c>
      <c r="H3028" t="s">
        <v>291</v>
      </c>
      <c r="I3028">
        <v>107</v>
      </c>
    </row>
    <row r="3029" spans="1:10" x14ac:dyDescent="0.2">
      <c r="A3029" t="s">
        <v>768</v>
      </c>
      <c r="B3029" t="s">
        <v>263</v>
      </c>
      <c r="C3029" t="s">
        <v>275</v>
      </c>
      <c r="D3029" t="s">
        <v>269</v>
      </c>
      <c r="E3029">
        <v>7682</v>
      </c>
      <c r="F3029" t="s">
        <v>322</v>
      </c>
      <c r="G3029" t="s">
        <v>270</v>
      </c>
      <c r="H3029" t="s">
        <v>276</v>
      </c>
      <c r="I3029">
        <v>25</v>
      </c>
    </row>
    <row r="3030" spans="1:10" x14ac:dyDescent="0.2">
      <c r="A3030" t="s">
        <v>768</v>
      </c>
      <c r="B3030" t="s">
        <v>263</v>
      </c>
      <c r="C3030" t="s">
        <v>268</v>
      </c>
      <c r="D3030" t="s">
        <v>265</v>
      </c>
      <c r="E3030">
        <v>8917</v>
      </c>
      <c r="F3030" t="s">
        <v>1666</v>
      </c>
      <c r="G3030" t="s">
        <v>266</v>
      </c>
      <c r="H3030" t="s">
        <v>292</v>
      </c>
      <c r="I3030">
        <v>210</v>
      </c>
    </row>
    <row r="3031" spans="1:10" x14ac:dyDescent="0.2">
      <c r="A3031" t="s">
        <v>615</v>
      </c>
      <c r="B3031" t="s">
        <v>263</v>
      </c>
      <c r="C3031" t="s">
        <v>273</v>
      </c>
      <c r="D3031" t="s">
        <v>269</v>
      </c>
      <c r="E3031">
        <v>2163</v>
      </c>
      <c r="F3031" t="s">
        <v>298</v>
      </c>
      <c r="G3031" t="s">
        <v>266</v>
      </c>
      <c r="H3031" t="s">
        <v>271</v>
      </c>
      <c r="I3031">
        <v>99</v>
      </c>
    </row>
    <row r="3032" spans="1:10" x14ac:dyDescent="0.2">
      <c r="A3032" t="s">
        <v>615</v>
      </c>
      <c r="B3032" t="s">
        <v>263</v>
      </c>
      <c r="C3032" t="s">
        <v>268</v>
      </c>
      <c r="D3032" t="s">
        <v>265</v>
      </c>
      <c r="E3032">
        <v>2345</v>
      </c>
      <c r="F3032" t="s">
        <v>5098</v>
      </c>
      <c r="G3032" t="s">
        <v>274</v>
      </c>
      <c r="H3032" t="s">
        <v>277</v>
      </c>
      <c r="I3032">
        <v>32</v>
      </c>
    </row>
    <row r="3033" spans="1:10" x14ac:dyDescent="0.2">
      <c r="A3033" t="s">
        <v>615</v>
      </c>
      <c r="B3033" t="s">
        <v>263</v>
      </c>
      <c r="C3033" t="s">
        <v>273</v>
      </c>
      <c r="D3033" t="s">
        <v>269</v>
      </c>
      <c r="E3033">
        <v>3282</v>
      </c>
      <c r="F3033" t="s">
        <v>616</v>
      </c>
      <c r="G3033" t="s">
        <v>303</v>
      </c>
      <c r="H3033" t="s">
        <v>304</v>
      </c>
      <c r="I3033" t="s">
        <v>289</v>
      </c>
      <c r="J3033" t="s">
        <v>4361</v>
      </c>
    </row>
    <row r="3034" spans="1:10" x14ac:dyDescent="0.2">
      <c r="A3034" t="s">
        <v>615</v>
      </c>
      <c r="B3034" t="s">
        <v>263</v>
      </c>
      <c r="C3034" t="s">
        <v>273</v>
      </c>
      <c r="D3034" t="s">
        <v>269</v>
      </c>
      <c r="E3034">
        <v>3463</v>
      </c>
      <c r="F3034" t="s">
        <v>617</v>
      </c>
      <c r="G3034" t="s">
        <v>303</v>
      </c>
      <c r="H3034" t="s">
        <v>304</v>
      </c>
      <c r="I3034">
        <v>348</v>
      </c>
    </row>
    <row r="3035" spans="1:10" x14ac:dyDescent="0.2">
      <c r="A3035" t="s">
        <v>615</v>
      </c>
      <c r="B3035" t="s">
        <v>263</v>
      </c>
      <c r="C3035" t="s">
        <v>275</v>
      </c>
      <c r="D3035" t="s">
        <v>269</v>
      </c>
      <c r="E3035">
        <v>3497</v>
      </c>
      <c r="F3035" t="s">
        <v>317</v>
      </c>
      <c r="G3035" t="s">
        <v>278</v>
      </c>
      <c r="H3035" t="s">
        <v>292</v>
      </c>
      <c r="I3035">
        <v>38</v>
      </c>
    </row>
    <row r="3036" spans="1:10" x14ac:dyDescent="0.2">
      <c r="A3036" t="s">
        <v>615</v>
      </c>
      <c r="B3036" t="s">
        <v>263</v>
      </c>
      <c r="C3036" t="s">
        <v>268</v>
      </c>
      <c r="D3036" t="s">
        <v>265</v>
      </c>
      <c r="E3036">
        <v>3976</v>
      </c>
      <c r="F3036" t="s">
        <v>1877</v>
      </c>
      <c r="G3036" t="s">
        <v>278</v>
      </c>
      <c r="H3036" t="s">
        <v>277</v>
      </c>
      <c r="I3036">
        <v>25</v>
      </c>
    </row>
    <row r="3037" spans="1:10" x14ac:dyDescent="0.2">
      <c r="A3037" t="s">
        <v>615</v>
      </c>
      <c r="B3037" t="s">
        <v>263</v>
      </c>
      <c r="C3037" t="s">
        <v>273</v>
      </c>
      <c r="D3037" t="s">
        <v>269</v>
      </c>
      <c r="E3037">
        <v>4380</v>
      </c>
      <c r="F3037" t="s">
        <v>312</v>
      </c>
      <c r="G3037" t="s">
        <v>278</v>
      </c>
      <c r="H3037" t="s">
        <v>277</v>
      </c>
      <c r="I3037">
        <v>38</v>
      </c>
    </row>
    <row r="3038" spans="1:10" x14ac:dyDescent="0.2">
      <c r="A3038" t="s">
        <v>615</v>
      </c>
      <c r="B3038" t="s">
        <v>263</v>
      </c>
      <c r="C3038" t="s">
        <v>275</v>
      </c>
      <c r="D3038" t="s">
        <v>265</v>
      </c>
      <c r="E3038">
        <v>4422</v>
      </c>
      <c r="F3038" t="s">
        <v>310</v>
      </c>
      <c r="G3038" t="s">
        <v>278</v>
      </c>
      <c r="H3038" t="s">
        <v>277</v>
      </c>
      <c r="I3038">
        <v>49</v>
      </c>
    </row>
    <row r="3039" spans="1:10" x14ac:dyDescent="0.2">
      <c r="A3039" t="s">
        <v>615</v>
      </c>
      <c r="B3039" t="s">
        <v>263</v>
      </c>
      <c r="C3039" t="s">
        <v>268</v>
      </c>
      <c r="D3039" t="s">
        <v>269</v>
      </c>
      <c r="E3039">
        <v>4441</v>
      </c>
      <c r="F3039" t="s">
        <v>305</v>
      </c>
      <c r="G3039" t="s">
        <v>278</v>
      </c>
      <c r="H3039" t="s">
        <v>277</v>
      </c>
      <c r="I3039">
        <v>217</v>
      </c>
    </row>
    <row r="3040" spans="1:10" x14ac:dyDescent="0.2">
      <c r="A3040" t="s">
        <v>615</v>
      </c>
      <c r="B3040" t="s">
        <v>263</v>
      </c>
      <c r="C3040" t="s">
        <v>268</v>
      </c>
      <c r="D3040" t="s">
        <v>265</v>
      </c>
      <c r="E3040">
        <v>5218</v>
      </c>
      <c r="F3040" t="s">
        <v>4550</v>
      </c>
      <c r="G3040" t="s">
        <v>266</v>
      </c>
      <c r="H3040" t="s">
        <v>308</v>
      </c>
      <c r="I3040">
        <v>356</v>
      </c>
    </row>
    <row r="3041" spans="1:10" x14ac:dyDescent="0.2">
      <c r="A3041" t="s">
        <v>615</v>
      </c>
      <c r="B3041" t="s">
        <v>263</v>
      </c>
      <c r="C3041" t="s">
        <v>264</v>
      </c>
      <c r="D3041" t="s">
        <v>265</v>
      </c>
      <c r="E3041">
        <v>6065</v>
      </c>
      <c r="F3041" t="s">
        <v>301</v>
      </c>
      <c r="G3041" t="s">
        <v>266</v>
      </c>
      <c r="H3041" t="s">
        <v>271</v>
      </c>
      <c r="I3041">
        <v>87</v>
      </c>
    </row>
    <row r="3042" spans="1:10" x14ac:dyDescent="0.2">
      <c r="A3042" t="s">
        <v>615</v>
      </c>
      <c r="B3042" t="s">
        <v>263</v>
      </c>
      <c r="C3042" t="s">
        <v>264</v>
      </c>
      <c r="D3042" t="s">
        <v>265</v>
      </c>
      <c r="E3042">
        <v>6905</v>
      </c>
      <c r="F3042" t="s">
        <v>626</v>
      </c>
      <c r="G3042" t="s">
        <v>266</v>
      </c>
      <c r="H3042" t="s">
        <v>291</v>
      </c>
      <c r="I3042">
        <v>463</v>
      </c>
    </row>
    <row r="3043" spans="1:10" x14ac:dyDescent="0.2">
      <c r="A3043" t="s">
        <v>615</v>
      </c>
      <c r="B3043" t="s">
        <v>263</v>
      </c>
      <c r="C3043" t="s">
        <v>273</v>
      </c>
      <c r="D3043" t="s">
        <v>269</v>
      </c>
      <c r="E3043">
        <v>7064</v>
      </c>
      <c r="F3043" t="s">
        <v>309</v>
      </c>
      <c r="G3043" t="s">
        <v>278</v>
      </c>
      <c r="H3043" t="s">
        <v>271</v>
      </c>
      <c r="I3043">
        <v>31</v>
      </c>
    </row>
    <row r="3044" spans="1:10" x14ac:dyDescent="0.2">
      <c r="A3044" t="s">
        <v>615</v>
      </c>
      <c r="B3044" t="s">
        <v>263</v>
      </c>
      <c r="C3044" t="s">
        <v>273</v>
      </c>
      <c r="D3044" t="s">
        <v>265</v>
      </c>
      <c r="E3044">
        <v>7073</v>
      </c>
      <c r="F3044" t="s">
        <v>321</v>
      </c>
      <c r="G3044" t="s">
        <v>278</v>
      </c>
      <c r="H3044" t="s">
        <v>271</v>
      </c>
      <c r="I3044">
        <v>74</v>
      </c>
    </row>
    <row r="3045" spans="1:10" x14ac:dyDescent="0.2">
      <c r="A3045" t="s">
        <v>615</v>
      </c>
      <c r="B3045" t="s">
        <v>263</v>
      </c>
      <c r="C3045" t="s">
        <v>268</v>
      </c>
      <c r="D3045" t="s">
        <v>269</v>
      </c>
      <c r="E3045">
        <v>7805</v>
      </c>
      <c r="F3045" t="s">
        <v>1878</v>
      </c>
      <c r="G3045" t="s">
        <v>270</v>
      </c>
      <c r="H3045" t="s">
        <v>288</v>
      </c>
      <c r="I3045">
        <v>30</v>
      </c>
    </row>
    <row r="3046" spans="1:10" x14ac:dyDescent="0.2">
      <c r="A3046" t="s">
        <v>615</v>
      </c>
      <c r="B3046" t="s">
        <v>263</v>
      </c>
      <c r="C3046" t="s">
        <v>268</v>
      </c>
      <c r="D3046" t="s">
        <v>269</v>
      </c>
      <c r="E3046">
        <v>8894</v>
      </c>
      <c r="F3046" t="s">
        <v>4277</v>
      </c>
      <c r="G3046" t="s">
        <v>274</v>
      </c>
      <c r="H3046" t="s">
        <v>292</v>
      </c>
      <c r="I3046">
        <v>64</v>
      </c>
    </row>
    <row r="3047" spans="1:10" x14ac:dyDescent="0.2">
      <c r="A3047" t="s">
        <v>4278</v>
      </c>
      <c r="B3047" t="s">
        <v>263</v>
      </c>
      <c r="C3047" t="s">
        <v>273</v>
      </c>
      <c r="D3047" t="s">
        <v>269</v>
      </c>
      <c r="E3047">
        <v>3177</v>
      </c>
      <c r="F3047" t="s">
        <v>465</v>
      </c>
      <c r="G3047" t="s">
        <v>270</v>
      </c>
      <c r="H3047" t="s">
        <v>276</v>
      </c>
      <c r="I3047">
        <v>23</v>
      </c>
    </row>
    <row r="3048" spans="1:10" x14ac:dyDescent="0.2">
      <c r="A3048" t="s">
        <v>1879</v>
      </c>
      <c r="B3048" t="s">
        <v>263</v>
      </c>
      <c r="C3048" t="s">
        <v>264</v>
      </c>
      <c r="D3048" t="s">
        <v>265</v>
      </c>
      <c r="E3048">
        <v>1377</v>
      </c>
      <c r="F3048" t="s">
        <v>501</v>
      </c>
      <c r="G3048" t="s">
        <v>266</v>
      </c>
      <c r="H3048" t="s">
        <v>314</v>
      </c>
      <c r="I3048" t="s">
        <v>297</v>
      </c>
      <c r="J3048" t="s">
        <v>4921</v>
      </c>
    </row>
    <row r="3049" spans="1:10" x14ac:dyDescent="0.2">
      <c r="A3049" t="s">
        <v>1879</v>
      </c>
      <c r="B3049" t="s">
        <v>263</v>
      </c>
      <c r="C3049" t="s">
        <v>264</v>
      </c>
      <c r="D3049" t="s">
        <v>269</v>
      </c>
      <c r="E3049">
        <v>1430</v>
      </c>
      <c r="F3049" t="s">
        <v>495</v>
      </c>
      <c r="G3049" t="s">
        <v>266</v>
      </c>
      <c r="H3049" t="s">
        <v>293</v>
      </c>
      <c r="I3049">
        <v>80</v>
      </c>
    </row>
    <row r="3050" spans="1:10" x14ac:dyDescent="0.2">
      <c r="A3050" t="s">
        <v>1879</v>
      </c>
      <c r="B3050" t="s">
        <v>263</v>
      </c>
      <c r="C3050" t="s">
        <v>268</v>
      </c>
      <c r="D3050" t="s">
        <v>265</v>
      </c>
      <c r="E3050">
        <v>2734</v>
      </c>
      <c r="F3050" t="s">
        <v>496</v>
      </c>
      <c r="G3050" t="s">
        <v>266</v>
      </c>
      <c r="H3050" t="s">
        <v>276</v>
      </c>
      <c r="I3050">
        <v>423</v>
      </c>
    </row>
    <row r="3051" spans="1:10" x14ac:dyDescent="0.2">
      <c r="A3051" t="s">
        <v>1879</v>
      </c>
      <c r="B3051" t="s">
        <v>263</v>
      </c>
      <c r="C3051" t="s">
        <v>268</v>
      </c>
      <c r="D3051" t="s">
        <v>265</v>
      </c>
      <c r="E3051">
        <v>2809</v>
      </c>
      <c r="F3051" t="s">
        <v>332</v>
      </c>
      <c r="G3051" t="s">
        <v>266</v>
      </c>
      <c r="H3051" t="s">
        <v>267</v>
      </c>
      <c r="I3051" t="s">
        <v>333</v>
      </c>
      <c r="J3051" t="s">
        <v>4624</v>
      </c>
    </row>
    <row r="3052" spans="1:10" x14ac:dyDescent="0.2">
      <c r="A3052" t="s">
        <v>1879</v>
      </c>
      <c r="B3052" t="s">
        <v>263</v>
      </c>
      <c r="C3052" t="s">
        <v>273</v>
      </c>
      <c r="D3052" t="s">
        <v>265</v>
      </c>
      <c r="E3052">
        <v>3141</v>
      </c>
      <c r="F3052" t="s">
        <v>1433</v>
      </c>
      <c r="G3052" t="s">
        <v>266</v>
      </c>
      <c r="H3052" t="s">
        <v>276</v>
      </c>
      <c r="I3052" t="s">
        <v>325</v>
      </c>
      <c r="J3052" t="s">
        <v>4705</v>
      </c>
    </row>
    <row r="3053" spans="1:10" x14ac:dyDescent="0.2">
      <c r="A3053" t="s">
        <v>1879</v>
      </c>
      <c r="B3053" t="s">
        <v>263</v>
      </c>
      <c r="C3053" t="s">
        <v>264</v>
      </c>
      <c r="D3053" t="s">
        <v>269</v>
      </c>
      <c r="E3053">
        <v>4430</v>
      </c>
      <c r="F3053" t="s">
        <v>497</v>
      </c>
      <c r="G3053" t="s">
        <v>274</v>
      </c>
      <c r="H3053" t="s">
        <v>277</v>
      </c>
      <c r="I3053">
        <v>77</v>
      </c>
    </row>
    <row r="3054" spans="1:10" x14ac:dyDescent="0.2">
      <c r="A3054" t="s">
        <v>1879</v>
      </c>
      <c r="B3054" t="s">
        <v>263</v>
      </c>
      <c r="C3054" t="s">
        <v>264</v>
      </c>
      <c r="D3054" t="s">
        <v>265</v>
      </c>
      <c r="E3054">
        <v>4443</v>
      </c>
      <c r="F3054" t="s">
        <v>498</v>
      </c>
      <c r="G3054" t="s">
        <v>278</v>
      </c>
      <c r="H3054" t="s">
        <v>277</v>
      </c>
      <c r="I3054" t="s">
        <v>297</v>
      </c>
      <c r="J3054" t="s">
        <v>5099</v>
      </c>
    </row>
    <row r="3055" spans="1:10" x14ac:dyDescent="0.2">
      <c r="A3055" t="s">
        <v>1879</v>
      </c>
      <c r="B3055" t="s">
        <v>263</v>
      </c>
      <c r="C3055" t="s">
        <v>275</v>
      </c>
      <c r="D3055" t="s">
        <v>265</v>
      </c>
      <c r="E3055">
        <v>4728</v>
      </c>
      <c r="F3055" t="s">
        <v>1441</v>
      </c>
      <c r="G3055" t="s">
        <v>266</v>
      </c>
      <c r="H3055" t="s">
        <v>277</v>
      </c>
      <c r="I3055">
        <v>72</v>
      </c>
    </row>
    <row r="3056" spans="1:10" x14ac:dyDescent="0.2">
      <c r="A3056" t="s">
        <v>1879</v>
      </c>
      <c r="B3056" t="s">
        <v>263</v>
      </c>
      <c r="C3056" t="s">
        <v>275</v>
      </c>
      <c r="D3056" t="s">
        <v>265</v>
      </c>
      <c r="E3056">
        <v>6289</v>
      </c>
      <c r="F3056" t="s">
        <v>746</v>
      </c>
      <c r="G3056" t="s">
        <v>266</v>
      </c>
      <c r="H3056" t="s">
        <v>287</v>
      </c>
      <c r="I3056" t="s">
        <v>297</v>
      </c>
      <c r="J3056" t="s">
        <v>4683</v>
      </c>
    </row>
    <row r="3057" spans="1:10" x14ac:dyDescent="0.2">
      <c r="A3057" t="s">
        <v>1879</v>
      </c>
      <c r="B3057" t="s">
        <v>263</v>
      </c>
      <c r="C3057" t="s">
        <v>273</v>
      </c>
      <c r="D3057" t="s">
        <v>265</v>
      </c>
      <c r="E3057">
        <v>7630</v>
      </c>
      <c r="F3057" t="s">
        <v>623</v>
      </c>
      <c r="G3057" t="s">
        <v>266</v>
      </c>
      <c r="H3057" t="s">
        <v>276</v>
      </c>
      <c r="I3057" t="s">
        <v>297</v>
      </c>
      <c r="J3057" t="s">
        <v>4709</v>
      </c>
    </row>
    <row r="3058" spans="1:10" x14ac:dyDescent="0.2">
      <c r="A3058" t="s">
        <v>1879</v>
      </c>
      <c r="B3058" t="s">
        <v>263</v>
      </c>
      <c r="C3058" t="s">
        <v>264</v>
      </c>
      <c r="D3058" t="s">
        <v>265</v>
      </c>
      <c r="E3058">
        <v>7713</v>
      </c>
      <c r="F3058" t="s">
        <v>683</v>
      </c>
      <c r="G3058" t="s">
        <v>270</v>
      </c>
      <c r="H3058" t="s">
        <v>342</v>
      </c>
      <c r="I3058">
        <v>113</v>
      </c>
    </row>
    <row r="3059" spans="1:10" x14ac:dyDescent="0.2">
      <c r="A3059" t="s">
        <v>1879</v>
      </c>
      <c r="B3059" t="s">
        <v>263</v>
      </c>
      <c r="C3059" t="s">
        <v>268</v>
      </c>
      <c r="D3059" t="s">
        <v>265</v>
      </c>
      <c r="E3059">
        <v>7879</v>
      </c>
      <c r="F3059" t="s">
        <v>4386</v>
      </c>
      <c r="G3059" t="s">
        <v>274</v>
      </c>
      <c r="H3059" t="s">
        <v>288</v>
      </c>
      <c r="I3059">
        <v>141</v>
      </c>
    </row>
    <row r="3060" spans="1:10" x14ac:dyDescent="0.2">
      <c r="A3060" t="s">
        <v>618</v>
      </c>
      <c r="B3060" t="s">
        <v>263</v>
      </c>
      <c r="C3060" t="s">
        <v>275</v>
      </c>
      <c r="D3060" t="s">
        <v>265</v>
      </c>
      <c r="E3060">
        <v>1434</v>
      </c>
      <c r="F3060" t="s">
        <v>4318</v>
      </c>
      <c r="G3060" t="s">
        <v>274</v>
      </c>
      <c r="H3060" t="s">
        <v>293</v>
      </c>
      <c r="I3060">
        <v>27</v>
      </c>
    </row>
    <row r="3061" spans="1:10" x14ac:dyDescent="0.2">
      <c r="A3061" t="s">
        <v>618</v>
      </c>
      <c r="B3061" t="s">
        <v>263</v>
      </c>
      <c r="C3061" t="s">
        <v>273</v>
      </c>
      <c r="D3061" t="s">
        <v>265</v>
      </c>
      <c r="E3061">
        <v>2305</v>
      </c>
      <c r="F3061" t="s">
        <v>1432</v>
      </c>
      <c r="G3061" t="s">
        <v>266</v>
      </c>
      <c r="H3061" t="s">
        <v>271</v>
      </c>
      <c r="I3061">
        <v>342</v>
      </c>
    </row>
    <row r="3062" spans="1:10" x14ac:dyDescent="0.2">
      <c r="A3062" t="s">
        <v>618</v>
      </c>
      <c r="B3062" t="s">
        <v>263</v>
      </c>
      <c r="C3062" t="s">
        <v>264</v>
      </c>
      <c r="D3062" t="s">
        <v>265</v>
      </c>
      <c r="E3062">
        <v>2462</v>
      </c>
      <c r="F3062" t="s">
        <v>502</v>
      </c>
      <c r="G3062" t="s">
        <v>266</v>
      </c>
      <c r="H3062" t="s">
        <v>271</v>
      </c>
      <c r="I3062">
        <v>328</v>
      </c>
    </row>
    <row r="3063" spans="1:10" x14ac:dyDescent="0.2">
      <c r="A3063" t="s">
        <v>618</v>
      </c>
      <c r="B3063" t="s">
        <v>263</v>
      </c>
      <c r="C3063" t="s">
        <v>268</v>
      </c>
      <c r="D3063" t="s">
        <v>265</v>
      </c>
      <c r="E3063">
        <v>2698</v>
      </c>
      <c r="F3063" t="s">
        <v>4319</v>
      </c>
      <c r="G3063" t="s">
        <v>266</v>
      </c>
      <c r="H3063" t="s">
        <v>276</v>
      </c>
      <c r="I3063">
        <v>272</v>
      </c>
    </row>
    <row r="3064" spans="1:10" x14ac:dyDescent="0.2">
      <c r="A3064" t="s">
        <v>618</v>
      </c>
      <c r="B3064" t="s">
        <v>263</v>
      </c>
      <c r="C3064" t="s">
        <v>273</v>
      </c>
      <c r="D3064" t="s">
        <v>265</v>
      </c>
      <c r="E3064">
        <v>3198</v>
      </c>
      <c r="F3064" t="s">
        <v>1439</v>
      </c>
      <c r="G3064" t="s">
        <v>266</v>
      </c>
      <c r="H3064" t="s">
        <v>276</v>
      </c>
      <c r="I3064">
        <v>652</v>
      </c>
    </row>
    <row r="3065" spans="1:10" x14ac:dyDescent="0.2">
      <c r="A3065" t="s">
        <v>618</v>
      </c>
      <c r="B3065" t="s">
        <v>263</v>
      </c>
      <c r="C3065" t="s">
        <v>273</v>
      </c>
      <c r="D3065" t="s">
        <v>269</v>
      </c>
      <c r="E3065">
        <v>3281</v>
      </c>
      <c r="F3065" t="s">
        <v>619</v>
      </c>
      <c r="G3065" t="s">
        <v>303</v>
      </c>
      <c r="H3065" t="s">
        <v>304</v>
      </c>
      <c r="I3065" t="s">
        <v>283</v>
      </c>
      <c r="J3065" t="s">
        <v>4711</v>
      </c>
    </row>
    <row r="3066" spans="1:10" x14ac:dyDescent="0.2">
      <c r="A3066" t="s">
        <v>618</v>
      </c>
      <c r="B3066" t="s">
        <v>263</v>
      </c>
      <c r="C3066" t="s">
        <v>264</v>
      </c>
      <c r="D3066" t="s">
        <v>269</v>
      </c>
      <c r="E3066">
        <v>3297</v>
      </c>
      <c r="F3066" t="s">
        <v>503</v>
      </c>
      <c r="G3066" t="s">
        <v>270</v>
      </c>
      <c r="H3066" t="s">
        <v>292</v>
      </c>
      <c r="I3066">
        <v>31</v>
      </c>
    </row>
    <row r="3067" spans="1:10" x14ac:dyDescent="0.2">
      <c r="A3067" t="s">
        <v>618</v>
      </c>
      <c r="B3067" t="s">
        <v>263</v>
      </c>
      <c r="C3067" t="s">
        <v>273</v>
      </c>
      <c r="D3067" t="s">
        <v>265</v>
      </c>
      <c r="E3067">
        <v>3387</v>
      </c>
      <c r="F3067" t="s">
        <v>504</v>
      </c>
      <c r="G3067" t="s">
        <v>266</v>
      </c>
      <c r="H3067" t="s">
        <v>276</v>
      </c>
      <c r="I3067" t="s">
        <v>289</v>
      </c>
      <c r="J3067" t="s">
        <v>4414</v>
      </c>
    </row>
    <row r="3068" spans="1:10" x14ac:dyDescent="0.2">
      <c r="A3068" t="s">
        <v>618</v>
      </c>
      <c r="B3068" t="s">
        <v>263</v>
      </c>
      <c r="C3068" t="s">
        <v>273</v>
      </c>
      <c r="D3068" t="s">
        <v>269</v>
      </c>
      <c r="E3068">
        <v>3996</v>
      </c>
      <c r="F3068" t="s">
        <v>506</v>
      </c>
      <c r="G3068" t="s">
        <v>266</v>
      </c>
      <c r="H3068" t="s">
        <v>277</v>
      </c>
      <c r="I3068">
        <v>224</v>
      </c>
    </row>
    <row r="3069" spans="1:10" x14ac:dyDescent="0.2">
      <c r="A3069" t="s">
        <v>618</v>
      </c>
      <c r="B3069" t="s">
        <v>263</v>
      </c>
      <c r="C3069" t="s">
        <v>275</v>
      </c>
      <c r="D3069" t="s">
        <v>265</v>
      </c>
      <c r="E3069">
        <v>4433</v>
      </c>
      <c r="F3069" t="s">
        <v>507</v>
      </c>
      <c r="G3069" t="s">
        <v>266</v>
      </c>
      <c r="H3069" t="s">
        <v>277</v>
      </c>
      <c r="I3069">
        <v>287</v>
      </c>
    </row>
    <row r="3070" spans="1:10" x14ac:dyDescent="0.2">
      <c r="A3070" t="s">
        <v>618</v>
      </c>
      <c r="B3070" t="s">
        <v>263</v>
      </c>
      <c r="C3070" t="s">
        <v>264</v>
      </c>
      <c r="D3070" t="s">
        <v>265</v>
      </c>
      <c r="E3070">
        <v>5967</v>
      </c>
      <c r="F3070" t="s">
        <v>508</v>
      </c>
      <c r="G3070" t="s">
        <v>274</v>
      </c>
      <c r="H3070" t="s">
        <v>281</v>
      </c>
      <c r="I3070">
        <v>64</v>
      </c>
    </row>
    <row r="3071" spans="1:10" x14ac:dyDescent="0.2">
      <c r="A3071" t="s">
        <v>618</v>
      </c>
      <c r="B3071" t="s">
        <v>263</v>
      </c>
      <c r="C3071" t="s">
        <v>273</v>
      </c>
      <c r="D3071" t="s">
        <v>265</v>
      </c>
      <c r="E3071">
        <v>6086</v>
      </c>
      <c r="F3071" t="s">
        <v>1443</v>
      </c>
      <c r="G3071" t="s">
        <v>278</v>
      </c>
      <c r="H3071" t="s">
        <v>271</v>
      </c>
      <c r="I3071">
        <v>155</v>
      </c>
    </row>
    <row r="3072" spans="1:10" x14ac:dyDescent="0.2">
      <c r="A3072" t="s">
        <v>618</v>
      </c>
      <c r="B3072" t="s">
        <v>263</v>
      </c>
      <c r="C3072" t="s">
        <v>273</v>
      </c>
      <c r="D3072" t="s">
        <v>265</v>
      </c>
      <c r="E3072">
        <v>6173</v>
      </c>
      <c r="F3072" t="s">
        <v>509</v>
      </c>
      <c r="G3072" t="s">
        <v>278</v>
      </c>
      <c r="H3072" t="s">
        <v>271</v>
      </c>
      <c r="I3072">
        <v>22</v>
      </c>
    </row>
    <row r="3073" spans="1:10" x14ac:dyDescent="0.2">
      <c r="A3073" t="s">
        <v>618</v>
      </c>
      <c r="B3073" t="s">
        <v>263</v>
      </c>
      <c r="C3073" t="s">
        <v>275</v>
      </c>
      <c r="D3073" t="s">
        <v>265</v>
      </c>
      <c r="E3073">
        <v>6199</v>
      </c>
      <c r="F3073" t="s">
        <v>1444</v>
      </c>
      <c r="G3073" t="s">
        <v>266</v>
      </c>
      <c r="H3073" t="s">
        <v>271</v>
      </c>
      <c r="I3073">
        <v>175</v>
      </c>
    </row>
    <row r="3074" spans="1:10" x14ac:dyDescent="0.2">
      <c r="A3074" t="s">
        <v>618</v>
      </c>
      <c r="B3074" t="s">
        <v>263</v>
      </c>
      <c r="C3074" t="s">
        <v>264</v>
      </c>
      <c r="D3074" t="s">
        <v>265</v>
      </c>
      <c r="E3074">
        <v>6489</v>
      </c>
      <c r="F3074" t="s">
        <v>510</v>
      </c>
      <c r="G3074" t="s">
        <v>266</v>
      </c>
      <c r="H3074" t="s">
        <v>287</v>
      </c>
      <c r="I3074">
        <v>87</v>
      </c>
    </row>
    <row r="3075" spans="1:10" x14ac:dyDescent="0.2">
      <c r="A3075" t="s">
        <v>618</v>
      </c>
      <c r="B3075" t="s">
        <v>263</v>
      </c>
      <c r="C3075" t="s">
        <v>264</v>
      </c>
      <c r="D3075" t="s">
        <v>269</v>
      </c>
      <c r="E3075">
        <v>6496</v>
      </c>
      <c r="F3075" t="s">
        <v>500</v>
      </c>
      <c r="G3075" t="s">
        <v>274</v>
      </c>
      <c r="H3075" t="s">
        <v>287</v>
      </c>
      <c r="I3075">
        <v>106</v>
      </c>
    </row>
    <row r="3076" spans="1:10" x14ac:dyDescent="0.2">
      <c r="A3076" t="s">
        <v>618</v>
      </c>
      <c r="B3076" t="s">
        <v>263</v>
      </c>
      <c r="C3076" t="s">
        <v>273</v>
      </c>
      <c r="D3076" t="s">
        <v>269</v>
      </c>
      <c r="E3076">
        <v>6532</v>
      </c>
      <c r="F3076" t="s">
        <v>337</v>
      </c>
      <c r="G3076" t="s">
        <v>266</v>
      </c>
      <c r="H3076" t="s">
        <v>271</v>
      </c>
      <c r="I3076" t="s">
        <v>297</v>
      </c>
      <c r="J3076" t="s">
        <v>4416</v>
      </c>
    </row>
    <row r="3077" spans="1:10" x14ac:dyDescent="0.2">
      <c r="A3077" t="s">
        <v>618</v>
      </c>
      <c r="B3077" t="s">
        <v>263</v>
      </c>
      <c r="C3077" t="s">
        <v>264</v>
      </c>
      <c r="D3077" t="s">
        <v>265</v>
      </c>
      <c r="E3077">
        <v>6567</v>
      </c>
      <c r="F3077" t="s">
        <v>335</v>
      </c>
      <c r="G3077" t="s">
        <v>278</v>
      </c>
      <c r="H3077" t="s">
        <v>271</v>
      </c>
      <c r="I3077">
        <v>35</v>
      </c>
    </row>
    <row r="3078" spans="1:10" x14ac:dyDescent="0.2">
      <c r="A3078" t="s">
        <v>618</v>
      </c>
      <c r="B3078" t="s">
        <v>263</v>
      </c>
      <c r="C3078" t="s">
        <v>273</v>
      </c>
      <c r="D3078" t="s">
        <v>265</v>
      </c>
      <c r="E3078">
        <v>6578</v>
      </c>
      <c r="F3078" t="s">
        <v>344</v>
      </c>
      <c r="G3078" t="s">
        <v>274</v>
      </c>
      <c r="H3078" t="s">
        <v>271</v>
      </c>
      <c r="I3078">
        <v>32</v>
      </c>
    </row>
    <row r="3079" spans="1:10" x14ac:dyDescent="0.2">
      <c r="A3079" t="s">
        <v>618</v>
      </c>
      <c r="B3079" t="s">
        <v>263</v>
      </c>
      <c r="C3079" t="s">
        <v>273</v>
      </c>
      <c r="D3079" t="s">
        <v>265</v>
      </c>
      <c r="E3079">
        <v>7049</v>
      </c>
      <c r="F3079" t="s">
        <v>511</v>
      </c>
      <c r="G3079" t="s">
        <v>278</v>
      </c>
      <c r="H3079" t="s">
        <v>271</v>
      </c>
      <c r="I3079">
        <v>109</v>
      </c>
    </row>
    <row r="3080" spans="1:10" x14ac:dyDescent="0.2">
      <c r="A3080" t="s">
        <v>618</v>
      </c>
      <c r="B3080" t="s">
        <v>263</v>
      </c>
      <c r="C3080" t="s">
        <v>275</v>
      </c>
      <c r="D3080" t="s">
        <v>265</v>
      </c>
      <c r="E3080">
        <v>7065</v>
      </c>
      <c r="F3080" t="s">
        <v>513</v>
      </c>
      <c r="G3080" t="s">
        <v>274</v>
      </c>
      <c r="H3080" t="s">
        <v>271</v>
      </c>
      <c r="I3080">
        <v>260</v>
      </c>
    </row>
    <row r="3081" spans="1:10" x14ac:dyDescent="0.2">
      <c r="A3081" t="s">
        <v>618</v>
      </c>
      <c r="B3081" t="s">
        <v>263</v>
      </c>
      <c r="C3081" t="s">
        <v>273</v>
      </c>
      <c r="D3081" t="s">
        <v>269</v>
      </c>
      <c r="E3081">
        <v>7077</v>
      </c>
      <c r="F3081" t="s">
        <v>1534</v>
      </c>
      <c r="G3081" t="s">
        <v>278</v>
      </c>
      <c r="H3081" t="s">
        <v>271</v>
      </c>
      <c r="I3081">
        <v>88</v>
      </c>
    </row>
    <row r="3082" spans="1:10" x14ac:dyDescent="0.2">
      <c r="A3082" t="s">
        <v>618</v>
      </c>
      <c r="B3082" t="s">
        <v>263</v>
      </c>
      <c r="C3082" t="s">
        <v>264</v>
      </c>
      <c r="D3082" t="s">
        <v>269</v>
      </c>
      <c r="E3082">
        <v>7673</v>
      </c>
      <c r="F3082" t="s">
        <v>514</v>
      </c>
      <c r="G3082" t="s">
        <v>274</v>
      </c>
      <c r="H3082" t="s">
        <v>272</v>
      </c>
      <c r="I3082">
        <v>95</v>
      </c>
    </row>
    <row r="3083" spans="1:10" x14ac:dyDescent="0.2">
      <c r="A3083" t="s">
        <v>618</v>
      </c>
      <c r="B3083" t="s">
        <v>263</v>
      </c>
      <c r="C3083" t="s">
        <v>275</v>
      </c>
      <c r="D3083" t="s">
        <v>265</v>
      </c>
      <c r="E3083">
        <v>9418</v>
      </c>
      <c r="F3083" t="s">
        <v>1626</v>
      </c>
      <c r="G3083" t="s">
        <v>266</v>
      </c>
      <c r="H3083" t="s">
        <v>277</v>
      </c>
      <c r="I3083" t="s">
        <v>297</v>
      </c>
      <c r="J3083" t="s">
        <v>5100</v>
      </c>
    </row>
    <row r="3084" spans="1:10" x14ac:dyDescent="0.2">
      <c r="A3084" t="s">
        <v>1579</v>
      </c>
      <c r="B3084" t="s">
        <v>263</v>
      </c>
      <c r="C3084" t="s">
        <v>273</v>
      </c>
      <c r="D3084" t="s">
        <v>269</v>
      </c>
      <c r="E3084">
        <v>8975</v>
      </c>
      <c r="F3084" t="s">
        <v>1580</v>
      </c>
      <c r="G3084" t="s">
        <v>303</v>
      </c>
      <c r="H3084" t="s">
        <v>304</v>
      </c>
      <c r="I3084" t="s">
        <v>297</v>
      </c>
      <c r="J3084" t="s">
        <v>4953</v>
      </c>
    </row>
    <row r="3085" spans="1:10" x14ac:dyDescent="0.2">
      <c r="A3085" t="s">
        <v>4736</v>
      </c>
      <c r="B3085" t="s">
        <v>263</v>
      </c>
      <c r="C3085" t="s">
        <v>273</v>
      </c>
      <c r="D3085" t="s">
        <v>269</v>
      </c>
      <c r="E3085">
        <v>3279</v>
      </c>
      <c r="F3085" t="s">
        <v>4737</v>
      </c>
      <c r="G3085" t="s">
        <v>303</v>
      </c>
      <c r="H3085" t="s">
        <v>304</v>
      </c>
      <c r="I3085" t="s">
        <v>316</v>
      </c>
      <c r="J3085" t="s">
        <v>4473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839</v>
      </c>
      <c r="B1" s="106" t="s">
        <v>840</v>
      </c>
      <c r="C1" s="187">
        <v>43851</v>
      </c>
      <c r="D1" s="187">
        <v>43850</v>
      </c>
      <c r="E1" s="187">
        <v>43847</v>
      </c>
      <c r="F1" s="187">
        <v>43846</v>
      </c>
      <c r="G1" s="187">
        <v>43845</v>
      </c>
    </row>
    <row r="2" spans="1:7" x14ac:dyDescent="0.2">
      <c r="A2" s="106">
        <v>1301</v>
      </c>
      <c r="B2" s="106" t="s">
        <v>841</v>
      </c>
      <c r="C2" s="187">
        <v>0</v>
      </c>
      <c r="D2" s="187">
        <v>0</v>
      </c>
      <c r="E2" s="187">
        <v>0</v>
      </c>
      <c r="F2" s="187">
        <v>0</v>
      </c>
      <c r="G2" s="187">
        <v>0</v>
      </c>
    </row>
    <row r="3" spans="1:7" x14ac:dyDescent="0.2">
      <c r="A3">
        <v>1379</v>
      </c>
      <c r="B3" s="106" t="s">
        <v>842</v>
      </c>
      <c r="C3">
        <v>0.05</v>
      </c>
      <c r="D3">
        <v>0.05</v>
      </c>
      <c r="E3">
        <v>0.05</v>
      </c>
      <c r="F3">
        <v>0.05</v>
      </c>
      <c r="G3">
        <v>0.15</v>
      </c>
    </row>
    <row r="4" spans="1:7" x14ac:dyDescent="0.2">
      <c r="A4">
        <v>1414</v>
      </c>
      <c r="B4" s="106" t="s">
        <v>4738</v>
      </c>
      <c r="C4">
        <v>0</v>
      </c>
      <c r="D4">
        <v>0</v>
      </c>
      <c r="E4" t="s">
        <v>162</v>
      </c>
      <c r="F4" t="s">
        <v>162</v>
      </c>
      <c r="G4">
        <v>0</v>
      </c>
    </row>
    <row r="5" spans="1:7" x14ac:dyDescent="0.2">
      <c r="A5">
        <v>1419</v>
      </c>
      <c r="B5" s="106" t="s">
        <v>4388</v>
      </c>
      <c r="C5">
        <v>0</v>
      </c>
      <c r="D5">
        <v>0</v>
      </c>
      <c r="E5">
        <v>0</v>
      </c>
      <c r="F5">
        <v>0</v>
      </c>
      <c r="G5" t="s">
        <v>162</v>
      </c>
    </row>
    <row r="6" spans="1:7" x14ac:dyDescent="0.2">
      <c r="A6">
        <v>1420</v>
      </c>
      <c r="B6" s="106" t="s">
        <v>843</v>
      </c>
      <c r="C6">
        <v>0.05</v>
      </c>
      <c r="D6">
        <v>0.05</v>
      </c>
      <c r="E6">
        <v>0.05</v>
      </c>
      <c r="F6">
        <v>0.05</v>
      </c>
      <c r="G6">
        <v>0.15</v>
      </c>
    </row>
    <row r="7" spans="1:7" x14ac:dyDescent="0.2">
      <c r="A7">
        <v>1430</v>
      </c>
      <c r="B7" s="106" t="s">
        <v>844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2">
      <c r="A8">
        <v>1433</v>
      </c>
      <c r="B8" s="106" t="s">
        <v>845</v>
      </c>
      <c r="C8">
        <v>0.05</v>
      </c>
      <c r="D8" s="106">
        <v>0.05</v>
      </c>
      <c r="E8">
        <v>0</v>
      </c>
      <c r="F8">
        <v>0</v>
      </c>
      <c r="G8" s="106">
        <v>0</v>
      </c>
    </row>
    <row r="9" spans="1:7" x14ac:dyDescent="0.2">
      <c r="A9">
        <v>1514</v>
      </c>
      <c r="B9" s="106" t="s">
        <v>4739</v>
      </c>
      <c r="C9">
        <v>0</v>
      </c>
      <c r="D9">
        <v>0</v>
      </c>
      <c r="E9" t="s">
        <v>162</v>
      </c>
      <c r="F9">
        <v>0</v>
      </c>
      <c r="G9" t="s">
        <v>162</v>
      </c>
    </row>
    <row r="10" spans="1:7" x14ac:dyDescent="0.2">
      <c r="A10">
        <v>1662</v>
      </c>
      <c r="B10" s="106" t="s">
        <v>846</v>
      </c>
      <c r="C10">
        <v>0.05</v>
      </c>
      <c r="D10">
        <v>0.05</v>
      </c>
      <c r="E10">
        <v>0.05</v>
      </c>
      <c r="F10">
        <v>0.05</v>
      </c>
      <c r="G10">
        <v>0.15</v>
      </c>
    </row>
    <row r="11" spans="1:7" x14ac:dyDescent="0.2">
      <c r="A11">
        <v>1719</v>
      </c>
      <c r="B11" s="106" t="s">
        <v>823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">
      <c r="A12">
        <v>1762</v>
      </c>
      <c r="B12" s="106" t="s">
        <v>1667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">
      <c r="A13">
        <v>1766</v>
      </c>
      <c r="B13" s="106" t="s">
        <v>847</v>
      </c>
      <c r="C13">
        <v>0.15</v>
      </c>
      <c r="D13">
        <v>0.15</v>
      </c>
      <c r="E13">
        <v>0.15</v>
      </c>
      <c r="F13">
        <v>0.15</v>
      </c>
      <c r="G13">
        <v>0.45</v>
      </c>
    </row>
    <row r="14" spans="1:7" x14ac:dyDescent="0.2">
      <c r="A14">
        <v>1768</v>
      </c>
      <c r="B14" s="106" t="s">
        <v>848</v>
      </c>
      <c r="C14">
        <v>0</v>
      </c>
      <c r="D14">
        <v>0</v>
      </c>
      <c r="E14" s="106">
        <v>0</v>
      </c>
      <c r="F14">
        <v>0</v>
      </c>
      <c r="G14" s="106">
        <v>0</v>
      </c>
    </row>
    <row r="15" spans="1:7" x14ac:dyDescent="0.2">
      <c r="A15">
        <v>1780</v>
      </c>
      <c r="B15" s="106" t="s">
        <v>849</v>
      </c>
      <c r="C15">
        <v>0</v>
      </c>
      <c r="D15">
        <v>0.05</v>
      </c>
      <c r="E15">
        <v>0.05</v>
      </c>
      <c r="F15">
        <v>0.05</v>
      </c>
      <c r="G15">
        <v>0.15</v>
      </c>
    </row>
    <row r="16" spans="1:7" x14ac:dyDescent="0.2">
      <c r="A16">
        <v>1802</v>
      </c>
      <c r="B16" s="106" t="s">
        <v>4843</v>
      </c>
      <c r="C16">
        <v>0</v>
      </c>
      <c r="D16" s="106" t="s">
        <v>162</v>
      </c>
      <c r="E16" s="106">
        <v>0</v>
      </c>
      <c r="F16" s="106">
        <v>0</v>
      </c>
      <c r="G16" s="106" t="s">
        <v>162</v>
      </c>
    </row>
    <row r="17" spans="1:7" x14ac:dyDescent="0.2">
      <c r="A17">
        <v>1808</v>
      </c>
      <c r="B17" s="106" t="s">
        <v>850</v>
      </c>
      <c r="C17">
        <v>0.05</v>
      </c>
      <c r="D17" s="106">
        <v>0.05</v>
      </c>
      <c r="E17" s="106">
        <v>0.05</v>
      </c>
      <c r="F17" s="106">
        <v>0.05</v>
      </c>
      <c r="G17" s="106">
        <v>0.15</v>
      </c>
    </row>
    <row r="18" spans="1:7" x14ac:dyDescent="0.2">
      <c r="A18">
        <v>1810</v>
      </c>
      <c r="B18" s="106" t="s">
        <v>851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1835</v>
      </c>
      <c r="B19" s="106" t="s">
        <v>1668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1848</v>
      </c>
      <c r="B20" s="106" t="s">
        <v>852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1860</v>
      </c>
      <c r="B21" s="106" t="s">
        <v>60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1867</v>
      </c>
      <c r="B22" s="106" t="s">
        <v>4552</v>
      </c>
      <c r="C22">
        <v>0</v>
      </c>
      <c r="D22" s="106">
        <v>0</v>
      </c>
      <c r="E22" s="106">
        <v>0</v>
      </c>
      <c r="F22" s="106" t="s">
        <v>162</v>
      </c>
      <c r="G22" s="106">
        <v>0.15</v>
      </c>
    </row>
    <row r="23" spans="1:7" x14ac:dyDescent="0.2">
      <c r="A23">
        <v>1870</v>
      </c>
      <c r="B23" s="106" t="s">
        <v>1880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1878</v>
      </c>
      <c r="B24" s="106" t="s">
        <v>853</v>
      </c>
      <c r="C24">
        <v>0.25</v>
      </c>
      <c r="D24">
        <v>0.25</v>
      </c>
      <c r="E24">
        <v>0.25</v>
      </c>
      <c r="F24" s="106">
        <v>0.25</v>
      </c>
      <c r="G24" s="106">
        <v>0</v>
      </c>
    </row>
    <row r="25" spans="1:7" x14ac:dyDescent="0.2">
      <c r="A25">
        <v>1881</v>
      </c>
      <c r="B25" s="106" t="s">
        <v>854</v>
      </c>
      <c r="C25">
        <v>0.05</v>
      </c>
      <c r="D25">
        <v>0.05</v>
      </c>
      <c r="E25" s="106">
        <v>0</v>
      </c>
      <c r="F25" s="106">
        <v>0</v>
      </c>
      <c r="G25" s="106">
        <v>0</v>
      </c>
    </row>
    <row r="26" spans="1:7" x14ac:dyDescent="0.2">
      <c r="A26">
        <v>1884</v>
      </c>
      <c r="B26" s="106" t="s">
        <v>4740</v>
      </c>
      <c r="C26">
        <v>0.15</v>
      </c>
      <c r="D26" s="106">
        <v>0.15</v>
      </c>
      <c r="E26" s="106" t="s">
        <v>162</v>
      </c>
      <c r="F26" s="106" t="s">
        <v>162</v>
      </c>
      <c r="G26" s="106" t="s">
        <v>162</v>
      </c>
    </row>
    <row r="27" spans="1:7" x14ac:dyDescent="0.2">
      <c r="A27">
        <v>1885</v>
      </c>
      <c r="B27" s="106" t="s">
        <v>1605</v>
      </c>
      <c r="C27">
        <v>0</v>
      </c>
      <c r="D27" s="106">
        <v>0</v>
      </c>
      <c r="E27">
        <v>0</v>
      </c>
      <c r="F27" s="106">
        <v>0</v>
      </c>
      <c r="G27">
        <v>0</v>
      </c>
    </row>
    <row r="28" spans="1:7" x14ac:dyDescent="0.2">
      <c r="A28">
        <v>1928</v>
      </c>
      <c r="B28" s="106" t="s">
        <v>225</v>
      </c>
      <c r="C28">
        <v>0.05</v>
      </c>
      <c r="D28" s="106">
        <v>0.05</v>
      </c>
      <c r="E28">
        <v>0.05</v>
      </c>
      <c r="F28" s="106">
        <v>0.05</v>
      </c>
      <c r="G28" s="106">
        <v>0.15</v>
      </c>
    </row>
    <row r="29" spans="1:7" x14ac:dyDescent="0.2">
      <c r="A29">
        <v>1930</v>
      </c>
      <c r="B29" s="106" t="s">
        <v>4244</v>
      </c>
      <c r="C29">
        <v>0</v>
      </c>
      <c r="D29">
        <v>0</v>
      </c>
      <c r="E29">
        <v>0</v>
      </c>
      <c r="F29">
        <v>0</v>
      </c>
      <c r="G29" s="106">
        <v>0</v>
      </c>
    </row>
    <row r="30" spans="1:7" x14ac:dyDescent="0.2">
      <c r="A30">
        <v>1934</v>
      </c>
      <c r="B30" s="106" t="s">
        <v>4320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1944</v>
      </c>
      <c r="B31" s="106" t="s">
        <v>4389</v>
      </c>
      <c r="C31">
        <v>0.05</v>
      </c>
      <c r="D31">
        <v>0.05</v>
      </c>
      <c r="E31" s="106">
        <v>0.05</v>
      </c>
      <c r="F31">
        <v>0.05</v>
      </c>
      <c r="G31" s="106" t="s">
        <v>162</v>
      </c>
    </row>
    <row r="32" spans="1:7" x14ac:dyDescent="0.2">
      <c r="A32">
        <v>1952</v>
      </c>
      <c r="B32" s="106" t="s">
        <v>855</v>
      </c>
      <c r="C32">
        <v>0</v>
      </c>
      <c r="D32">
        <v>0.05</v>
      </c>
      <c r="E32">
        <v>0</v>
      </c>
      <c r="F32">
        <v>0.05</v>
      </c>
      <c r="G32" s="106">
        <v>0.15</v>
      </c>
    </row>
    <row r="33" spans="1:7" x14ac:dyDescent="0.2">
      <c r="A33">
        <v>1954</v>
      </c>
      <c r="B33" s="106" t="s">
        <v>856</v>
      </c>
      <c r="C33">
        <v>0.1</v>
      </c>
      <c r="D33" s="106">
        <v>0.1</v>
      </c>
      <c r="E33" s="106">
        <v>0.1</v>
      </c>
      <c r="F33" s="106">
        <v>0.1</v>
      </c>
      <c r="G33">
        <v>0.3</v>
      </c>
    </row>
    <row r="34" spans="1:7" x14ac:dyDescent="0.2">
      <c r="A34">
        <v>1961</v>
      </c>
      <c r="B34" s="106" t="s">
        <v>857</v>
      </c>
      <c r="C34">
        <v>0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1963</v>
      </c>
      <c r="B35" s="106" t="s">
        <v>1606</v>
      </c>
      <c r="C35">
        <v>0</v>
      </c>
      <c r="D35" s="106">
        <v>0</v>
      </c>
      <c r="E35">
        <v>0</v>
      </c>
      <c r="F35" s="106">
        <v>0</v>
      </c>
      <c r="G35" s="106">
        <v>0</v>
      </c>
    </row>
    <row r="36" spans="1:7" x14ac:dyDescent="0.2">
      <c r="A36">
        <v>1964</v>
      </c>
      <c r="B36" s="106" t="s">
        <v>858</v>
      </c>
      <c r="C36">
        <v>0</v>
      </c>
      <c r="D36" s="106">
        <v>0</v>
      </c>
      <c r="E36">
        <v>0</v>
      </c>
      <c r="F36" s="106">
        <v>0</v>
      </c>
      <c r="G36" s="106">
        <v>0</v>
      </c>
    </row>
    <row r="37" spans="1:7" x14ac:dyDescent="0.2">
      <c r="A37">
        <v>1975</v>
      </c>
      <c r="B37" s="106" t="s">
        <v>1607</v>
      </c>
      <c r="C37">
        <v>0</v>
      </c>
      <c r="D37" s="106">
        <v>0</v>
      </c>
      <c r="E37" s="106">
        <v>0</v>
      </c>
      <c r="F37" s="106">
        <v>0</v>
      </c>
      <c r="G37">
        <v>0</v>
      </c>
    </row>
    <row r="38" spans="1:7" x14ac:dyDescent="0.2">
      <c r="A38">
        <v>1976</v>
      </c>
      <c r="B38" s="106" t="s">
        <v>859</v>
      </c>
      <c r="C38">
        <v>0.05</v>
      </c>
      <c r="D38" s="106">
        <v>0.05</v>
      </c>
      <c r="E38" s="106">
        <v>0.05</v>
      </c>
      <c r="F38">
        <v>0.05</v>
      </c>
      <c r="G38">
        <v>0.15</v>
      </c>
    </row>
    <row r="39" spans="1:7" x14ac:dyDescent="0.2">
      <c r="A39">
        <v>1979</v>
      </c>
      <c r="B39" s="106" t="s">
        <v>4279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1983</v>
      </c>
      <c r="B40" s="106" t="s">
        <v>860</v>
      </c>
      <c r="C40">
        <v>0.05</v>
      </c>
      <c r="D40">
        <v>0.05</v>
      </c>
      <c r="E40">
        <v>0.1</v>
      </c>
      <c r="F40">
        <v>0.05</v>
      </c>
      <c r="G40">
        <v>0.3</v>
      </c>
    </row>
    <row r="41" spans="1:7" x14ac:dyDescent="0.2">
      <c r="A41">
        <v>2001</v>
      </c>
      <c r="B41" s="106" t="s">
        <v>4245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2004</v>
      </c>
      <c r="B42" s="106" t="s">
        <v>861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2053</v>
      </c>
      <c r="B43" s="106" t="s">
        <v>1881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">
      <c r="A44">
        <v>2139</v>
      </c>
      <c r="B44" s="106" t="s">
        <v>862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2146</v>
      </c>
      <c r="B45" s="106" t="s">
        <v>863</v>
      </c>
      <c r="C45">
        <v>0.1</v>
      </c>
      <c r="D45">
        <v>0.05</v>
      </c>
      <c r="E45">
        <v>0.1</v>
      </c>
      <c r="F45">
        <v>0.1</v>
      </c>
      <c r="G45">
        <v>0.15</v>
      </c>
    </row>
    <row r="46" spans="1:7" x14ac:dyDescent="0.2">
      <c r="A46">
        <v>2168</v>
      </c>
      <c r="B46" s="106" t="s">
        <v>4321</v>
      </c>
      <c r="C46">
        <v>0.05</v>
      </c>
      <c r="D46">
        <v>0</v>
      </c>
      <c r="E46" s="106">
        <v>0</v>
      </c>
      <c r="F46" s="106">
        <v>0.05</v>
      </c>
      <c r="G46">
        <v>0</v>
      </c>
    </row>
    <row r="47" spans="1:7" x14ac:dyDescent="0.2">
      <c r="A47">
        <v>2170</v>
      </c>
      <c r="B47" s="106" t="s">
        <v>864</v>
      </c>
      <c r="C47">
        <v>0.05</v>
      </c>
      <c r="D47">
        <v>0.05</v>
      </c>
      <c r="E47" s="106">
        <v>0.05</v>
      </c>
      <c r="F47">
        <v>0.05</v>
      </c>
      <c r="G47">
        <v>0.15</v>
      </c>
    </row>
    <row r="48" spans="1:7" x14ac:dyDescent="0.2">
      <c r="A48">
        <v>2201</v>
      </c>
      <c r="B48" s="106" t="s">
        <v>865</v>
      </c>
      <c r="C48">
        <v>0.05</v>
      </c>
      <c r="D48" s="106">
        <v>0.1</v>
      </c>
      <c r="E48" s="106">
        <v>0.05</v>
      </c>
      <c r="F48" s="106">
        <v>0.1</v>
      </c>
      <c r="G48">
        <v>0.3</v>
      </c>
    </row>
    <row r="49" spans="1:7" x14ac:dyDescent="0.2">
      <c r="A49">
        <v>2204</v>
      </c>
      <c r="B49" s="106" t="s">
        <v>866</v>
      </c>
      <c r="C49">
        <v>0.1</v>
      </c>
      <c r="D49">
        <v>0.1</v>
      </c>
      <c r="E49">
        <v>0.1</v>
      </c>
      <c r="F49">
        <v>0.1</v>
      </c>
      <c r="G49">
        <v>0.3</v>
      </c>
    </row>
    <row r="50" spans="1:7" x14ac:dyDescent="0.2">
      <c r="A50">
        <v>2206</v>
      </c>
      <c r="B50" s="106" t="s">
        <v>867</v>
      </c>
      <c r="C50">
        <v>0</v>
      </c>
      <c r="D50" s="106">
        <v>0</v>
      </c>
      <c r="E50" s="106">
        <v>0</v>
      </c>
      <c r="F50" s="106">
        <v>0</v>
      </c>
      <c r="G50" s="106">
        <v>0</v>
      </c>
    </row>
    <row r="51" spans="1:7" x14ac:dyDescent="0.2">
      <c r="A51">
        <v>2211</v>
      </c>
      <c r="B51" s="106" t="s">
        <v>5101</v>
      </c>
      <c r="C51">
        <v>0.05</v>
      </c>
      <c r="D51" s="106" t="s">
        <v>162</v>
      </c>
      <c r="E51" s="106">
        <v>0.05</v>
      </c>
      <c r="F51" s="106" t="s">
        <v>162</v>
      </c>
      <c r="G51" s="106">
        <v>0.15</v>
      </c>
    </row>
    <row r="52" spans="1:7" x14ac:dyDescent="0.2">
      <c r="A52">
        <v>2212</v>
      </c>
      <c r="B52" s="106" t="s">
        <v>868</v>
      </c>
      <c r="C52">
        <v>0.05</v>
      </c>
      <c r="D52" s="106">
        <v>0.05</v>
      </c>
      <c r="E52">
        <v>0.05</v>
      </c>
      <c r="F52" s="106">
        <v>0.05</v>
      </c>
      <c r="G52" s="106">
        <v>0.15</v>
      </c>
    </row>
    <row r="53" spans="1:7" x14ac:dyDescent="0.2">
      <c r="A53">
        <v>2215</v>
      </c>
      <c r="B53" s="106" t="s">
        <v>869</v>
      </c>
      <c r="C53">
        <v>0.05</v>
      </c>
      <c r="D53" s="106">
        <v>0.05</v>
      </c>
      <c r="E53" s="106">
        <v>0.05</v>
      </c>
      <c r="F53" s="106">
        <v>0.05</v>
      </c>
      <c r="G53" s="106">
        <v>0.15</v>
      </c>
    </row>
    <row r="54" spans="1:7" x14ac:dyDescent="0.2">
      <c r="A54">
        <v>2217</v>
      </c>
      <c r="B54" s="106" t="s">
        <v>870</v>
      </c>
      <c r="C54">
        <v>0.1</v>
      </c>
      <c r="D54">
        <v>0.1</v>
      </c>
      <c r="E54">
        <v>0.1</v>
      </c>
      <c r="F54">
        <v>0.1</v>
      </c>
      <c r="G54">
        <v>0.3</v>
      </c>
    </row>
    <row r="55" spans="1:7" x14ac:dyDescent="0.2">
      <c r="A55">
        <v>2222</v>
      </c>
      <c r="B55" s="106" t="s">
        <v>871</v>
      </c>
      <c r="C55">
        <v>0.15</v>
      </c>
      <c r="D55">
        <v>0.15</v>
      </c>
      <c r="E55">
        <v>0.15</v>
      </c>
      <c r="F55">
        <v>0.15</v>
      </c>
      <c r="G55">
        <v>0.45</v>
      </c>
    </row>
    <row r="56" spans="1:7" x14ac:dyDescent="0.2">
      <c r="A56">
        <v>2229</v>
      </c>
      <c r="B56" s="106" t="s">
        <v>872</v>
      </c>
      <c r="C56">
        <v>0.1</v>
      </c>
      <c r="D56" s="106">
        <v>0.1</v>
      </c>
      <c r="E56" s="106">
        <v>0.1</v>
      </c>
      <c r="F56" s="106">
        <v>0.1</v>
      </c>
      <c r="G56">
        <v>0.3</v>
      </c>
    </row>
    <row r="57" spans="1:7" x14ac:dyDescent="0.2">
      <c r="A57">
        <v>2266</v>
      </c>
      <c r="B57" s="106" t="s">
        <v>873</v>
      </c>
      <c r="C57">
        <v>0.05</v>
      </c>
      <c r="D57">
        <v>0.05</v>
      </c>
      <c r="E57">
        <v>0.05</v>
      </c>
      <c r="F57" s="106">
        <v>0.05</v>
      </c>
      <c r="G57">
        <v>0.15</v>
      </c>
    </row>
    <row r="58" spans="1:7" x14ac:dyDescent="0.2">
      <c r="A58">
        <v>2281</v>
      </c>
      <c r="B58" s="106" t="s">
        <v>1669</v>
      </c>
      <c r="C58">
        <v>0.05</v>
      </c>
      <c r="D58">
        <v>0.05</v>
      </c>
      <c r="E58">
        <v>0.05</v>
      </c>
      <c r="F58" s="106">
        <v>0.05</v>
      </c>
      <c r="G58">
        <v>0.15</v>
      </c>
    </row>
    <row r="59" spans="1:7" x14ac:dyDescent="0.2">
      <c r="A59">
        <v>2282</v>
      </c>
      <c r="B59" s="106" t="s">
        <v>874</v>
      </c>
      <c r="C59">
        <v>0.1</v>
      </c>
      <c r="D59">
        <v>0.1</v>
      </c>
      <c r="E59">
        <v>0.1</v>
      </c>
      <c r="F59">
        <v>0.1</v>
      </c>
      <c r="G59">
        <v>0</v>
      </c>
    </row>
    <row r="60" spans="1:7" x14ac:dyDescent="0.2">
      <c r="A60">
        <v>2288</v>
      </c>
      <c r="B60" s="106" t="s">
        <v>4741</v>
      </c>
      <c r="C60">
        <v>0</v>
      </c>
      <c r="D60">
        <v>0</v>
      </c>
      <c r="E60" t="s">
        <v>162</v>
      </c>
      <c r="F60" s="106">
        <v>0.05</v>
      </c>
      <c r="G60" s="106" t="s">
        <v>162</v>
      </c>
    </row>
    <row r="61" spans="1:7" x14ac:dyDescent="0.2">
      <c r="A61">
        <v>2294</v>
      </c>
      <c r="B61" s="106" t="s">
        <v>875</v>
      </c>
      <c r="C61">
        <v>0.1</v>
      </c>
      <c r="D61">
        <v>0.1</v>
      </c>
      <c r="E61">
        <v>0.1</v>
      </c>
      <c r="F61" s="106">
        <v>0.1</v>
      </c>
      <c r="G61" s="106">
        <v>0.3</v>
      </c>
    </row>
    <row r="62" spans="1:7" x14ac:dyDescent="0.2">
      <c r="A62">
        <v>2301</v>
      </c>
      <c r="B62" s="106" t="s">
        <v>876</v>
      </c>
      <c r="C62">
        <v>0.05</v>
      </c>
      <c r="D62" s="106">
        <v>0.1</v>
      </c>
      <c r="E62">
        <v>0.15</v>
      </c>
      <c r="F62" s="106">
        <v>0.05</v>
      </c>
      <c r="G62">
        <v>0.3</v>
      </c>
    </row>
    <row r="63" spans="1:7" x14ac:dyDescent="0.2">
      <c r="A63">
        <v>2305</v>
      </c>
      <c r="B63" s="106" t="s">
        <v>877</v>
      </c>
      <c r="C63">
        <v>0.05</v>
      </c>
      <c r="D63">
        <v>0.05</v>
      </c>
      <c r="E63">
        <v>0.05</v>
      </c>
      <c r="F63">
        <v>0.05</v>
      </c>
      <c r="G63">
        <v>0.15</v>
      </c>
    </row>
    <row r="64" spans="1:7" x14ac:dyDescent="0.2">
      <c r="A64">
        <v>2327</v>
      </c>
      <c r="B64" s="106" t="s">
        <v>5102</v>
      </c>
      <c r="C64">
        <v>0</v>
      </c>
      <c r="D64" t="s">
        <v>162</v>
      </c>
      <c r="E64">
        <v>0</v>
      </c>
      <c r="F64" t="s">
        <v>162</v>
      </c>
      <c r="G64">
        <v>0</v>
      </c>
    </row>
    <row r="65" spans="1:7" x14ac:dyDescent="0.2">
      <c r="A65">
        <v>2337</v>
      </c>
      <c r="B65" s="106" t="s">
        <v>878</v>
      </c>
      <c r="C65">
        <v>0</v>
      </c>
      <c r="D65">
        <v>0.05</v>
      </c>
      <c r="E65">
        <v>0.05</v>
      </c>
      <c r="F65">
        <v>0</v>
      </c>
      <c r="G65">
        <v>0.15</v>
      </c>
    </row>
    <row r="66" spans="1:7" x14ac:dyDescent="0.2">
      <c r="A66">
        <v>2371</v>
      </c>
      <c r="B66" s="106" t="s">
        <v>879</v>
      </c>
      <c r="C66">
        <v>0.05</v>
      </c>
      <c r="D66" s="106">
        <v>0.05</v>
      </c>
      <c r="E66">
        <v>0.05</v>
      </c>
      <c r="F66" s="106">
        <v>0.05</v>
      </c>
      <c r="G66">
        <v>0.15</v>
      </c>
    </row>
    <row r="67" spans="1:7" x14ac:dyDescent="0.2">
      <c r="A67">
        <v>2372</v>
      </c>
      <c r="B67" s="106" t="s">
        <v>1882</v>
      </c>
      <c r="C67">
        <v>0</v>
      </c>
      <c r="D67" s="106">
        <v>0</v>
      </c>
      <c r="E67">
        <v>0</v>
      </c>
      <c r="F67" s="106">
        <v>0</v>
      </c>
      <c r="G67">
        <v>0</v>
      </c>
    </row>
    <row r="68" spans="1:7" x14ac:dyDescent="0.2">
      <c r="A68">
        <v>2379</v>
      </c>
      <c r="B68" s="106" t="s">
        <v>681</v>
      </c>
      <c r="C68">
        <v>0.1</v>
      </c>
      <c r="D68">
        <v>0.1</v>
      </c>
      <c r="E68">
        <v>0.1</v>
      </c>
      <c r="F68">
        <v>0.1</v>
      </c>
      <c r="G68">
        <v>0.3</v>
      </c>
    </row>
    <row r="69" spans="1:7" x14ac:dyDescent="0.2">
      <c r="A69">
        <v>2384</v>
      </c>
      <c r="B69" s="106" t="s">
        <v>880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">
      <c r="A70">
        <v>2389</v>
      </c>
      <c r="B70" s="106" t="s">
        <v>1608</v>
      </c>
      <c r="C70">
        <v>0</v>
      </c>
      <c r="D70">
        <v>0</v>
      </c>
      <c r="E70">
        <v>0</v>
      </c>
      <c r="F70" s="106">
        <v>0</v>
      </c>
      <c r="G70" s="106">
        <v>0</v>
      </c>
    </row>
    <row r="71" spans="1:7" x14ac:dyDescent="0.2">
      <c r="A71">
        <v>2398</v>
      </c>
      <c r="B71" s="106" t="s">
        <v>4322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2410</v>
      </c>
      <c r="B72" s="106" t="s">
        <v>5103</v>
      </c>
      <c r="C72">
        <v>0</v>
      </c>
      <c r="D72" t="s">
        <v>162</v>
      </c>
      <c r="E72">
        <v>0</v>
      </c>
      <c r="F72" s="106" t="s">
        <v>162</v>
      </c>
      <c r="G72" t="s">
        <v>162</v>
      </c>
    </row>
    <row r="73" spans="1:7" x14ac:dyDescent="0.2">
      <c r="A73">
        <v>2413</v>
      </c>
      <c r="B73" s="106" t="s">
        <v>4837</v>
      </c>
      <c r="C73">
        <v>0</v>
      </c>
      <c r="D73" t="s">
        <v>162</v>
      </c>
      <c r="E73" s="106">
        <v>0</v>
      </c>
      <c r="F73" s="106" t="s">
        <v>162</v>
      </c>
      <c r="G73">
        <v>0</v>
      </c>
    </row>
    <row r="74" spans="1:7" x14ac:dyDescent="0.2">
      <c r="A74">
        <v>2418</v>
      </c>
      <c r="B74" s="106" t="s">
        <v>1609</v>
      </c>
      <c r="C74">
        <v>0</v>
      </c>
      <c r="D74" s="106">
        <v>0</v>
      </c>
      <c r="E74" s="106">
        <v>0</v>
      </c>
      <c r="F74" s="106">
        <v>0</v>
      </c>
      <c r="G74">
        <v>0</v>
      </c>
    </row>
    <row r="75" spans="1:7" x14ac:dyDescent="0.2">
      <c r="A75">
        <v>2428</v>
      </c>
      <c r="B75" s="106" t="s">
        <v>881</v>
      </c>
      <c r="C75">
        <v>0</v>
      </c>
      <c r="D75" s="106">
        <v>0</v>
      </c>
      <c r="E75" s="106">
        <v>0</v>
      </c>
      <c r="F75" s="106">
        <v>0</v>
      </c>
      <c r="G75">
        <v>0</v>
      </c>
    </row>
    <row r="76" spans="1:7" x14ac:dyDescent="0.2">
      <c r="A76">
        <v>2433</v>
      </c>
      <c r="B76" s="106" t="s">
        <v>882</v>
      </c>
      <c r="C76">
        <v>0.05</v>
      </c>
      <c r="D76" s="106">
        <v>0.05</v>
      </c>
      <c r="E76" s="106">
        <v>0.05</v>
      </c>
      <c r="F76" s="106">
        <v>0.05</v>
      </c>
      <c r="G76" s="106">
        <v>0.15</v>
      </c>
    </row>
    <row r="77" spans="1:7" x14ac:dyDescent="0.2">
      <c r="A77">
        <v>2440</v>
      </c>
      <c r="B77" s="106" t="s">
        <v>883</v>
      </c>
      <c r="C77">
        <v>0.05</v>
      </c>
      <c r="D77" s="106">
        <v>0.05</v>
      </c>
      <c r="E77">
        <v>0.05</v>
      </c>
      <c r="F77" s="106">
        <v>0.05</v>
      </c>
      <c r="G77">
        <v>0.15</v>
      </c>
    </row>
    <row r="78" spans="1:7" x14ac:dyDescent="0.2">
      <c r="A78">
        <v>2462</v>
      </c>
      <c r="B78" s="106" t="s">
        <v>884</v>
      </c>
      <c r="C78">
        <v>0</v>
      </c>
      <c r="D78" s="106">
        <v>0</v>
      </c>
      <c r="E78">
        <v>0</v>
      </c>
      <c r="F78" s="106">
        <v>0</v>
      </c>
      <c r="G78">
        <v>0</v>
      </c>
    </row>
    <row r="79" spans="1:7" x14ac:dyDescent="0.2">
      <c r="A79">
        <v>2475</v>
      </c>
      <c r="B79" s="106" t="s">
        <v>1670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">
      <c r="A80">
        <v>2487</v>
      </c>
      <c r="B80" s="106" t="s">
        <v>885</v>
      </c>
      <c r="C80">
        <v>0.05</v>
      </c>
      <c r="D80">
        <v>0.05</v>
      </c>
      <c r="E80">
        <v>0.05</v>
      </c>
      <c r="F80">
        <v>0.05</v>
      </c>
      <c r="G80">
        <v>0.15</v>
      </c>
    </row>
    <row r="81" spans="1:7" x14ac:dyDescent="0.2">
      <c r="A81">
        <v>2492</v>
      </c>
      <c r="B81" s="106" t="s">
        <v>886</v>
      </c>
      <c r="C81">
        <v>0.05</v>
      </c>
      <c r="D81">
        <v>0.05</v>
      </c>
      <c r="E81">
        <v>0.05</v>
      </c>
      <c r="F81">
        <v>0.05</v>
      </c>
      <c r="G81">
        <v>0.15</v>
      </c>
    </row>
    <row r="82" spans="1:7" x14ac:dyDescent="0.2">
      <c r="A82">
        <v>2501</v>
      </c>
      <c r="B82" s="106" t="s">
        <v>887</v>
      </c>
      <c r="C82">
        <v>0.05</v>
      </c>
      <c r="D82" s="106">
        <v>0.05</v>
      </c>
      <c r="E82" s="106">
        <v>0.05</v>
      </c>
      <c r="F82" s="106">
        <v>0.05</v>
      </c>
      <c r="G82" s="106">
        <v>0.15</v>
      </c>
    </row>
    <row r="83" spans="1:7" x14ac:dyDescent="0.2">
      <c r="A83">
        <v>2533</v>
      </c>
      <c r="B83" s="106" t="s">
        <v>4742</v>
      </c>
      <c r="C83">
        <v>0</v>
      </c>
      <c r="D83" s="106">
        <v>0</v>
      </c>
      <c r="E83" s="106" t="s">
        <v>162</v>
      </c>
      <c r="F83" s="106" t="s">
        <v>162</v>
      </c>
      <c r="G83" s="106" t="s">
        <v>162</v>
      </c>
    </row>
    <row r="84" spans="1:7" x14ac:dyDescent="0.2">
      <c r="A84">
        <v>2590</v>
      </c>
      <c r="B84" s="106" t="s">
        <v>4246</v>
      </c>
      <c r="C84">
        <v>0.1</v>
      </c>
      <c r="D84" s="106">
        <v>0.1</v>
      </c>
      <c r="E84">
        <v>0.1</v>
      </c>
      <c r="F84" s="106">
        <v>2.35</v>
      </c>
      <c r="G84">
        <v>0.3</v>
      </c>
    </row>
    <row r="85" spans="1:7" x14ac:dyDescent="0.2">
      <c r="A85">
        <v>2593</v>
      </c>
      <c r="B85" s="106" t="s">
        <v>888</v>
      </c>
      <c r="C85">
        <v>0.1</v>
      </c>
      <c r="D85">
        <v>0.1</v>
      </c>
      <c r="E85">
        <v>0.1</v>
      </c>
      <c r="F85">
        <v>0.1</v>
      </c>
      <c r="G85">
        <v>0.3</v>
      </c>
    </row>
    <row r="86" spans="1:7" x14ac:dyDescent="0.2">
      <c r="A86">
        <v>2594</v>
      </c>
      <c r="B86" s="106" t="s">
        <v>889</v>
      </c>
      <c r="C86">
        <v>0.05</v>
      </c>
      <c r="D86">
        <v>0.05</v>
      </c>
      <c r="E86">
        <v>0.05</v>
      </c>
      <c r="F86">
        <v>0.05</v>
      </c>
      <c r="G86" s="106">
        <v>0.15</v>
      </c>
    </row>
    <row r="87" spans="1:7" x14ac:dyDescent="0.2">
      <c r="A87">
        <v>2599</v>
      </c>
      <c r="B87" s="106" t="s">
        <v>890</v>
      </c>
      <c r="C87">
        <v>0</v>
      </c>
      <c r="D87" s="106">
        <v>0</v>
      </c>
      <c r="E87">
        <v>0</v>
      </c>
      <c r="F87" s="106">
        <v>0</v>
      </c>
      <c r="G87">
        <v>0</v>
      </c>
    </row>
    <row r="88" spans="1:7" x14ac:dyDescent="0.2">
      <c r="A88">
        <v>2602</v>
      </c>
      <c r="B88" s="106" t="s">
        <v>830</v>
      </c>
      <c r="C88">
        <v>0.1</v>
      </c>
      <c r="D88" s="106">
        <v>0.1</v>
      </c>
      <c r="E88">
        <v>0.1</v>
      </c>
      <c r="F88" s="106">
        <v>0.1</v>
      </c>
      <c r="G88">
        <v>0.3</v>
      </c>
    </row>
    <row r="89" spans="1:7" x14ac:dyDescent="0.2">
      <c r="A89">
        <v>2613</v>
      </c>
      <c r="B89" s="106" t="s">
        <v>1883</v>
      </c>
      <c r="C89">
        <v>0</v>
      </c>
      <c r="D89" s="106">
        <v>0</v>
      </c>
      <c r="E89">
        <v>0</v>
      </c>
      <c r="F89" s="106">
        <v>0</v>
      </c>
      <c r="G89">
        <v>0</v>
      </c>
    </row>
    <row r="90" spans="1:7" x14ac:dyDescent="0.2">
      <c r="A90">
        <v>2651</v>
      </c>
      <c r="B90" s="106" t="s">
        <v>891</v>
      </c>
      <c r="C90">
        <v>0.15</v>
      </c>
      <c r="D90">
        <v>0.15</v>
      </c>
      <c r="E90">
        <v>0.15</v>
      </c>
      <c r="F90">
        <v>0.15</v>
      </c>
      <c r="G90">
        <v>0.45</v>
      </c>
    </row>
    <row r="91" spans="1:7" x14ac:dyDescent="0.2">
      <c r="A91">
        <v>2659</v>
      </c>
      <c r="B91" s="106" t="s">
        <v>892</v>
      </c>
      <c r="C91">
        <v>0.1</v>
      </c>
      <c r="D91">
        <v>0.1</v>
      </c>
      <c r="E91">
        <v>0.1</v>
      </c>
      <c r="F91">
        <v>0.1</v>
      </c>
      <c r="G91">
        <v>0.3</v>
      </c>
    </row>
    <row r="92" spans="1:7" x14ac:dyDescent="0.2">
      <c r="A92">
        <v>2664</v>
      </c>
      <c r="B92" s="106" t="s">
        <v>893</v>
      </c>
      <c r="C92">
        <v>0.05</v>
      </c>
      <c r="D92">
        <v>0</v>
      </c>
      <c r="E92">
        <v>0.05</v>
      </c>
      <c r="F92">
        <v>0</v>
      </c>
      <c r="G92">
        <v>0.15</v>
      </c>
    </row>
    <row r="93" spans="1:7" x14ac:dyDescent="0.2">
      <c r="A93">
        <v>2670</v>
      </c>
      <c r="B93" s="106" t="s">
        <v>4553</v>
      </c>
      <c r="C93">
        <v>0</v>
      </c>
      <c r="D93">
        <v>0</v>
      </c>
      <c r="E93">
        <v>0</v>
      </c>
      <c r="F93" t="s">
        <v>162</v>
      </c>
      <c r="G93">
        <v>0</v>
      </c>
    </row>
    <row r="94" spans="1:7" x14ac:dyDescent="0.2">
      <c r="A94">
        <v>2678</v>
      </c>
      <c r="B94" s="106" t="s">
        <v>894</v>
      </c>
      <c r="C94">
        <v>0.05</v>
      </c>
      <c r="D94">
        <v>0.05</v>
      </c>
      <c r="E94">
        <v>0.05</v>
      </c>
      <c r="F94">
        <v>0.05</v>
      </c>
      <c r="G94">
        <v>0.15</v>
      </c>
    </row>
    <row r="95" spans="1:7" x14ac:dyDescent="0.2">
      <c r="A95">
        <v>2692</v>
      </c>
      <c r="B95" s="106" t="s">
        <v>895</v>
      </c>
      <c r="C95">
        <v>0.1</v>
      </c>
      <c r="D95" s="106">
        <v>0.1</v>
      </c>
      <c r="E95" s="106">
        <v>0.1</v>
      </c>
      <c r="F95">
        <v>0.1</v>
      </c>
      <c r="G95">
        <v>0.3</v>
      </c>
    </row>
    <row r="96" spans="1:7" x14ac:dyDescent="0.2">
      <c r="A96">
        <v>2698</v>
      </c>
      <c r="B96" s="106" t="s">
        <v>896</v>
      </c>
      <c r="C96">
        <v>0.05</v>
      </c>
      <c r="D96">
        <v>0.05</v>
      </c>
      <c r="E96">
        <v>0.05</v>
      </c>
      <c r="F96">
        <v>0.05</v>
      </c>
      <c r="G96">
        <v>0.15</v>
      </c>
    </row>
    <row r="97" spans="1:7" x14ac:dyDescent="0.2">
      <c r="A97">
        <v>2715</v>
      </c>
      <c r="B97" s="106" t="s">
        <v>1581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2730</v>
      </c>
      <c r="B98" s="106" t="s">
        <v>897</v>
      </c>
      <c r="C98">
        <v>0.05</v>
      </c>
      <c r="D98">
        <v>0.05</v>
      </c>
      <c r="E98">
        <v>0.05</v>
      </c>
      <c r="F98">
        <v>0.05</v>
      </c>
      <c r="G98">
        <v>0.15</v>
      </c>
    </row>
    <row r="99" spans="1:7" x14ac:dyDescent="0.2">
      <c r="A99">
        <v>2749</v>
      </c>
      <c r="B99" s="106" t="s">
        <v>4743</v>
      </c>
      <c r="C99">
        <v>0</v>
      </c>
      <c r="D99">
        <v>0</v>
      </c>
      <c r="E99" t="s">
        <v>162</v>
      </c>
      <c r="F99" t="s">
        <v>162</v>
      </c>
      <c r="G99">
        <v>0</v>
      </c>
    </row>
    <row r="100" spans="1:7" x14ac:dyDescent="0.2">
      <c r="A100">
        <v>2784</v>
      </c>
      <c r="B100" s="106" t="s">
        <v>1535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">
      <c r="A101">
        <v>2791</v>
      </c>
      <c r="B101" s="106" t="s">
        <v>1884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2796</v>
      </c>
      <c r="B102" s="106" t="s">
        <v>1582</v>
      </c>
      <c r="C102">
        <v>0.05</v>
      </c>
      <c r="D102">
        <v>0.05</v>
      </c>
      <c r="E102">
        <v>0.05</v>
      </c>
      <c r="F102">
        <v>0.05</v>
      </c>
      <c r="G102">
        <v>0.15</v>
      </c>
    </row>
    <row r="103" spans="1:7" x14ac:dyDescent="0.2">
      <c r="A103">
        <v>2801</v>
      </c>
      <c r="B103" s="106" t="s">
        <v>898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">
      <c r="A104">
        <v>2811</v>
      </c>
      <c r="B104" s="106" t="s">
        <v>4744</v>
      </c>
      <c r="C104">
        <v>0</v>
      </c>
      <c r="D104">
        <v>0</v>
      </c>
      <c r="E104" t="s">
        <v>162</v>
      </c>
      <c r="F104" t="s">
        <v>162</v>
      </c>
      <c r="G104">
        <v>0</v>
      </c>
    </row>
    <row r="105" spans="1:7" x14ac:dyDescent="0.2">
      <c r="A105">
        <v>2815</v>
      </c>
      <c r="B105" s="106" t="s">
        <v>899</v>
      </c>
      <c r="C105">
        <v>0</v>
      </c>
      <c r="D105">
        <v>0.15</v>
      </c>
      <c r="E105" s="106">
        <v>0</v>
      </c>
      <c r="F105" s="106">
        <v>0.15</v>
      </c>
      <c r="G105" s="106">
        <v>0.45</v>
      </c>
    </row>
    <row r="106" spans="1:7" x14ac:dyDescent="0.2">
      <c r="A106">
        <v>2819</v>
      </c>
      <c r="B106" s="106" t="s">
        <v>900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">
      <c r="A107">
        <v>2874</v>
      </c>
      <c r="B107" s="106" t="s">
        <v>1885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">
      <c r="A108">
        <v>2875</v>
      </c>
      <c r="B108" s="106" t="s">
        <v>901</v>
      </c>
      <c r="C108">
        <v>0.1</v>
      </c>
      <c r="D108">
        <v>0.1</v>
      </c>
      <c r="E108">
        <v>0.1</v>
      </c>
      <c r="F108">
        <v>0.1</v>
      </c>
      <c r="G108">
        <v>0.3</v>
      </c>
    </row>
    <row r="109" spans="1:7" x14ac:dyDescent="0.2">
      <c r="A109">
        <v>2882</v>
      </c>
      <c r="B109" s="106" t="s">
        <v>902</v>
      </c>
      <c r="C109">
        <v>0.05</v>
      </c>
      <c r="D109">
        <v>0.05</v>
      </c>
      <c r="E109">
        <v>0.05</v>
      </c>
      <c r="F109">
        <v>0.05</v>
      </c>
      <c r="G109">
        <v>0.15</v>
      </c>
    </row>
    <row r="110" spans="1:7" x14ac:dyDescent="0.2">
      <c r="A110">
        <v>2884</v>
      </c>
      <c r="B110" s="106" t="s">
        <v>903</v>
      </c>
      <c r="C110">
        <v>0</v>
      </c>
      <c r="D110" s="106">
        <v>0</v>
      </c>
      <c r="E110" s="106">
        <v>0</v>
      </c>
      <c r="F110">
        <v>0</v>
      </c>
      <c r="G110">
        <v>0</v>
      </c>
    </row>
    <row r="111" spans="1:7" x14ac:dyDescent="0.2">
      <c r="A111">
        <v>2897</v>
      </c>
      <c r="B111" s="106" t="s">
        <v>904</v>
      </c>
      <c r="C111">
        <v>0.15</v>
      </c>
      <c r="D111" s="106">
        <v>0.15</v>
      </c>
      <c r="E111" s="106">
        <v>0.15</v>
      </c>
      <c r="F111">
        <v>0.15</v>
      </c>
      <c r="G111">
        <v>0.45</v>
      </c>
    </row>
    <row r="112" spans="1:7" x14ac:dyDescent="0.2">
      <c r="A112">
        <v>2904</v>
      </c>
      <c r="B112" s="106" t="s">
        <v>5104</v>
      </c>
      <c r="C112">
        <v>0</v>
      </c>
      <c r="D112" t="s">
        <v>162</v>
      </c>
      <c r="E112" t="s">
        <v>162</v>
      </c>
      <c r="F112">
        <v>0</v>
      </c>
      <c r="G112">
        <v>0</v>
      </c>
    </row>
    <row r="113" spans="1:7" x14ac:dyDescent="0.2">
      <c r="A113">
        <v>2908</v>
      </c>
      <c r="B113" s="106" t="s">
        <v>905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">
      <c r="A114">
        <v>2910</v>
      </c>
      <c r="B114" s="106" t="s">
        <v>906</v>
      </c>
      <c r="C114">
        <v>0.05</v>
      </c>
      <c r="D114">
        <v>0.05</v>
      </c>
      <c r="E114">
        <v>0.05</v>
      </c>
      <c r="F114">
        <v>0.05</v>
      </c>
      <c r="G114" s="106">
        <v>0.15</v>
      </c>
    </row>
    <row r="115" spans="1:7" x14ac:dyDescent="0.2">
      <c r="A115">
        <v>2915</v>
      </c>
      <c r="B115" s="106" t="s">
        <v>4323</v>
      </c>
      <c r="C115">
        <v>0</v>
      </c>
      <c r="D115">
        <v>0.05</v>
      </c>
      <c r="E115">
        <v>0</v>
      </c>
      <c r="F115" s="106">
        <v>0</v>
      </c>
      <c r="G115" s="106">
        <v>0</v>
      </c>
    </row>
    <row r="116" spans="1:7" x14ac:dyDescent="0.2">
      <c r="A116">
        <v>2922</v>
      </c>
      <c r="B116" s="106" t="s">
        <v>907</v>
      </c>
      <c r="C116">
        <v>0.05</v>
      </c>
      <c r="D116">
        <v>0.05</v>
      </c>
      <c r="E116" s="106">
        <v>0.05</v>
      </c>
      <c r="F116" s="106">
        <v>0.05</v>
      </c>
      <c r="G116" s="106">
        <v>0.15</v>
      </c>
    </row>
    <row r="117" spans="1:7" x14ac:dyDescent="0.2">
      <c r="A117">
        <v>2924</v>
      </c>
      <c r="B117" s="106" t="s">
        <v>908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">
      <c r="A118">
        <v>2930</v>
      </c>
      <c r="B118" s="106" t="s">
        <v>909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2931</v>
      </c>
      <c r="B119" s="106" t="s">
        <v>910</v>
      </c>
      <c r="C119">
        <v>0.05</v>
      </c>
      <c r="D119">
        <v>0.05</v>
      </c>
      <c r="E119" s="106">
        <v>0.05</v>
      </c>
      <c r="F119">
        <v>0.05</v>
      </c>
      <c r="G119">
        <v>0.15</v>
      </c>
    </row>
    <row r="120" spans="1:7" x14ac:dyDescent="0.2">
      <c r="A120">
        <v>2975</v>
      </c>
      <c r="B120" s="106" t="s">
        <v>911</v>
      </c>
      <c r="C120">
        <v>0.05</v>
      </c>
      <c r="D120">
        <v>0.05</v>
      </c>
      <c r="E120">
        <v>0.05</v>
      </c>
      <c r="F120">
        <v>0.05</v>
      </c>
      <c r="G120">
        <v>0.15</v>
      </c>
    </row>
    <row r="121" spans="1:7" x14ac:dyDescent="0.2">
      <c r="A121">
        <v>3001</v>
      </c>
      <c r="B121" s="106" t="s">
        <v>4390</v>
      </c>
      <c r="C121">
        <v>0</v>
      </c>
      <c r="D121">
        <v>0</v>
      </c>
      <c r="E121">
        <v>0</v>
      </c>
      <c r="F121">
        <v>0</v>
      </c>
      <c r="G121" s="106" t="s">
        <v>162</v>
      </c>
    </row>
    <row r="122" spans="1:7" x14ac:dyDescent="0.2">
      <c r="A122">
        <v>3003</v>
      </c>
      <c r="B122" s="106" t="s">
        <v>828</v>
      </c>
      <c r="C122">
        <v>0.05</v>
      </c>
      <c r="D122">
        <v>0.05</v>
      </c>
      <c r="E122">
        <v>0.05</v>
      </c>
      <c r="F122">
        <v>0.05</v>
      </c>
      <c r="G122">
        <v>0.15</v>
      </c>
    </row>
    <row r="123" spans="1:7" x14ac:dyDescent="0.2">
      <c r="A123">
        <v>3004</v>
      </c>
      <c r="B123" s="106" t="s">
        <v>912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3028</v>
      </c>
      <c r="B124" s="106" t="s">
        <v>1583</v>
      </c>
      <c r="C124">
        <v>0.05</v>
      </c>
      <c r="D124">
        <v>0.05</v>
      </c>
      <c r="E124">
        <v>0.05</v>
      </c>
      <c r="F124">
        <v>0.05</v>
      </c>
      <c r="G124">
        <v>0.15</v>
      </c>
    </row>
    <row r="125" spans="1:7" x14ac:dyDescent="0.2">
      <c r="A125">
        <v>3046</v>
      </c>
      <c r="B125" s="106" t="s">
        <v>913</v>
      </c>
      <c r="C125">
        <v>0.15</v>
      </c>
      <c r="D125">
        <v>0.15</v>
      </c>
      <c r="E125">
        <v>0.15</v>
      </c>
      <c r="F125">
        <v>0.15</v>
      </c>
      <c r="G125">
        <v>0.45</v>
      </c>
    </row>
    <row r="126" spans="1:7" x14ac:dyDescent="0.2">
      <c r="A126">
        <v>3050</v>
      </c>
      <c r="B126" s="106" t="s">
        <v>5105</v>
      </c>
      <c r="C126">
        <v>0</v>
      </c>
      <c r="D126" t="s">
        <v>162</v>
      </c>
      <c r="E126">
        <v>0</v>
      </c>
      <c r="F126">
        <v>0</v>
      </c>
      <c r="G126">
        <v>0</v>
      </c>
    </row>
    <row r="127" spans="1:7" x14ac:dyDescent="0.2">
      <c r="A127">
        <v>3067</v>
      </c>
      <c r="B127" s="106" t="s">
        <v>914</v>
      </c>
      <c r="C127">
        <v>0.05</v>
      </c>
      <c r="D127">
        <v>0.05</v>
      </c>
      <c r="E127">
        <v>0.05</v>
      </c>
      <c r="F127">
        <v>0.05</v>
      </c>
      <c r="G127">
        <v>0.15</v>
      </c>
    </row>
    <row r="128" spans="1:7" x14ac:dyDescent="0.2">
      <c r="A128">
        <v>3079</v>
      </c>
      <c r="B128" s="106" t="s">
        <v>1584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">
      <c r="A129">
        <v>3082</v>
      </c>
      <c r="B129" s="106" t="s">
        <v>915</v>
      </c>
      <c r="C129">
        <v>0.05</v>
      </c>
      <c r="D129" s="106">
        <v>0.05</v>
      </c>
      <c r="E129">
        <v>0.05</v>
      </c>
      <c r="F129" s="106">
        <v>0.05</v>
      </c>
      <c r="G129">
        <v>0.15</v>
      </c>
    </row>
    <row r="130" spans="1:7" x14ac:dyDescent="0.2">
      <c r="A130">
        <v>3086</v>
      </c>
      <c r="B130" s="106" t="s">
        <v>916</v>
      </c>
      <c r="C130">
        <v>0.05</v>
      </c>
      <c r="D130">
        <v>0.05</v>
      </c>
      <c r="E130">
        <v>0.05</v>
      </c>
      <c r="F130">
        <v>0.05</v>
      </c>
      <c r="G130">
        <v>0.15</v>
      </c>
    </row>
    <row r="131" spans="1:7" x14ac:dyDescent="0.2">
      <c r="A131">
        <v>3088</v>
      </c>
      <c r="B131" s="106" t="s">
        <v>917</v>
      </c>
      <c r="C131">
        <v>0.1</v>
      </c>
      <c r="D131" s="106">
        <v>0.1</v>
      </c>
      <c r="E131">
        <v>0.1</v>
      </c>
      <c r="F131" s="106">
        <v>0.1</v>
      </c>
      <c r="G131" s="106">
        <v>0.3</v>
      </c>
    </row>
    <row r="132" spans="1:7" x14ac:dyDescent="0.2">
      <c r="A132">
        <v>3099</v>
      </c>
      <c r="B132" s="106" t="s">
        <v>37</v>
      </c>
      <c r="C132">
        <v>0</v>
      </c>
      <c r="D132" s="106">
        <v>0</v>
      </c>
      <c r="E132">
        <v>0.05</v>
      </c>
      <c r="F132" s="106">
        <v>0</v>
      </c>
      <c r="G132" s="106">
        <v>0.15</v>
      </c>
    </row>
    <row r="133" spans="1:7" x14ac:dyDescent="0.2">
      <c r="A133">
        <v>3101</v>
      </c>
      <c r="B133" s="106" t="s">
        <v>827</v>
      </c>
      <c r="C133">
        <v>0</v>
      </c>
      <c r="D133">
        <v>0</v>
      </c>
      <c r="E133">
        <v>0</v>
      </c>
      <c r="F133">
        <v>0.05</v>
      </c>
      <c r="G133">
        <v>0.15</v>
      </c>
    </row>
    <row r="134" spans="1:7" x14ac:dyDescent="0.2">
      <c r="A134">
        <v>3104</v>
      </c>
      <c r="B134" s="106" t="s">
        <v>918</v>
      </c>
      <c r="C134">
        <v>0</v>
      </c>
      <c r="D134">
        <v>0.1</v>
      </c>
      <c r="E134">
        <v>0.1</v>
      </c>
      <c r="F134">
        <v>0.1</v>
      </c>
      <c r="G134">
        <v>0.3</v>
      </c>
    </row>
    <row r="135" spans="1:7" x14ac:dyDescent="0.2">
      <c r="A135">
        <v>3106</v>
      </c>
      <c r="B135" s="106" t="s">
        <v>919</v>
      </c>
      <c r="C135">
        <v>0.05</v>
      </c>
      <c r="D135" s="106">
        <v>0.05</v>
      </c>
      <c r="E135">
        <v>0.05</v>
      </c>
      <c r="F135">
        <v>0.05</v>
      </c>
      <c r="G135" s="106">
        <v>0.15</v>
      </c>
    </row>
    <row r="136" spans="1:7" x14ac:dyDescent="0.2">
      <c r="A136">
        <v>3109</v>
      </c>
      <c r="B136" s="106" t="s">
        <v>4745</v>
      </c>
      <c r="C136">
        <v>0.05</v>
      </c>
      <c r="D136" s="106">
        <v>0</v>
      </c>
      <c r="E136" t="s">
        <v>162</v>
      </c>
      <c r="F136" s="106" t="s">
        <v>162</v>
      </c>
      <c r="G136" s="106" t="s">
        <v>162</v>
      </c>
    </row>
    <row r="137" spans="1:7" x14ac:dyDescent="0.2">
      <c r="A137">
        <v>3110</v>
      </c>
      <c r="B137" s="106" t="s">
        <v>817</v>
      </c>
      <c r="C137">
        <v>0.1</v>
      </c>
      <c r="D137" s="106">
        <v>0.1</v>
      </c>
      <c r="E137">
        <v>0.1</v>
      </c>
      <c r="F137">
        <v>0.1</v>
      </c>
      <c r="G137">
        <v>0.3</v>
      </c>
    </row>
    <row r="138" spans="1:7" x14ac:dyDescent="0.2">
      <c r="A138">
        <v>3116</v>
      </c>
      <c r="B138" s="106" t="s">
        <v>66</v>
      </c>
      <c r="C138">
        <v>0</v>
      </c>
      <c r="D138">
        <v>0</v>
      </c>
      <c r="E138">
        <v>0</v>
      </c>
      <c r="F138">
        <v>0.05</v>
      </c>
      <c r="G138">
        <v>0</v>
      </c>
    </row>
    <row r="139" spans="1:7" x14ac:dyDescent="0.2">
      <c r="A139">
        <v>3132</v>
      </c>
      <c r="B139" s="106" t="s">
        <v>5106</v>
      </c>
      <c r="C139">
        <v>0.05</v>
      </c>
      <c r="D139" s="106" t="s">
        <v>162</v>
      </c>
      <c r="E139">
        <v>0.05</v>
      </c>
      <c r="F139">
        <v>0</v>
      </c>
      <c r="G139" s="106">
        <v>0.15</v>
      </c>
    </row>
    <row r="140" spans="1:7" x14ac:dyDescent="0.2">
      <c r="A140">
        <v>3134</v>
      </c>
      <c r="B140" s="106" t="s">
        <v>1536</v>
      </c>
      <c r="C140">
        <v>0</v>
      </c>
      <c r="D140" s="106">
        <v>0</v>
      </c>
      <c r="E140">
        <v>0</v>
      </c>
      <c r="F140">
        <v>0</v>
      </c>
      <c r="G140" s="106">
        <v>0</v>
      </c>
    </row>
    <row r="141" spans="1:7" x14ac:dyDescent="0.2">
      <c r="A141">
        <v>3139</v>
      </c>
      <c r="B141" s="106" t="s">
        <v>1886</v>
      </c>
      <c r="C141">
        <v>0.05</v>
      </c>
      <c r="D141">
        <v>0</v>
      </c>
      <c r="E141">
        <v>0</v>
      </c>
      <c r="F141" s="106">
        <v>0</v>
      </c>
      <c r="G141">
        <v>0</v>
      </c>
    </row>
    <row r="142" spans="1:7" x14ac:dyDescent="0.2">
      <c r="A142">
        <v>3141</v>
      </c>
      <c r="B142" s="106" t="s">
        <v>920</v>
      </c>
      <c r="C142">
        <v>0</v>
      </c>
      <c r="D142">
        <v>0</v>
      </c>
      <c r="E142">
        <v>0</v>
      </c>
      <c r="F142">
        <v>0.1</v>
      </c>
      <c r="G142">
        <v>0</v>
      </c>
    </row>
    <row r="143" spans="1:7" x14ac:dyDescent="0.2">
      <c r="A143">
        <v>3148</v>
      </c>
      <c r="B143" s="106" t="s">
        <v>921</v>
      </c>
      <c r="C143">
        <v>0.05</v>
      </c>
      <c r="D143">
        <v>0.05</v>
      </c>
      <c r="E143" s="106">
        <v>0.05</v>
      </c>
      <c r="F143" s="106">
        <v>0.05</v>
      </c>
      <c r="G143" s="106">
        <v>0.15</v>
      </c>
    </row>
    <row r="144" spans="1:7" x14ac:dyDescent="0.2">
      <c r="A144">
        <v>3151</v>
      </c>
      <c r="B144" s="106" t="s">
        <v>922</v>
      </c>
      <c r="C144">
        <v>0.05</v>
      </c>
      <c r="D144">
        <v>0.05</v>
      </c>
      <c r="E144" s="106">
        <v>0.05</v>
      </c>
      <c r="F144" s="106">
        <v>0.05</v>
      </c>
      <c r="G144" s="106">
        <v>0.15</v>
      </c>
    </row>
    <row r="145" spans="1:7" x14ac:dyDescent="0.2">
      <c r="A145">
        <v>3154</v>
      </c>
      <c r="B145" s="106" t="s">
        <v>923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">
      <c r="A146">
        <v>3159</v>
      </c>
      <c r="B146" s="106" t="s">
        <v>924</v>
      </c>
      <c r="C146">
        <v>0.05</v>
      </c>
      <c r="D146">
        <v>0.05</v>
      </c>
      <c r="E146">
        <v>0.05</v>
      </c>
      <c r="F146">
        <v>0.05</v>
      </c>
      <c r="G146">
        <v>0.15</v>
      </c>
    </row>
    <row r="147" spans="1:7" x14ac:dyDescent="0.2">
      <c r="A147">
        <v>3160</v>
      </c>
      <c r="B147" s="106" t="s">
        <v>5107</v>
      </c>
      <c r="C147">
        <v>0</v>
      </c>
      <c r="D147" s="106" t="s">
        <v>162</v>
      </c>
      <c r="E147" s="106">
        <v>0</v>
      </c>
      <c r="F147" s="106">
        <v>0</v>
      </c>
      <c r="G147" s="106">
        <v>0</v>
      </c>
    </row>
    <row r="148" spans="1:7" x14ac:dyDescent="0.2">
      <c r="A148">
        <v>3166</v>
      </c>
      <c r="B148" s="106" t="s">
        <v>925</v>
      </c>
      <c r="C148">
        <v>0.05</v>
      </c>
      <c r="D148">
        <v>0.05</v>
      </c>
      <c r="E148">
        <v>0.05</v>
      </c>
      <c r="F148">
        <v>0.05</v>
      </c>
      <c r="G148">
        <v>0.15</v>
      </c>
    </row>
    <row r="149" spans="1:7" x14ac:dyDescent="0.2">
      <c r="A149">
        <v>3167</v>
      </c>
      <c r="B149" s="106" t="s">
        <v>4280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">
      <c r="A150">
        <v>3168</v>
      </c>
      <c r="B150" s="106" t="s">
        <v>5108</v>
      </c>
      <c r="C150">
        <v>0.05</v>
      </c>
      <c r="D150" t="s">
        <v>162</v>
      </c>
      <c r="E150">
        <v>0.05</v>
      </c>
      <c r="F150">
        <v>0.05</v>
      </c>
      <c r="G150">
        <v>0.15</v>
      </c>
    </row>
    <row r="151" spans="1:7" x14ac:dyDescent="0.2">
      <c r="A151">
        <v>3176</v>
      </c>
      <c r="B151" s="106" t="s">
        <v>1887</v>
      </c>
      <c r="C151">
        <v>0.05</v>
      </c>
      <c r="D151">
        <v>0</v>
      </c>
      <c r="E151">
        <v>0.05</v>
      </c>
      <c r="F151">
        <v>0</v>
      </c>
      <c r="G151">
        <v>0</v>
      </c>
    </row>
    <row r="152" spans="1:7" x14ac:dyDescent="0.2">
      <c r="A152">
        <v>3178</v>
      </c>
      <c r="B152" s="106" t="s">
        <v>926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">
      <c r="A153">
        <v>3180</v>
      </c>
      <c r="B153" s="106" t="s">
        <v>4324</v>
      </c>
      <c r="C153">
        <v>0.05</v>
      </c>
      <c r="D153">
        <v>0.05</v>
      </c>
      <c r="E153">
        <v>0.05</v>
      </c>
      <c r="F153">
        <v>0.05</v>
      </c>
      <c r="G153">
        <v>0.15</v>
      </c>
    </row>
    <row r="154" spans="1:7" x14ac:dyDescent="0.2">
      <c r="A154">
        <v>3183</v>
      </c>
      <c r="B154" s="106" t="s">
        <v>927</v>
      </c>
      <c r="C154">
        <v>0.05</v>
      </c>
      <c r="D154" s="106">
        <v>0.05</v>
      </c>
      <c r="E154">
        <v>0.05</v>
      </c>
      <c r="F154" s="106">
        <v>0.05</v>
      </c>
      <c r="G154" s="106">
        <v>0.15</v>
      </c>
    </row>
    <row r="155" spans="1:7" x14ac:dyDescent="0.2">
      <c r="A155">
        <v>3186</v>
      </c>
      <c r="B155" s="106" t="s">
        <v>4281</v>
      </c>
      <c r="C155">
        <v>0</v>
      </c>
      <c r="D155">
        <v>0</v>
      </c>
      <c r="E155" s="106">
        <v>0</v>
      </c>
      <c r="F155" s="106">
        <v>0</v>
      </c>
      <c r="G155">
        <v>0</v>
      </c>
    </row>
    <row r="156" spans="1:7" x14ac:dyDescent="0.2">
      <c r="A156">
        <v>3193</v>
      </c>
      <c r="B156" s="106" t="s">
        <v>928</v>
      </c>
      <c r="C156">
        <v>0.05</v>
      </c>
      <c r="D156">
        <v>0.05</v>
      </c>
      <c r="E156" s="106">
        <v>0.05</v>
      </c>
      <c r="F156" s="106">
        <v>0.05</v>
      </c>
      <c r="G156">
        <v>0.15</v>
      </c>
    </row>
    <row r="157" spans="1:7" x14ac:dyDescent="0.2">
      <c r="A157">
        <v>3197</v>
      </c>
      <c r="B157" s="106" t="s">
        <v>929</v>
      </c>
      <c r="C157">
        <v>0.05</v>
      </c>
      <c r="D157">
        <v>0.05</v>
      </c>
      <c r="E157">
        <v>0.05</v>
      </c>
      <c r="F157">
        <v>0.05</v>
      </c>
      <c r="G157">
        <v>0.15</v>
      </c>
    </row>
    <row r="158" spans="1:7" x14ac:dyDescent="0.2">
      <c r="A158">
        <v>3201</v>
      </c>
      <c r="B158" s="106" t="s">
        <v>4325</v>
      </c>
      <c r="C158">
        <v>0.05</v>
      </c>
      <c r="D158" s="106">
        <v>0.05</v>
      </c>
      <c r="E158" s="106">
        <v>0.05</v>
      </c>
      <c r="F158" s="106">
        <v>0</v>
      </c>
      <c r="G158" s="106">
        <v>0</v>
      </c>
    </row>
    <row r="159" spans="1:7" x14ac:dyDescent="0.2">
      <c r="A159">
        <v>3204</v>
      </c>
      <c r="B159" s="106" t="s">
        <v>930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">
      <c r="A160">
        <v>3205</v>
      </c>
      <c r="B160" s="106" t="s">
        <v>931</v>
      </c>
      <c r="C160">
        <v>0.05</v>
      </c>
      <c r="D160">
        <v>0.05</v>
      </c>
      <c r="E160">
        <v>0.05</v>
      </c>
      <c r="F160">
        <v>0.05</v>
      </c>
      <c r="G160">
        <v>0.15</v>
      </c>
    </row>
    <row r="161" spans="1:7" x14ac:dyDescent="0.2">
      <c r="A161">
        <v>3222</v>
      </c>
      <c r="B161" s="106" t="s">
        <v>932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">
      <c r="A162">
        <v>3231</v>
      </c>
      <c r="B162" s="106" t="s">
        <v>635</v>
      </c>
      <c r="C162">
        <v>0.05</v>
      </c>
      <c r="D162">
        <v>0.05</v>
      </c>
      <c r="E162">
        <v>0.05</v>
      </c>
      <c r="F162">
        <v>0.05</v>
      </c>
      <c r="G162">
        <v>0.15</v>
      </c>
    </row>
    <row r="163" spans="1:7" x14ac:dyDescent="0.2">
      <c r="A163">
        <v>3232</v>
      </c>
      <c r="B163" s="106" t="s">
        <v>933</v>
      </c>
      <c r="C163">
        <v>0.05</v>
      </c>
      <c r="D163">
        <v>0</v>
      </c>
      <c r="E163">
        <v>0.05</v>
      </c>
      <c r="F163">
        <v>0</v>
      </c>
      <c r="G163">
        <v>0.15</v>
      </c>
    </row>
    <row r="164" spans="1:7" x14ac:dyDescent="0.2">
      <c r="A164">
        <v>3271</v>
      </c>
      <c r="B164" s="106" t="s">
        <v>934</v>
      </c>
      <c r="C164">
        <v>0</v>
      </c>
      <c r="D164" s="106">
        <v>0</v>
      </c>
      <c r="E164">
        <v>0</v>
      </c>
      <c r="F164">
        <v>0</v>
      </c>
      <c r="G164">
        <v>0</v>
      </c>
    </row>
    <row r="165" spans="1:7" x14ac:dyDescent="0.2">
      <c r="A165">
        <v>3276</v>
      </c>
      <c r="B165" s="106" t="s">
        <v>935</v>
      </c>
      <c r="C165">
        <v>0.05</v>
      </c>
      <c r="D165">
        <v>0</v>
      </c>
      <c r="E165">
        <v>0</v>
      </c>
      <c r="F165">
        <v>0</v>
      </c>
      <c r="G165">
        <v>0</v>
      </c>
    </row>
    <row r="166" spans="1:7" x14ac:dyDescent="0.2">
      <c r="A166">
        <v>3280</v>
      </c>
      <c r="B166" s="106" t="s">
        <v>1888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3284</v>
      </c>
      <c r="B167" s="106" t="s">
        <v>4247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">
      <c r="A168">
        <v>3288</v>
      </c>
      <c r="B168" s="106" t="s">
        <v>5109</v>
      </c>
      <c r="C168">
        <v>0</v>
      </c>
      <c r="D168" t="s">
        <v>162</v>
      </c>
      <c r="E168">
        <v>0.05</v>
      </c>
      <c r="F168" t="s">
        <v>162</v>
      </c>
      <c r="G168">
        <v>0.15</v>
      </c>
    </row>
    <row r="169" spans="1:7" x14ac:dyDescent="0.2">
      <c r="A169">
        <v>3289</v>
      </c>
      <c r="B169" s="106" t="s">
        <v>936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 x14ac:dyDescent="0.2">
      <c r="A170">
        <v>3291</v>
      </c>
      <c r="B170" s="106" t="s">
        <v>62</v>
      </c>
      <c r="C170">
        <v>0.05</v>
      </c>
      <c r="D170" s="106">
        <v>0.05</v>
      </c>
      <c r="E170">
        <v>0.05</v>
      </c>
      <c r="F170" s="106">
        <v>0.05</v>
      </c>
      <c r="G170" s="106">
        <v>0.15</v>
      </c>
    </row>
    <row r="171" spans="1:7" x14ac:dyDescent="0.2">
      <c r="A171">
        <v>3299</v>
      </c>
      <c r="B171" s="106" t="s">
        <v>937</v>
      </c>
      <c r="C171">
        <v>0.05</v>
      </c>
      <c r="D171">
        <v>0.05</v>
      </c>
      <c r="E171">
        <v>0.05</v>
      </c>
      <c r="F171">
        <v>0.05</v>
      </c>
      <c r="G171" s="106">
        <v>0.15</v>
      </c>
    </row>
    <row r="172" spans="1:7" x14ac:dyDescent="0.2">
      <c r="A172">
        <v>3349</v>
      </c>
      <c r="B172" s="106" t="s">
        <v>938</v>
      </c>
      <c r="C172">
        <v>0.45</v>
      </c>
      <c r="D172">
        <v>0.45</v>
      </c>
      <c r="E172">
        <v>0.5</v>
      </c>
      <c r="F172">
        <v>0.45</v>
      </c>
      <c r="G172" s="106">
        <v>1.35</v>
      </c>
    </row>
    <row r="173" spans="1:7" x14ac:dyDescent="0.2">
      <c r="A173">
        <v>3360</v>
      </c>
      <c r="B173" s="106" t="s">
        <v>1537</v>
      </c>
      <c r="C173">
        <v>0.1</v>
      </c>
      <c r="D173">
        <v>0.1</v>
      </c>
      <c r="E173">
        <v>0.1</v>
      </c>
      <c r="F173">
        <v>0.1</v>
      </c>
      <c r="G173" s="106">
        <v>0.3</v>
      </c>
    </row>
    <row r="174" spans="1:7" x14ac:dyDescent="0.2">
      <c r="A174">
        <v>3382</v>
      </c>
      <c r="B174" s="106" t="s">
        <v>939</v>
      </c>
      <c r="C174">
        <v>0.1</v>
      </c>
      <c r="D174">
        <v>0.1</v>
      </c>
      <c r="E174">
        <v>0.1</v>
      </c>
      <c r="F174">
        <v>0.1</v>
      </c>
      <c r="G174">
        <v>0.3</v>
      </c>
    </row>
    <row r="175" spans="1:7" x14ac:dyDescent="0.2">
      <c r="A175">
        <v>3387</v>
      </c>
      <c r="B175" s="106" t="s">
        <v>940</v>
      </c>
      <c r="C175">
        <v>0.05</v>
      </c>
      <c r="D175" s="106">
        <v>0.05</v>
      </c>
      <c r="E175" s="106">
        <v>0.05</v>
      </c>
      <c r="F175" s="106">
        <v>0.05</v>
      </c>
      <c r="G175" s="106">
        <v>0.15</v>
      </c>
    </row>
    <row r="176" spans="1:7" x14ac:dyDescent="0.2">
      <c r="A176">
        <v>3391</v>
      </c>
      <c r="B176" s="106" t="s">
        <v>941</v>
      </c>
      <c r="C176">
        <v>0.25</v>
      </c>
      <c r="D176">
        <v>0.25</v>
      </c>
      <c r="E176">
        <v>0.25</v>
      </c>
      <c r="F176">
        <v>0.25</v>
      </c>
      <c r="G176">
        <v>0.75</v>
      </c>
    </row>
    <row r="177" spans="1:7" x14ac:dyDescent="0.2">
      <c r="A177">
        <v>3393</v>
      </c>
      <c r="B177" s="106" t="s">
        <v>942</v>
      </c>
      <c r="C177">
        <v>0</v>
      </c>
      <c r="D177">
        <v>0</v>
      </c>
      <c r="E177">
        <v>0.05</v>
      </c>
      <c r="F177">
        <v>0</v>
      </c>
      <c r="G177">
        <v>0.15</v>
      </c>
    </row>
    <row r="178" spans="1:7" x14ac:dyDescent="0.2">
      <c r="A178">
        <v>3397</v>
      </c>
      <c r="B178" s="106" t="s">
        <v>943</v>
      </c>
      <c r="C178">
        <v>0</v>
      </c>
      <c r="D178">
        <v>0</v>
      </c>
      <c r="E178" s="106">
        <v>0</v>
      </c>
      <c r="F178">
        <v>0</v>
      </c>
      <c r="G178">
        <v>0</v>
      </c>
    </row>
    <row r="179" spans="1:7" x14ac:dyDescent="0.2">
      <c r="A179">
        <v>3401</v>
      </c>
      <c r="B179" s="106" t="s">
        <v>944</v>
      </c>
      <c r="C179">
        <v>0.05</v>
      </c>
      <c r="D179">
        <v>0.05</v>
      </c>
      <c r="E179">
        <v>0.05</v>
      </c>
      <c r="F179">
        <v>0.05</v>
      </c>
      <c r="G179">
        <v>0</v>
      </c>
    </row>
    <row r="180" spans="1:7" x14ac:dyDescent="0.2">
      <c r="A180">
        <v>3433</v>
      </c>
      <c r="B180" s="106" t="s">
        <v>4746</v>
      </c>
      <c r="C180">
        <v>0</v>
      </c>
      <c r="D180">
        <v>0</v>
      </c>
      <c r="E180" t="s">
        <v>162</v>
      </c>
      <c r="F180" t="s">
        <v>162</v>
      </c>
      <c r="G180">
        <v>0</v>
      </c>
    </row>
    <row r="181" spans="1:7" x14ac:dyDescent="0.2">
      <c r="A181">
        <v>3436</v>
      </c>
      <c r="B181" s="106" t="s">
        <v>1585</v>
      </c>
      <c r="C181">
        <v>0</v>
      </c>
      <c r="D181">
        <v>0</v>
      </c>
      <c r="E181">
        <v>0</v>
      </c>
      <c r="F181">
        <v>0</v>
      </c>
      <c r="G181">
        <v>0.15</v>
      </c>
    </row>
    <row r="182" spans="1:7" x14ac:dyDescent="0.2">
      <c r="A182">
        <v>3445</v>
      </c>
      <c r="B182" s="106" t="s">
        <v>4747</v>
      </c>
      <c r="C182">
        <v>0</v>
      </c>
      <c r="D182">
        <v>0</v>
      </c>
      <c r="E182" t="s">
        <v>162</v>
      </c>
      <c r="F182" t="s">
        <v>162</v>
      </c>
      <c r="G182" t="s">
        <v>162</v>
      </c>
    </row>
    <row r="183" spans="1:7" x14ac:dyDescent="0.2">
      <c r="A183">
        <v>3454</v>
      </c>
      <c r="B183" s="106" t="s">
        <v>945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3457</v>
      </c>
      <c r="B184" s="106" t="s">
        <v>946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3475</v>
      </c>
      <c r="B185" s="106" t="s">
        <v>4391</v>
      </c>
      <c r="C185">
        <v>0</v>
      </c>
      <c r="D185" s="106">
        <v>0</v>
      </c>
      <c r="E185">
        <v>0</v>
      </c>
      <c r="F185">
        <v>0</v>
      </c>
      <c r="G185" t="s">
        <v>162</v>
      </c>
    </row>
    <row r="186" spans="1:7" x14ac:dyDescent="0.2">
      <c r="A186">
        <v>3480</v>
      </c>
      <c r="B186" s="106" t="s">
        <v>4248</v>
      </c>
      <c r="C186">
        <v>0</v>
      </c>
      <c r="D186">
        <v>0</v>
      </c>
      <c r="E186">
        <v>0</v>
      </c>
      <c r="F186">
        <v>0</v>
      </c>
      <c r="G186">
        <v>0.3</v>
      </c>
    </row>
    <row r="187" spans="1:7" x14ac:dyDescent="0.2">
      <c r="A187">
        <v>3484</v>
      </c>
      <c r="B187" s="106" t="s">
        <v>947</v>
      </c>
      <c r="C187">
        <v>0</v>
      </c>
      <c r="D187">
        <v>0</v>
      </c>
      <c r="E187">
        <v>0</v>
      </c>
      <c r="F187">
        <v>0</v>
      </c>
      <c r="G187" s="106">
        <v>0</v>
      </c>
    </row>
    <row r="188" spans="1:7" x14ac:dyDescent="0.2">
      <c r="A188">
        <v>3501</v>
      </c>
      <c r="B188" s="106" t="s">
        <v>5110</v>
      </c>
      <c r="C188">
        <v>0</v>
      </c>
      <c r="D188" t="s">
        <v>162</v>
      </c>
      <c r="E188" t="s">
        <v>162</v>
      </c>
      <c r="F188" t="s">
        <v>162</v>
      </c>
      <c r="G188" t="s">
        <v>162</v>
      </c>
    </row>
    <row r="189" spans="1:7" x14ac:dyDescent="0.2">
      <c r="A189">
        <v>3529</v>
      </c>
      <c r="B189" s="106" t="s">
        <v>948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3539</v>
      </c>
      <c r="B190" s="106" t="s">
        <v>949</v>
      </c>
      <c r="C190">
        <v>0.05</v>
      </c>
      <c r="D190">
        <v>0.05</v>
      </c>
      <c r="E190">
        <v>0.05</v>
      </c>
      <c r="F190">
        <v>0.05</v>
      </c>
      <c r="G190">
        <v>0.15</v>
      </c>
    </row>
    <row r="191" spans="1:7" x14ac:dyDescent="0.2">
      <c r="A191">
        <v>3544</v>
      </c>
      <c r="B191" s="106" t="s">
        <v>950</v>
      </c>
      <c r="C191">
        <v>0</v>
      </c>
      <c r="D191" s="106">
        <v>0</v>
      </c>
      <c r="E191" s="106">
        <v>0</v>
      </c>
      <c r="F191" s="106">
        <v>0</v>
      </c>
      <c r="G191" s="106">
        <v>0</v>
      </c>
    </row>
    <row r="192" spans="1:7" x14ac:dyDescent="0.2">
      <c r="A192">
        <v>3546</v>
      </c>
      <c r="B192" s="106" t="s">
        <v>4554</v>
      </c>
      <c r="C192">
        <v>0</v>
      </c>
      <c r="D192" s="106">
        <v>0</v>
      </c>
      <c r="E192">
        <v>0</v>
      </c>
      <c r="F192" s="106" t="s">
        <v>162</v>
      </c>
      <c r="G192" t="s">
        <v>162</v>
      </c>
    </row>
    <row r="193" spans="1:7" x14ac:dyDescent="0.2">
      <c r="A193">
        <v>3547</v>
      </c>
      <c r="B193" s="106" t="s">
        <v>951</v>
      </c>
      <c r="C193">
        <v>0.1</v>
      </c>
      <c r="D193" s="106">
        <v>0.05</v>
      </c>
      <c r="E193" s="106">
        <v>0.05</v>
      </c>
      <c r="F193" s="106">
        <v>0.05</v>
      </c>
      <c r="G193" s="106">
        <v>0.15</v>
      </c>
    </row>
    <row r="194" spans="1:7" x14ac:dyDescent="0.2">
      <c r="A194">
        <v>3561</v>
      </c>
      <c r="B194" s="106" t="s">
        <v>4326</v>
      </c>
      <c r="C194">
        <v>0</v>
      </c>
      <c r="D194" s="106">
        <v>0</v>
      </c>
      <c r="E194" s="106">
        <v>0</v>
      </c>
      <c r="F194">
        <v>0</v>
      </c>
      <c r="G194" s="106">
        <v>0</v>
      </c>
    </row>
    <row r="195" spans="1:7" x14ac:dyDescent="0.2">
      <c r="A195">
        <v>3563</v>
      </c>
      <c r="B195" s="106" t="s">
        <v>1610</v>
      </c>
      <c r="C195">
        <v>0</v>
      </c>
      <c r="D195">
        <v>0.2</v>
      </c>
      <c r="E195" s="106">
        <v>0.2</v>
      </c>
      <c r="F195">
        <v>0.2</v>
      </c>
      <c r="G195" s="106">
        <v>0.6</v>
      </c>
    </row>
    <row r="196" spans="1:7" x14ac:dyDescent="0.2">
      <c r="A196">
        <v>3571</v>
      </c>
      <c r="B196" s="106" t="s">
        <v>952</v>
      </c>
      <c r="C196">
        <v>0.05</v>
      </c>
      <c r="D196">
        <v>0.05</v>
      </c>
      <c r="E196" s="106">
        <v>0.05</v>
      </c>
      <c r="F196" s="106">
        <v>0.05</v>
      </c>
      <c r="G196" s="106">
        <v>0.15</v>
      </c>
    </row>
    <row r="197" spans="1:7" x14ac:dyDescent="0.2">
      <c r="A197">
        <v>3580</v>
      </c>
      <c r="B197" s="106" t="s">
        <v>953</v>
      </c>
      <c r="C197">
        <v>0.05</v>
      </c>
      <c r="D197">
        <v>0.05</v>
      </c>
      <c r="E197">
        <v>0.05</v>
      </c>
      <c r="F197">
        <v>0.05</v>
      </c>
      <c r="G197">
        <v>0.15</v>
      </c>
    </row>
    <row r="198" spans="1:7" x14ac:dyDescent="0.2">
      <c r="A198">
        <v>3591</v>
      </c>
      <c r="B198" s="106" t="s">
        <v>954</v>
      </c>
      <c r="C198">
        <v>0.05</v>
      </c>
      <c r="D198" s="106">
        <v>0.05</v>
      </c>
      <c r="E198" s="106">
        <v>0.05</v>
      </c>
      <c r="F198" s="106">
        <v>0.05</v>
      </c>
      <c r="G198" s="106">
        <v>0.15</v>
      </c>
    </row>
    <row r="199" spans="1:7" x14ac:dyDescent="0.2">
      <c r="A199">
        <v>3593</v>
      </c>
      <c r="B199" s="106" t="s">
        <v>955</v>
      </c>
      <c r="C199">
        <v>0</v>
      </c>
      <c r="D199" s="106">
        <v>0</v>
      </c>
      <c r="E199" s="106">
        <v>0</v>
      </c>
      <c r="F199" s="106">
        <v>0</v>
      </c>
      <c r="G199" s="106">
        <v>0</v>
      </c>
    </row>
    <row r="200" spans="1:7" x14ac:dyDescent="0.2">
      <c r="A200">
        <v>3606</v>
      </c>
      <c r="B200" s="106" t="s">
        <v>956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3612</v>
      </c>
      <c r="B201" s="106" t="s">
        <v>957</v>
      </c>
      <c r="C201">
        <v>0</v>
      </c>
      <c r="D201">
        <v>0</v>
      </c>
      <c r="E201">
        <v>0</v>
      </c>
      <c r="F201">
        <v>0</v>
      </c>
      <c r="G201" s="106">
        <v>0</v>
      </c>
    </row>
    <row r="202" spans="1:7" x14ac:dyDescent="0.2">
      <c r="A202">
        <v>3627</v>
      </c>
      <c r="B202" s="106" t="s">
        <v>958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3635</v>
      </c>
      <c r="B203" s="106" t="s">
        <v>49</v>
      </c>
      <c r="C203">
        <v>0.05</v>
      </c>
      <c r="D203">
        <v>0.05</v>
      </c>
      <c r="E203">
        <v>0</v>
      </c>
      <c r="F203">
        <v>0</v>
      </c>
      <c r="G203">
        <v>0.15</v>
      </c>
    </row>
    <row r="204" spans="1:7" x14ac:dyDescent="0.2">
      <c r="A204">
        <v>3636</v>
      </c>
      <c r="B204" s="106" t="s">
        <v>4555</v>
      </c>
      <c r="C204">
        <v>0</v>
      </c>
      <c r="D204">
        <v>0</v>
      </c>
      <c r="E204" s="106">
        <v>0</v>
      </c>
      <c r="F204" t="s">
        <v>162</v>
      </c>
      <c r="G204" s="106" t="s">
        <v>162</v>
      </c>
    </row>
    <row r="205" spans="1:7" x14ac:dyDescent="0.2">
      <c r="A205">
        <v>3640</v>
      </c>
      <c r="B205" s="106" t="s">
        <v>959</v>
      </c>
      <c r="C205">
        <v>0.05</v>
      </c>
      <c r="D205">
        <v>0.05</v>
      </c>
      <c r="E205" s="106">
        <v>0.05</v>
      </c>
      <c r="F205">
        <v>0.05</v>
      </c>
      <c r="G205" s="106">
        <v>0.15</v>
      </c>
    </row>
    <row r="206" spans="1:7" x14ac:dyDescent="0.2">
      <c r="A206">
        <v>3648</v>
      </c>
      <c r="B206" s="106" t="s">
        <v>960</v>
      </c>
      <c r="C206">
        <v>0</v>
      </c>
      <c r="D206" s="106">
        <v>0</v>
      </c>
      <c r="E206" s="106">
        <v>0</v>
      </c>
      <c r="F206" s="106">
        <v>0</v>
      </c>
      <c r="G206" s="106">
        <v>0.15</v>
      </c>
    </row>
    <row r="207" spans="1:7" x14ac:dyDescent="0.2">
      <c r="A207">
        <v>3655</v>
      </c>
      <c r="B207" s="106" t="s">
        <v>961</v>
      </c>
      <c r="C207">
        <v>0.15</v>
      </c>
      <c r="D207" s="106">
        <v>0.15</v>
      </c>
      <c r="E207">
        <v>0.15</v>
      </c>
      <c r="F207" s="106">
        <v>0.15</v>
      </c>
      <c r="G207" s="106">
        <v>0.3</v>
      </c>
    </row>
    <row r="208" spans="1:7" x14ac:dyDescent="0.2">
      <c r="A208">
        <v>3656</v>
      </c>
      <c r="B208" s="106" t="s">
        <v>962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3659</v>
      </c>
      <c r="B209" s="106" t="s">
        <v>963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3660</v>
      </c>
      <c r="B210" s="106" t="s">
        <v>964</v>
      </c>
      <c r="C210">
        <v>0</v>
      </c>
      <c r="D210">
        <v>0</v>
      </c>
      <c r="E210">
        <v>0</v>
      </c>
      <c r="F210" s="106">
        <v>0</v>
      </c>
      <c r="G210" s="106">
        <v>0</v>
      </c>
    </row>
    <row r="211" spans="1:7" x14ac:dyDescent="0.2">
      <c r="A211">
        <v>3661</v>
      </c>
      <c r="B211" s="106" t="s">
        <v>965</v>
      </c>
      <c r="C211">
        <v>0.1</v>
      </c>
      <c r="D211">
        <v>0.05</v>
      </c>
      <c r="E211" s="106">
        <v>0.55000000000000004</v>
      </c>
      <c r="F211">
        <v>0.1</v>
      </c>
      <c r="G211">
        <v>0.6</v>
      </c>
    </row>
    <row r="212" spans="1:7" x14ac:dyDescent="0.2">
      <c r="A212">
        <v>3662</v>
      </c>
      <c r="B212" s="106" t="s">
        <v>966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3667</v>
      </c>
      <c r="B213" s="106" t="s">
        <v>4748</v>
      </c>
      <c r="C213">
        <v>0</v>
      </c>
      <c r="D213">
        <v>0</v>
      </c>
      <c r="E213" t="s">
        <v>162</v>
      </c>
      <c r="F213">
        <v>0</v>
      </c>
      <c r="G213">
        <v>0</v>
      </c>
    </row>
    <row r="214" spans="1:7" x14ac:dyDescent="0.2">
      <c r="A214">
        <v>3668</v>
      </c>
      <c r="B214" s="106" t="s">
        <v>967</v>
      </c>
      <c r="C214">
        <v>0.05</v>
      </c>
      <c r="D214">
        <v>0.05</v>
      </c>
      <c r="E214">
        <v>0.05</v>
      </c>
      <c r="F214">
        <v>0.05</v>
      </c>
      <c r="G214">
        <v>0.15</v>
      </c>
    </row>
    <row r="215" spans="1:7" x14ac:dyDescent="0.2">
      <c r="A215">
        <v>3681</v>
      </c>
      <c r="B215" s="106" t="s">
        <v>4749</v>
      </c>
      <c r="C215">
        <v>0</v>
      </c>
      <c r="D215">
        <v>0</v>
      </c>
      <c r="E215" t="s">
        <v>162</v>
      </c>
      <c r="F215">
        <v>0</v>
      </c>
      <c r="G215" t="s">
        <v>162</v>
      </c>
    </row>
    <row r="216" spans="1:7" x14ac:dyDescent="0.2">
      <c r="A216">
        <v>3694</v>
      </c>
      <c r="B216" s="106" t="s">
        <v>968</v>
      </c>
      <c r="C216">
        <v>0.1</v>
      </c>
      <c r="D216">
        <v>0.1</v>
      </c>
      <c r="E216">
        <v>0.1</v>
      </c>
      <c r="F216">
        <v>0.1</v>
      </c>
      <c r="G216">
        <v>0.3</v>
      </c>
    </row>
    <row r="217" spans="1:7" x14ac:dyDescent="0.2">
      <c r="A217">
        <v>3697</v>
      </c>
      <c r="B217" s="106" t="s">
        <v>969</v>
      </c>
      <c r="C217">
        <v>0</v>
      </c>
      <c r="D217">
        <v>0.15</v>
      </c>
      <c r="E217">
        <v>0.15</v>
      </c>
      <c r="F217">
        <v>0.15</v>
      </c>
      <c r="G217">
        <v>0.45</v>
      </c>
    </row>
    <row r="218" spans="1:7" x14ac:dyDescent="0.2">
      <c r="A218">
        <v>3708</v>
      </c>
      <c r="B218" s="106" t="s">
        <v>970</v>
      </c>
      <c r="C218">
        <v>0.1</v>
      </c>
      <c r="D218">
        <v>0.1</v>
      </c>
      <c r="E218">
        <v>0.1</v>
      </c>
      <c r="F218">
        <v>0.1</v>
      </c>
      <c r="G218">
        <v>0.3</v>
      </c>
    </row>
    <row r="219" spans="1:7" x14ac:dyDescent="0.2">
      <c r="A219">
        <v>3738</v>
      </c>
      <c r="B219" s="106" t="s">
        <v>971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3774</v>
      </c>
      <c r="B220" s="106" t="s">
        <v>972</v>
      </c>
      <c r="C220">
        <v>0</v>
      </c>
      <c r="D220">
        <v>0.05</v>
      </c>
      <c r="E220">
        <v>0</v>
      </c>
      <c r="F220">
        <v>0.05</v>
      </c>
      <c r="G220" s="106">
        <v>0</v>
      </c>
    </row>
    <row r="221" spans="1:7" x14ac:dyDescent="0.2">
      <c r="A221">
        <v>3826</v>
      </c>
      <c r="B221" s="106" t="s">
        <v>4392</v>
      </c>
      <c r="C221">
        <v>0.05</v>
      </c>
      <c r="D221">
        <v>0</v>
      </c>
      <c r="E221">
        <v>0.05</v>
      </c>
      <c r="F221">
        <v>0</v>
      </c>
      <c r="G221" s="106" t="s">
        <v>162</v>
      </c>
    </row>
    <row r="222" spans="1:7" x14ac:dyDescent="0.2">
      <c r="A222">
        <v>3843</v>
      </c>
      <c r="B222" s="106" t="s">
        <v>1538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3865</v>
      </c>
      <c r="B223" s="106" t="s">
        <v>4556</v>
      </c>
      <c r="C223">
        <v>0.05</v>
      </c>
      <c r="D223">
        <v>0</v>
      </c>
      <c r="E223">
        <v>0.05</v>
      </c>
      <c r="F223" t="s">
        <v>162</v>
      </c>
      <c r="G223">
        <v>0.15</v>
      </c>
    </row>
    <row r="224" spans="1:7" x14ac:dyDescent="0.2">
      <c r="A224">
        <v>3878</v>
      </c>
      <c r="B224" s="106" t="s">
        <v>973</v>
      </c>
      <c r="C224">
        <v>0.05</v>
      </c>
      <c r="D224">
        <v>0</v>
      </c>
      <c r="E224">
        <v>0</v>
      </c>
      <c r="F224">
        <v>0</v>
      </c>
      <c r="G224" s="106">
        <v>0.15</v>
      </c>
    </row>
    <row r="225" spans="1:7" x14ac:dyDescent="0.2">
      <c r="A225">
        <v>3880</v>
      </c>
      <c r="B225" s="106" t="s">
        <v>4393</v>
      </c>
      <c r="C225">
        <v>0.05</v>
      </c>
      <c r="D225" s="106">
        <v>0.05</v>
      </c>
      <c r="E225">
        <v>0.05</v>
      </c>
      <c r="F225">
        <v>0</v>
      </c>
      <c r="G225" s="106" t="s">
        <v>162</v>
      </c>
    </row>
    <row r="226" spans="1:7" x14ac:dyDescent="0.2">
      <c r="A226">
        <v>3916</v>
      </c>
      <c r="B226" s="106" t="s">
        <v>1671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3921</v>
      </c>
      <c r="B227" s="106" t="s">
        <v>1889</v>
      </c>
      <c r="C227">
        <v>0.05</v>
      </c>
      <c r="D227">
        <v>0.05</v>
      </c>
      <c r="E227">
        <v>0.05</v>
      </c>
      <c r="F227">
        <v>0.05</v>
      </c>
      <c r="G227">
        <v>0.15</v>
      </c>
    </row>
    <row r="228" spans="1:7" x14ac:dyDescent="0.2">
      <c r="A228">
        <v>3928</v>
      </c>
      <c r="B228" s="106" t="s">
        <v>1539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">
      <c r="A229">
        <v>3946</v>
      </c>
      <c r="B229" s="106" t="s">
        <v>5111</v>
      </c>
      <c r="C229">
        <v>0</v>
      </c>
      <c r="D229" t="s">
        <v>162</v>
      </c>
      <c r="E229">
        <v>0</v>
      </c>
      <c r="F229">
        <v>0</v>
      </c>
      <c r="G229">
        <v>0</v>
      </c>
    </row>
    <row r="230" spans="1:7" x14ac:dyDescent="0.2">
      <c r="A230">
        <v>3950</v>
      </c>
      <c r="B230" s="106" t="s">
        <v>1540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">
      <c r="A231">
        <v>3964</v>
      </c>
      <c r="B231" s="106" t="s">
        <v>974</v>
      </c>
      <c r="C231">
        <v>0.05</v>
      </c>
      <c r="D231">
        <v>0.05</v>
      </c>
      <c r="E231">
        <v>0.05</v>
      </c>
      <c r="F231">
        <v>0.05</v>
      </c>
      <c r="G231">
        <v>0.15</v>
      </c>
    </row>
    <row r="232" spans="1:7" x14ac:dyDescent="0.2">
      <c r="A232">
        <v>3968</v>
      </c>
      <c r="B232" s="106" t="s">
        <v>975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">
      <c r="A233">
        <v>3983</v>
      </c>
      <c r="B233" s="106" t="s">
        <v>976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3996</v>
      </c>
      <c r="B234" s="106" t="s">
        <v>977</v>
      </c>
      <c r="C234">
        <v>0.05</v>
      </c>
      <c r="D234" s="106">
        <v>0.05</v>
      </c>
      <c r="E234">
        <v>0.05</v>
      </c>
      <c r="F234">
        <v>0.05</v>
      </c>
      <c r="G234">
        <v>0.15</v>
      </c>
    </row>
    <row r="235" spans="1:7" x14ac:dyDescent="0.2">
      <c r="A235">
        <v>4004</v>
      </c>
      <c r="B235" s="106" t="s">
        <v>1541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4022</v>
      </c>
      <c r="B236" s="106" t="s">
        <v>5112</v>
      </c>
      <c r="C236">
        <v>0</v>
      </c>
      <c r="D236" s="106" t="s">
        <v>162</v>
      </c>
      <c r="E236" s="106" t="s">
        <v>162</v>
      </c>
      <c r="F236" s="106" t="s">
        <v>162</v>
      </c>
      <c r="G236" s="106" t="s">
        <v>162</v>
      </c>
    </row>
    <row r="237" spans="1:7" x14ac:dyDescent="0.2">
      <c r="A237">
        <v>4025</v>
      </c>
      <c r="B237" s="106" t="s">
        <v>978</v>
      </c>
      <c r="C237">
        <v>0.1</v>
      </c>
      <c r="D237" s="106">
        <v>0.1</v>
      </c>
      <c r="E237">
        <v>0.1</v>
      </c>
      <c r="F237" s="106">
        <v>0.1</v>
      </c>
      <c r="G237" s="106">
        <v>0.3</v>
      </c>
    </row>
    <row r="238" spans="1:7" x14ac:dyDescent="0.2">
      <c r="A238">
        <v>4031</v>
      </c>
      <c r="B238" s="106" t="s">
        <v>1890</v>
      </c>
      <c r="C238">
        <v>0</v>
      </c>
      <c r="D238" s="106">
        <v>0</v>
      </c>
      <c r="E238">
        <v>0</v>
      </c>
      <c r="F238" s="106">
        <v>0</v>
      </c>
      <c r="G238" s="106">
        <v>0</v>
      </c>
    </row>
    <row r="239" spans="1:7" x14ac:dyDescent="0.2">
      <c r="A239">
        <v>4041</v>
      </c>
      <c r="B239" s="106" t="s">
        <v>979</v>
      </c>
      <c r="C239">
        <v>0.1</v>
      </c>
      <c r="D239">
        <v>0.05</v>
      </c>
      <c r="E239">
        <v>0.05</v>
      </c>
      <c r="F239">
        <v>0.05</v>
      </c>
      <c r="G239">
        <v>0.15</v>
      </c>
    </row>
    <row r="240" spans="1:7" x14ac:dyDescent="0.2">
      <c r="A240">
        <v>4042</v>
      </c>
      <c r="B240" s="106" t="s">
        <v>821</v>
      </c>
      <c r="C240">
        <v>0.05</v>
      </c>
      <c r="D240" s="106">
        <v>0.05</v>
      </c>
      <c r="E240">
        <v>0.05</v>
      </c>
      <c r="F240" s="106">
        <v>0.05</v>
      </c>
      <c r="G240">
        <v>0.15</v>
      </c>
    </row>
    <row r="241" spans="1:7" x14ac:dyDescent="0.2">
      <c r="A241">
        <v>4062</v>
      </c>
      <c r="B241" s="106" t="s">
        <v>242</v>
      </c>
      <c r="C241">
        <v>0.05</v>
      </c>
      <c r="D241">
        <v>0</v>
      </c>
      <c r="E241">
        <v>0.05</v>
      </c>
      <c r="F241">
        <v>0.05</v>
      </c>
      <c r="G241">
        <v>0.15</v>
      </c>
    </row>
    <row r="242" spans="1:7" x14ac:dyDescent="0.2">
      <c r="A242">
        <v>4064</v>
      </c>
      <c r="B242" s="106" t="s">
        <v>1672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4091</v>
      </c>
      <c r="B243" s="106" t="s">
        <v>980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">
      <c r="A244">
        <v>4092</v>
      </c>
      <c r="B244" s="106" t="s">
        <v>981</v>
      </c>
      <c r="C244">
        <v>0.1</v>
      </c>
      <c r="D244">
        <v>0.1</v>
      </c>
      <c r="E244">
        <v>0</v>
      </c>
      <c r="F244">
        <v>0.05</v>
      </c>
      <c r="G244">
        <v>0</v>
      </c>
    </row>
    <row r="245" spans="1:7" x14ac:dyDescent="0.2">
      <c r="A245">
        <v>4100</v>
      </c>
      <c r="B245" s="106" t="s">
        <v>982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4112</v>
      </c>
      <c r="B246" s="106" t="s">
        <v>983</v>
      </c>
      <c r="C246">
        <v>0.1</v>
      </c>
      <c r="D246" s="106">
        <v>0.1</v>
      </c>
      <c r="E246" s="106">
        <v>0.1</v>
      </c>
      <c r="F246" s="106">
        <v>0.1</v>
      </c>
      <c r="G246" s="106">
        <v>0.3</v>
      </c>
    </row>
    <row r="247" spans="1:7" x14ac:dyDescent="0.2">
      <c r="A247">
        <v>4114</v>
      </c>
      <c r="B247" s="106" t="s">
        <v>984</v>
      </c>
      <c r="C247">
        <v>0</v>
      </c>
      <c r="D247">
        <v>0</v>
      </c>
      <c r="E247">
        <v>0</v>
      </c>
      <c r="F247">
        <v>0</v>
      </c>
      <c r="G247" s="106">
        <v>0</v>
      </c>
    </row>
    <row r="248" spans="1:7" x14ac:dyDescent="0.2">
      <c r="A248">
        <v>4116</v>
      </c>
      <c r="B248" s="106" t="s">
        <v>5113</v>
      </c>
      <c r="C248">
        <v>0</v>
      </c>
      <c r="D248" t="s">
        <v>162</v>
      </c>
      <c r="E248" t="s">
        <v>162</v>
      </c>
      <c r="F248">
        <v>0</v>
      </c>
      <c r="G248" s="106">
        <v>0</v>
      </c>
    </row>
    <row r="249" spans="1:7" x14ac:dyDescent="0.2">
      <c r="A249">
        <v>4151</v>
      </c>
      <c r="B249" s="106" t="s">
        <v>4282</v>
      </c>
      <c r="C249">
        <v>0.05</v>
      </c>
      <c r="D249">
        <v>0.05</v>
      </c>
      <c r="E249" s="106">
        <v>0.05</v>
      </c>
      <c r="F249">
        <v>0.05</v>
      </c>
      <c r="G249" s="106">
        <v>0.15</v>
      </c>
    </row>
    <row r="250" spans="1:7" x14ac:dyDescent="0.2">
      <c r="A250">
        <v>4182</v>
      </c>
      <c r="B250" s="106" t="s">
        <v>50</v>
      </c>
      <c r="C250">
        <v>0.05</v>
      </c>
      <c r="D250" s="106">
        <v>0.05</v>
      </c>
      <c r="E250" s="106">
        <v>0</v>
      </c>
      <c r="F250" s="106">
        <v>0</v>
      </c>
      <c r="G250" s="106">
        <v>0</v>
      </c>
    </row>
    <row r="251" spans="1:7" x14ac:dyDescent="0.2">
      <c r="A251">
        <v>4186</v>
      </c>
      <c r="B251" s="106" t="s">
        <v>985</v>
      </c>
      <c r="C251">
        <v>0.1</v>
      </c>
      <c r="D251" s="106">
        <v>0.1</v>
      </c>
      <c r="E251" s="106">
        <v>0.1</v>
      </c>
      <c r="F251" s="106">
        <v>0.1</v>
      </c>
      <c r="G251" s="106">
        <v>0.3</v>
      </c>
    </row>
    <row r="252" spans="1:7" x14ac:dyDescent="0.2">
      <c r="A252">
        <v>4187</v>
      </c>
      <c r="B252" s="106" t="s">
        <v>1542</v>
      </c>
      <c r="C252">
        <v>0</v>
      </c>
      <c r="D252">
        <v>0</v>
      </c>
      <c r="E252" s="106">
        <v>0</v>
      </c>
      <c r="F252">
        <v>0</v>
      </c>
      <c r="G252" s="106">
        <v>0.15</v>
      </c>
    </row>
    <row r="253" spans="1:7" x14ac:dyDescent="0.2">
      <c r="A253">
        <v>4202</v>
      </c>
      <c r="B253" s="106" t="s">
        <v>51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">
      <c r="A254">
        <v>4203</v>
      </c>
      <c r="B254" s="106" t="s">
        <v>986</v>
      </c>
      <c r="C254">
        <v>0</v>
      </c>
      <c r="D254">
        <v>0</v>
      </c>
      <c r="E254" s="106">
        <v>0</v>
      </c>
      <c r="F254" s="106">
        <v>0</v>
      </c>
      <c r="G254" s="106">
        <v>0</v>
      </c>
    </row>
    <row r="255" spans="1:7" x14ac:dyDescent="0.2">
      <c r="A255">
        <v>4204</v>
      </c>
      <c r="B255" s="106" t="s">
        <v>240</v>
      </c>
      <c r="C255">
        <v>0.05</v>
      </c>
      <c r="D255" s="106">
        <v>0.05</v>
      </c>
      <c r="E255">
        <v>0.05</v>
      </c>
      <c r="F255" s="106">
        <v>0.05</v>
      </c>
      <c r="G255">
        <v>0.15</v>
      </c>
    </row>
    <row r="256" spans="1:7" x14ac:dyDescent="0.2">
      <c r="A256">
        <v>4205</v>
      </c>
      <c r="B256" s="106" t="s">
        <v>987</v>
      </c>
      <c r="C256">
        <v>0</v>
      </c>
      <c r="D256">
        <v>0</v>
      </c>
      <c r="E256">
        <v>0</v>
      </c>
      <c r="F256" s="106">
        <v>0</v>
      </c>
      <c r="G256" s="106">
        <v>0</v>
      </c>
    </row>
    <row r="257" spans="1:7" x14ac:dyDescent="0.2">
      <c r="A257">
        <v>4208</v>
      </c>
      <c r="B257" s="106" t="s">
        <v>54</v>
      </c>
      <c r="C257">
        <v>0</v>
      </c>
      <c r="D257" s="106">
        <v>0.05</v>
      </c>
      <c r="E257" s="106">
        <v>0</v>
      </c>
      <c r="F257" s="106">
        <v>0.05</v>
      </c>
      <c r="G257" s="106">
        <v>0</v>
      </c>
    </row>
    <row r="258" spans="1:7" x14ac:dyDescent="0.2">
      <c r="A258">
        <v>4212</v>
      </c>
      <c r="B258" s="106" t="s">
        <v>988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">
      <c r="A259">
        <v>4216</v>
      </c>
      <c r="B259" s="106" t="s">
        <v>4557</v>
      </c>
      <c r="C259">
        <v>0</v>
      </c>
      <c r="D259">
        <v>0.05</v>
      </c>
      <c r="E259" s="106">
        <v>0</v>
      </c>
      <c r="F259" s="106" t="s">
        <v>162</v>
      </c>
      <c r="G259" s="106">
        <v>0.15</v>
      </c>
    </row>
    <row r="260" spans="1:7" x14ac:dyDescent="0.2">
      <c r="A260">
        <v>4217</v>
      </c>
      <c r="B260" s="106" t="s">
        <v>1688</v>
      </c>
      <c r="C260">
        <v>0</v>
      </c>
      <c r="D260">
        <v>0</v>
      </c>
      <c r="E260" s="106">
        <v>0</v>
      </c>
      <c r="F260" s="106">
        <v>0</v>
      </c>
      <c r="G260" s="106" t="s">
        <v>162</v>
      </c>
    </row>
    <row r="261" spans="1:7" x14ac:dyDescent="0.2">
      <c r="A261">
        <v>4272</v>
      </c>
      <c r="B261" s="106" t="s">
        <v>5114</v>
      </c>
      <c r="C261">
        <v>0</v>
      </c>
      <c r="D261" t="s">
        <v>162</v>
      </c>
      <c r="E261">
        <v>0</v>
      </c>
      <c r="F261">
        <v>0</v>
      </c>
      <c r="G261">
        <v>0</v>
      </c>
    </row>
    <row r="262" spans="1:7" x14ac:dyDescent="0.2">
      <c r="A262">
        <v>4286</v>
      </c>
      <c r="B262" s="106" t="s">
        <v>989</v>
      </c>
      <c r="C262">
        <v>0</v>
      </c>
      <c r="D262">
        <v>0</v>
      </c>
      <c r="E262">
        <v>0</v>
      </c>
      <c r="F262">
        <v>0.05</v>
      </c>
      <c r="G262">
        <v>0.15</v>
      </c>
    </row>
    <row r="263" spans="1:7" x14ac:dyDescent="0.2">
      <c r="A263">
        <v>4298</v>
      </c>
      <c r="B263" s="106" t="s">
        <v>5115</v>
      </c>
      <c r="C263">
        <v>0.05</v>
      </c>
      <c r="D263" s="106" t="s">
        <v>162</v>
      </c>
      <c r="E263" s="106" t="s">
        <v>162</v>
      </c>
      <c r="F263" s="106" t="s">
        <v>162</v>
      </c>
      <c r="G263" s="106" t="s">
        <v>162</v>
      </c>
    </row>
    <row r="264" spans="1:7" x14ac:dyDescent="0.2">
      <c r="A264">
        <v>4299</v>
      </c>
      <c r="B264" s="106" t="s">
        <v>990</v>
      </c>
      <c r="C264">
        <v>0.05</v>
      </c>
      <c r="D264">
        <v>0.05</v>
      </c>
      <c r="E264" s="106">
        <v>0.05</v>
      </c>
      <c r="F264" s="106">
        <v>0.05</v>
      </c>
      <c r="G264" s="106">
        <v>0.15</v>
      </c>
    </row>
    <row r="265" spans="1:7" x14ac:dyDescent="0.2">
      <c r="A265">
        <v>4307</v>
      </c>
      <c r="B265" s="106" t="s">
        <v>4249</v>
      </c>
      <c r="C265">
        <v>0</v>
      </c>
      <c r="D265" s="106">
        <v>0</v>
      </c>
      <c r="E265" s="106">
        <v>0</v>
      </c>
      <c r="F265" s="106">
        <v>0</v>
      </c>
      <c r="G265" s="106">
        <v>0</v>
      </c>
    </row>
    <row r="266" spans="1:7" x14ac:dyDescent="0.2">
      <c r="A266">
        <v>4310</v>
      </c>
      <c r="B266" s="106" t="s">
        <v>991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4337</v>
      </c>
      <c r="B267" s="106" t="s">
        <v>992</v>
      </c>
      <c r="C267">
        <v>0.1</v>
      </c>
      <c r="D267">
        <v>0.1</v>
      </c>
      <c r="E267">
        <v>0.1</v>
      </c>
      <c r="F267">
        <v>0.1</v>
      </c>
      <c r="G267">
        <v>0.3</v>
      </c>
    </row>
    <row r="268" spans="1:7" x14ac:dyDescent="0.2">
      <c r="A268">
        <v>4344</v>
      </c>
      <c r="B268" s="106" t="s">
        <v>993</v>
      </c>
      <c r="C268">
        <v>0.05</v>
      </c>
      <c r="D268">
        <v>0.05</v>
      </c>
      <c r="E268">
        <v>0.05</v>
      </c>
      <c r="F268">
        <v>0.05</v>
      </c>
      <c r="G268">
        <v>1.65</v>
      </c>
    </row>
    <row r="269" spans="1:7" x14ac:dyDescent="0.2">
      <c r="A269">
        <v>4368</v>
      </c>
      <c r="B269" s="106" t="s">
        <v>4327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4401</v>
      </c>
      <c r="B270" s="106" t="s">
        <v>236</v>
      </c>
      <c r="C270">
        <v>0.05</v>
      </c>
      <c r="D270" s="106">
        <v>0</v>
      </c>
      <c r="E270" s="106">
        <v>0</v>
      </c>
      <c r="F270" s="106">
        <v>0.05</v>
      </c>
      <c r="G270" s="106">
        <v>0</v>
      </c>
    </row>
    <row r="271" spans="1:7" x14ac:dyDescent="0.2">
      <c r="A271">
        <v>4403</v>
      </c>
      <c r="B271" s="106" t="s">
        <v>4328</v>
      </c>
      <c r="C271">
        <v>0.1</v>
      </c>
      <c r="D271" s="106">
        <v>0.1</v>
      </c>
      <c r="E271" s="106">
        <v>0.1</v>
      </c>
      <c r="F271" s="106">
        <v>0.1</v>
      </c>
      <c r="G271" s="106">
        <v>0</v>
      </c>
    </row>
    <row r="272" spans="1:7" x14ac:dyDescent="0.2">
      <c r="A272">
        <v>4410</v>
      </c>
      <c r="B272" s="106" t="s">
        <v>994</v>
      </c>
      <c r="C272">
        <v>0</v>
      </c>
      <c r="D272">
        <v>0</v>
      </c>
      <c r="E272">
        <v>0</v>
      </c>
      <c r="F272">
        <v>0</v>
      </c>
      <c r="G272">
        <v>0.15</v>
      </c>
    </row>
    <row r="273" spans="1:7" x14ac:dyDescent="0.2">
      <c r="A273">
        <v>4461</v>
      </c>
      <c r="B273" s="106" t="s">
        <v>995</v>
      </c>
      <c r="C273">
        <v>0.1</v>
      </c>
      <c r="D273">
        <v>0.1</v>
      </c>
      <c r="E273">
        <v>0.1</v>
      </c>
      <c r="F273">
        <v>0.1</v>
      </c>
      <c r="G273" s="106">
        <v>0.3</v>
      </c>
    </row>
    <row r="274" spans="1:7" x14ac:dyDescent="0.2">
      <c r="A274">
        <v>4462</v>
      </c>
      <c r="B274" s="106" t="s">
        <v>1586</v>
      </c>
      <c r="C274">
        <v>0</v>
      </c>
      <c r="D274" s="106">
        <v>0</v>
      </c>
      <c r="E274">
        <v>0</v>
      </c>
      <c r="F274" s="106">
        <v>0</v>
      </c>
      <c r="G274" s="106">
        <v>0</v>
      </c>
    </row>
    <row r="275" spans="1:7" x14ac:dyDescent="0.2">
      <c r="A275">
        <v>4503</v>
      </c>
      <c r="B275" s="106" t="s">
        <v>996</v>
      </c>
      <c r="C275">
        <v>0</v>
      </c>
      <c r="D275">
        <v>0</v>
      </c>
      <c r="E275">
        <v>0.05</v>
      </c>
      <c r="F275">
        <v>0</v>
      </c>
      <c r="G275">
        <v>0</v>
      </c>
    </row>
    <row r="276" spans="1:7" x14ac:dyDescent="0.2">
      <c r="A276">
        <v>4507</v>
      </c>
      <c r="B276" s="106" t="s">
        <v>1587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4508</v>
      </c>
      <c r="B277" s="106" t="s">
        <v>231</v>
      </c>
      <c r="C277">
        <v>0</v>
      </c>
      <c r="D277" s="106">
        <v>0</v>
      </c>
      <c r="E277" s="106" t="s">
        <v>162</v>
      </c>
      <c r="F277" s="106">
        <v>0</v>
      </c>
      <c r="G277" s="106" t="s">
        <v>162</v>
      </c>
    </row>
    <row r="278" spans="1:7" x14ac:dyDescent="0.2">
      <c r="A278">
        <v>4512</v>
      </c>
      <c r="B278" s="106" t="s">
        <v>997</v>
      </c>
      <c r="C278">
        <v>0.05</v>
      </c>
      <c r="D278">
        <v>0.05</v>
      </c>
      <c r="E278">
        <v>0.05</v>
      </c>
      <c r="F278">
        <v>0.05</v>
      </c>
      <c r="G278">
        <v>0.15</v>
      </c>
    </row>
    <row r="279" spans="1:7" x14ac:dyDescent="0.2">
      <c r="A279">
        <v>4519</v>
      </c>
      <c r="B279" s="106" t="s">
        <v>629</v>
      </c>
      <c r="C279">
        <v>0.2</v>
      </c>
      <c r="D279">
        <v>0.2</v>
      </c>
      <c r="E279">
        <v>0.2</v>
      </c>
      <c r="F279">
        <v>0.2</v>
      </c>
      <c r="G279" s="106">
        <v>0.6</v>
      </c>
    </row>
    <row r="280" spans="1:7" x14ac:dyDescent="0.2">
      <c r="A280">
        <v>4521</v>
      </c>
      <c r="B280" s="106" t="s">
        <v>998</v>
      </c>
      <c r="C280">
        <v>0.15</v>
      </c>
      <c r="D280">
        <v>0.1</v>
      </c>
      <c r="E280">
        <v>0.1</v>
      </c>
      <c r="F280">
        <v>0.1</v>
      </c>
      <c r="G280" s="106">
        <v>0.3</v>
      </c>
    </row>
    <row r="281" spans="1:7" x14ac:dyDescent="0.2">
      <c r="A281">
        <v>4528</v>
      </c>
      <c r="B281" s="106" t="s">
        <v>999</v>
      </c>
      <c r="C281">
        <v>0</v>
      </c>
      <c r="D281" s="106">
        <v>0</v>
      </c>
      <c r="E281">
        <v>0</v>
      </c>
      <c r="F281">
        <v>0</v>
      </c>
      <c r="G281" s="106" t="s">
        <v>162</v>
      </c>
    </row>
    <row r="282" spans="1:7" x14ac:dyDescent="0.2">
      <c r="A282">
        <v>4530</v>
      </c>
      <c r="B282" s="106" t="s">
        <v>1543</v>
      </c>
      <c r="C282">
        <v>0.1</v>
      </c>
      <c r="D282">
        <v>0.1</v>
      </c>
      <c r="E282">
        <v>0.1</v>
      </c>
      <c r="F282">
        <v>0.1</v>
      </c>
      <c r="G282">
        <v>0.3</v>
      </c>
    </row>
    <row r="283" spans="1:7" x14ac:dyDescent="0.2">
      <c r="A283">
        <v>4534</v>
      </c>
      <c r="B283" s="106" t="s">
        <v>1000</v>
      </c>
      <c r="C283">
        <v>0.05</v>
      </c>
      <c r="D283">
        <v>0.1</v>
      </c>
      <c r="E283">
        <v>0.1</v>
      </c>
      <c r="F283">
        <v>0.1</v>
      </c>
      <c r="G283">
        <v>0.3</v>
      </c>
    </row>
    <row r="284" spans="1:7" x14ac:dyDescent="0.2">
      <c r="A284">
        <v>4536</v>
      </c>
      <c r="B284" s="106" t="s">
        <v>1001</v>
      </c>
      <c r="C284">
        <v>0.05</v>
      </c>
      <c r="D284">
        <v>0.05</v>
      </c>
      <c r="E284">
        <v>0.05</v>
      </c>
      <c r="F284">
        <v>0.05</v>
      </c>
      <c r="G284">
        <v>0.15</v>
      </c>
    </row>
    <row r="285" spans="1:7" x14ac:dyDescent="0.2">
      <c r="A285">
        <v>4538</v>
      </c>
      <c r="B285" s="106" t="s">
        <v>1002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">
      <c r="A286">
        <v>4540</v>
      </c>
      <c r="B286" s="106" t="s">
        <v>1003</v>
      </c>
      <c r="C286">
        <v>0</v>
      </c>
      <c r="D286">
        <v>0</v>
      </c>
      <c r="E286">
        <v>0</v>
      </c>
      <c r="F286">
        <v>0</v>
      </c>
      <c r="G286">
        <v>0.15</v>
      </c>
    </row>
    <row r="287" spans="1:7" x14ac:dyDescent="0.2">
      <c r="A287">
        <v>4543</v>
      </c>
      <c r="B287" s="106" t="s">
        <v>1004</v>
      </c>
      <c r="C287">
        <v>0</v>
      </c>
      <c r="D287">
        <v>0.1</v>
      </c>
      <c r="E287">
        <v>0.1</v>
      </c>
      <c r="F287">
        <v>0.1</v>
      </c>
      <c r="G287">
        <v>0.3</v>
      </c>
    </row>
    <row r="288" spans="1:7" x14ac:dyDescent="0.2">
      <c r="A288">
        <v>4547</v>
      </c>
      <c r="B288" s="106" t="s">
        <v>1005</v>
      </c>
      <c r="C288">
        <v>0.05</v>
      </c>
      <c r="D288">
        <v>0.05</v>
      </c>
      <c r="E288">
        <v>0.05</v>
      </c>
      <c r="F288">
        <v>0.05</v>
      </c>
      <c r="G288">
        <v>0.15</v>
      </c>
    </row>
    <row r="289" spans="1:7" x14ac:dyDescent="0.2">
      <c r="A289">
        <v>4553</v>
      </c>
      <c r="B289" s="106" t="s">
        <v>4558</v>
      </c>
      <c r="C289">
        <v>0</v>
      </c>
      <c r="D289">
        <v>0</v>
      </c>
      <c r="E289" s="106">
        <v>0</v>
      </c>
      <c r="F289" s="106" t="s">
        <v>162</v>
      </c>
      <c r="G289" s="106" t="s">
        <v>162</v>
      </c>
    </row>
    <row r="290" spans="1:7" x14ac:dyDescent="0.2">
      <c r="A290">
        <v>4554</v>
      </c>
      <c r="B290" s="106" t="s">
        <v>1006</v>
      </c>
      <c r="C290">
        <v>0</v>
      </c>
      <c r="D290">
        <v>0.05</v>
      </c>
      <c r="E290">
        <v>0.05</v>
      </c>
      <c r="F290">
        <v>0.05</v>
      </c>
      <c r="G290">
        <v>0.15</v>
      </c>
    </row>
    <row r="291" spans="1:7" x14ac:dyDescent="0.2">
      <c r="A291">
        <v>4555</v>
      </c>
      <c r="B291" s="106" t="s">
        <v>1007</v>
      </c>
      <c r="C291">
        <v>0.15</v>
      </c>
      <c r="D291" s="106">
        <v>0.15</v>
      </c>
      <c r="E291" s="106">
        <v>0.15</v>
      </c>
      <c r="F291" s="106">
        <v>0.15</v>
      </c>
      <c r="G291" s="106">
        <v>0.45</v>
      </c>
    </row>
    <row r="292" spans="1:7" x14ac:dyDescent="0.2">
      <c r="A292">
        <v>4574</v>
      </c>
      <c r="B292" s="106" t="s">
        <v>1008</v>
      </c>
      <c r="C292">
        <v>0.1</v>
      </c>
      <c r="D292">
        <v>0.1</v>
      </c>
      <c r="E292">
        <v>0.1</v>
      </c>
      <c r="F292">
        <v>0.1</v>
      </c>
      <c r="G292">
        <v>0.3</v>
      </c>
    </row>
    <row r="293" spans="1:7" x14ac:dyDescent="0.2">
      <c r="A293">
        <v>4587</v>
      </c>
      <c r="B293" s="106" t="s">
        <v>1891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4612</v>
      </c>
      <c r="B294" s="106" t="s">
        <v>1009</v>
      </c>
      <c r="C294">
        <v>0.1</v>
      </c>
      <c r="D294">
        <v>0.1</v>
      </c>
      <c r="E294">
        <v>0.1</v>
      </c>
      <c r="F294">
        <v>0.1</v>
      </c>
      <c r="G294">
        <v>0.3</v>
      </c>
    </row>
    <row r="295" spans="1:7" x14ac:dyDescent="0.2">
      <c r="A295">
        <v>4613</v>
      </c>
      <c r="B295" s="106" t="s">
        <v>237</v>
      </c>
      <c r="C295">
        <v>0.05</v>
      </c>
      <c r="D295">
        <v>0.05</v>
      </c>
      <c r="E295">
        <v>0.05</v>
      </c>
      <c r="F295">
        <v>0.05</v>
      </c>
      <c r="G295">
        <v>0.15</v>
      </c>
    </row>
    <row r="296" spans="1:7" x14ac:dyDescent="0.2">
      <c r="A296">
        <v>4617</v>
      </c>
      <c r="B296" s="106" t="s">
        <v>1010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">
      <c r="A297">
        <v>4633</v>
      </c>
      <c r="B297" s="106" t="s">
        <v>1011</v>
      </c>
      <c r="C297">
        <v>0</v>
      </c>
      <c r="D297">
        <v>0</v>
      </c>
      <c r="E297">
        <v>0.05</v>
      </c>
      <c r="F297">
        <v>0.05</v>
      </c>
      <c r="G297">
        <v>0.15</v>
      </c>
    </row>
    <row r="298" spans="1:7" x14ac:dyDescent="0.2">
      <c r="A298">
        <v>4634</v>
      </c>
      <c r="B298" s="106" t="s">
        <v>70</v>
      </c>
      <c r="C298">
        <v>0.05</v>
      </c>
      <c r="D298">
        <v>0.05</v>
      </c>
      <c r="E298">
        <v>0.05</v>
      </c>
      <c r="F298" s="106">
        <v>0.05</v>
      </c>
      <c r="G298" s="106">
        <v>0.15</v>
      </c>
    </row>
    <row r="299" spans="1:7" x14ac:dyDescent="0.2">
      <c r="A299">
        <v>4665</v>
      </c>
      <c r="B299" s="106" t="s">
        <v>1012</v>
      </c>
      <c r="C299">
        <v>0.05</v>
      </c>
      <c r="D299">
        <v>0.05</v>
      </c>
      <c r="E299">
        <v>0.05</v>
      </c>
      <c r="F299">
        <v>0.05</v>
      </c>
      <c r="G299" s="106">
        <v>0.15</v>
      </c>
    </row>
    <row r="300" spans="1:7" x14ac:dyDescent="0.2">
      <c r="A300">
        <v>4666</v>
      </c>
      <c r="B300" s="106" t="s">
        <v>4750</v>
      </c>
      <c r="C300">
        <v>0.05</v>
      </c>
      <c r="D300">
        <v>0.05</v>
      </c>
      <c r="E300" t="s">
        <v>162</v>
      </c>
      <c r="F300">
        <v>0</v>
      </c>
      <c r="G300" s="106">
        <v>0</v>
      </c>
    </row>
    <row r="301" spans="1:7" x14ac:dyDescent="0.2">
      <c r="A301">
        <v>4668</v>
      </c>
      <c r="B301" s="106" t="s">
        <v>1013</v>
      </c>
      <c r="C301">
        <v>0.05</v>
      </c>
      <c r="D301">
        <v>0.05</v>
      </c>
      <c r="E301" s="106">
        <v>0.05</v>
      </c>
      <c r="F301">
        <v>0.05</v>
      </c>
      <c r="G301" s="106">
        <v>0</v>
      </c>
    </row>
    <row r="302" spans="1:7" x14ac:dyDescent="0.2">
      <c r="A302">
        <v>4671</v>
      </c>
      <c r="B302" s="106" t="s">
        <v>1014</v>
      </c>
      <c r="C302">
        <v>0</v>
      </c>
      <c r="D302">
        <v>0</v>
      </c>
      <c r="E302" s="106">
        <v>0</v>
      </c>
      <c r="F302">
        <v>0</v>
      </c>
      <c r="G302" s="106">
        <v>0</v>
      </c>
    </row>
    <row r="303" spans="1:7" x14ac:dyDescent="0.2">
      <c r="A303">
        <v>4674</v>
      </c>
      <c r="B303" s="106" t="s">
        <v>1892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4676</v>
      </c>
      <c r="B304" s="106" t="s">
        <v>1015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4678</v>
      </c>
      <c r="B305" s="106" t="s">
        <v>1544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4681</v>
      </c>
      <c r="B306" s="106" t="s">
        <v>1588</v>
      </c>
      <c r="C306">
        <v>0.05</v>
      </c>
      <c r="D306" s="106">
        <v>0.05</v>
      </c>
      <c r="E306">
        <v>0.05</v>
      </c>
      <c r="F306">
        <v>0</v>
      </c>
      <c r="G306">
        <v>0.15</v>
      </c>
    </row>
    <row r="307" spans="1:7" x14ac:dyDescent="0.2">
      <c r="A307">
        <v>4696</v>
      </c>
      <c r="B307" s="106" t="s">
        <v>1016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4704</v>
      </c>
      <c r="B308" s="106" t="s">
        <v>4751</v>
      </c>
      <c r="C308">
        <v>0</v>
      </c>
      <c r="D308">
        <v>0</v>
      </c>
      <c r="E308" t="s">
        <v>162</v>
      </c>
      <c r="F308" t="s">
        <v>162</v>
      </c>
      <c r="G308" t="s">
        <v>162</v>
      </c>
    </row>
    <row r="309" spans="1:7" x14ac:dyDescent="0.2">
      <c r="A309">
        <v>4716</v>
      </c>
      <c r="B309" s="106" t="s">
        <v>1017</v>
      </c>
      <c r="C309">
        <v>0.2</v>
      </c>
      <c r="D309">
        <v>0.2</v>
      </c>
      <c r="E309">
        <v>0.2</v>
      </c>
      <c r="F309">
        <v>0.2</v>
      </c>
      <c r="G309">
        <v>0.6</v>
      </c>
    </row>
    <row r="310" spans="1:7" x14ac:dyDescent="0.2">
      <c r="A310">
        <v>4718</v>
      </c>
      <c r="B310" s="106" t="s">
        <v>4752</v>
      </c>
      <c r="C310">
        <v>0.05</v>
      </c>
      <c r="D310">
        <v>0.05</v>
      </c>
      <c r="E310" t="s">
        <v>162</v>
      </c>
      <c r="F310">
        <v>0</v>
      </c>
      <c r="G310">
        <v>0.15</v>
      </c>
    </row>
    <row r="311" spans="1:7" x14ac:dyDescent="0.2">
      <c r="A311">
        <v>4719</v>
      </c>
      <c r="B311" s="106" t="s">
        <v>5116</v>
      </c>
      <c r="C311">
        <v>0</v>
      </c>
      <c r="D311" t="s">
        <v>162</v>
      </c>
      <c r="E311">
        <v>0</v>
      </c>
      <c r="F311" t="s">
        <v>162</v>
      </c>
      <c r="G311" t="s">
        <v>162</v>
      </c>
    </row>
    <row r="312" spans="1:7" x14ac:dyDescent="0.2">
      <c r="A312">
        <v>4725</v>
      </c>
      <c r="B312" s="106" t="s">
        <v>1018</v>
      </c>
      <c r="C312">
        <v>0.05</v>
      </c>
      <c r="D312">
        <v>0.05</v>
      </c>
      <c r="E312">
        <v>0.05</v>
      </c>
      <c r="F312">
        <v>0.05</v>
      </c>
      <c r="G312">
        <v>0.15</v>
      </c>
    </row>
    <row r="313" spans="1:7" x14ac:dyDescent="0.2">
      <c r="A313">
        <v>4726</v>
      </c>
      <c r="B313" s="106" t="s">
        <v>1545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4732</v>
      </c>
      <c r="B314" s="106" t="s">
        <v>1019</v>
      </c>
      <c r="C314">
        <v>0.05</v>
      </c>
      <c r="D314">
        <v>0.05</v>
      </c>
      <c r="E314" s="106">
        <v>0.05</v>
      </c>
      <c r="F314">
        <v>0.05</v>
      </c>
      <c r="G314" s="106">
        <v>0</v>
      </c>
    </row>
    <row r="315" spans="1:7" x14ac:dyDescent="0.2">
      <c r="A315">
        <v>4792</v>
      </c>
      <c r="B315" s="106" t="s">
        <v>1893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4812</v>
      </c>
      <c r="B316" s="106" t="s">
        <v>1020</v>
      </c>
      <c r="C316">
        <v>0</v>
      </c>
      <c r="D316">
        <v>0</v>
      </c>
      <c r="E316">
        <v>0</v>
      </c>
      <c r="F316">
        <v>0</v>
      </c>
      <c r="G316">
        <v>0.3</v>
      </c>
    </row>
    <row r="317" spans="1:7" x14ac:dyDescent="0.2">
      <c r="A317">
        <v>4820</v>
      </c>
      <c r="B317" s="106" t="s">
        <v>1021</v>
      </c>
      <c r="C317">
        <v>0.05</v>
      </c>
      <c r="D317">
        <v>0.05</v>
      </c>
      <c r="E317" s="106">
        <v>0.05</v>
      </c>
      <c r="F317" s="106">
        <v>0.05</v>
      </c>
      <c r="G317">
        <v>0.15</v>
      </c>
    </row>
    <row r="318" spans="1:7" x14ac:dyDescent="0.2">
      <c r="A318">
        <v>4825</v>
      </c>
      <c r="B318" s="106" t="s">
        <v>1022</v>
      </c>
      <c r="C318">
        <v>0.1</v>
      </c>
      <c r="D318">
        <v>0.1</v>
      </c>
      <c r="E318">
        <v>0.1</v>
      </c>
      <c r="F318">
        <v>0.1</v>
      </c>
      <c r="G318">
        <v>0.3</v>
      </c>
    </row>
    <row r="319" spans="1:7" x14ac:dyDescent="0.2">
      <c r="A319">
        <v>4828</v>
      </c>
      <c r="B319" s="106" t="s">
        <v>1023</v>
      </c>
      <c r="C319">
        <v>0</v>
      </c>
      <c r="D319">
        <v>0</v>
      </c>
      <c r="E319">
        <v>0</v>
      </c>
      <c r="F319" s="106">
        <v>0</v>
      </c>
      <c r="G319">
        <v>0</v>
      </c>
    </row>
    <row r="320" spans="1:7" x14ac:dyDescent="0.2">
      <c r="A320">
        <v>4839</v>
      </c>
      <c r="B320" s="106" t="s">
        <v>1024</v>
      </c>
      <c r="C320">
        <v>0</v>
      </c>
      <c r="D320">
        <v>0</v>
      </c>
      <c r="E320">
        <v>0</v>
      </c>
      <c r="F320" s="106">
        <v>0</v>
      </c>
      <c r="G320">
        <v>0</v>
      </c>
    </row>
    <row r="321" spans="1:7" x14ac:dyDescent="0.2">
      <c r="A321">
        <v>4848</v>
      </c>
      <c r="B321" s="106" t="s">
        <v>1025</v>
      </c>
      <c r="C321">
        <v>0.05</v>
      </c>
      <c r="D321">
        <v>0.05</v>
      </c>
      <c r="E321">
        <v>0.05</v>
      </c>
      <c r="F321" s="106">
        <v>0.05</v>
      </c>
      <c r="G321">
        <v>0.15</v>
      </c>
    </row>
    <row r="322" spans="1:7" x14ac:dyDescent="0.2">
      <c r="A322">
        <v>4849</v>
      </c>
      <c r="B322" s="106" t="s">
        <v>824</v>
      </c>
      <c r="C322">
        <v>0.1</v>
      </c>
      <c r="D322">
        <v>0.1</v>
      </c>
      <c r="E322">
        <v>0.1</v>
      </c>
      <c r="F322">
        <v>0.1</v>
      </c>
      <c r="G322">
        <v>0.3</v>
      </c>
    </row>
    <row r="323" spans="1:7" x14ac:dyDescent="0.2">
      <c r="A323">
        <v>4912</v>
      </c>
      <c r="B323" s="106" t="s">
        <v>4394</v>
      </c>
      <c r="C323">
        <v>0.05</v>
      </c>
      <c r="D323">
        <v>0.05</v>
      </c>
      <c r="E323">
        <v>0.05</v>
      </c>
      <c r="F323">
        <v>0</v>
      </c>
      <c r="G323" t="s">
        <v>162</v>
      </c>
    </row>
    <row r="324" spans="1:7" x14ac:dyDescent="0.2">
      <c r="A324">
        <v>4917</v>
      </c>
      <c r="B324" s="106" t="s">
        <v>1026</v>
      </c>
      <c r="C324">
        <v>0.05</v>
      </c>
      <c r="D324">
        <v>0.05</v>
      </c>
      <c r="E324">
        <v>0.05</v>
      </c>
      <c r="F324">
        <v>0.05</v>
      </c>
      <c r="G324">
        <v>0.15</v>
      </c>
    </row>
    <row r="325" spans="1:7" x14ac:dyDescent="0.2">
      <c r="A325">
        <v>4919</v>
      </c>
      <c r="B325" s="106" t="s">
        <v>1027</v>
      </c>
      <c r="C325">
        <v>0.15</v>
      </c>
      <c r="D325">
        <v>0.15</v>
      </c>
      <c r="E325">
        <v>0.15</v>
      </c>
      <c r="F325">
        <v>0.1</v>
      </c>
      <c r="G325">
        <v>0.45</v>
      </c>
    </row>
    <row r="326" spans="1:7" x14ac:dyDescent="0.2">
      <c r="A326">
        <v>4923</v>
      </c>
      <c r="B326" s="106" t="s">
        <v>1673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4928</v>
      </c>
      <c r="B327" s="106" t="s">
        <v>1674</v>
      </c>
      <c r="C327">
        <v>0</v>
      </c>
      <c r="D327">
        <v>0</v>
      </c>
      <c r="E327">
        <v>0</v>
      </c>
      <c r="F327" s="106">
        <v>0</v>
      </c>
      <c r="G327">
        <v>0</v>
      </c>
    </row>
    <row r="328" spans="1:7" x14ac:dyDescent="0.2">
      <c r="A328">
        <v>4929</v>
      </c>
      <c r="B328" s="106" t="s">
        <v>1028</v>
      </c>
      <c r="C328">
        <v>0.05</v>
      </c>
      <c r="D328">
        <v>0.05</v>
      </c>
      <c r="E328">
        <v>0.05</v>
      </c>
      <c r="F328">
        <v>0.05</v>
      </c>
      <c r="G328">
        <v>0.15</v>
      </c>
    </row>
    <row r="329" spans="1:7" x14ac:dyDescent="0.2">
      <c r="A329">
        <v>4951</v>
      </c>
      <c r="B329" s="106" t="s">
        <v>4395</v>
      </c>
      <c r="C329">
        <v>0</v>
      </c>
      <c r="D329">
        <v>0</v>
      </c>
      <c r="E329">
        <v>0</v>
      </c>
      <c r="F329">
        <v>0</v>
      </c>
      <c r="G329" s="106" t="s">
        <v>162</v>
      </c>
    </row>
    <row r="330" spans="1:7" x14ac:dyDescent="0.2">
      <c r="A330">
        <v>4955</v>
      </c>
      <c r="B330" s="106" t="s">
        <v>1029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">
      <c r="A331">
        <v>4958</v>
      </c>
      <c r="B331" s="106" t="s">
        <v>1030</v>
      </c>
      <c r="C331">
        <v>0.05</v>
      </c>
      <c r="D331">
        <v>0.05</v>
      </c>
      <c r="E331">
        <v>0.05</v>
      </c>
      <c r="F331">
        <v>0.05</v>
      </c>
      <c r="G331">
        <v>0.15</v>
      </c>
    </row>
    <row r="332" spans="1:7" x14ac:dyDescent="0.2">
      <c r="A332">
        <v>4967</v>
      </c>
      <c r="B332" s="106" t="s">
        <v>1031</v>
      </c>
      <c r="C332">
        <v>0.15</v>
      </c>
      <c r="D332">
        <v>0.2</v>
      </c>
      <c r="E332">
        <v>0.2</v>
      </c>
      <c r="F332">
        <v>0.2</v>
      </c>
      <c r="G332">
        <v>0.6</v>
      </c>
    </row>
    <row r="333" spans="1:7" x14ac:dyDescent="0.2">
      <c r="A333">
        <v>4968</v>
      </c>
      <c r="B333" s="106" t="s">
        <v>1032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">
      <c r="A334">
        <v>4971</v>
      </c>
      <c r="B334" s="106" t="s">
        <v>1675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">
      <c r="A335">
        <v>4975</v>
      </c>
      <c r="B335" s="106" t="s">
        <v>1033</v>
      </c>
      <c r="C335">
        <v>0.1</v>
      </c>
      <c r="D335">
        <v>0.1</v>
      </c>
      <c r="E335">
        <v>0.1</v>
      </c>
      <c r="F335">
        <v>0.1</v>
      </c>
      <c r="G335" s="106">
        <v>0.3</v>
      </c>
    </row>
    <row r="336" spans="1:7" x14ac:dyDescent="0.2">
      <c r="A336">
        <v>4985</v>
      </c>
      <c r="B336" s="106" t="s">
        <v>1034</v>
      </c>
      <c r="C336">
        <v>0.1</v>
      </c>
      <c r="D336">
        <v>0.1</v>
      </c>
      <c r="E336">
        <v>0.1</v>
      </c>
      <c r="F336">
        <v>0.1</v>
      </c>
      <c r="G336">
        <v>0.3</v>
      </c>
    </row>
    <row r="337" spans="1:7" x14ac:dyDescent="0.2">
      <c r="A337">
        <v>4996</v>
      </c>
      <c r="B337" s="106" t="s">
        <v>243</v>
      </c>
      <c r="C337">
        <v>0.05</v>
      </c>
      <c r="D337">
        <v>0</v>
      </c>
      <c r="E337">
        <v>0</v>
      </c>
      <c r="F337">
        <v>0</v>
      </c>
      <c r="G337">
        <v>0.15</v>
      </c>
    </row>
    <row r="338" spans="1:7" x14ac:dyDescent="0.2">
      <c r="A338">
        <v>4997</v>
      </c>
      <c r="B338" s="106" t="s">
        <v>1035</v>
      </c>
      <c r="C338">
        <v>0.05</v>
      </c>
      <c r="D338">
        <v>0.05</v>
      </c>
      <c r="E338">
        <v>0.05</v>
      </c>
      <c r="F338" s="106">
        <v>0.05</v>
      </c>
      <c r="G338" s="106">
        <v>0.15</v>
      </c>
    </row>
    <row r="339" spans="1:7" x14ac:dyDescent="0.2">
      <c r="A339">
        <v>5011</v>
      </c>
      <c r="B339" s="106" t="s">
        <v>1894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">
      <c r="A340">
        <v>5018</v>
      </c>
      <c r="B340" s="106" t="s">
        <v>1036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">
      <c r="A341">
        <v>5185</v>
      </c>
      <c r="B341" s="106" t="s">
        <v>1037</v>
      </c>
      <c r="C341">
        <v>0.05</v>
      </c>
      <c r="D341">
        <v>0.05</v>
      </c>
      <c r="E341">
        <v>0.05</v>
      </c>
      <c r="F341">
        <v>0.05</v>
      </c>
      <c r="G341">
        <v>0.15</v>
      </c>
    </row>
    <row r="342" spans="1:7" x14ac:dyDescent="0.2">
      <c r="A342">
        <v>5186</v>
      </c>
      <c r="B342" s="106" t="s">
        <v>1038</v>
      </c>
      <c r="C342">
        <v>0.05</v>
      </c>
      <c r="D342" s="106">
        <v>0.05</v>
      </c>
      <c r="E342">
        <v>0.1</v>
      </c>
      <c r="F342" s="106">
        <v>0.1</v>
      </c>
      <c r="G342">
        <v>0.15</v>
      </c>
    </row>
    <row r="343" spans="1:7" x14ac:dyDescent="0.2">
      <c r="A343">
        <v>5192</v>
      </c>
      <c r="B343" s="106" t="s">
        <v>4329</v>
      </c>
      <c r="C343">
        <v>0</v>
      </c>
      <c r="D343" s="106">
        <v>0</v>
      </c>
      <c r="E343">
        <v>0</v>
      </c>
      <c r="F343" s="106">
        <v>0</v>
      </c>
      <c r="G343">
        <v>0</v>
      </c>
    </row>
    <row r="344" spans="1:7" x14ac:dyDescent="0.2">
      <c r="A344">
        <v>5201</v>
      </c>
      <c r="B344" s="106" t="s">
        <v>4559</v>
      </c>
      <c r="C344">
        <v>0.1</v>
      </c>
      <c r="D344">
        <v>0.1</v>
      </c>
      <c r="E344">
        <v>0</v>
      </c>
      <c r="F344" t="s">
        <v>162</v>
      </c>
      <c r="G344">
        <v>0.15</v>
      </c>
    </row>
    <row r="345" spans="1:7" x14ac:dyDescent="0.2">
      <c r="A345">
        <v>5210</v>
      </c>
      <c r="B345" s="106" t="s">
        <v>1039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">
      <c r="A346">
        <v>5218</v>
      </c>
      <c r="B346" s="106" t="s">
        <v>1040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5232</v>
      </c>
      <c r="B347" s="106" t="s">
        <v>1041</v>
      </c>
      <c r="C347">
        <v>0.1</v>
      </c>
      <c r="D347">
        <v>0.1</v>
      </c>
      <c r="E347">
        <v>0.1</v>
      </c>
      <c r="F347">
        <v>0.1</v>
      </c>
      <c r="G347" s="106">
        <v>0.3</v>
      </c>
    </row>
    <row r="348" spans="1:7" x14ac:dyDescent="0.2">
      <c r="A348">
        <v>5269</v>
      </c>
      <c r="B348" s="106" t="s">
        <v>1611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">
      <c r="A349">
        <v>5273</v>
      </c>
      <c r="B349" s="106" t="s">
        <v>1042</v>
      </c>
      <c r="C349">
        <v>0.1</v>
      </c>
      <c r="D349">
        <v>0.1</v>
      </c>
      <c r="E349">
        <v>0.1</v>
      </c>
      <c r="F349">
        <v>0.1</v>
      </c>
      <c r="G349">
        <v>0.3</v>
      </c>
    </row>
    <row r="350" spans="1:7" x14ac:dyDescent="0.2">
      <c r="A350">
        <v>5301</v>
      </c>
      <c r="B350" s="106" t="s">
        <v>1043</v>
      </c>
      <c r="C350">
        <v>0</v>
      </c>
      <c r="D350">
        <v>0</v>
      </c>
      <c r="E350">
        <v>0.05</v>
      </c>
      <c r="F350">
        <v>0.05</v>
      </c>
      <c r="G350">
        <v>0.15</v>
      </c>
    </row>
    <row r="351" spans="1:7" x14ac:dyDescent="0.2">
      <c r="A351">
        <v>5302</v>
      </c>
      <c r="B351" s="106" t="s">
        <v>1044</v>
      </c>
      <c r="C351">
        <v>0.05</v>
      </c>
      <c r="D351">
        <v>0.1</v>
      </c>
      <c r="E351">
        <v>0.1</v>
      </c>
      <c r="F351" s="106">
        <v>0.1</v>
      </c>
      <c r="G351">
        <v>0.3</v>
      </c>
    </row>
    <row r="352" spans="1:7" x14ac:dyDescent="0.2">
      <c r="A352">
        <v>5332</v>
      </c>
      <c r="B352" s="106" t="s">
        <v>1045</v>
      </c>
      <c r="C352">
        <v>0.1</v>
      </c>
      <c r="D352" s="106">
        <v>0.1</v>
      </c>
      <c r="E352" s="106">
        <v>0.1</v>
      </c>
      <c r="F352">
        <v>0.1</v>
      </c>
      <c r="G352">
        <v>0.3</v>
      </c>
    </row>
    <row r="353" spans="1:7" x14ac:dyDescent="0.2">
      <c r="A353">
        <v>5333</v>
      </c>
      <c r="B353" s="106" t="s">
        <v>249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5344</v>
      </c>
      <c r="B354" s="106" t="s">
        <v>1046</v>
      </c>
      <c r="C354">
        <v>0.15</v>
      </c>
      <c r="D354">
        <v>0.15</v>
      </c>
      <c r="E354">
        <v>0.15</v>
      </c>
      <c r="F354">
        <v>0.15</v>
      </c>
      <c r="G354">
        <v>0.45</v>
      </c>
    </row>
    <row r="355" spans="1:7" x14ac:dyDescent="0.2">
      <c r="A355">
        <v>5352</v>
      </c>
      <c r="B355" s="106" t="s">
        <v>1047</v>
      </c>
      <c r="C355">
        <v>0</v>
      </c>
      <c r="D355">
        <v>0.15</v>
      </c>
      <c r="E355">
        <v>0</v>
      </c>
      <c r="F355">
        <v>0.1</v>
      </c>
      <c r="G355" s="106">
        <v>0</v>
      </c>
    </row>
    <row r="356" spans="1:7" x14ac:dyDescent="0.2">
      <c r="A356">
        <v>5358</v>
      </c>
      <c r="B356" s="106" t="s">
        <v>1048</v>
      </c>
      <c r="C356">
        <v>0</v>
      </c>
      <c r="D356" s="106">
        <v>0</v>
      </c>
      <c r="E356" s="106">
        <v>0</v>
      </c>
      <c r="F356" s="106">
        <v>0</v>
      </c>
      <c r="G356" s="106">
        <v>0</v>
      </c>
    </row>
    <row r="357" spans="1:7" x14ac:dyDescent="0.2">
      <c r="A357">
        <v>5384</v>
      </c>
      <c r="B357" s="106" t="s">
        <v>4753</v>
      </c>
      <c r="C357">
        <v>0</v>
      </c>
      <c r="D357">
        <v>0</v>
      </c>
      <c r="E357" t="s">
        <v>162</v>
      </c>
      <c r="F357">
        <v>0</v>
      </c>
      <c r="G357">
        <v>0</v>
      </c>
    </row>
    <row r="358" spans="1:7" x14ac:dyDescent="0.2">
      <c r="A358">
        <v>5393</v>
      </c>
      <c r="B358" s="106" t="s">
        <v>248</v>
      </c>
      <c r="C358">
        <v>0.05</v>
      </c>
      <c r="D358" s="106">
        <v>0.05</v>
      </c>
      <c r="E358" s="106">
        <v>0.05</v>
      </c>
      <c r="F358" s="106">
        <v>0.05</v>
      </c>
      <c r="G358" s="106">
        <v>0.15</v>
      </c>
    </row>
    <row r="359" spans="1:7" x14ac:dyDescent="0.2">
      <c r="A359">
        <v>5410</v>
      </c>
      <c r="B359" s="106" t="s">
        <v>1049</v>
      </c>
      <c r="C359">
        <v>0.05</v>
      </c>
      <c r="D359" s="106">
        <v>0</v>
      </c>
      <c r="E359" s="106">
        <v>0.05</v>
      </c>
      <c r="F359" s="106">
        <v>0.05</v>
      </c>
      <c r="G359">
        <v>0.15</v>
      </c>
    </row>
    <row r="360" spans="1:7" x14ac:dyDescent="0.2">
      <c r="A360">
        <v>5440</v>
      </c>
      <c r="B360" s="106" t="s">
        <v>5117</v>
      </c>
      <c r="C360">
        <v>0</v>
      </c>
      <c r="D360" t="s">
        <v>162</v>
      </c>
      <c r="E360">
        <v>0</v>
      </c>
      <c r="F360">
        <v>0</v>
      </c>
      <c r="G360">
        <v>0</v>
      </c>
    </row>
    <row r="361" spans="1:7" x14ac:dyDescent="0.2">
      <c r="A361">
        <v>5451</v>
      </c>
      <c r="B361" s="106" t="s">
        <v>1050</v>
      </c>
      <c r="C361">
        <v>0.05</v>
      </c>
      <c r="D361">
        <v>0.05</v>
      </c>
      <c r="E361">
        <v>0.05</v>
      </c>
      <c r="F361">
        <v>0.05</v>
      </c>
      <c r="G361">
        <v>0.15</v>
      </c>
    </row>
    <row r="362" spans="1:7" x14ac:dyDescent="0.2">
      <c r="A362">
        <v>5463</v>
      </c>
      <c r="B362" s="106" t="s">
        <v>71</v>
      </c>
      <c r="C362">
        <v>0.05</v>
      </c>
      <c r="D362">
        <v>0.05</v>
      </c>
      <c r="E362">
        <v>0.05</v>
      </c>
      <c r="F362">
        <v>0.05</v>
      </c>
      <c r="G362" s="106">
        <v>0.15</v>
      </c>
    </row>
    <row r="363" spans="1:7" x14ac:dyDescent="0.2">
      <c r="A363">
        <v>5471</v>
      </c>
      <c r="B363" s="106" t="s">
        <v>226</v>
      </c>
      <c r="C363">
        <v>0.1</v>
      </c>
      <c r="D363" s="106">
        <v>0.1</v>
      </c>
      <c r="E363">
        <v>0.1</v>
      </c>
      <c r="F363" s="106">
        <v>0.1</v>
      </c>
      <c r="G363">
        <v>0.3</v>
      </c>
    </row>
    <row r="364" spans="1:7" x14ac:dyDescent="0.2">
      <c r="A364">
        <v>5480</v>
      </c>
      <c r="B364" s="106" t="s">
        <v>1051</v>
      </c>
      <c r="C364">
        <v>0</v>
      </c>
      <c r="D364" s="106">
        <v>0</v>
      </c>
      <c r="E364">
        <v>0</v>
      </c>
      <c r="F364" s="106">
        <v>0</v>
      </c>
      <c r="G364">
        <v>0</v>
      </c>
    </row>
    <row r="365" spans="1:7" x14ac:dyDescent="0.2">
      <c r="A365">
        <v>5481</v>
      </c>
      <c r="B365" s="106" t="s">
        <v>4560</v>
      </c>
      <c r="C365">
        <v>0</v>
      </c>
      <c r="D365">
        <v>0</v>
      </c>
      <c r="E365">
        <v>0</v>
      </c>
      <c r="F365" s="106" t="s">
        <v>162</v>
      </c>
      <c r="G365" t="s">
        <v>162</v>
      </c>
    </row>
    <row r="366" spans="1:7" x14ac:dyDescent="0.2">
      <c r="A366">
        <v>5482</v>
      </c>
      <c r="B366" s="106" t="s">
        <v>1052</v>
      </c>
      <c r="C366">
        <v>0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5486</v>
      </c>
      <c r="B367" s="106" t="s">
        <v>1053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5603</v>
      </c>
      <c r="B368" s="106" t="s">
        <v>1054</v>
      </c>
      <c r="C368">
        <v>0</v>
      </c>
      <c r="D368" s="106">
        <v>0</v>
      </c>
      <c r="E368" s="106">
        <v>0</v>
      </c>
      <c r="F368" s="106">
        <v>0</v>
      </c>
      <c r="G368" s="106">
        <v>0</v>
      </c>
    </row>
    <row r="369" spans="1:7" x14ac:dyDescent="0.2">
      <c r="A369">
        <v>5631</v>
      </c>
      <c r="B369" s="106" t="s">
        <v>1055</v>
      </c>
      <c r="C369">
        <v>0</v>
      </c>
      <c r="D369" s="106">
        <v>0</v>
      </c>
      <c r="E369" s="106">
        <v>0</v>
      </c>
      <c r="F369" s="106">
        <v>0</v>
      </c>
      <c r="G369" s="106">
        <v>0</v>
      </c>
    </row>
    <row r="370" spans="1:7" x14ac:dyDescent="0.2">
      <c r="A370">
        <v>5632</v>
      </c>
      <c r="B370" s="106" t="s">
        <v>1056</v>
      </c>
      <c r="C370">
        <v>0</v>
      </c>
      <c r="D370" s="106">
        <v>0</v>
      </c>
      <c r="E370">
        <v>0</v>
      </c>
      <c r="F370" s="106">
        <v>0</v>
      </c>
      <c r="G370" s="106">
        <v>0</v>
      </c>
    </row>
    <row r="371" spans="1:7" x14ac:dyDescent="0.2">
      <c r="A371">
        <v>5659</v>
      </c>
      <c r="B371" s="106" t="s">
        <v>1057</v>
      </c>
      <c r="C371">
        <v>0</v>
      </c>
      <c r="D371" s="106">
        <v>0</v>
      </c>
      <c r="E371">
        <v>0</v>
      </c>
      <c r="F371" s="106">
        <v>0</v>
      </c>
      <c r="G371" s="106">
        <v>0</v>
      </c>
    </row>
    <row r="372" spans="1:7" x14ac:dyDescent="0.2">
      <c r="A372">
        <v>5714</v>
      </c>
      <c r="B372" s="106" t="s">
        <v>1058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5741</v>
      </c>
      <c r="B373" s="106" t="s">
        <v>1059</v>
      </c>
      <c r="C373">
        <v>0.05</v>
      </c>
      <c r="D373">
        <v>0.05</v>
      </c>
      <c r="E373" s="106">
        <v>0.05</v>
      </c>
      <c r="F373">
        <v>0.05</v>
      </c>
      <c r="G373" s="106">
        <v>0.15</v>
      </c>
    </row>
    <row r="374" spans="1:7" x14ac:dyDescent="0.2">
      <c r="A374">
        <v>5805</v>
      </c>
      <c r="B374" s="106" t="s">
        <v>1612</v>
      </c>
      <c r="C374">
        <v>0.05</v>
      </c>
      <c r="D374">
        <v>0.05</v>
      </c>
      <c r="E374" s="106">
        <v>0.05</v>
      </c>
      <c r="F374" s="106">
        <v>0.05</v>
      </c>
      <c r="G374" s="106">
        <v>0.15</v>
      </c>
    </row>
    <row r="375" spans="1:7" x14ac:dyDescent="0.2">
      <c r="A375">
        <v>5807</v>
      </c>
      <c r="B375" s="106" t="s">
        <v>1060</v>
      </c>
      <c r="C375">
        <v>0.05</v>
      </c>
      <c r="D375">
        <v>0.05</v>
      </c>
      <c r="E375" s="106">
        <v>0.05</v>
      </c>
      <c r="F375">
        <v>0.05</v>
      </c>
      <c r="G375">
        <v>0.15</v>
      </c>
    </row>
    <row r="376" spans="1:7" x14ac:dyDescent="0.2">
      <c r="A376">
        <v>5852</v>
      </c>
      <c r="B376" s="106" t="s">
        <v>1676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5901</v>
      </c>
      <c r="B377" s="106" t="s">
        <v>238</v>
      </c>
      <c r="C377">
        <v>0</v>
      </c>
      <c r="D377">
        <v>0.05</v>
      </c>
      <c r="E377">
        <v>0.05</v>
      </c>
      <c r="F377" s="106">
        <v>0</v>
      </c>
      <c r="G377" s="106">
        <v>0</v>
      </c>
    </row>
    <row r="378" spans="1:7" x14ac:dyDescent="0.2">
      <c r="A378">
        <v>5902</v>
      </c>
      <c r="B378" s="106" t="s">
        <v>1061</v>
      </c>
      <c r="C378">
        <v>0.05</v>
      </c>
      <c r="D378">
        <v>0.05</v>
      </c>
      <c r="E378">
        <v>0.05</v>
      </c>
      <c r="F378" s="106">
        <v>0.05</v>
      </c>
      <c r="G378" s="106">
        <v>0.15</v>
      </c>
    </row>
    <row r="379" spans="1:7" x14ac:dyDescent="0.2">
      <c r="A379">
        <v>5932</v>
      </c>
      <c r="B379" s="106" t="s">
        <v>1062</v>
      </c>
      <c r="C379">
        <v>0.05</v>
      </c>
      <c r="D379" s="106">
        <v>0.05</v>
      </c>
      <c r="E379" s="106">
        <v>0.05</v>
      </c>
      <c r="F379" s="106">
        <v>0.05</v>
      </c>
      <c r="G379">
        <v>0.15</v>
      </c>
    </row>
    <row r="380" spans="1:7" x14ac:dyDescent="0.2">
      <c r="A380">
        <v>5933</v>
      </c>
      <c r="B380" s="106" t="s">
        <v>4561</v>
      </c>
      <c r="C380">
        <v>0</v>
      </c>
      <c r="D380" s="106">
        <v>0.05</v>
      </c>
      <c r="E380">
        <v>0</v>
      </c>
      <c r="F380" s="106" t="s">
        <v>162</v>
      </c>
      <c r="G380" t="s">
        <v>162</v>
      </c>
    </row>
    <row r="381" spans="1:7" x14ac:dyDescent="0.2">
      <c r="A381">
        <v>5943</v>
      </c>
      <c r="B381" s="106" t="s">
        <v>5118</v>
      </c>
      <c r="C381">
        <v>0.05</v>
      </c>
      <c r="D381" s="106" t="s">
        <v>162</v>
      </c>
      <c r="E381">
        <v>0.05</v>
      </c>
      <c r="F381" s="106" t="s">
        <v>162</v>
      </c>
      <c r="G381">
        <v>0.15</v>
      </c>
    </row>
    <row r="382" spans="1:7" x14ac:dyDescent="0.2">
      <c r="A382">
        <v>5946</v>
      </c>
      <c r="B382" s="106" t="s">
        <v>5119</v>
      </c>
      <c r="C382">
        <v>0</v>
      </c>
      <c r="D382" t="s">
        <v>162</v>
      </c>
      <c r="E382" t="s">
        <v>162</v>
      </c>
      <c r="F382" t="s">
        <v>162</v>
      </c>
      <c r="G382">
        <v>0</v>
      </c>
    </row>
    <row r="383" spans="1:7" x14ac:dyDescent="0.2">
      <c r="A383">
        <v>5947</v>
      </c>
      <c r="B383" s="106" t="s">
        <v>241</v>
      </c>
      <c r="C383">
        <v>0.15</v>
      </c>
      <c r="D383">
        <v>0.15</v>
      </c>
      <c r="E383">
        <v>0.15</v>
      </c>
      <c r="F383">
        <v>0.15</v>
      </c>
      <c r="G383">
        <v>0.45</v>
      </c>
    </row>
    <row r="384" spans="1:7" x14ac:dyDescent="0.2">
      <c r="A384">
        <v>5951</v>
      </c>
      <c r="B384" s="106" t="s">
        <v>1063</v>
      </c>
      <c r="C384">
        <v>0.05</v>
      </c>
      <c r="D384">
        <v>0.05</v>
      </c>
      <c r="E384">
        <v>0.05</v>
      </c>
      <c r="F384" s="106">
        <v>0.05</v>
      </c>
      <c r="G384">
        <v>0.15</v>
      </c>
    </row>
    <row r="385" spans="1:7" x14ac:dyDescent="0.2">
      <c r="A385">
        <v>5957</v>
      </c>
      <c r="B385" s="106" t="s">
        <v>1064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5958</v>
      </c>
      <c r="B386" s="106" t="s">
        <v>4250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5976</v>
      </c>
      <c r="B387" s="106" t="s">
        <v>1065</v>
      </c>
      <c r="C387">
        <v>0</v>
      </c>
      <c r="D387">
        <v>0</v>
      </c>
      <c r="E387">
        <v>0</v>
      </c>
      <c r="F387" s="106">
        <v>0</v>
      </c>
      <c r="G387">
        <v>0</v>
      </c>
    </row>
    <row r="388" spans="1:7" x14ac:dyDescent="0.2">
      <c r="A388">
        <v>5981</v>
      </c>
      <c r="B388" s="106" t="s">
        <v>1066</v>
      </c>
      <c r="C388">
        <v>0</v>
      </c>
      <c r="D388" s="106">
        <v>0</v>
      </c>
      <c r="E388" s="106">
        <v>0</v>
      </c>
      <c r="F388" s="106">
        <v>0</v>
      </c>
      <c r="G388" s="106">
        <v>0</v>
      </c>
    </row>
    <row r="389" spans="1:7" x14ac:dyDescent="0.2">
      <c r="A389">
        <v>5985</v>
      </c>
      <c r="B389" s="106" t="s">
        <v>1677</v>
      </c>
      <c r="C389">
        <v>0</v>
      </c>
      <c r="D389">
        <v>0</v>
      </c>
      <c r="E389" s="106">
        <v>0</v>
      </c>
      <c r="F389" s="106">
        <v>0</v>
      </c>
      <c r="G389" s="106">
        <v>0</v>
      </c>
    </row>
    <row r="390" spans="1:7" x14ac:dyDescent="0.2">
      <c r="A390">
        <v>5988</v>
      </c>
      <c r="B390" s="106" t="s">
        <v>4562</v>
      </c>
      <c r="C390">
        <v>0</v>
      </c>
      <c r="D390">
        <v>0</v>
      </c>
      <c r="E390" s="106">
        <v>0</v>
      </c>
      <c r="F390" s="106" t="s">
        <v>162</v>
      </c>
      <c r="G390" s="106">
        <v>0</v>
      </c>
    </row>
    <row r="391" spans="1:7" x14ac:dyDescent="0.2">
      <c r="A391">
        <v>5991</v>
      </c>
      <c r="B391" s="106" t="s">
        <v>1067</v>
      </c>
      <c r="C391">
        <v>0.05</v>
      </c>
      <c r="D391">
        <v>0.05</v>
      </c>
      <c r="E391">
        <v>0.05</v>
      </c>
      <c r="F391">
        <v>0.05</v>
      </c>
      <c r="G391">
        <v>0.15</v>
      </c>
    </row>
    <row r="392" spans="1:7" x14ac:dyDescent="0.2">
      <c r="A392">
        <v>5998</v>
      </c>
      <c r="B392" s="106" t="s">
        <v>1068</v>
      </c>
      <c r="C392">
        <v>0.05</v>
      </c>
      <c r="D392">
        <v>0.05</v>
      </c>
      <c r="E392">
        <v>0.05</v>
      </c>
      <c r="F392">
        <v>0.05</v>
      </c>
      <c r="G392">
        <v>0.15</v>
      </c>
    </row>
    <row r="393" spans="1:7" x14ac:dyDescent="0.2">
      <c r="A393">
        <v>6005</v>
      </c>
      <c r="B393" s="106" t="s">
        <v>1069</v>
      </c>
      <c r="C393">
        <v>0.1</v>
      </c>
      <c r="D393">
        <v>0.1</v>
      </c>
      <c r="E393">
        <v>0.1</v>
      </c>
      <c r="F393">
        <v>0.1</v>
      </c>
      <c r="G393">
        <v>0.3</v>
      </c>
    </row>
    <row r="394" spans="1:7" x14ac:dyDescent="0.2">
      <c r="A394">
        <v>6028</v>
      </c>
      <c r="B394" s="106" t="s">
        <v>831</v>
      </c>
      <c r="C394">
        <v>0.15</v>
      </c>
      <c r="D394" s="106">
        <v>0.15</v>
      </c>
      <c r="E394">
        <v>0.15</v>
      </c>
      <c r="F394" s="106">
        <v>0.15</v>
      </c>
      <c r="G394">
        <v>0.45</v>
      </c>
    </row>
    <row r="395" spans="1:7" x14ac:dyDescent="0.2">
      <c r="A395">
        <v>6037</v>
      </c>
      <c r="B395" s="106" t="s">
        <v>1070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">
      <c r="A396">
        <v>6047</v>
      </c>
      <c r="B396" s="106" t="s">
        <v>1071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6048</v>
      </c>
      <c r="B397" s="106" t="s">
        <v>1072</v>
      </c>
      <c r="C397">
        <v>0</v>
      </c>
      <c r="D397">
        <v>0</v>
      </c>
      <c r="E397">
        <v>0</v>
      </c>
      <c r="F397">
        <v>0</v>
      </c>
      <c r="G397" s="106">
        <v>0</v>
      </c>
    </row>
    <row r="398" spans="1:7" x14ac:dyDescent="0.2">
      <c r="A398">
        <v>6054</v>
      </c>
      <c r="B398" s="106" t="s">
        <v>1073</v>
      </c>
      <c r="C398">
        <v>0.05</v>
      </c>
      <c r="D398">
        <v>0</v>
      </c>
      <c r="E398">
        <v>0</v>
      </c>
      <c r="F398">
        <v>0.05</v>
      </c>
      <c r="G398">
        <v>0</v>
      </c>
    </row>
    <row r="399" spans="1:7" x14ac:dyDescent="0.2">
      <c r="A399">
        <v>6055</v>
      </c>
      <c r="B399" s="106" t="s">
        <v>1074</v>
      </c>
      <c r="C399">
        <v>0.05</v>
      </c>
      <c r="D399">
        <v>0.05</v>
      </c>
      <c r="E399" s="106">
        <v>0.05</v>
      </c>
      <c r="F399">
        <v>0.05</v>
      </c>
      <c r="G399">
        <v>0.15</v>
      </c>
    </row>
    <row r="400" spans="1:7" x14ac:dyDescent="0.2">
      <c r="A400">
        <v>6058</v>
      </c>
      <c r="B400" s="106" t="s">
        <v>1075</v>
      </c>
      <c r="C400">
        <v>0</v>
      </c>
      <c r="D400">
        <v>0</v>
      </c>
      <c r="E400">
        <v>0.05</v>
      </c>
      <c r="F400">
        <v>0.05</v>
      </c>
      <c r="G400">
        <v>0.15</v>
      </c>
    </row>
    <row r="401" spans="1:7" x14ac:dyDescent="0.2">
      <c r="A401">
        <v>6088</v>
      </c>
      <c r="B401" s="106" t="s">
        <v>1076</v>
      </c>
      <c r="C401">
        <v>0.05</v>
      </c>
      <c r="D401">
        <v>0.05</v>
      </c>
      <c r="E401">
        <v>0.05</v>
      </c>
      <c r="F401">
        <v>0.05</v>
      </c>
      <c r="G401">
        <v>0.15</v>
      </c>
    </row>
    <row r="402" spans="1:7" x14ac:dyDescent="0.2">
      <c r="A402">
        <v>6093</v>
      </c>
      <c r="B402" s="106" t="s">
        <v>1077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6098</v>
      </c>
      <c r="B403" s="106" t="s">
        <v>251</v>
      </c>
      <c r="C403">
        <v>0</v>
      </c>
      <c r="D403">
        <v>0</v>
      </c>
      <c r="E403">
        <v>0.1</v>
      </c>
      <c r="F403">
        <v>0.1</v>
      </c>
      <c r="G403">
        <v>0.3</v>
      </c>
    </row>
    <row r="404" spans="1:7" x14ac:dyDescent="0.2">
      <c r="A404">
        <v>6099</v>
      </c>
      <c r="B404" s="106" t="s">
        <v>1078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6101</v>
      </c>
      <c r="B405" s="106" t="s">
        <v>1079</v>
      </c>
      <c r="C405">
        <v>0.05</v>
      </c>
      <c r="D405" s="106">
        <v>0.05</v>
      </c>
      <c r="E405">
        <v>0.05</v>
      </c>
      <c r="F405">
        <v>0.05</v>
      </c>
      <c r="G405" s="106">
        <v>0.15</v>
      </c>
    </row>
    <row r="406" spans="1:7" x14ac:dyDescent="0.2">
      <c r="A406">
        <v>6113</v>
      </c>
      <c r="B406" s="106" t="s">
        <v>4563</v>
      </c>
      <c r="C406">
        <v>0</v>
      </c>
      <c r="D406">
        <v>0</v>
      </c>
      <c r="E406">
        <v>0</v>
      </c>
      <c r="F406" s="106" t="s">
        <v>162</v>
      </c>
      <c r="G406" s="106">
        <v>0.15</v>
      </c>
    </row>
    <row r="407" spans="1:7" x14ac:dyDescent="0.2">
      <c r="A407">
        <v>6118</v>
      </c>
      <c r="B407" s="106" t="s">
        <v>4330</v>
      </c>
      <c r="C407">
        <v>0</v>
      </c>
      <c r="D407">
        <v>0</v>
      </c>
      <c r="E407">
        <v>0</v>
      </c>
      <c r="F407" s="106">
        <v>0</v>
      </c>
      <c r="G407" s="106">
        <v>0</v>
      </c>
    </row>
    <row r="408" spans="1:7" x14ac:dyDescent="0.2">
      <c r="A408">
        <v>6135</v>
      </c>
      <c r="B408" s="106" t="s">
        <v>230</v>
      </c>
      <c r="C408">
        <v>0</v>
      </c>
      <c r="D408">
        <v>0</v>
      </c>
      <c r="E408" s="106">
        <v>0</v>
      </c>
      <c r="F408">
        <v>0</v>
      </c>
      <c r="G408">
        <v>0</v>
      </c>
    </row>
    <row r="409" spans="1:7" x14ac:dyDescent="0.2">
      <c r="A409">
        <v>6143</v>
      </c>
      <c r="B409" s="106" t="s">
        <v>1080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6146</v>
      </c>
      <c r="B410" s="106" t="s">
        <v>1081</v>
      </c>
      <c r="C410">
        <v>0.45</v>
      </c>
      <c r="D410">
        <v>0.45</v>
      </c>
      <c r="E410">
        <v>0.05</v>
      </c>
      <c r="F410">
        <v>0.45</v>
      </c>
      <c r="G410">
        <v>1.35</v>
      </c>
    </row>
    <row r="411" spans="1:7" x14ac:dyDescent="0.2">
      <c r="A411">
        <v>6151</v>
      </c>
      <c r="B411" s="106" t="s">
        <v>1082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6157</v>
      </c>
      <c r="B412" s="106" t="s">
        <v>1083</v>
      </c>
      <c r="C412">
        <v>0.05</v>
      </c>
      <c r="D412">
        <v>0.05</v>
      </c>
      <c r="E412">
        <v>0.05</v>
      </c>
      <c r="F412">
        <v>0.05</v>
      </c>
      <c r="G412">
        <v>0.15</v>
      </c>
    </row>
    <row r="413" spans="1:7" x14ac:dyDescent="0.2">
      <c r="A413">
        <v>6165</v>
      </c>
      <c r="B413" s="106" t="s">
        <v>5120</v>
      </c>
      <c r="C413">
        <v>0</v>
      </c>
      <c r="D413" t="s">
        <v>162</v>
      </c>
      <c r="E413">
        <v>0</v>
      </c>
      <c r="F413">
        <v>0</v>
      </c>
      <c r="G413">
        <v>0</v>
      </c>
    </row>
    <row r="414" spans="1:7" x14ac:dyDescent="0.2">
      <c r="A414">
        <v>6184</v>
      </c>
      <c r="B414" s="106" t="s">
        <v>1084</v>
      </c>
      <c r="C414">
        <v>0</v>
      </c>
      <c r="D414">
        <v>0</v>
      </c>
      <c r="E414">
        <v>0</v>
      </c>
      <c r="F414">
        <v>0</v>
      </c>
      <c r="G414">
        <v>0.15</v>
      </c>
    </row>
    <row r="415" spans="1:7" x14ac:dyDescent="0.2">
      <c r="A415">
        <v>6187</v>
      </c>
      <c r="B415" s="106" t="s">
        <v>1895</v>
      </c>
      <c r="C415">
        <v>0</v>
      </c>
      <c r="D415" s="106">
        <v>0</v>
      </c>
      <c r="E415">
        <v>0</v>
      </c>
      <c r="F415" s="106">
        <v>0</v>
      </c>
      <c r="G415">
        <v>0</v>
      </c>
    </row>
    <row r="416" spans="1:7" x14ac:dyDescent="0.2">
      <c r="A416">
        <v>6194</v>
      </c>
      <c r="B416" s="106" t="s">
        <v>1085</v>
      </c>
      <c r="C416">
        <v>0.1</v>
      </c>
      <c r="D416">
        <v>0.1</v>
      </c>
      <c r="E416">
        <v>0.1</v>
      </c>
      <c r="F416" s="106">
        <v>0.1</v>
      </c>
      <c r="G416" s="106">
        <v>0.3</v>
      </c>
    </row>
    <row r="417" spans="1:7" x14ac:dyDescent="0.2">
      <c r="A417">
        <v>6196</v>
      </c>
      <c r="B417" s="106" t="s">
        <v>1086</v>
      </c>
      <c r="C417">
        <v>0.1</v>
      </c>
      <c r="D417" s="106">
        <v>0.1</v>
      </c>
      <c r="E417" s="106">
        <v>0.1</v>
      </c>
      <c r="F417">
        <v>0.1</v>
      </c>
      <c r="G417" s="106">
        <v>0.3</v>
      </c>
    </row>
    <row r="418" spans="1:7" x14ac:dyDescent="0.2">
      <c r="A418">
        <v>6199</v>
      </c>
      <c r="B418" s="106" t="s">
        <v>4754</v>
      </c>
      <c r="C418">
        <v>0</v>
      </c>
      <c r="D418">
        <v>0</v>
      </c>
      <c r="E418" t="s">
        <v>162</v>
      </c>
      <c r="F418">
        <v>0.05</v>
      </c>
      <c r="G418" t="s">
        <v>162</v>
      </c>
    </row>
    <row r="419" spans="1:7" x14ac:dyDescent="0.2">
      <c r="A419">
        <v>6200</v>
      </c>
      <c r="B419" s="106" t="s">
        <v>1087</v>
      </c>
      <c r="C419">
        <v>0.1</v>
      </c>
      <c r="D419">
        <v>0.1</v>
      </c>
      <c r="E419">
        <v>0.1</v>
      </c>
      <c r="F419">
        <v>0.1</v>
      </c>
      <c r="G419">
        <v>0.3</v>
      </c>
    </row>
    <row r="420" spans="1:7" x14ac:dyDescent="0.2">
      <c r="A420">
        <v>6201</v>
      </c>
      <c r="B420" s="106" t="s">
        <v>1589</v>
      </c>
      <c r="C420">
        <v>0.15</v>
      </c>
      <c r="D420">
        <v>0.15</v>
      </c>
      <c r="E420">
        <v>0.15</v>
      </c>
      <c r="F420" s="106">
        <v>0</v>
      </c>
      <c r="G420">
        <v>0.3</v>
      </c>
    </row>
    <row r="421" spans="1:7" x14ac:dyDescent="0.2">
      <c r="A421">
        <v>6217</v>
      </c>
      <c r="B421" s="106" t="s">
        <v>1088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6218</v>
      </c>
      <c r="B422" s="106" t="s">
        <v>1089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">
      <c r="A423">
        <v>6237</v>
      </c>
      <c r="B423" s="106" t="s">
        <v>1090</v>
      </c>
      <c r="C423">
        <v>0.05</v>
      </c>
      <c r="D423">
        <v>0.05</v>
      </c>
      <c r="E423">
        <v>0.05</v>
      </c>
      <c r="F423">
        <v>0.05</v>
      </c>
      <c r="G423">
        <v>0.15</v>
      </c>
    </row>
    <row r="424" spans="1:7" x14ac:dyDescent="0.2">
      <c r="A424">
        <v>6240</v>
      </c>
      <c r="B424" s="106" t="s">
        <v>1091</v>
      </c>
      <c r="C424">
        <v>0.05</v>
      </c>
      <c r="D424">
        <v>0.05</v>
      </c>
      <c r="E424">
        <v>0.7</v>
      </c>
      <c r="F424">
        <v>0.05</v>
      </c>
      <c r="G424" s="106">
        <v>0.15</v>
      </c>
    </row>
    <row r="425" spans="1:7" x14ac:dyDescent="0.2">
      <c r="A425">
        <v>6258</v>
      </c>
      <c r="B425" s="106" t="s">
        <v>1092</v>
      </c>
      <c r="C425">
        <v>0.15</v>
      </c>
      <c r="D425" s="106">
        <v>0.15</v>
      </c>
      <c r="E425">
        <v>0.15</v>
      </c>
      <c r="F425" s="106">
        <v>0.15</v>
      </c>
      <c r="G425" s="106">
        <v>0.45</v>
      </c>
    </row>
    <row r="426" spans="1:7" x14ac:dyDescent="0.2">
      <c r="A426">
        <v>6262</v>
      </c>
      <c r="B426" s="106" t="s">
        <v>1093</v>
      </c>
      <c r="C426">
        <v>0</v>
      </c>
      <c r="D426" s="106">
        <v>0</v>
      </c>
      <c r="E426">
        <v>0</v>
      </c>
      <c r="F426" s="106">
        <v>0</v>
      </c>
      <c r="G426">
        <v>0</v>
      </c>
    </row>
    <row r="427" spans="1:7" x14ac:dyDescent="0.2">
      <c r="A427">
        <v>6269</v>
      </c>
      <c r="B427" s="106" t="s">
        <v>5121</v>
      </c>
      <c r="C427">
        <v>0</v>
      </c>
      <c r="D427" t="s">
        <v>162</v>
      </c>
      <c r="E427" t="s">
        <v>162</v>
      </c>
      <c r="F427" t="s">
        <v>162</v>
      </c>
      <c r="G427" t="s">
        <v>162</v>
      </c>
    </row>
    <row r="428" spans="1:7" x14ac:dyDescent="0.2">
      <c r="A428">
        <v>6273</v>
      </c>
      <c r="B428" s="106" t="s">
        <v>1094</v>
      </c>
      <c r="C428">
        <v>0.9</v>
      </c>
      <c r="D428">
        <v>0.9</v>
      </c>
      <c r="E428">
        <v>0.9</v>
      </c>
      <c r="F428">
        <v>0.9</v>
      </c>
      <c r="G428">
        <v>3</v>
      </c>
    </row>
    <row r="429" spans="1:7" x14ac:dyDescent="0.2">
      <c r="A429">
        <v>6278</v>
      </c>
      <c r="B429" s="106" t="s">
        <v>4251</v>
      </c>
      <c r="C429">
        <v>0</v>
      </c>
      <c r="D429">
        <v>0.05</v>
      </c>
      <c r="E429">
        <v>0</v>
      </c>
      <c r="F429">
        <v>0.05</v>
      </c>
      <c r="G429">
        <v>0.15</v>
      </c>
    </row>
    <row r="430" spans="1:7" x14ac:dyDescent="0.2">
      <c r="A430">
        <v>6284</v>
      </c>
      <c r="B430" s="106" t="s">
        <v>1095</v>
      </c>
      <c r="C430">
        <v>0.1</v>
      </c>
      <c r="D430">
        <v>0.1</v>
      </c>
      <c r="E430">
        <v>0.1</v>
      </c>
      <c r="F430">
        <v>0.1</v>
      </c>
      <c r="G430">
        <v>0.3</v>
      </c>
    </row>
    <row r="431" spans="1:7" x14ac:dyDescent="0.2">
      <c r="A431">
        <v>6298</v>
      </c>
      <c r="B431" s="106" t="s">
        <v>1546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6301</v>
      </c>
      <c r="B432" s="106" t="s">
        <v>59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6302</v>
      </c>
      <c r="B433" s="106" t="s">
        <v>832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6305</v>
      </c>
      <c r="B434" s="106" t="s">
        <v>32</v>
      </c>
      <c r="C434">
        <v>0.05</v>
      </c>
      <c r="D434">
        <v>0.05</v>
      </c>
      <c r="E434">
        <v>0.05</v>
      </c>
      <c r="F434">
        <v>0.05</v>
      </c>
      <c r="G434">
        <v>0.15</v>
      </c>
    </row>
    <row r="435" spans="1:7" x14ac:dyDescent="0.2">
      <c r="A435">
        <v>6315</v>
      </c>
      <c r="B435" s="106" t="s">
        <v>1096</v>
      </c>
      <c r="C435">
        <v>0.05</v>
      </c>
      <c r="D435">
        <v>0.05</v>
      </c>
      <c r="E435">
        <v>0.05</v>
      </c>
      <c r="F435">
        <v>0.05</v>
      </c>
      <c r="G435">
        <v>0.15</v>
      </c>
    </row>
    <row r="436" spans="1:7" x14ac:dyDescent="0.2">
      <c r="A436">
        <v>6316</v>
      </c>
      <c r="B436" s="106" t="s">
        <v>1097</v>
      </c>
      <c r="C436">
        <v>0</v>
      </c>
      <c r="D436">
        <v>0</v>
      </c>
      <c r="E436">
        <v>0</v>
      </c>
      <c r="F436">
        <v>0</v>
      </c>
      <c r="G436" s="106">
        <v>0</v>
      </c>
    </row>
    <row r="437" spans="1:7" x14ac:dyDescent="0.2">
      <c r="A437">
        <v>6325</v>
      </c>
      <c r="B437" s="106" t="s">
        <v>1098</v>
      </c>
      <c r="C437">
        <v>0</v>
      </c>
      <c r="D437" s="106">
        <v>0.05</v>
      </c>
      <c r="E437" s="106">
        <v>0</v>
      </c>
      <c r="F437" s="106">
        <v>0</v>
      </c>
      <c r="G437" s="106">
        <v>0</v>
      </c>
    </row>
    <row r="438" spans="1:7" x14ac:dyDescent="0.2">
      <c r="A438">
        <v>6326</v>
      </c>
      <c r="B438" s="106" t="s">
        <v>4564</v>
      </c>
      <c r="C438">
        <v>0</v>
      </c>
      <c r="D438" s="106">
        <v>0</v>
      </c>
      <c r="E438" s="106">
        <v>0</v>
      </c>
      <c r="F438" s="106" t="s">
        <v>162</v>
      </c>
      <c r="G438" s="106">
        <v>0</v>
      </c>
    </row>
    <row r="439" spans="1:7" x14ac:dyDescent="0.2">
      <c r="A439">
        <v>6330</v>
      </c>
      <c r="B439" s="106" t="s">
        <v>1099</v>
      </c>
      <c r="C439">
        <v>0</v>
      </c>
      <c r="D439" s="106">
        <v>0</v>
      </c>
      <c r="E439" s="106">
        <v>0</v>
      </c>
      <c r="F439">
        <v>0</v>
      </c>
      <c r="G439" s="106">
        <v>0</v>
      </c>
    </row>
    <row r="440" spans="1:7" x14ac:dyDescent="0.2">
      <c r="A440">
        <v>6331</v>
      </c>
      <c r="B440" s="106" t="s">
        <v>1100</v>
      </c>
      <c r="C440">
        <v>0</v>
      </c>
      <c r="D440" s="106">
        <v>0</v>
      </c>
      <c r="E440">
        <v>0</v>
      </c>
      <c r="F440" s="106">
        <v>0</v>
      </c>
      <c r="G440">
        <v>0</v>
      </c>
    </row>
    <row r="441" spans="1:7" x14ac:dyDescent="0.2">
      <c r="A441">
        <v>6332</v>
      </c>
      <c r="B441" s="106" t="s">
        <v>1101</v>
      </c>
      <c r="C441">
        <v>0.05</v>
      </c>
      <c r="D441">
        <v>0.05</v>
      </c>
      <c r="E441">
        <v>0.05</v>
      </c>
      <c r="F441">
        <v>0.05</v>
      </c>
      <c r="G441">
        <v>0.15</v>
      </c>
    </row>
    <row r="442" spans="1:7" x14ac:dyDescent="0.2">
      <c r="A442">
        <v>6339</v>
      </c>
      <c r="B442" s="106" t="s">
        <v>4755</v>
      </c>
      <c r="C442">
        <v>0.05</v>
      </c>
      <c r="D442">
        <v>0.05</v>
      </c>
      <c r="E442" s="106" t="s">
        <v>162</v>
      </c>
      <c r="F442">
        <v>0.05</v>
      </c>
      <c r="G442" t="s">
        <v>162</v>
      </c>
    </row>
    <row r="443" spans="1:7" x14ac:dyDescent="0.2">
      <c r="A443">
        <v>6349</v>
      </c>
      <c r="B443" s="106" t="s">
        <v>1102</v>
      </c>
      <c r="C443">
        <v>0.05</v>
      </c>
      <c r="D443">
        <v>0.05</v>
      </c>
      <c r="E443">
        <v>0.05</v>
      </c>
      <c r="F443">
        <v>0.05</v>
      </c>
      <c r="G443">
        <v>0.15</v>
      </c>
    </row>
    <row r="444" spans="1:7" x14ac:dyDescent="0.2">
      <c r="A444">
        <v>6351</v>
      </c>
      <c r="B444" s="106" t="s">
        <v>1103</v>
      </c>
      <c r="C444">
        <v>0.05</v>
      </c>
      <c r="D444">
        <v>0.05</v>
      </c>
      <c r="E444">
        <v>0.05</v>
      </c>
      <c r="F444">
        <v>0.05</v>
      </c>
      <c r="G444" s="106">
        <v>0.15</v>
      </c>
    </row>
    <row r="445" spans="1:7" x14ac:dyDescent="0.2">
      <c r="A445">
        <v>6361</v>
      </c>
      <c r="B445" s="106" t="s">
        <v>1104</v>
      </c>
      <c r="C445">
        <v>0.1</v>
      </c>
      <c r="D445">
        <v>0.1</v>
      </c>
      <c r="E445">
        <v>0.1</v>
      </c>
      <c r="F445">
        <v>0.1</v>
      </c>
      <c r="G445" s="106">
        <v>0.15</v>
      </c>
    </row>
    <row r="446" spans="1:7" x14ac:dyDescent="0.2">
      <c r="A446">
        <v>6362</v>
      </c>
      <c r="B446" s="106" t="s">
        <v>1105</v>
      </c>
      <c r="C446">
        <v>0.05</v>
      </c>
      <c r="D446">
        <v>0.05</v>
      </c>
      <c r="E446">
        <v>0.05</v>
      </c>
      <c r="F446">
        <v>0.05</v>
      </c>
      <c r="G446" s="106">
        <v>0.15</v>
      </c>
    </row>
    <row r="447" spans="1:7" x14ac:dyDescent="0.2">
      <c r="A447">
        <v>6363</v>
      </c>
      <c r="B447" s="106" t="s">
        <v>1106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6367</v>
      </c>
      <c r="B448" s="106" t="s">
        <v>4396</v>
      </c>
      <c r="C448">
        <v>0.3</v>
      </c>
      <c r="D448" s="106">
        <v>0</v>
      </c>
      <c r="E448" s="106">
        <v>0</v>
      </c>
      <c r="F448">
        <v>0</v>
      </c>
      <c r="G448" t="s">
        <v>162</v>
      </c>
    </row>
    <row r="449" spans="1:7" x14ac:dyDescent="0.2">
      <c r="A449">
        <v>6368</v>
      </c>
      <c r="B449" s="106" t="s">
        <v>1107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">
      <c r="A450">
        <v>6373</v>
      </c>
      <c r="B450" s="106" t="s">
        <v>5122</v>
      </c>
      <c r="C450">
        <v>0</v>
      </c>
      <c r="D450" t="s">
        <v>162</v>
      </c>
      <c r="E450" t="s">
        <v>162</v>
      </c>
      <c r="F450" t="s">
        <v>162</v>
      </c>
      <c r="G450" t="s">
        <v>162</v>
      </c>
    </row>
    <row r="451" spans="1:7" x14ac:dyDescent="0.2">
      <c r="A451">
        <v>6381</v>
      </c>
      <c r="B451" s="106" t="s">
        <v>1108</v>
      </c>
      <c r="C451">
        <v>0.05</v>
      </c>
      <c r="D451">
        <v>0.05</v>
      </c>
      <c r="E451">
        <v>0.05</v>
      </c>
      <c r="F451">
        <v>0.05</v>
      </c>
      <c r="G451">
        <v>0.15</v>
      </c>
    </row>
    <row r="452" spans="1:7" x14ac:dyDescent="0.2">
      <c r="A452">
        <v>6383</v>
      </c>
      <c r="B452" s="106" t="s">
        <v>836</v>
      </c>
      <c r="C452">
        <v>0.15</v>
      </c>
      <c r="D452">
        <v>0.15</v>
      </c>
      <c r="E452">
        <v>0.15</v>
      </c>
      <c r="F452">
        <v>0.15</v>
      </c>
      <c r="G452">
        <v>0.45</v>
      </c>
    </row>
    <row r="453" spans="1:7" x14ac:dyDescent="0.2">
      <c r="A453">
        <v>6407</v>
      </c>
      <c r="B453" s="106" t="s">
        <v>1109</v>
      </c>
      <c r="C453">
        <v>0.05</v>
      </c>
      <c r="D453">
        <v>0.05</v>
      </c>
      <c r="E453">
        <v>0.05</v>
      </c>
      <c r="F453">
        <v>0.05</v>
      </c>
      <c r="G453">
        <v>0.15</v>
      </c>
    </row>
    <row r="454" spans="1:7" x14ac:dyDescent="0.2">
      <c r="A454">
        <v>6412</v>
      </c>
      <c r="B454" s="106" t="s">
        <v>1110</v>
      </c>
      <c r="C454">
        <v>0.05</v>
      </c>
      <c r="D454">
        <v>0.05</v>
      </c>
      <c r="E454">
        <v>0</v>
      </c>
      <c r="F454">
        <v>0</v>
      </c>
      <c r="G454">
        <v>0</v>
      </c>
    </row>
    <row r="455" spans="1:7" x14ac:dyDescent="0.2">
      <c r="A455">
        <v>6413</v>
      </c>
      <c r="B455" s="106" t="s">
        <v>1111</v>
      </c>
      <c r="C455">
        <v>0.05</v>
      </c>
      <c r="D455">
        <v>0.05</v>
      </c>
      <c r="E455">
        <v>0.05</v>
      </c>
      <c r="F455">
        <v>0.05</v>
      </c>
      <c r="G455">
        <v>0.15</v>
      </c>
    </row>
    <row r="456" spans="1:7" x14ac:dyDescent="0.2">
      <c r="A456">
        <v>6417</v>
      </c>
      <c r="B456" s="106" t="s">
        <v>5123</v>
      </c>
      <c r="C456">
        <v>0.05</v>
      </c>
      <c r="D456" t="s">
        <v>162</v>
      </c>
      <c r="E456" t="s">
        <v>162</v>
      </c>
      <c r="F456" t="s">
        <v>162</v>
      </c>
      <c r="G456" t="s">
        <v>162</v>
      </c>
    </row>
    <row r="457" spans="1:7" x14ac:dyDescent="0.2">
      <c r="A457">
        <v>6428</v>
      </c>
      <c r="B457" s="106" t="s">
        <v>1112</v>
      </c>
      <c r="C457">
        <v>0.05</v>
      </c>
      <c r="D457" s="106">
        <v>0.05</v>
      </c>
      <c r="E457">
        <v>0.05</v>
      </c>
      <c r="F457">
        <v>0.05</v>
      </c>
      <c r="G457" s="106">
        <v>0.15</v>
      </c>
    </row>
    <row r="458" spans="1:7" x14ac:dyDescent="0.2">
      <c r="A458">
        <v>6430</v>
      </c>
      <c r="B458" s="106" t="s">
        <v>1113</v>
      </c>
      <c r="C458">
        <v>0</v>
      </c>
      <c r="D458" s="106">
        <v>0.05</v>
      </c>
      <c r="E458">
        <v>0</v>
      </c>
      <c r="F458">
        <v>0.05</v>
      </c>
      <c r="G458" s="106">
        <v>0</v>
      </c>
    </row>
    <row r="459" spans="1:7" x14ac:dyDescent="0.2">
      <c r="A459">
        <v>6436</v>
      </c>
      <c r="B459" s="106" t="s">
        <v>1114</v>
      </c>
      <c r="C459">
        <v>0.05</v>
      </c>
      <c r="D459">
        <v>0.05</v>
      </c>
      <c r="E459">
        <v>0.05</v>
      </c>
      <c r="F459">
        <v>0.1</v>
      </c>
      <c r="G459">
        <v>0</v>
      </c>
    </row>
    <row r="460" spans="1:7" x14ac:dyDescent="0.2">
      <c r="A460">
        <v>6444</v>
      </c>
      <c r="B460" s="106" t="s">
        <v>1115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6448</v>
      </c>
      <c r="B461" s="106" t="s">
        <v>633</v>
      </c>
      <c r="C461">
        <v>0.05</v>
      </c>
      <c r="D461" s="106">
        <v>0.05</v>
      </c>
      <c r="E461">
        <v>0.05</v>
      </c>
      <c r="F461">
        <v>0.05</v>
      </c>
      <c r="G461">
        <v>0.15</v>
      </c>
    </row>
    <row r="462" spans="1:7" x14ac:dyDescent="0.2">
      <c r="A462">
        <v>6454</v>
      </c>
      <c r="B462" s="106" t="s">
        <v>1116</v>
      </c>
      <c r="C462">
        <v>0.05</v>
      </c>
      <c r="D462">
        <v>0.05</v>
      </c>
      <c r="E462">
        <v>0.05</v>
      </c>
      <c r="F462">
        <v>0.05</v>
      </c>
      <c r="G462">
        <v>0.15</v>
      </c>
    </row>
    <row r="463" spans="1:7" x14ac:dyDescent="0.2">
      <c r="A463">
        <v>6457</v>
      </c>
      <c r="B463" s="106" t="s">
        <v>234</v>
      </c>
      <c r="C463">
        <v>0</v>
      </c>
      <c r="D463">
        <v>0</v>
      </c>
      <c r="E463">
        <v>0</v>
      </c>
      <c r="F463">
        <v>0.05</v>
      </c>
      <c r="G463">
        <v>0</v>
      </c>
    </row>
    <row r="464" spans="1:7" x14ac:dyDescent="0.2">
      <c r="A464">
        <v>6462</v>
      </c>
      <c r="B464" s="106" t="s">
        <v>1896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">
      <c r="A465">
        <v>6463</v>
      </c>
      <c r="B465" s="106" t="s">
        <v>1117</v>
      </c>
      <c r="C465">
        <v>0.05</v>
      </c>
      <c r="D465">
        <v>0.05</v>
      </c>
      <c r="E465">
        <v>0.05</v>
      </c>
      <c r="F465">
        <v>0.05</v>
      </c>
      <c r="G465">
        <v>0.15</v>
      </c>
    </row>
    <row r="466" spans="1:7" x14ac:dyDescent="0.2">
      <c r="A466">
        <v>6465</v>
      </c>
      <c r="B466" s="106" t="s">
        <v>627</v>
      </c>
      <c r="C466">
        <v>0.2</v>
      </c>
      <c r="D466">
        <v>0.2</v>
      </c>
      <c r="E466">
        <v>0.2</v>
      </c>
      <c r="F466">
        <v>0.2</v>
      </c>
      <c r="G466">
        <v>0.6</v>
      </c>
    </row>
    <row r="467" spans="1:7" x14ac:dyDescent="0.2">
      <c r="A467">
        <v>6472</v>
      </c>
      <c r="B467" s="106" t="s">
        <v>67</v>
      </c>
      <c r="C467">
        <v>0</v>
      </c>
      <c r="D467" s="106" t="s">
        <v>162</v>
      </c>
      <c r="E467" s="106">
        <v>0.05</v>
      </c>
      <c r="F467" s="106" t="s">
        <v>162</v>
      </c>
      <c r="G467" s="106">
        <v>0</v>
      </c>
    </row>
    <row r="468" spans="1:7" x14ac:dyDescent="0.2">
      <c r="A468">
        <v>6473</v>
      </c>
      <c r="B468" s="106" t="s">
        <v>1684</v>
      </c>
      <c r="C468">
        <v>0</v>
      </c>
      <c r="D468" s="106" t="s">
        <v>162</v>
      </c>
      <c r="E468" s="106">
        <v>0</v>
      </c>
      <c r="F468" s="106">
        <v>0</v>
      </c>
      <c r="G468" s="106">
        <v>0</v>
      </c>
    </row>
    <row r="469" spans="1:7" x14ac:dyDescent="0.2">
      <c r="A469">
        <v>6474</v>
      </c>
      <c r="B469" s="106" t="s">
        <v>235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6479</v>
      </c>
      <c r="B470" s="106" t="s">
        <v>826</v>
      </c>
      <c r="C470">
        <v>0.05</v>
      </c>
      <c r="D470">
        <v>0.05</v>
      </c>
      <c r="E470">
        <v>0.05</v>
      </c>
      <c r="F470">
        <v>0.05</v>
      </c>
      <c r="G470">
        <v>0.15</v>
      </c>
    </row>
    <row r="471" spans="1:7" x14ac:dyDescent="0.2">
      <c r="A471">
        <v>6481</v>
      </c>
      <c r="B471" s="106" t="s">
        <v>1613</v>
      </c>
      <c r="C471">
        <v>0.05</v>
      </c>
      <c r="D471">
        <v>0.1</v>
      </c>
      <c r="E471">
        <v>0.05</v>
      </c>
      <c r="F471">
        <v>0.05</v>
      </c>
      <c r="G471">
        <v>0.15</v>
      </c>
    </row>
    <row r="472" spans="1:7" x14ac:dyDescent="0.2">
      <c r="A472">
        <v>6482</v>
      </c>
      <c r="B472" s="106" t="s">
        <v>1118</v>
      </c>
      <c r="C472">
        <v>0</v>
      </c>
      <c r="D472">
        <v>0.05</v>
      </c>
      <c r="E472">
        <v>0</v>
      </c>
      <c r="F472">
        <v>0</v>
      </c>
      <c r="G472">
        <v>0</v>
      </c>
    </row>
    <row r="473" spans="1:7" x14ac:dyDescent="0.2">
      <c r="A473">
        <v>6490</v>
      </c>
      <c r="B473" s="106" t="s">
        <v>1119</v>
      </c>
      <c r="C473">
        <v>0.05</v>
      </c>
      <c r="D473">
        <v>0.05</v>
      </c>
      <c r="E473">
        <v>0.05</v>
      </c>
      <c r="F473">
        <v>0.05</v>
      </c>
      <c r="G473">
        <v>0.15</v>
      </c>
    </row>
    <row r="474" spans="1:7" x14ac:dyDescent="0.2">
      <c r="A474">
        <v>6501</v>
      </c>
      <c r="B474" s="106" t="s">
        <v>4345</v>
      </c>
      <c r="C474">
        <v>0</v>
      </c>
      <c r="D474" s="106">
        <v>0</v>
      </c>
      <c r="E474" s="106" t="s">
        <v>162</v>
      </c>
      <c r="F474" t="s">
        <v>162</v>
      </c>
      <c r="G474" s="106" t="s">
        <v>162</v>
      </c>
    </row>
    <row r="475" spans="1:7" x14ac:dyDescent="0.2">
      <c r="A475">
        <v>6503</v>
      </c>
      <c r="B475" s="106" t="s">
        <v>4565</v>
      </c>
      <c r="C475">
        <v>0</v>
      </c>
      <c r="D475">
        <v>0</v>
      </c>
      <c r="E475">
        <v>0</v>
      </c>
      <c r="F475" t="s">
        <v>162</v>
      </c>
      <c r="G475">
        <v>0</v>
      </c>
    </row>
    <row r="476" spans="1:7" x14ac:dyDescent="0.2">
      <c r="A476">
        <v>6504</v>
      </c>
      <c r="B476" s="106" t="s">
        <v>4397</v>
      </c>
      <c r="C476">
        <v>0.1</v>
      </c>
      <c r="D476">
        <v>0.1</v>
      </c>
      <c r="E476">
        <v>0.1</v>
      </c>
      <c r="F476">
        <v>0</v>
      </c>
      <c r="G476" t="s">
        <v>162</v>
      </c>
    </row>
    <row r="477" spans="1:7" x14ac:dyDescent="0.2">
      <c r="A477">
        <v>6505</v>
      </c>
      <c r="B477" s="106" t="s">
        <v>1120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6506</v>
      </c>
      <c r="B478" s="106" t="s">
        <v>1121</v>
      </c>
      <c r="C478">
        <v>0.1</v>
      </c>
      <c r="D478">
        <v>0.1</v>
      </c>
      <c r="E478">
        <v>0.1</v>
      </c>
      <c r="F478">
        <v>0.1</v>
      </c>
      <c r="G478">
        <v>0.3</v>
      </c>
    </row>
    <row r="479" spans="1:7" x14ac:dyDescent="0.2">
      <c r="A479">
        <v>6508</v>
      </c>
      <c r="B479" s="106" t="s">
        <v>1122</v>
      </c>
      <c r="C479">
        <v>0.05</v>
      </c>
      <c r="D479">
        <v>0.05</v>
      </c>
      <c r="E479">
        <v>0.05</v>
      </c>
      <c r="F479">
        <v>0.05</v>
      </c>
      <c r="G479">
        <v>0.15</v>
      </c>
    </row>
    <row r="480" spans="1:7" x14ac:dyDescent="0.2">
      <c r="A480">
        <v>6516</v>
      </c>
      <c r="B480" s="106" t="s">
        <v>1897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">
      <c r="A481">
        <v>6535</v>
      </c>
      <c r="B481" s="106" t="s">
        <v>1123</v>
      </c>
      <c r="C481">
        <v>0</v>
      </c>
      <c r="D481">
        <v>0</v>
      </c>
      <c r="E481">
        <v>0</v>
      </c>
      <c r="F481">
        <v>0</v>
      </c>
      <c r="G481">
        <v>0.15</v>
      </c>
    </row>
    <row r="482" spans="1:7" x14ac:dyDescent="0.2">
      <c r="A482">
        <v>6551</v>
      </c>
      <c r="B482" s="106" t="s">
        <v>4398</v>
      </c>
      <c r="C482">
        <v>0</v>
      </c>
      <c r="D482">
        <v>0</v>
      </c>
      <c r="E482">
        <v>0</v>
      </c>
      <c r="F482">
        <v>0</v>
      </c>
      <c r="G482" t="s">
        <v>162</v>
      </c>
    </row>
    <row r="483" spans="1:7" x14ac:dyDescent="0.2">
      <c r="A483">
        <v>6552</v>
      </c>
      <c r="B483" s="106" t="s">
        <v>1898</v>
      </c>
      <c r="C483">
        <v>0</v>
      </c>
      <c r="D483">
        <v>0</v>
      </c>
      <c r="E483">
        <v>0</v>
      </c>
      <c r="F483">
        <v>0</v>
      </c>
      <c r="G483" s="106">
        <v>0.15</v>
      </c>
    </row>
    <row r="484" spans="1:7" x14ac:dyDescent="0.2">
      <c r="A484">
        <v>6586</v>
      </c>
      <c r="B484" s="106" t="s">
        <v>1124</v>
      </c>
      <c r="C484">
        <v>0.1</v>
      </c>
      <c r="D484">
        <v>0.1</v>
      </c>
      <c r="E484">
        <v>0.1</v>
      </c>
      <c r="F484">
        <v>0.1</v>
      </c>
      <c r="G484" s="106">
        <v>0.3</v>
      </c>
    </row>
    <row r="485" spans="1:7" x14ac:dyDescent="0.2">
      <c r="A485">
        <v>6588</v>
      </c>
      <c r="B485" s="106" t="s">
        <v>630</v>
      </c>
      <c r="C485">
        <v>0.1</v>
      </c>
      <c r="D485">
        <v>0.1</v>
      </c>
      <c r="E485">
        <v>0.1</v>
      </c>
      <c r="F485">
        <v>0.1</v>
      </c>
      <c r="G485">
        <v>0.3</v>
      </c>
    </row>
    <row r="486" spans="1:7" x14ac:dyDescent="0.2">
      <c r="A486">
        <v>6617</v>
      </c>
      <c r="B486" s="106" t="s">
        <v>1614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6619</v>
      </c>
      <c r="B487" s="106" t="s">
        <v>4566</v>
      </c>
      <c r="C487">
        <v>0</v>
      </c>
      <c r="D487">
        <v>0</v>
      </c>
      <c r="E487">
        <v>0</v>
      </c>
      <c r="F487" t="s">
        <v>162</v>
      </c>
      <c r="G487">
        <v>0.15</v>
      </c>
    </row>
    <row r="488" spans="1:7" x14ac:dyDescent="0.2">
      <c r="A488">
        <v>6622</v>
      </c>
      <c r="B488" s="106" t="s">
        <v>1125</v>
      </c>
      <c r="C488">
        <v>0.1</v>
      </c>
      <c r="D488">
        <v>0.1</v>
      </c>
      <c r="E488">
        <v>0.1</v>
      </c>
      <c r="F488">
        <v>0.05</v>
      </c>
      <c r="G488">
        <v>0.3</v>
      </c>
    </row>
    <row r="489" spans="1:7" x14ac:dyDescent="0.2">
      <c r="A489">
        <v>6638</v>
      </c>
      <c r="B489" s="106" t="s">
        <v>1547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6640</v>
      </c>
      <c r="B490" s="106" t="s">
        <v>1126</v>
      </c>
      <c r="C490">
        <v>0.05</v>
      </c>
      <c r="D490" s="106">
        <v>0.05</v>
      </c>
      <c r="E490" s="106">
        <v>0.1</v>
      </c>
      <c r="F490" s="106">
        <v>0.05</v>
      </c>
      <c r="G490" s="106">
        <v>0.45</v>
      </c>
    </row>
    <row r="491" spans="1:7" x14ac:dyDescent="0.2">
      <c r="A491">
        <v>6641</v>
      </c>
      <c r="B491" s="106" t="s">
        <v>1127</v>
      </c>
      <c r="C491">
        <v>0.05</v>
      </c>
      <c r="D491">
        <v>0.05</v>
      </c>
      <c r="E491" s="106">
        <v>0.05</v>
      </c>
      <c r="F491" s="106">
        <v>0.05</v>
      </c>
      <c r="G491">
        <v>0.15</v>
      </c>
    </row>
    <row r="492" spans="1:7" x14ac:dyDescent="0.2">
      <c r="A492">
        <v>6645</v>
      </c>
      <c r="B492" s="106" t="s">
        <v>1128</v>
      </c>
      <c r="C492">
        <v>0.1</v>
      </c>
      <c r="D492">
        <v>0.15</v>
      </c>
      <c r="E492">
        <v>0.1</v>
      </c>
      <c r="F492">
        <v>0.1</v>
      </c>
      <c r="G492">
        <v>0.3</v>
      </c>
    </row>
    <row r="493" spans="1:7" x14ac:dyDescent="0.2">
      <c r="A493">
        <v>6652</v>
      </c>
      <c r="B493" s="106" t="s">
        <v>1129</v>
      </c>
      <c r="C493">
        <v>0.05</v>
      </c>
      <c r="D493" s="106">
        <v>0.05</v>
      </c>
      <c r="E493" s="106">
        <v>0.05</v>
      </c>
      <c r="F493" s="106">
        <v>0.05</v>
      </c>
      <c r="G493">
        <v>0.15</v>
      </c>
    </row>
    <row r="494" spans="1:7" x14ac:dyDescent="0.2">
      <c r="A494">
        <v>6654</v>
      </c>
      <c r="B494" s="106" t="s">
        <v>1615</v>
      </c>
      <c r="C494">
        <v>0.05</v>
      </c>
      <c r="D494" s="106">
        <v>0.05</v>
      </c>
      <c r="E494" s="106">
        <v>0.05</v>
      </c>
      <c r="F494" s="106">
        <v>0</v>
      </c>
      <c r="G494" s="106">
        <v>0</v>
      </c>
    </row>
    <row r="495" spans="1:7" x14ac:dyDescent="0.2">
      <c r="A495">
        <v>6674</v>
      </c>
      <c r="B495" s="106" t="s">
        <v>245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6702</v>
      </c>
      <c r="B496" s="106" t="s">
        <v>247</v>
      </c>
      <c r="C496">
        <v>0.2</v>
      </c>
      <c r="D496">
        <v>0.2</v>
      </c>
      <c r="E496">
        <v>0.2</v>
      </c>
      <c r="F496" s="106">
        <v>0.2</v>
      </c>
      <c r="G496">
        <v>0.6</v>
      </c>
    </row>
    <row r="497" spans="1:7" x14ac:dyDescent="0.2">
      <c r="A497">
        <v>6704</v>
      </c>
      <c r="B497" s="106" t="s">
        <v>5124</v>
      </c>
      <c r="C497">
        <v>0.05</v>
      </c>
      <c r="D497" t="s">
        <v>162</v>
      </c>
      <c r="E497">
        <v>0.05</v>
      </c>
      <c r="F497">
        <v>0</v>
      </c>
      <c r="G497">
        <v>0</v>
      </c>
    </row>
    <row r="498" spans="1:7" x14ac:dyDescent="0.2">
      <c r="A498">
        <v>6706</v>
      </c>
      <c r="B498" s="106" t="s">
        <v>5125</v>
      </c>
      <c r="C498">
        <v>0</v>
      </c>
      <c r="D498" s="106" t="s">
        <v>162</v>
      </c>
      <c r="E498">
        <v>0</v>
      </c>
      <c r="F498" t="s">
        <v>162</v>
      </c>
      <c r="G498">
        <v>0</v>
      </c>
    </row>
    <row r="499" spans="1:7" x14ac:dyDescent="0.2">
      <c r="A499">
        <v>6723</v>
      </c>
      <c r="B499" s="106" t="s">
        <v>1130</v>
      </c>
      <c r="C499">
        <v>0.05</v>
      </c>
      <c r="D499">
        <v>0.55000000000000004</v>
      </c>
      <c r="E499">
        <v>0.05</v>
      </c>
      <c r="F499">
        <v>0.05</v>
      </c>
      <c r="G499">
        <v>0.15</v>
      </c>
    </row>
    <row r="500" spans="1:7" x14ac:dyDescent="0.2">
      <c r="A500">
        <v>6724</v>
      </c>
      <c r="B500" s="106" t="s">
        <v>1131</v>
      </c>
      <c r="C500">
        <v>0.05</v>
      </c>
      <c r="D500">
        <v>0</v>
      </c>
      <c r="E500">
        <v>0.05</v>
      </c>
      <c r="F500">
        <v>0.05</v>
      </c>
      <c r="G500">
        <v>0.15</v>
      </c>
    </row>
    <row r="501" spans="1:7" x14ac:dyDescent="0.2">
      <c r="A501">
        <v>6730</v>
      </c>
      <c r="B501" s="106" t="s">
        <v>5126</v>
      </c>
      <c r="C501">
        <v>0</v>
      </c>
      <c r="D501" t="s">
        <v>162</v>
      </c>
      <c r="E501">
        <v>0</v>
      </c>
      <c r="F501" t="s">
        <v>162</v>
      </c>
      <c r="G501" s="106">
        <v>0</v>
      </c>
    </row>
    <row r="502" spans="1:7" x14ac:dyDescent="0.2">
      <c r="A502">
        <v>6748</v>
      </c>
      <c r="B502" s="106" t="s">
        <v>1132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">
      <c r="A503">
        <v>6752</v>
      </c>
      <c r="B503" s="106" t="s">
        <v>58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6754</v>
      </c>
      <c r="B504" s="106" t="s">
        <v>1133</v>
      </c>
      <c r="C504">
        <v>0.05</v>
      </c>
      <c r="D504">
        <v>0.05</v>
      </c>
      <c r="E504">
        <v>0.05</v>
      </c>
      <c r="F504">
        <v>0.05</v>
      </c>
      <c r="G504">
        <v>0.15</v>
      </c>
    </row>
    <row r="505" spans="1:7" x14ac:dyDescent="0.2">
      <c r="A505">
        <v>6755</v>
      </c>
      <c r="B505" s="106" t="s">
        <v>805</v>
      </c>
      <c r="C505">
        <v>0.05</v>
      </c>
      <c r="D505">
        <v>0.05</v>
      </c>
      <c r="E505">
        <v>0.05</v>
      </c>
      <c r="F505">
        <v>0.05</v>
      </c>
      <c r="G505">
        <v>0.15</v>
      </c>
    </row>
    <row r="506" spans="1:7" x14ac:dyDescent="0.2">
      <c r="A506">
        <v>6762</v>
      </c>
      <c r="B506" s="106" t="s">
        <v>1134</v>
      </c>
      <c r="C506">
        <v>0</v>
      </c>
      <c r="D506" s="106">
        <v>0.25</v>
      </c>
      <c r="E506" s="106">
        <v>0.2</v>
      </c>
      <c r="F506" s="106">
        <v>0.2</v>
      </c>
      <c r="G506" s="106">
        <v>0.6</v>
      </c>
    </row>
    <row r="507" spans="1:7" x14ac:dyDescent="0.2">
      <c r="A507">
        <v>6763</v>
      </c>
      <c r="B507" s="106" t="s">
        <v>1135</v>
      </c>
      <c r="C507">
        <v>0.05</v>
      </c>
      <c r="D507" s="106">
        <v>0.05</v>
      </c>
      <c r="E507" s="106">
        <v>0.05</v>
      </c>
      <c r="F507" s="106">
        <v>0.05</v>
      </c>
      <c r="G507" s="106">
        <v>0.15</v>
      </c>
    </row>
    <row r="508" spans="1:7" x14ac:dyDescent="0.2">
      <c r="A508">
        <v>6770</v>
      </c>
      <c r="B508" s="106" t="s">
        <v>25</v>
      </c>
      <c r="C508">
        <v>0</v>
      </c>
      <c r="D508">
        <v>0</v>
      </c>
      <c r="E508" s="106">
        <v>0.05</v>
      </c>
      <c r="F508" s="106">
        <v>0</v>
      </c>
      <c r="G508" s="106">
        <v>0</v>
      </c>
    </row>
    <row r="509" spans="1:7" x14ac:dyDescent="0.2">
      <c r="A509">
        <v>6794</v>
      </c>
      <c r="B509" s="106" t="s">
        <v>1136</v>
      </c>
      <c r="C509">
        <v>0.05</v>
      </c>
      <c r="D509">
        <v>0.05</v>
      </c>
      <c r="E509">
        <v>0.05</v>
      </c>
      <c r="F509">
        <v>0.05</v>
      </c>
      <c r="G509">
        <v>0.15</v>
      </c>
    </row>
    <row r="510" spans="1:7" x14ac:dyDescent="0.2">
      <c r="A510">
        <v>6798</v>
      </c>
      <c r="B510" s="106" t="s">
        <v>1137</v>
      </c>
      <c r="C510">
        <v>0.05</v>
      </c>
      <c r="D510">
        <v>0.05</v>
      </c>
      <c r="E510">
        <v>0.05</v>
      </c>
      <c r="F510">
        <v>0.05</v>
      </c>
      <c r="G510" s="106">
        <v>0.15</v>
      </c>
    </row>
    <row r="511" spans="1:7" x14ac:dyDescent="0.2">
      <c r="A511">
        <v>6800</v>
      </c>
      <c r="B511" s="106" t="s">
        <v>4756</v>
      </c>
      <c r="C511">
        <v>0</v>
      </c>
      <c r="D511">
        <v>0</v>
      </c>
      <c r="E511" t="s">
        <v>162</v>
      </c>
      <c r="F511" t="s">
        <v>162</v>
      </c>
      <c r="G511">
        <v>0</v>
      </c>
    </row>
    <row r="512" spans="1:7" x14ac:dyDescent="0.2">
      <c r="A512">
        <v>6804</v>
      </c>
      <c r="B512" s="106" t="s">
        <v>1138</v>
      </c>
      <c r="C512">
        <v>0.05</v>
      </c>
      <c r="D512">
        <v>0.05</v>
      </c>
      <c r="E512">
        <v>0.05</v>
      </c>
      <c r="F512">
        <v>0</v>
      </c>
      <c r="G512">
        <v>0.15</v>
      </c>
    </row>
    <row r="513" spans="1:7" x14ac:dyDescent="0.2">
      <c r="A513">
        <v>6806</v>
      </c>
      <c r="B513" s="106" t="s">
        <v>1139</v>
      </c>
      <c r="C513">
        <v>0.25</v>
      </c>
      <c r="D513">
        <v>0.25</v>
      </c>
      <c r="E513">
        <v>0.25</v>
      </c>
      <c r="F513">
        <v>0.25</v>
      </c>
      <c r="G513">
        <v>0.75</v>
      </c>
    </row>
    <row r="514" spans="1:7" x14ac:dyDescent="0.2">
      <c r="A514">
        <v>6807</v>
      </c>
      <c r="B514" s="106" t="s">
        <v>250</v>
      </c>
      <c r="C514">
        <v>0.05</v>
      </c>
      <c r="D514">
        <v>0.05</v>
      </c>
      <c r="E514">
        <v>0.05</v>
      </c>
      <c r="F514">
        <v>0.05</v>
      </c>
      <c r="G514">
        <v>0.15</v>
      </c>
    </row>
    <row r="515" spans="1:7" x14ac:dyDescent="0.2">
      <c r="A515">
        <v>6814</v>
      </c>
      <c r="B515" s="106" t="s">
        <v>4399</v>
      </c>
      <c r="C515">
        <v>0</v>
      </c>
      <c r="D515">
        <v>0</v>
      </c>
      <c r="E515">
        <v>0</v>
      </c>
      <c r="F515">
        <v>0</v>
      </c>
      <c r="G515" t="s">
        <v>162</v>
      </c>
    </row>
    <row r="516" spans="1:7" x14ac:dyDescent="0.2">
      <c r="A516">
        <v>6817</v>
      </c>
      <c r="B516" s="106" t="s">
        <v>1140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6823</v>
      </c>
      <c r="B517" s="106" t="s">
        <v>1141</v>
      </c>
      <c r="C517">
        <v>0.1</v>
      </c>
      <c r="D517">
        <v>0.1</v>
      </c>
      <c r="E517">
        <v>0.1</v>
      </c>
      <c r="F517">
        <v>0.1</v>
      </c>
      <c r="G517">
        <v>0.3</v>
      </c>
    </row>
    <row r="518" spans="1:7" x14ac:dyDescent="0.2">
      <c r="A518">
        <v>6839</v>
      </c>
      <c r="B518" s="106" t="s">
        <v>1142</v>
      </c>
      <c r="C518">
        <v>0.05</v>
      </c>
      <c r="D518" s="106">
        <v>0.05</v>
      </c>
      <c r="E518" s="106">
        <v>0.05</v>
      </c>
      <c r="F518">
        <v>0.05</v>
      </c>
      <c r="G518">
        <v>0.15</v>
      </c>
    </row>
    <row r="519" spans="1:7" x14ac:dyDescent="0.2">
      <c r="A519">
        <v>6841</v>
      </c>
      <c r="B519" s="106" t="s">
        <v>4757</v>
      </c>
      <c r="C519">
        <v>0</v>
      </c>
      <c r="D519" s="106">
        <v>0</v>
      </c>
      <c r="E519" s="106" t="s">
        <v>162</v>
      </c>
      <c r="F519" t="s">
        <v>162</v>
      </c>
      <c r="G519" t="s">
        <v>162</v>
      </c>
    </row>
    <row r="520" spans="1:7" x14ac:dyDescent="0.2">
      <c r="A520">
        <v>6845</v>
      </c>
      <c r="B520" s="106" t="s">
        <v>229</v>
      </c>
      <c r="C520">
        <v>0.05</v>
      </c>
      <c r="D520" s="106">
        <v>0.05</v>
      </c>
      <c r="E520" s="106">
        <v>0.05</v>
      </c>
      <c r="F520">
        <v>0.1</v>
      </c>
      <c r="G520" s="106">
        <v>0</v>
      </c>
    </row>
    <row r="521" spans="1:7" x14ac:dyDescent="0.2">
      <c r="A521">
        <v>6848</v>
      </c>
      <c r="B521" s="106" t="s">
        <v>1143</v>
      </c>
      <c r="C521">
        <v>0.05</v>
      </c>
      <c r="D521" s="106">
        <v>0.05</v>
      </c>
      <c r="E521" s="106">
        <v>0.05</v>
      </c>
      <c r="F521">
        <v>0.05</v>
      </c>
      <c r="G521">
        <v>0.15</v>
      </c>
    </row>
    <row r="522" spans="1:7" x14ac:dyDescent="0.2">
      <c r="A522">
        <v>6850</v>
      </c>
      <c r="B522" s="106" t="s">
        <v>4567</v>
      </c>
      <c r="C522">
        <v>0.05</v>
      </c>
      <c r="D522">
        <v>0</v>
      </c>
      <c r="E522">
        <v>0</v>
      </c>
      <c r="F522" t="s">
        <v>162</v>
      </c>
      <c r="G522">
        <v>0.15</v>
      </c>
    </row>
    <row r="523" spans="1:7" x14ac:dyDescent="0.2">
      <c r="A523">
        <v>6853</v>
      </c>
      <c r="B523" s="106" t="s">
        <v>4331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6856</v>
      </c>
      <c r="B524" s="106" t="s">
        <v>246</v>
      </c>
      <c r="C524">
        <v>0.15</v>
      </c>
      <c r="D524">
        <v>0.15</v>
      </c>
      <c r="E524">
        <v>0.15</v>
      </c>
      <c r="F524">
        <v>0.15</v>
      </c>
      <c r="G524">
        <v>0.45</v>
      </c>
    </row>
    <row r="525" spans="1:7" x14ac:dyDescent="0.2">
      <c r="A525">
        <v>6857</v>
      </c>
      <c r="B525" s="106" t="s">
        <v>1144</v>
      </c>
      <c r="C525">
        <v>0</v>
      </c>
      <c r="D525">
        <v>0.1</v>
      </c>
      <c r="E525">
        <v>0</v>
      </c>
      <c r="F525">
        <v>0</v>
      </c>
      <c r="G525">
        <v>0.3</v>
      </c>
    </row>
    <row r="526" spans="1:7" x14ac:dyDescent="0.2">
      <c r="A526">
        <v>6861</v>
      </c>
      <c r="B526" s="106" t="s">
        <v>1145</v>
      </c>
      <c r="C526">
        <v>0.65</v>
      </c>
      <c r="D526">
        <v>0.7</v>
      </c>
      <c r="E526">
        <v>0.65</v>
      </c>
      <c r="F526">
        <v>0.65</v>
      </c>
      <c r="G526">
        <v>2.1</v>
      </c>
    </row>
    <row r="527" spans="1:7" x14ac:dyDescent="0.2">
      <c r="A527">
        <v>6871</v>
      </c>
      <c r="B527" s="106" t="s">
        <v>1146</v>
      </c>
      <c r="C527">
        <v>0.05</v>
      </c>
      <c r="D527" s="106">
        <v>0.05</v>
      </c>
      <c r="E527">
        <v>0.05</v>
      </c>
      <c r="F527">
        <v>0.05</v>
      </c>
      <c r="G527">
        <v>0.15</v>
      </c>
    </row>
    <row r="528" spans="1:7" x14ac:dyDescent="0.2">
      <c r="A528">
        <v>6901</v>
      </c>
      <c r="B528" s="106" t="s">
        <v>1899</v>
      </c>
      <c r="C528">
        <v>0.05</v>
      </c>
      <c r="D528" s="106">
        <v>0.05</v>
      </c>
      <c r="E528" s="106">
        <v>0.05</v>
      </c>
      <c r="F528">
        <v>0.05</v>
      </c>
      <c r="G528">
        <v>0.15</v>
      </c>
    </row>
    <row r="529" spans="1:7" x14ac:dyDescent="0.2">
      <c r="A529">
        <v>6902</v>
      </c>
      <c r="B529" s="106" t="s">
        <v>1147</v>
      </c>
      <c r="C529">
        <v>0.1</v>
      </c>
      <c r="D529" s="106">
        <v>0.1</v>
      </c>
      <c r="E529">
        <v>0.1</v>
      </c>
      <c r="F529">
        <v>0.1</v>
      </c>
      <c r="G529">
        <v>0</v>
      </c>
    </row>
    <row r="530" spans="1:7" x14ac:dyDescent="0.2">
      <c r="A530">
        <v>6923</v>
      </c>
      <c r="B530" s="106" t="s">
        <v>61</v>
      </c>
      <c r="C530">
        <v>0.05</v>
      </c>
      <c r="D530">
        <v>0.05</v>
      </c>
      <c r="E530">
        <v>0.05</v>
      </c>
      <c r="F530" s="106">
        <v>0.1</v>
      </c>
      <c r="G530">
        <v>0.3</v>
      </c>
    </row>
    <row r="531" spans="1:7" x14ac:dyDescent="0.2">
      <c r="A531">
        <v>6926</v>
      </c>
      <c r="B531" s="106" t="s">
        <v>1148</v>
      </c>
      <c r="C531">
        <v>0.05</v>
      </c>
      <c r="D531">
        <v>0.05</v>
      </c>
      <c r="E531">
        <v>0.05</v>
      </c>
      <c r="F531" s="106">
        <v>0.05</v>
      </c>
      <c r="G531">
        <v>0.15</v>
      </c>
    </row>
    <row r="532" spans="1:7" x14ac:dyDescent="0.2">
      <c r="A532">
        <v>6941</v>
      </c>
      <c r="B532" s="106" t="s">
        <v>1149</v>
      </c>
      <c r="C532">
        <v>0.05</v>
      </c>
      <c r="D532" s="106">
        <v>0.05</v>
      </c>
      <c r="E532" s="106">
        <v>0.05</v>
      </c>
      <c r="F532">
        <v>0.05</v>
      </c>
      <c r="G532" s="106">
        <v>0.15</v>
      </c>
    </row>
    <row r="533" spans="1:7" x14ac:dyDescent="0.2">
      <c r="A533">
        <v>6947</v>
      </c>
      <c r="B533" s="106" t="s">
        <v>1150</v>
      </c>
      <c r="C533">
        <v>0.05</v>
      </c>
      <c r="D533">
        <v>0.05</v>
      </c>
      <c r="E533">
        <v>0.05</v>
      </c>
      <c r="F533">
        <v>0.05</v>
      </c>
      <c r="G533">
        <v>0.15</v>
      </c>
    </row>
    <row r="534" spans="1:7" x14ac:dyDescent="0.2">
      <c r="A534">
        <v>6951</v>
      </c>
      <c r="B534" s="106" t="s">
        <v>239</v>
      </c>
      <c r="C534">
        <v>0.1</v>
      </c>
      <c r="D534">
        <v>0.1</v>
      </c>
      <c r="E534">
        <v>0.1</v>
      </c>
      <c r="F534">
        <v>0.1</v>
      </c>
      <c r="G534">
        <v>0.3</v>
      </c>
    </row>
    <row r="535" spans="1:7" x14ac:dyDescent="0.2">
      <c r="A535">
        <v>6952</v>
      </c>
      <c r="B535" s="106" t="s">
        <v>631</v>
      </c>
      <c r="C535">
        <v>0.05</v>
      </c>
      <c r="D535">
        <v>0.05</v>
      </c>
      <c r="E535">
        <v>0.05</v>
      </c>
      <c r="F535">
        <v>0.05</v>
      </c>
      <c r="G535">
        <v>0.15</v>
      </c>
    </row>
    <row r="536" spans="1:7" x14ac:dyDescent="0.2">
      <c r="A536">
        <v>6961</v>
      </c>
      <c r="B536" s="106" t="s">
        <v>4400</v>
      </c>
      <c r="C536">
        <v>0</v>
      </c>
      <c r="D536">
        <v>0</v>
      </c>
      <c r="E536" s="106">
        <v>0</v>
      </c>
      <c r="F536">
        <v>0</v>
      </c>
      <c r="G536" s="106" t="s">
        <v>162</v>
      </c>
    </row>
    <row r="537" spans="1:7" x14ac:dyDescent="0.2">
      <c r="A537">
        <v>6962</v>
      </c>
      <c r="B537" s="106" t="s">
        <v>1151</v>
      </c>
      <c r="C537">
        <v>0.05</v>
      </c>
      <c r="D537">
        <v>0.05</v>
      </c>
      <c r="E537" s="106">
        <v>0.55000000000000004</v>
      </c>
      <c r="F537">
        <v>0.05</v>
      </c>
      <c r="G537" s="106">
        <v>0.45</v>
      </c>
    </row>
    <row r="538" spans="1:7" x14ac:dyDescent="0.2">
      <c r="A538">
        <v>6963</v>
      </c>
      <c r="B538" s="106" t="s">
        <v>4401</v>
      </c>
      <c r="C538">
        <v>0</v>
      </c>
      <c r="D538">
        <v>0</v>
      </c>
      <c r="E538">
        <v>0</v>
      </c>
      <c r="F538">
        <v>0</v>
      </c>
      <c r="G538" t="s">
        <v>162</v>
      </c>
    </row>
    <row r="539" spans="1:7" x14ac:dyDescent="0.2">
      <c r="A539">
        <v>6965</v>
      </c>
      <c r="B539" s="106" t="s">
        <v>634</v>
      </c>
      <c r="C539">
        <v>0</v>
      </c>
      <c r="D539">
        <v>0</v>
      </c>
      <c r="E539">
        <v>0</v>
      </c>
      <c r="F539">
        <v>0</v>
      </c>
      <c r="G539" s="106">
        <v>0</v>
      </c>
    </row>
    <row r="540" spans="1:7" x14ac:dyDescent="0.2">
      <c r="A540">
        <v>6967</v>
      </c>
      <c r="B540" s="106" t="s">
        <v>1152</v>
      </c>
      <c r="C540">
        <v>0.05</v>
      </c>
      <c r="D540">
        <v>0.05</v>
      </c>
      <c r="E540" t="s">
        <v>162</v>
      </c>
      <c r="F540">
        <v>0.05</v>
      </c>
      <c r="G540">
        <v>0</v>
      </c>
    </row>
    <row r="541" spans="1:7" x14ac:dyDescent="0.2">
      <c r="A541">
        <v>6971</v>
      </c>
      <c r="B541" s="106" t="s">
        <v>1153</v>
      </c>
      <c r="C541">
        <v>0.15</v>
      </c>
      <c r="D541">
        <v>0.15</v>
      </c>
      <c r="E541">
        <v>0.15</v>
      </c>
      <c r="F541">
        <v>0.15</v>
      </c>
      <c r="G541">
        <v>0.45</v>
      </c>
    </row>
    <row r="542" spans="1:7" x14ac:dyDescent="0.2">
      <c r="A542">
        <v>6976</v>
      </c>
      <c r="B542" s="106" t="s">
        <v>1154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6988</v>
      </c>
      <c r="B543" s="106" t="s">
        <v>69</v>
      </c>
      <c r="C543">
        <v>0.1</v>
      </c>
      <c r="D543">
        <v>0.1</v>
      </c>
      <c r="E543">
        <v>0.1</v>
      </c>
      <c r="F543">
        <v>0</v>
      </c>
      <c r="G543">
        <v>0</v>
      </c>
    </row>
    <row r="544" spans="1:7" x14ac:dyDescent="0.2">
      <c r="A544">
        <v>6989</v>
      </c>
      <c r="B544" s="106" t="s">
        <v>4332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6997</v>
      </c>
      <c r="B545" s="106" t="s">
        <v>5127</v>
      </c>
      <c r="C545">
        <v>0</v>
      </c>
      <c r="D545" t="s">
        <v>162</v>
      </c>
      <c r="E545">
        <v>0</v>
      </c>
      <c r="F545" t="s">
        <v>162</v>
      </c>
      <c r="G545" t="s">
        <v>162</v>
      </c>
    </row>
    <row r="546" spans="1:7" x14ac:dyDescent="0.2">
      <c r="A546">
        <v>7003</v>
      </c>
      <c r="B546" s="106" t="s">
        <v>1155</v>
      </c>
      <c r="C546">
        <v>0.05</v>
      </c>
      <c r="D546">
        <v>0.05</v>
      </c>
      <c r="E546">
        <v>0.05</v>
      </c>
      <c r="F546">
        <v>0.05</v>
      </c>
      <c r="G546">
        <v>0.15</v>
      </c>
    </row>
    <row r="547" spans="1:7" x14ac:dyDescent="0.2">
      <c r="A547">
        <v>7013</v>
      </c>
      <c r="B547" s="106" t="s">
        <v>4568</v>
      </c>
      <c r="C547">
        <v>0</v>
      </c>
      <c r="D547">
        <v>0</v>
      </c>
      <c r="E547" s="106">
        <v>0</v>
      </c>
      <c r="F547" s="106" t="s">
        <v>162</v>
      </c>
      <c r="G547">
        <v>0</v>
      </c>
    </row>
    <row r="548" spans="1:7" x14ac:dyDescent="0.2">
      <c r="A548">
        <v>7014</v>
      </c>
      <c r="B548" s="106" t="s">
        <v>1156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7022</v>
      </c>
      <c r="B549" s="106" t="s">
        <v>5128</v>
      </c>
      <c r="C549">
        <v>0</v>
      </c>
      <c r="D549" s="106" t="s">
        <v>162</v>
      </c>
      <c r="E549" t="s">
        <v>162</v>
      </c>
      <c r="F549" s="106" t="s">
        <v>162</v>
      </c>
      <c r="G549" s="106" t="s">
        <v>162</v>
      </c>
    </row>
    <row r="550" spans="1:7" x14ac:dyDescent="0.2">
      <c r="A550">
        <v>7030</v>
      </c>
      <c r="B550" s="106" t="s">
        <v>4283</v>
      </c>
      <c r="C550">
        <v>0</v>
      </c>
      <c r="D550" s="106">
        <v>0</v>
      </c>
      <c r="E550">
        <v>0</v>
      </c>
      <c r="F550" s="106">
        <v>0</v>
      </c>
      <c r="G550" s="106">
        <v>0</v>
      </c>
    </row>
    <row r="551" spans="1:7" x14ac:dyDescent="0.2">
      <c r="A551">
        <v>7102</v>
      </c>
      <c r="B551" s="106" t="s">
        <v>1157</v>
      </c>
      <c r="C551">
        <v>0.05</v>
      </c>
      <c r="D551">
        <v>0.05</v>
      </c>
      <c r="E551">
        <v>0.1</v>
      </c>
      <c r="F551">
        <v>0.1</v>
      </c>
      <c r="G551">
        <v>0.15</v>
      </c>
    </row>
    <row r="552" spans="1:7" x14ac:dyDescent="0.2">
      <c r="A552">
        <v>7105</v>
      </c>
      <c r="B552" s="106" t="s">
        <v>1158</v>
      </c>
      <c r="C552">
        <v>0.05</v>
      </c>
      <c r="D552">
        <v>0.15</v>
      </c>
      <c r="E552">
        <v>0.1</v>
      </c>
      <c r="F552">
        <v>0.05</v>
      </c>
      <c r="G552">
        <v>0.3</v>
      </c>
    </row>
    <row r="553" spans="1:7" x14ac:dyDescent="0.2">
      <c r="A553">
        <v>7150</v>
      </c>
      <c r="B553" s="106" t="s">
        <v>1159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">
      <c r="A554">
        <v>7180</v>
      </c>
      <c r="B554" s="106" t="s">
        <v>1616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">
      <c r="A555">
        <v>7181</v>
      </c>
      <c r="B555" s="106" t="s">
        <v>68</v>
      </c>
      <c r="C555">
        <v>0.05</v>
      </c>
      <c r="D555" s="106">
        <v>0.05</v>
      </c>
      <c r="E555" s="106">
        <v>0.05</v>
      </c>
      <c r="F555">
        <v>0.05</v>
      </c>
      <c r="G555" s="106">
        <v>0.15</v>
      </c>
    </row>
    <row r="556" spans="1:7" x14ac:dyDescent="0.2">
      <c r="A556">
        <v>7184</v>
      </c>
      <c r="B556" s="106" t="s">
        <v>1160</v>
      </c>
      <c r="C556">
        <v>0</v>
      </c>
      <c r="D556">
        <v>0</v>
      </c>
      <c r="E556" s="106">
        <v>0</v>
      </c>
      <c r="F556">
        <v>0</v>
      </c>
      <c r="G556">
        <v>0</v>
      </c>
    </row>
    <row r="557" spans="1:7" x14ac:dyDescent="0.2">
      <c r="A557">
        <v>7186</v>
      </c>
      <c r="B557" s="106" t="s">
        <v>820</v>
      </c>
      <c r="C557">
        <v>0</v>
      </c>
      <c r="D557" s="106">
        <v>0</v>
      </c>
      <c r="E557" s="106">
        <v>0</v>
      </c>
      <c r="F557" s="106">
        <v>0</v>
      </c>
      <c r="G557" s="106">
        <v>0</v>
      </c>
    </row>
    <row r="558" spans="1:7" x14ac:dyDescent="0.2">
      <c r="A558">
        <v>7187</v>
      </c>
      <c r="B558" s="106" t="s">
        <v>4284</v>
      </c>
      <c r="C558">
        <v>0</v>
      </c>
      <c r="D558" s="106">
        <v>0.05</v>
      </c>
      <c r="E558">
        <v>0</v>
      </c>
      <c r="F558" s="106">
        <v>0.05</v>
      </c>
      <c r="G558">
        <v>0.15</v>
      </c>
    </row>
    <row r="559" spans="1:7" x14ac:dyDescent="0.2">
      <c r="A559">
        <v>7189</v>
      </c>
      <c r="B559" s="106" t="s">
        <v>47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7190</v>
      </c>
      <c r="B560" s="106" t="s">
        <v>1161</v>
      </c>
      <c r="C560">
        <v>0</v>
      </c>
      <c r="D560">
        <v>0</v>
      </c>
      <c r="E560">
        <v>0</v>
      </c>
      <c r="F560" s="106">
        <v>0</v>
      </c>
      <c r="G560" s="106">
        <v>0</v>
      </c>
    </row>
    <row r="561" spans="1:7" x14ac:dyDescent="0.2">
      <c r="A561">
        <v>7192</v>
      </c>
      <c r="B561" s="106" t="s">
        <v>4333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7201</v>
      </c>
      <c r="B562" s="106" t="s">
        <v>5129</v>
      </c>
      <c r="C562">
        <v>0</v>
      </c>
      <c r="D562" t="s">
        <v>162</v>
      </c>
      <c r="E562">
        <v>0</v>
      </c>
      <c r="F562">
        <v>0</v>
      </c>
      <c r="G562">
        <v>0</v>
      </c>
    </row>
    <row r="563" spans="1:7" x14ac:dyDescent="0.2">
      <c r="A563">
        <v>7202</v>
      </c>
      <c r="B563" s="106" t="s">
        <v>1162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">
      <c r="A564">
        <v>7203</v>
      </c>
      <c r="B564" s="106" t="s">
        <v>244</v>
      </c>
      <c r="C564">
        <v>0.15</v>
      </c>
      <c r="D564">
        <v>0.15</v>
      </c>
      <c r="E564">
        <v>0.05</v>
      </c>
      <c r="F564">
        <v>0.15</v>
      </c>
      <c r="G564">
        <v>0.45</v>
      </c>
    </row>
    <row r="565" spans="1:7" x14ac:dyDescent="0.2">
      <c r="A565">
        <v>7205</v>
      </c>
      <c r="B565" s="106" t="s">
        <v>63</v>
      </c>
      <c r="C565">
        <v>0.05</v>
      </c>
      <c r="D565">
        <v>0.05</v>
      </c>
      <c r="E565">
        <v>0.05</v>
      </c>
      <c r="F565">
        <v>0.05</v>
      </c>
      <c r="G565">
        <v>0.15</v>
      </c>
    </row>
    <row r="566" spans="1:7" x14ac:dyDescent="0.2">
      <c r="A566">
        <v>7220</v>
      </c>
      <c r="B566" s="106" t="s">
        <v>5130</v>
      </c>
      <c r="C566">
        <v>0</v>
      </c>
      <c r="D566" t="s">
        <v>162</v>
      </c>
      <c r="E566" t="s">
        <v>162</v>
      </c>
      <c r="F566" t="s">
        <v>162</v>
      </c>
      <c r="G566" t="s">
        <v>162</v>
      </c>
    </row>
    <row r="567" spans="1:7" x14ac:dyDescent="0.2">
      <c r="A567">
        <v>7222</v>
      </c>
      <c r="B567" s="106" t="s">
        <v>1163</v>
      </c>
      <c r="C567">
        <v>0.05</v>
      </c>
      <c r="D567" s="106">
        <v>0.05</v>
      </c>
      <c r="E567">
        <v>0.05</v>
      </c>
      <c r="F567" s="106">
        <v>0.05</v>
      </c>
      <c r="G567">
        <v>0.15</v>
      </c>
    </row>
    <row r="568" spans="1:7" x14ac:dyDescent="0.2">
      <c r="A568">
        <v>7224</v>
      </c>
      <c r="B568" s="106" t="s">
        <v>1164</v>
      </c>
      <c r="C568">
        <v>0.05</v>
      </c>
      <c r="D568">
        <v>0.05</v>
      </c>
      <c r="E568">
        <v>0.05</v>
      </c>
      <c r="F568">
        <v>0.05</v>
      </c>
      <c r="G568">
        <v>0</v>
      </c>
    </row>
    <row r="569" spans="1:7" x14ac:dyDescent="0.2">
      <c r="A569">
        <v>7226</v>
      </c>
      <c r="B569" s="106" t="s">
        <v>1165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7231</v>
      </c>
      <c r="B570" s="106" t="s">
        <v>1166</v>
      </c>
      <c r="C570">
        <v>0</v>
      </c>
      <c r="D570">
        <v>0</v>
      </c>
      <c r="E570" s="106">
        <v>0</v>
      </c>
      <c r="F570" s="106">
        <v>0</v>
      </c>
      <c r="G570" s="106">
        <v>0</v>
      </c>
    </row>
    <row r="571" spans="1:7" x14ac:dyDescent="0.2">
      <c r="A571">
        <v>7236</v>
      </c>
      <c r="B571" s="106" t="s">
        <v>1167</v>
      </c>
      <c r="C571">
        <v>0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7239</v>
      </c>
      <c r="B572" s="106" t="s">
        <v>1168</v>
      </c>
      <c r="C572">
        <v>0.05</v>
      </c>
      <c r="D572">
        <v>0.05</v>
      </c>
      <c r="E572" s="106">
        <v>0</v>
      </c>
      <c r="F572">
        <v>0</v>
      </c>
      <c r="G572">
        <v>0</v>
      </c>
    </row>
    <row r="573" spans="1:7" x14ac:dyDescent="0.2">
      <c r="A573">
        <v>7240</v>
      </c>
      <c r="B573" s="106" t="s">
        <v>1169</v>
      </c>
      <c r="C573">
        <v>0</v>
      </c>
      <c r="D573">
        <v>0</v>
      </c>
      <c r="E573" s="106">
        <v>0</v>
      </c>
      <c r="F573">
        <v>0</v>
      </c>
      <c r="G573">
        <v>0.15</v>
      </c>
    </row>
    <row r="574" spans="1:7" x14ac:dyDescent="0.2">
      <c r="A574">
        <v>7261</v>
      </c>
      <c r="B574" s="106" t="s">
        <v>4402</v>
      </c>
      <c r="C574">
        <v>0.05</v>
      </c>
      <c r="D574">
        <v>0.05</v>
      </c>
      <c r="E574">
        <v>0.05</v>
      </c>
      <c r="F574">
        <v>0.05</v>
      </c>
      <c r="G574" t="s">
        <v>162</v>
      </c>
    </row>
    <row r="575" spans="1:7" x14ac:dyDescent="0.2">
      <c r="A575">
        <v>7269</v>
      </c>
      <c r="B575" s="106" t="s">
        <v>1900</v>
      </c>
      <c r="C575">
        <v>0.1</v>
      </c>
      <c r="D575" s="106">
        <v>0.1</v>
      </c>
      <c r="E575" s="106">
        <v>0.1</v>
      </c>
      <c r="F575">
        <v>0.1</v>
      </c>
      <c r="G575">
        <v>0</v>
      </c>
    </row>
    <row r="576" spans="1:7" x14ac:dyDescent="0.2">
      <c r="A576">
        <v>7277</v>
      </c>
      <c r="B576" s="106" t="s">
        <v>1170</v>
      </c>
      <c r="C576">
        <v>0.05</v>
      </c>
      <c r="D576">
        <v>0.05</v>
      </c>
      <c r="E576" s="106">
        <v>0.05</v>
      </c>
      <c r="F576" s="106">
        <v>0.05</v>
      </c>
      <c r="G576" s="106">
        <v>0.15</v>
      </c>
    </row>
    <row r="577" spans="1:7" x14ac:dyDescent="0.2">
      <c r="A577">
        <v>7278</v>
      </c>
      <c r="B577" s="106" t="s">
        <v>48</v>
      </c>
      <c r="C577">
        <v>0.05</v>
      </c>
      <c r="D577">
        <v>0.05</v>
      </c>
      <c r="E577" s="106">
        <v>0.05</v>
      </c>
      <c r="F577" s="106">
        <v>0.05</v>
      </c>
      <c r="G577" s="106">
        <v>0.15</v>
      </c>
    </row>
    <row r="578" spans="1:7" x14ac:dyDescent="0.2">
      <c r="A578">
        <v>7280</v>
      </c>
      <c r="B578" s="106" t="s">
        <v>1171</v>
      </c>
      <c r="C578">
        <v>0.05</v>
      </c>
      <c r="D578">
        <v>0.05</v>
      </c>
      <c r="E578" s="106">
        <v>0.05</v>
      </c>
      <c r="F578">
        <v>0.05</v>
      </c>
      <c r="G578" s="106">
        <v>0.15</v>
      </c>
    </row>
    <row r="579" spans="1:7" x14ac:dyDescent="0.2">
      <c r="A579">
        <v>7282</v>
      </c>
      <c r="B579" s="106" t="s">
        <v>628</v>
      </c>
      <c r="C579">
        <v>0.05</v>
      </c>
      <c r="D579">
        <v>0.05</v>
      </c>
      <c r="E579">
        <v>0.05</v>
      </c>
      <c r="F579" s="106">
        <v>0.05</v>
      </c>
      <c r="G579">
        <v>0.15</v>
      </c>
    </row>
    <row r="580" spans="1:7" x14ac:dyDescent="0.2">
      <c r="A580">
        <v>7294</v>
      </c>
      <c r="B580" s="106" t="s">
        <v>1549</v>
      </c>
      <c r="C580">
        <v>0.05</v>
      </c>
      <c r="D580">
        <v>0.05</v>
      </c>
      <c r="E580">
        <v>0.05</v>
      </c>
      <c r="F580">
        <v>0.05</v>
      </c>
      <c r="G580">
        <v>0.15</v>
      </c>
    </row>
    <row r="581" spans="1:7" x14ac:dyDescent="0.2">
      <c r="A581">
        <v>7309</v>
      </c>
      <c r="B581" s="106" t="s">
        <v>1172</v>
      </c>
      <c r="C581">
        <v>0.3</v>
      </c>
      <c r="D581">
        <v>0.3</v>
      </c>
      <c r="E581">
        <v>0.3</v>
      </c>
      <c r="F581">
        <v>0.3</v>
      </c>
      <c r="G581">
        <v>0.9</v>
      </c>
    </row>
    <row r="582" spans="1:7" x14ac:dyDescent="0.2">
      <c r="A582">
        <v>7313</v>
      </c>
      <c r="B582" s="106" t="s">
        <v>4569</v>
      </c>
      <c r="C582">
        <v>0</v>
      </c>
      <c r="D582">
        <v>0</v>
      </c>
      <c r="E582">
        <v>0</v>
      </c>
      <c r="F582" t="s">
        <v>162</v>
      </c>
      <c r="G582" t="s">
        <v>162</v>
      </c>
    </row>
    <row r="583" spans="1:7" x14ac:dyDescent="0.2">
      <c r="A583">
        <v>7322</v>
      </c>
      <c r="B583" s="106" t="s">
        <v>4758</v>
      </c>
      <c r="C583">
        <v>0</v>
      </c>
      <c r="D583">
        <v>0</v>
      </c>
      <c r="E583" t="s">
        <v>162</v>
      </c>
      <c r="F583">
        <v>0</v>
      </c>
      <c r="G583" t="s">
        <v>162</v>
      </c>
    </row>
    <row r="584" spans="1:7" x14ac:dyDescent="0.2">
      <c r="A584">
        <v>7408</v>
      </c>
      <c r="B584" s="106" t="s">
        <v>5131</v>
      </c>
      <c r="C584">
        <v>0</v>
      </c>
      <c r="D584" t="s">
        <v>162</v>
      </c>
      <c r="E584" t="s">
        <v>162</v>
      </c>
      <c r="F584" s="106" t="s">
        <v>162</v>
      </c>
      <c r="G584" t="s">
        <v>162</v>
      </c>
    </row>
    <row r="585" spans="1:7" x14ac:dyDescent="0.2">
      <c r="A585">
        <v>7414</v>
      </c>
      <c r="B585" s="106" t="s">
        <v>4403</v>
      </c>
      <c r="C585">
        <v>0.05</v>
      </c>
      <c r="D585">
        <v>0.05</v>
      </c>
      <c r="E585" s="106">
        <v>0.05</v>
      </c>
      <c r="F585" s="106">
        <v>0.05</v>
      </c>
      <c r="G585" s="106" t="s">
        <v>162</v>
      </c>
    </row>
    <row r="586" spans="1:7" x14ac:dyDescent="0.2">
      <c r="A586">
        <v>7416</v>
      </c>
      <c r="B586" s="106" t="s">
        <v>1173</v>
      </c>
      <c r="C586">
        <v>0.05</v>
      </c>
      <c r="D586">
        <v>0.05</v>
      </c>
      <c r="E586">
        <v>0.05</v>
      </c>
      <c r="F586">
        <v>0.05</v>
      </c>
      <c r="G586">
        <v>0.15</v>
      </c>
    </row>
    <row r="587" spans="1:7" x14ac:dyDescent="0.2">
      <c r="A587">
        <v>7427</v>
      </c>
      <c r="B587" s="106" t="s">
        <v>1174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">
      <c r="A588">
        <v>7442</v>
      </c>
      <c r="B588" s="106" t="s">
        <v>1175</v>
      </c>
      <c r="C588">
        <v>0.05</v>
      </c>
      <c r="D588">
        <v>0.05</v>
      </c>
      <c r="E588">
        <v>0.05</v>
      </c>
      <c r="F588">
        <v>0.05</v>
      </c>
      <c r="G588">
        <v>0</v>
      </c>
    </row>
    <row r="589" spans="1:7" x14ac:dyDescent="0.2">
      <c r="A589">
        <v>7445</v>
      </c>
      <c r="B589" s="106" t="s">
        <v>1176</v>
      </c>
      <c r="C589">
        <v>0.05</v>
      </c>
      <c r="D589">
        <v>0.05</v>
      </c>
      <c r="E589">
        <v>0.05</v>
      </c>
      <c r="F589">
        <v>0.05</v>
      </c>
      <c r="G589">
        <v>0.15</v>
      </c>
    </row>
    <row r="590" spans="1:7" x14ac:dyDescent="0.2">
      <c r="A590">
        <v>7451</v>
      </c>
      <c r="B590" s="106" t="s">
        <v>1177</v>
      </c>
      <c r="C590">
        <v>0.05</v>
      </c>
      <c r="D590" s="106">
        <v>0.05</v>
      </c>
      <c r="E590">
        <v>0.05</v>
      </c>
      <c r="F590">
        <v>0.05</v>
      </c>
      <c r="G590">
        <v>0.15</v>
      </c>
    </row>
    <row r="591" spans="1:7" x14ac:dyDescent="0.2">
      <c r="A591">
        <v>7458</v>
      </c>
      <c r="B591" s="106" t="s">
        <v>1178</v>
      </c>
      <c r="C591">
        <v>0.1</v>
      </c>
      <c r="D591" s="106">
        <v>0.1</v>
      </c>
      <c r="E591">
        <v>0.1</v>
      </c>
      <c r="F591">
        <v>0.1</v>
      </c>
      <c r="G591">
        <v>0.3</v>
      </c>
    </row>
    <row r="592" spans="1:7" x14ac:dyDescent="0.2">
      <c r="A592">
        <v>7459</v>
      </c>
      <c r="B592" s="106" t="s">
        <v>1179</v>
      </c>
      <c r="C592">
        <v>0.05</v>
      </c>
      <c r="D592">
        <v>0.05</v>
      </c>
      <c r="E592">
        <v>0.05</v>
      </c>
      <c r="F592">
        <v>0.05</v>
      </c>
      <c r="G592">
        <v>0.15</v>
      </c>
    </row>
    <row r="593" spans="1:7" x14ac:dyDescent="0.2">
      <c r="A593">
        <v>7463</v>
      </c>
      <c r="B593" s="106" t="s">
        <v>1180</v>
      </c>
      <c r="C593">
        <v>0</v>
      </c>
      <c r="D593">
        <v>0</v>
      </c>
      <c r="E593">
        <v>0</v>
      </c>
      <c r="F593">
        <v>0</v>
      </c>
      <c r="G593">
        <v>0.15</v>
      </c>
    </row>
    <row r="594" spans="1:7" x14ac:dyDescent="0.2">
      <c r="A594">
        <v>7475</v>
      </c>
      <c r="B594" s="106" t="s">
        <v>1181</v>
      </c>
      <c r="C594">
        <v>0.05</v>
      </c>
      <c r="D594">
        <v>0.05</v>
      </c>
      <c r="E594">
        <v>0.05</v>
      </c>
      <c r="F594">
        <v>0.05</v>
      </c>
      <c r="G594">
        <v>0.15</v>
      </c>
    </row>
    <row r="595" spans="1:7" x14ac:dyDescent="0.2">
      <c r="A595">
        <v>7480</v>
      </c>
      <c r="B595" s="106" t="s">
        <v>1182</v>
      </c>
      <c r="C595">
        <v>0</v>
      </c>
      <c r="D595">
        <v>0</v>
      </c>
      <c r="E595">
        <v>0</v>
      </c>
      <c r="F595" s="106">
        <v>0</v>
      </c>
      <c r="G595">
        <v>0</v>
      </c>
    </row>
    <row r="596" spans="1:7" x14ac:dyDescent="0.2">
      <c r="A596">
        <v>7482</v>
      </c>
      <c r="B596" s="106" t="s">
        <v>1183</v>
      </c>
      <c r="C596">
        <v>0.05</v>
      </c>
      <c r="D596">
        <v>0.05</v>
      </c>
      <c r="E596">
        <v>0.05</v>
      </c>
      <c r="F596">
        <v>0.05</v>
      </c>
      <c r="G596">
        <v>0.15</v>
      </c>
    </row>
    <row r="597" spans="1:7" x14ac:dyDescent="0.2">
      <c r="A597">
        <v>7483</v>
      </c>
      <c r="B597" s="106" t="s">
        <v>4759</v>
      </c>
      <c r="C597">
        <v>0</v>
      </c>
      <c r="D597">
        <v>0</v>
      </c>
      <c r="E597" t="s">
        <v>162</v>
      </c>
      <c r="F597">
        <v>0.05</v>
      </c>
      <c r="G597" t="s">
        <v>162</v>
      </c>
    </row>
    <row r="598" spans="1:7" x14ac:dyDescent="0.2">
      <c r="A598">
        <v>7487</v>
      </c>
      <c r="B598" s="106" t="s">
        <v>1184</v>
      </c>
      <c r="C598">
        <v>0.05</v>
      </c>
      <c r="D598">
        <v>0.05</v>
      </c>
      <c r="E598" s="106">
        <v>0.05</v>
      </c>
      <c r="F598" s="106">
        <v>0.05</v>
      </c>
      <c r="G598" s="106">
        <v>0.15</v>
      </c>
    </row>
    <row r="599" spans="1:7" x14ac:dyDescent="0.2">
      <c r="A599">
        <v>7494</v>
      </c>
      <c r="B599" s="106" t="s">
        <v>1185</v>
      </c>
      <c r="C599">
        <v>0</v>
      </c>
      <c r="D599">
        <v>0</v>
      </c>
      <c r="E599">
        <v>0</v>
      </c>
      <c r="F599" s="106">
        <v>0</v>
      </c>
      <c r="G599">
        <v>0</v>
      </c>
    </row>
    <row r="600" spans="1:7" x14ac:dyDescent="0.2">
      <c r="A600">
        <v>7506</v>
      </c>
      <c r="B600" s="106" t="s">
        <v>1186</v>
      </c>
      <c r="C600">
        <v>0.05</v>
      </c>
      <c r="D600">
        <v>0.05</v>
      </c>
      <c r="E600">
        <v>0.05</v>
      </c>
      <c r="F600">
        <v>0.05</v>
      </c>
      <c r="G600">
        <v>0.15</v>
      </c>
    </row>
    <row r="601" spans="1:7" x14ac:dyDescent="0.2">
      <c r="A601">
        <v>7508</v>
      </c>
      <c r="B601" s="106" t="s">
        <v>1617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">
      <c r="A602">
        <v>7513</v>
      </c>
      <c r="B602" s="106" t="s">
        <v>4252</v>
      </c>
      <c r="C602">
        <v>0</v>
      </c>
      <c r="D602" s="106">
        <v>0</v>
      </c>
      <c r="E602">
        <v>0</v>
      </c>
      <c r="F602" s="106">
        <v>0</v>
      </c>
      <c r="G602">
        <v>0</v>
      </c>
    </row>
    <row r="603" spans="1:7" x14ac:dyDescent="0.2">
      <c r="A603">
        <v>7524</v>
      </c>
      <c r="B603" s="106" t="s">
        <v>1187</v>
      </c>
      <c r="C603">
        <v>0</v>
      </c>
      <c r="D603" s="106">
        <v>0</v>
      </c>
      <c r="E603" s="106">
        <v>0</v>
      </c>
      <c r="F603" s="106">
        <v>0</v>
      </c>
      <c r="G603" s="106">
        <v>0</v>
      </c>
    </row>
    <row r="604" spans="1:7" x14ac:dyDescent="0.2">
      <c r="A604">
        <v>7525</v>
      </c>
      <c r="B604" s="106" t="s">
        <v>1590</v>
      </c>
      <c r="C604">
        <v>0</v>
      </c>
      <c r="D604" s="106">
        <v>0</v>
      </c>
      <c r="E604" s="106">
        <v>0</v>
      </c>
      <c r="F604" s="106">
        <v>0</v>
      </c>
      <c r="G604" s="106">
        <v>0.15</v>
      </c>
    </row>
    <row r="605" spans="1:7" x14ac:dyDescent="0.2">
      <c r="A605">
        <v>7532</v>
      </c>
      <c r="B605" s="106" t="s">
        <v>1188</v>
      </c>
      <c r="C605">
        <v>0</v>
      </c>
      <c r="D605">
        <v>0.05</v>
      </c>
      <c r="E605">
        <v>0.05</v>
      </c>
      <c r="F605">
        <v>0.05</v>
      </c>
      <c r="G605">
        <v>0</v>
      </c>
    </row>
    <row r="606" spans="1:7" x14ac:dyDescent="0.2">
      <c r="A606">
        <v>7550</v>
      </c>
      <c r="B606" s="106" t="s">
        <v>5132</v>
      </c>
      <c r="C606">
        <v>0</v>
      </c>
      <c r="D606" t="s">
        <v>162</v>
      </c>
      <c r="E606" t="s">
        <v>162</v>
      </c>
      <c r="F606" t="s">
        <v>162</v>
      </c>
      <c r="G606">
        <v>0</v>
      </c>
    </row>
    <row r="607" spans="1:7" x14ac:dyDescent="0.2">
      <c r="A607">
        <v>7554</v>
      </c>
      <c r="B607" s="106" t="s">
        <v>1901</v>
      </c>
      <c r="C607">
        <v>0</v>
      </c>
      <c r="D607">
        <v>0</v>
      </c>
      <c r="E607" s="106">
        <v>0</v>
      </c>
      <c r="F607" s="106">
        <v>0</v>
      </c>
      <c r="G607">
        <v>0</v>
      </c>
    </row>
    <row r="608" spans="1:7" x14ac:dyDescent="0.2">
      <c r="A608">
        <v>7561</v>
      </c>
      <c r="B608" s="106" t="s">
        <v>1902</v>
      </c>
      <c r="C608">
        <v>0.05</v>
      </c>
      <c r="D608">
        <v>0.05</v>
      </c>
      <c r="E608" s="106">
        <v>0.05</v>
      </c>
      <c r="F608" s="106">
        <v>0.05</v>
      </c>
      <c r="G608" s="106">
        <v>0.15</v>
      </c>
    </row>
    <row r="609" spans="1:7" x14ac:dyDescent="0.2">
      <c r="A609">
        <v>7570</v>
      </c>
      <c r="B609" s="106" t="s">
        <v>1189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">
      <c r="A610">
        <v>7599</v>
      </c>
      <c r="B610" s="106" t="s">
        <v>5133</v>
      </c>
      <c r="C610">
        <v>0</v>
      </c>
      <c r="D610" t="s">
        <v>162</v>
      </c>
      <c r="E610">
        <v>0</v>
      </c>
      <c r="F610">
        <v>0.05</v>
      </c>
      <c r="G610">
        <v>0</v>
      </c>
    </row>
    <row r="611" spans="1:7" x14ac:dyDescent="0.2">
      <c r="A611">
        <v>7601</v>
      </c>
      <c r="B611" s="106" t="s">
        <v>1190</v>
      </c>
      <c r="C611">
        <v>0.05</v>
      </c>
      <c r="D611">
        <v>0.05</v>
      </c>
      <c r="E611">
        <v>0.05</v>
      </c>
      <c r="F611">
        <v>0.05</v>
      </c>
      <c r="G611">
        <v>0.15</v>
      </c>
    </row>
    <row r="612" spans="1:7" x14ac:dyDescent="0.2">
      <c r="A612">
        <v>7615</v>
      </c>
      <c r="B612" s="106" t="s">
        <v>1191</v>
      </c>
      <c r="C612">
        <v>0.05</v>
      </c>
      <c r="D612">
        <v>0.05</v>
      </c>
      <c r="E612">
        <v>0.05</v>
      </c>
      <c r="F612">
        <v>0.05</v>
      </c>
      <c r="G612">
        <v>0</v>
      </c>
    </row>
    <row r="613" spans="1:7" x14ac:dyDescent="0.2">
      <c r="A613">
        <v>7616</v>
      </c>
      <c r="B613" s="106" t="s">
        <v>1192</v>
      </c>
      <c r="C613">
        <v>0.05</v>
      </c>
      <c r="D613">
        <v>0.05</v>
      </c>
      <c r="E613">
        <v>0.05</v>
      </c>
      <c r="F613">
        <v>0.05</v>
      </c>
      <c r="G613">
        <v>0.15</v>
      </c>
    </row>
    <row r="614" spans="1:7" x14ac:dyDescent="0.2">
      <c r="A614">
        <v>7618</v>
      </c>
      <c r="B614" s="106" t="s">
        <v>1678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7628</v>
      </c>
      <c r="B615" s="106" t="s">
        <v>1193</v>
      </c>
      <c r="C615">
        <v>0.05</v>
      </c>
      <c r="D615">
        <v>0.05</v>
      </c>
      <c r="E615">
        <v>0.05</v>
      </c>
      <c r="F615">
        <v>0.05</v>
      </c>
      <c r="G615">
        <v>0.15</v>
      </c>
    </row>
    <row r="616" spans="1:7" x14ac:dyDescent="0.2">
      <c r="A616">
        <v>7630</v>
      </c>
      <c r="B616" s="106" t="s">
        <v>1194</v>
      </c>
      <c r="C616">
        <v>0.1</v>
      </c>
      <c r="D616">
        <v>0.1</v>
      </c>
      <c r="E616">
        <v>0.1</v>
      </c>
      <c r="F616">
        <v>0.1</v>
      </c>
      <c r="G616">
        <v>0.3</v>
      </c>
    </row>
    <row r="617" spans="1:7" x14ac:dyDescent="0.2">
      <c r="A617">
        <v>7637</v>
      </c>
      <c r="B617" s="106" t="s">
        <v>1195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">
      <c r="A618">
        <v>7640</v>
      </c>
      <c r="B618" s="106" t="s">
        <v>1196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7701</v>
      </c>
      <c r="B619" s="106" t="s">
        <v>1197</v>
      </c>
      <c r="C619">
        <v>0</v>
      </c>
      <c r="D619">
        <v>0.05</v>
      </c>
      <c r="E619">
        <v>0.05</v>
      </c>
      <c r="F619">
        <v>0.05</v>
      </c>
      <c r="G619">
        <v>0.15</v>
      </c>
    </row>
    <row r="620" spans="1:7" x14ac:dyDescent="0.2">
      <c r="A620">
        <v>7723</v>
      </c>
      <c r="B620" s="106" t="s">
        <v>1198</v>
      </c>
      <c r="C620">
        <v>0.05</v>
      </c>
      <c r="D620">
        <v>0.05</v>
      </c>
      <c r="E620">
        <v>0</v>
      </c>
      <c r="F620">
        <v>0</v>
      </c>
      <c r="G620">
        <v>0.15</v>
      </c>
    </row>
    <row r="621" spans="1:7" x14ac:dyDescent="0.2">
      <c r="A621">
        <v>7727</v>
      </c>
      <c r="B621" s="106" t="s">
        <v>1591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7730</v>
      </c>
      <c r="B622" s="106" t="s">
        <v>4285</v>
      </c>
      <c r="C622">
        <v>0.05</v>
      </c>
      <c r="D622">
        <v>0</v>
      </c>
      <c r="E622">
        <v>0.05</v>
      </c>
      <c r="F622">
        <v>0</v>
      </c>
      <c r="G622">
        <v>0.15</v>
      </c>
    </row>
    <row r="623" spans="1:7" x14ac:dyDescent="0.2">
      <c r="A623">
        <v>7733</v>
      </c>
      <c r="B623" s="106" t="s">
        <v>1199</v>
      </c>
      <c r="C623">
        <v>0</v>
      </c>
      <c r="D623">
        <v>0.05</v>
      </c>
      <c r="E623">
        <v>0.05</v>
      </c>
      <c r="F623">
        <v>0.05</v>
      </c>
      <c r="G623">
        <v>0.15</v>
      </c>
    </row>
    <row r="624" spans="1:7" x14ac:dyDescent="0.2">
      <c r="A624">
        <v>7740</v>
      </c>
      <c r="B624" s="106" t="s">
        <v>5134</v>
      </c>
      <c r="C624">
        <v>0</v>
      </c>
      <c r="D624" t="s">
        <v>162</v>
      </c>
      <c r="E624" t="s">
        <v>162</v>
      </c>
      <c r="F624" t="s">
        <v>162</v>
      </c>
      <c r="G624">
        <v>0</v>
      </c>
    </row>
    <row r="625" spans="1:7" x14ac:dyDescent="0.2">
      <c r="A625">
        <v>7741</v>
      </c>
      <c r="B625" s="106" t="s">
        <v>4760</v>
      </c>
      <c r="C625">
        <v>0</v>
      </c>
      <c r="D625">
        <v>0</v>
      </c>
      <c r="E625" t="s">
        <v>162</v>
      </c>
      <c r="F625" s="106">
        <v>0</v>
      </c>
      <c r="G625" s="106">
        <v>0</v>
      </c>
    </row>
    <row r="626" spans="1:7" x14ac:dyDescent="0.2">
      <c r="A626">
        <v>7743</v>
      </c>
      <c r="B626" s="106" t="s">
        <v>4253</v>
      </c>
      <c r="C626">
        <v>0</v>
      </c>
      <c r="D626">
        <v>0</v>
      </c>
      <c r="E626">
        <v>0</v>
      </c>
      <c r="F626" s="106">
        <v>0</v>
      </c>
      <c r="G626" s="106">
        <v>0</v>
      </c>
    </row>
    <row r="627" spans="1:7" x14ac:dyDescent="0.2">
      <c r="A627">
        <v>7747</v>
      </c>
      <c r="B627" s="106" t="s">
        <v>1200</v>
      </c>
      <c r="C627">
        <v>0.05</v>
      </c>
      <c r="D627">
        <v>0.05</v>
      </c>
      <c r="E627">
        <v>0.1</v>
      </c>
      <c r="F627">
        <v>0.1</v>
      </c>
      <c r="G627">
        <v>0.3</v>
      </c>
    </row>
    <row r="628" spans="1:7" x14ac:dyDescent="0.2">
      <c r="A628">
        <v>7752</v>
      </c>
      <c r="B628" s="106" t="s">
        <v>1201</v>
      </c>
      <c r="C628">
        <v>0.05</v>
      </c>
      <c r="D628">
        <v>0.55000000000000004</v>
      </c>
      <c r="E628">
        <v>0.05</v>
      </c>
      <c r="F628">
        <v>0.05</v>
      </c>
      <c r="G628">
        <v>0.15</v>
      </c>
    </row>
    <row r="629" spans="1:7" x14ac:dyDescent="0.2">
      <c r="A629">
        <v>7762</v>
      </c>
      <c r="B629" s="106" t="s">
        <v>4404</v>
      </c>
      <c r="C629">
        <v>0</v>
      </c>
      <c r="D629">
        <v>0</v>
      </c>
      <c r="E629">
        <v>0</v>
      </c>
      <c r="F629">
        <v>0</v>
      </c>
      <c r="G629" t="s">
        <v>162</v>
      </c>
    </row>
    <row r="630" spans="1:7" x14ac:dyDescent="0.2">
      <c r="A630">
        <v>7769</v>
      </c>
      <c r="B630" s="106" t="s">
        <v>5135</v>
      </c>
      <c r="C630">
        <v>0</v>
      </c>
      <c r="D630" s="106" t="s">
        <v>162</v>
      </c>
      <c r="E630">
        <v>0</v>
      </c>
      <c r="F630">
        <v>0</v>
      </c>
      <c r="G630">
        <v>0</v>
      </c>
    </row>
    <row r="631" spans="1:7" x14ac:dyDescent="0.2">
      <c r="A631">
        <v>7782</v>
      </c>
      <c r="B631" s="106" t="s">
        <v>1202</v>
      </c>
      <c r="C631">
        <v>0.05</v>
      </c>
      <c r="D631" s="106">
        <v>0</v>
      </c>
      <c r="E631" s="106">
        <v>0</v>
      </c>
      <c r="F631" s="106">
        <v>0</v>
      </c>
      <c r="G631" s="106">
        <v>0</v>
      </c>
    </row>
    <row r="632" spans="1:7" x14ac:dyDescent="0.2">
      <c r="A632">
        <v>7817</v>
      </c>
      <c r="B632" s="106" t="s">
        <v>834</v>
      </c>
      <c r="C632">
        <v>0.1</v>
      </c>
      <c r="D632" s="106">
        <v>0.1</v>
      </c>
      <c r="E632" s="106">
        <v>0.1</v>
      </c>
      <c r="F632" s="106">
        <v>0.1</v>
      </c>
      <c r="G632" s="106">
        <v>0.3</v>
      </c>
    </row>
    <row r="633" spans="1:7" x14ac:dyDescent="0.2">
      <c r="A633">
        <v>7819</v>
      </c>
      <c r="B633" s="106" t="s">
        <v>1903</v>
      </c>
      <c r="C633">
        <v>0</v>
      </c>
      <c r="D633">
        <v>0</v>
      </c>
      <c r="E633" s="106">
        <v>0</v>
      </c>
      <c r="F633">
        <v>0</v>
      </c>
      <c r="G633" s="106">
        <v>0</v>
      </c>
    </row>
    <row r="634" spans="1:7" x14ac:dyDescent="0.2">
      <c r="A634">
        <v>7822</v>
      </c>
      <c r="B634" s="106" t="s">
        <v>1203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">
      <c r="A635">
        <v>7832</v>
      </c>
      <c r="B635" s="106" t="s">
        <v>1679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">
      <c r="A636">
        <v>7840</v>
      </c>
      <c r="B636" s="106" t="s">
        <v>1204</v>
      </c>
      <c r="C636">
        <v>0.05</v>
      </c>
      <c r="D636" s="106">
        <v>0.05</v>
      </c>
      <c r="E636" s="106">
        <v>0.05</v>
      </c>
      <c r="F636" s="106">
        <v>0.05</v>
      </c>
      <c r="G636" s="106">
        <v>0.15</v>
      </c>
    </row>
    <row r="637" spans="1:7" x14ac:dyDescent="0.2">
      <c r="A637">
        <v>7844</v>
      </c>
      <c r="B637" s="106" t="s">
        <v>1205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7846</v>
      </c>
      <c r="B638" s="106" t="s">
        <v>1206</v>
      </c>
      <c r="C638">
        <v>0.1</v>
      </c>
      <c r="D638">
        <v>0.1</v>
      </c>
      <c r="E638">
        <v>0.1</v>
      </c>
      <c r="F638">
        <v>0.1</v>
      </c>
      <c r="G638">
        <v>0.3</v>
      </c>
    </row>
    <row r="639" spans="1:7" x14ac:dyDescent="0.2">
      <c r="A639">
        <v>7856</v>
      </c>
      <c r="B639" s="106" t="s">
        <v>1207</v>
      </c>
      <c r="C639">
        <v>0</v>
      </c>
      <c r="D639">
        <v>0</v>
      </c>
      <c r="E639">
        <v>0</v>
      </c>
      <c r="F639">
        <v>0</v>
      </c>
      <c r="G639">
        <v>0.15</v>
      </c>
    </row>
    <row r="640" spans="1:7" x14ac:dyDescent="0.2">
      <c r="A640">
        <v>7860</v>
      </c>
      <c r="B640" s="106" t="s">
        <v>1208</v>
      </c>
      <c r="C640">
        <v>0.05</v>
      </c>
      <c r="D640">
        <v>0.05</v>
      </c>
      <c r="E640">
        <v>0</v>
      </c>
      <c r="F640">
        <v>0.05</v>
      </c>
      <c r="G640">
        <v>0</v>
      </c>
    </row>
    <row r="641" spans="1:7" x14ac:dyDescent="0.2">
      <c r="A641">
        <v>7873</v>
      </c>
      <c r="B641" s="106" t="s">
        <v>5136</v>
      </c>
      <c r="C641">
        <v>0</v>
      </c>
      <c r="D641" t="s">
        <v>162</v>
      </c>
      <c r="E641" t="s">
        <v>162</v>
      </c>
      <c r="F641">
        <v>0</v>
      </c>
      <c r="G641">
        <v>0</v>
      </c>
    </row>
    <row r="642" spans="1:7" x14ac:dyDescent="0.2">
      <c r="A642">
        <v>7885</v>
      </c>
      <c r="B642" s="106" t="s">
        <v>1209</v>
      </c>
      <c r="C642">
        <v>0.05</v>
      </c>
      <c r="D642">
        <v>0.05</v>
      </c>
      <c r="E642" s="106">
        <v>0.05</v>
      </c>
      <c r="F642" s="106">
        <v>0.05</v>
      </c>
      <c r="G642" s="106">
        <v>0.15</v>
      </c>
    </row>
    <row r="643" spans="1:7" x14ac:dyDescent="0.2">
      <c r="A643">
        <v>7898</v>
      </c>
      <c r="B643" s="106" t="s">
        <v>1210</v>
      </c>
      <c r="C643">
        <v>0.05</v>
      </c>
      <c r="D643">
        <v>0.05</v>
      </c>
      <c r="E643" s="106">
        <v>0.05</v>
      </c>
      <c r="F643" s="106">
        <v>0.05</v>
      </c>
      <c r="G643" s="106">
        <v>0.15</v>
      </c>
    </row>
    <row r="644" spans="1:7" x14ac:dyDescent="0.2">
      <c r="A644">
        <v>7911</v>
      </c>
      <c r="B644" s="106" t="s">
        <v>1211</v>
      </c>
      <c r="C644">
        <v>0.05</v>
      </c>
      <c r="D644">
        <v>0.05</v>
      </c>
      <c r="E644">
        <v>0.05</v>
      </c>
      <c r="F644">
        <v>0.05</v>
      </c>
      <c r="G644">
        <v>0.15</v>
      </c>
    </row>
    <row r="645" spans="1:7" x14ac:dyDescent="0.2">
      <c r="A645">
        <v>7912</v>
      </c>
      <c r="B645" s="106" t="s">
        <v>4405</v>
      </c>
      <c r="C645">
        <v>0</v>
      </c>
      <c r="D645" s="106">
        <v>0</v>
      </c>
      <c r="E645">
        <v>0</v>
      </c>
      <c r="F645">
        <v>0</v>
      </c>
      <c r="G645" t="s">
        <v>162</v>
      </c>
    </row>
    <row r="646" spans="1:7" x14ac:dyDescent="0.2">
      <c r="A646">
        <v>7915</v>
      </c>
      <c r="B646" s="106" t="s">
        <v>4570</v>
      </c>
      <c r="C646">
        <v>0</v>
      </c>
      <c r="D646" s="106">
        <v>0</v>
      </c>
      <c r="E646">
        <v>0</v>
      </c>
      <c r="F646" t="s">
        <v>162</v>
      </c>
      <c r="G646">
        <v>0</v>
      </c>
    </row>
    <row r="647" spans="1:7" x14ac:dyDescent="0.2">
      <c r="A647">
        <v>7916</v>
      </c>
      <c r="B647" s="106" t="s">
        <v>1212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">
      <c r="A648">
        <v>7925</v>
      </c>
      <c r="B648" s="106" t="s">
        <v>5137</v>
      </c>
      <c r="C648">
        <v>0</v>
      </c>
      <c r="D648" t="s">
        <v>162</v>
      </c>
      <c r="E648" t="s">
        <v>162</v>
      </c>
      <c r="F648" t="s">
        <v>162</v>
      </c>
      <c r="G648">
        <v>0.15</v>
      </c>
    </row>
    <row r="649" spans="1:7" x14ac:dyDescent="0.2">
      <c r="A649">
        <v>7936</v>
      </c>
      <c r="B649" s="106" t="s">
        <v>4406</v>
      </c>
      <c r="C649">
        <v>0</v>
      </c>
      <c r="D649">
        <v>0</v>
      </c>
      <c r="E649">
        <v>0</v>
      </c>
      <c r="F649">
        <v>0</v>
      </c>
      <c r="G649" t="s">
        <v>162</v>
      </c>
    </row>
    <row r="650" spans="1:7" x14ac:dyDescent="0.2">
      <c r="A650">
        <v>7937</v>
      </c>
      <c r="B650" s="106" t="s">
        <v>1213</v>
      </c>
      <c r="C650">
        <v>0.05</v>
      </c>
      <c r="D650">
        <v>0.05</v>
      </c>
      <c r="E650">
        <v>0.05</v>
      </c>
      <c r="F650">
        <v>0.05</v>
      </c>
      <c r="G650">
        <v>0.15</v>
      </c>
    </row>
    <row r="651" spans="1:7" x14ac:dyDescent="0.2">
      <c r="A651">
        <v>7942</v>
      </c>
      <c r="B651" s="106" t="s">
        <v>4761</v>
      </c>
      <c r="C651">
        <v>0</v>
      </c>
      <c r="D651">
        <v>0</v>
      </c>
      <c r="E651" t="s">
        <v>162</v>
      </c>
      <c r="F651" t="s">
        <v>162</v>
      </c>
      <c r="G651">
        <v>0</v>
      </c>
    </row>
    <row r="652" spans="1:7" x14ac:dyDescent="0.2">
      <c r="A652">
        <v>7951</v>
      </c>
      <c r="B652" s="106" t="s">
        <v>1214</v>
      </c>
      <c r="C652">
        <v>0.1</v>
      </c>
      <c r="D652">
        <v>0.1</v>
      </c>
      <c r="E652">
        <v>0.1</v>
      </c>
      <c r="F652">
        <v>0.1</v>
      </c>
      <c r="G652">
        <v>0.3</v>
      </c>
    </row>
    <row r="653" spans="1:7" x14ac:dyDescent="0.2">
      <c r="A653">
        <v>7952</v>
      </c>
      <c r="B653" s="106" t="s">
        <v>1215</v>
      </c>
      <c r="C653">
        <v>0.1</v>
      </c>
      <c r="D653">
        <v>0.1</v>
      </c>
      <c r="E653">
        <v>0.1</v>
      </c>
      <c r="F653">
        <v>0.1</v>
      </c>
      <c r="G653">
        <v>0.3</v>
      </c>
    </row>
    <row r="654" spans="1:7" x14ac:dyDescent="0.2">
      <c r="A654">
        <v>7962</v>
      </c>
      <c r="B654" s="106" t="s">
        <v>1216</v>
      </c>
      <c r="C654">
        <v>0</v>
      </c>
      <c r="D654">
        <v>0</v>
      </c>
      <c r="E654">
        <v>0.05</v>
      </c>
      <c r="F654">
        <v>0.05</v>
      </c>
      <c r="G654" s="106">
        <v>0.15</v>
      </c>
    </row>
    <row r="655" spans="1:7" x14ac:dyDescent="0.2">
      <c r="A655">
        <v>7965</v>
      </c>
      <c r="B655" s="106" t="s">
        <v>1217</v>
      </c>
      <c r="C655">
        <v>0.05</v>
      </c>
      <c r="D655">
        <v>0.05</v>
      </c>
      <c r="E655" s="106">
        <v>0.05</v>
      </c>
      <c r="F655">
        <v>0.05</v>
      </c>
      <c r="G655">
        <v>0.15</v>
      </c>
    </row>
    <row r="656" spans="1:7" x14ac:dyDescent="0.2">
      <c r="A656">
        <v>7966</v>
      </c>
      <c r="B656" s="106" t="s">
        <v>1904</v>
      </c>
      <c r="C656">
        <v>0.05</v>
      </c>
      <c r="D656">
        <v>0.05</v>
      </c>
      <c r="E656" s="106">
        <v>0.05</v>
      </c>
      <c r="F656">
        <v>0.05</v>
      </c>
      <c r="G656">
        <v>0</v>
      </c>
    </row>
    <row r="657" spans="1:7" x14ac:dyDescent="0.2">
      <c r="A657">
        <v>7979</v>
      </c>
      <c r="B657" s="106" t="s">
        <v>1618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">
      <c r="A658">
        <v>7981</v>
      </c>
      <c r="B658" s="106" t="s">
        <v>1218</v>
      </c>
      <c r="C658">
        <v>0.05</v>
      </c>
      <c r="D658">
        <v>0.05</v>
      </c>
      <c r="E658">
        <v>0</v>
      </c>
      <c r="F658">
        <v>0</v>
      </c>
      <c r="G658">
        <v>0</v>
      </c>
    </row>
    <row r="659" spans="1:7" x14ac:dyDescent="0.2">
      <c r="A659">
        <v>7984</v>
      </c>
      <c r="B659" s="106" t="s">
        <v>1219</v>
      </c>
      <c r="C659">
        <v>0.05</v>
      </c>
      <c r="D659">
        <v>0.05</v>
      </c>
      <c r="E659">
        <v>0.05</v>
      </c>
      <c r="F659">
        <v>0.05</v>
      </c>
      <c r="G659">
        <v>0.15</v>
      </c>
    </row>
    <row r="660" spans="1:7" x14ac:dyDescent="0.2">
      <c r="A660">
        <v>7987</v>
      </c>
      <c r="B660" s="106" t="s">
        <v>1905</v>
      </c>
      <c r="C660">
        <v>0</v>
      </c>
      <c r="D660" s="106">
        <v>0</v>
      </c>
      <c r="E660">
        <v>0</v>
      </c>
      <c r="F660" s="106">
        <v>0</v>
      </c>
      <c r="G660">
        <v>0</v>
      </c>
    </row>
    <row r="661" spans="1:7" x14ac:dyDescent="0.2">
      <c r="A661">
        <v>7988</v>
      </c>
      <c r="B661" s="106" t="s">
        <v>1220</v>
      </c>
      <c r="C661">
        <v>0.05</v>
      </c>
      <c r="D661">
        <v>0.05</v>
      </c>
      <c r="E661">
        <v>0.05</v>
      </c>
      <c r="F661">
        <v>0.05</v>
      </c>
      <c r="G661">
        <v>0.15</v>
      </c>
    </row>
    <row r="662" spans="1:7" x14ac:dyDescent="0.2">
      <c r="A662">
        <v>7999</v>
      </c>
      <c r="B662" s="106" t="s">
        <v>1221</v>
      </c>
      <c r="C662">
        <v>0.05</v>
      </c>
      <c r="D662">
        <v>0.05</v>
      </c>
      <c r="E662">
        <v>0.05</v>
      </c>
      <c r="F662">
        <v>0.05</v>
      </c>
      <c r="G662">
        <v>0.15</v>
      </c>
    </row>
    <row r="663" spans="1:7" x14ac:dyDescent="0.2">
      <c r="A663">
        <v>8001</v>
      </c>
      <c r="B663" s="106" t="s">
        <v>4334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">
      <c r="A664">
        <v>8008</v>
      </c>
      <c r="B664" s="106" t="s">
        <v>1222</v>
      </c>
      <c r="C664">
        <v>0.05</v>
      </c>
      <c r="D664">
        <v>0.05</v>
      </c>
      <c r="E664">
        <v>0.05</v>
      </c>
      <c r="F664">
        <v>0.05</v>
      </c>
      <c r="G664">
        <v>0.15</v>
      </c>
    </row>
    <row r="665" spans="1:7" x14ac:dyDescent="0.2">
      <c r="A665">
        <v>8011</v>
      </c>
      <c r="B665" s="106" t="s">
        <v>1223</v>
      </c>
      <c r="C665">
        <v>0.05</v>
      </c>
      <c r="D665" s="106">
        <v>0.05</v>
      </c>
      <c r="E665">
        <v>0.05</v>
      </c>
      <c r="F665" s="106">
        <v>0.05</v>
      </c>
      <c r="G665" s="106">
        <v>0.15</v>
      </c>
    </row>
    <row r="666" spans="1:7" x14ac:dyDescent="0.2">
      <c r="A666">
        <v>8013</v>
      </c>
      <c r="B666" s="106" t="s">
        <v>4762</v>
      </c>
      <c r="C666">
        <v>0</v>
      </c>
      <c r="D666" s="106">
        <v>0</v>
      </c>
      <c r="E666" s="106" t="s">
        <v>162</v>
      </c>
      <c r="F666" s="106" t="s">
        <v>162</v>
      </c>
      <c r="G666" s="106">
        <v>0</v>
      </c>
    </row>
    <row r="667" spans="1:7" x14ac:dyDescent="0.2">
      <c r="A667">
        <v>8015</v>
      </c>
      <c r="B667" s="106" t="s">
        <v>1224</v>
      </c>
      <c r="C667">
        <v>0</v>
      </c>
      <c r="D667">
        <v>0</v>
      </c>
      <c r="E667" s="106">
        <v>0.1</v>
      </c>
      <c r="F667">
        <v>0</v>
      </c>
      <c r="G667" s="106">
        <v>0</v>
      </c>
    </row>
    <row r="668" spans="1:7" x14ac:dyDescent="0.2">
      <c r="A668">
        <v>8016</v>
      </c>
      <c r="B668" s="106" t="s">
        <v>1225</v>
      </c>
      <c r="C668">
        <v>0.05</v>
      </c>
      <c r="D668">
        <v>0.05</v>
      </c>
      <c r="E668">
        <v>0.05</v>
      </c>
      <c r="F668">
        <v>0.05</v>
      </c>
      <c r="G668">
        <v>0.15</v>
      </c>
    </row>
    <row r="669" spans="1:7" x14ac:dyDescent="0.2">
      <c r="A669">
        <v>8020</v>
      </c>
      <c r="B669" s="106" t="s">
        <v>1619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">
      <c r="A670">
        <v>8031</v>
      </c>
      <c r="B670" s="106" t="s">
        <v>1226</v>
      </c>
      <c r="C670">
        <v>0.05</v>
      </c>
      <c r="D670">
        <v>0.05</v>
      </c>
      <c r="E670">
        <v>0.05</v>
      </c>
      <c r="F670">
        <v>0.05</v>
      </c>
      <c r="G670">
        <v>0.15</v>
      </c>
    </row>
    <row r="671" spans="1:7" x14ac:dyDescent="0.2">
      <c r="A671">
        <v>8035</v>
      </c>
      <c r="B671" s="106" t="s">
        <v>1227</v>
      </c>
      <c r="C671">
        <v>0.4</v>
      </c>
      <c r="D671">
        <v>0.45</v>
      </c>
      <c r="E671">
        <v>0.45</v>
      </c>
      <c r="F671" s="106">
        <v>0.45</v>
      </c>
      <c r="G671">
        <v>1.35</v>
      </c>
    </row>
    <row r="672" spans="1:7" x14ac:dyDescent="0.2">
      <c r="A672">
        <v>8038</v>
      </c>
      <c r="B672" s="106" t="s">
        <v>5138</v>
      </c>
      <c r="C672">
        <v>0.05</v>
      </c>
      <c r="D672" t="s">
        <v>162</v>
      </c>
      <c r="E672" t="s">
        <v>162</v>
      </c>
      <c r="F672" t="s">
        <v>162</v>
      </c>
      <c r="G672" t="s">
        <v>162</v>
      </c>
    </row>
    <row r="673" spans="1:7" x14ac:dyDescent="0.2">
      <c r="A673">
        <v>8041</v>
      </c>
      <c r="B673" s="106" t="s">
        <v>1228</v>
      </c>
      <c r="C673">
        <v>0.05</v>
      </c>
      <c r="D673">
        <v>0.05</v>
      </c>
      <c r="E673">
        <v>0.05</v>
      </c>
      <c r="F673">
        <v>0.05</v>
      </c>
      <c r="G673">
        <v>0.15</v>
      </c>
    </row>
    <row r="674" spans="1:7" x14ac:dyDescent="0.2">
      <c r="A674">
        <v>8043</v>
      </c>
      <c r="B674" s="106" t="s">
        <v>1229</v>
      </c>
      <c r="C674">
        <v>0.1</v>
      </c>
      <c r="D674">
        <v>0.1</v>
      </c>
      <c r="E674">
        <v>0.05</v>
      </c>
      <c r="F674">
        <v>0.1</v>
      </c>
      <c r="G674">
        <v>0.3</v>
      </c>
    </row>
    <row r="675" spans="1:7" x14ac:dyDescent="0.2">
      <c r="A675">
        <v>8050</v>
      </c>
      <c r="B675" s="106" t="s">
        <v>1230</v>
      </c>
      <c r="C675">
        <v>0.05</v>
      </c>
      <c r="D675" s="106">
        <v>0.05</v>
      </c>
      <c r="E675">
        <v>0.05</v>
      </c>
      <c r="F675" s="106">
        <v>0.05</v>
      </c>
      <c r="G675" s="106">
        <v>0.15</v>
      </c>
    </row>
    <row r="676" spans="1:7" x14ac:dyDescent="0.2">
      <c r="A676">
        <v>8051</v>
      </c>
      <c r="B676" s="106" t="s">
        <v>1550</v>
      </c>
      <c r="C676">
        <v>0.05</v>
      </c>
      <c r="D676">
        <v>0.05</v>
      </c>
      <c r="E676">
        <v>0.05</v>
      </c>
      <c r="F676">
        <v>0.05</v>
      </c>
      <c r="G676">
        <v>0.15</v>
      </c>
    </row>
    <row r="677" spans="1:7" x14ac:dyDescent="0.2">
      <c r="A677">
        <v>8057</v>
      </c>
      <c r="B677" s="106" t="s">
        <v>1231</v>
      </c>
      <c r="C677">
        <v>0.15</v>
      </c>
      <c r="D677">
        <v>0.1</v>
      </c>
      <c r="E677">
        <v>0.2</v>
      </c>
      <c r="F677">
        <v>0.2</v>
      </c>
      <c r="G677" s="106">
        <v>1.35</v>
      </c>
    </row>
    <row r="678" spans="1:7" x14ac:dyDescent="0.2">
      <c r="A678">
        <v>8059</v>
      </c>
      <c r="B678" s="106" t="s">
        <v>1232</v>
      </c>
      <c r="C678">
        <v>0</v>
      </c>
      <c r="D678" s="106">
        <v>0</v>
      </c>
      <c r="E678">
        <v>0</v>
      </c>
      <c r="F678">
        <v>0</v>
      </c>
      <c r="G678" s="106">
        <v>0</v>
      </c>
    </row>
    <row r="679" spans="1:7" x14ac:dyDescent="0.2">
      <c r="A679">
        <v>8068</v>
      </c>
      <c r="B679" s="106" t="s">
        <v>1906</v>
      </c>
      <c r="C679">
        <v>0.05</v>
      </c>
      <c r="D679" s="106">
        <v>0</v>
      </c>
      <c r="E679">
        <v>0</v>
      </c>
      <c r="F679">
        <v>0</v>
      </c>
      <c r="G679">
        <v>0</v>
      </c>
    </row>
    <row r="680" spans="1:7" x14ac:dyDescent="0.2">
      <c r="A680">
        <v>8074</v>
      </c>
      <c r="B680" s="106" t="s">
        <v>1233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">
      <c r="A681">
        <v>8075</v>
      </c>
      <c r="B681" s="106" t="s">
        <v>1234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">
      <c r="A682">
        <v>8077</v>
      </c>
      <c r="B682" s="106" t="s">
        <v>1235</v>
      </c>
      <c r="C682">
        <v>0</v>
      </c>
      <c r="D682">
        <v>0</v>
      </c>
      <c r="E682">
        <v>0</v>
      </c>
      <c r="F682">
        <v>0</v>
      </c>
      <c r="G682">
        <v>0.15</v>
      </c>
    </row>
    <row r="683" spans="1:7" x14ac:dyDescent="0.2">
      <c r="A683">
        <v>8079</v>
      </c>
      <c r="B683" s="106" t="s">
        <v>1236</v>
      </c>
      <c r="C683">
        <v>0.1</v>
      </c>
      <c r="D683">
        <v>0.1</v>
      </c>
      <c r="E683">
        <v>0.1</v>
      </c>
      <c r="F683">
        <v>0.1</v>
      </c>
      <c r="G683">
        <v>0.3</v>
      </c>
    </row>
    <row r="684" spans="1:7" x14ac:dyDescent="0.2">
      <c r="A684">
        <v>8086</v>
      </c>
      <c r="B684" s="106" t="s">
        <v>4407</v>
      </c>
      <c r="C684">
        <v>0</v>
      </c>
      <c r="D684">
        <v>0</v>
      </c>
      <c r="E684" s="106">
        <v>0</v>
      </c>
      <c r="F684">
        <v>0</v>
      </c>
      <c r="G684" t="s">
        <v>162</v>
      </c>
    </row>
    <row r="685" spans="1:7" x14ac:dyDescent="0.2">
      <c r="A685">
        <v>8089</v>
      </c>
      <c r="B685" s="106" t="s">
        <v>1237</v>
      </c>
      <c r="C685">
        <v>0.05</v>
      </c>
      <c r="D685">
        <v>0.05</v>
      </c>
      <c r="E685">
        <v>0.05</v>
      </c>
      <c r="F685">
        <v>0.05</v>
      </c>
      <c r="G685" s="106">
        <v>0.15</v>
      </c>
    </row>
    <row r="686" spans="1:7" x14ac:dyDescent="0.2">
      <c r="A686">
        <v>8091</v>
      </c>
      <c r="B686" s="106" t="s">
        <v>5139</v>
      </c>
      <c r="C686">
        <v>0</v>
      </c>
      <c r="D686" t="s">
        <v>162</v>
      </c>
      <c r="E686" t="s">
        <v>162</v>
      </c>
      <c r="F686" t="s">
        <v>162</v>
      </c>
      <c r="G686" t="s">
        <v>162</v>
      </c>
    </row>
    <row r="687" spans="1:7" x14ac:dyDescent="0.2">
      <c r="A687">
        <v>8093</v>
      </c>
      <c r="B687" s="106" t="s">
        <v>1238</v>
      </c>
      <c r="C687">
        <v>0.05</v>
      </c>
      <c r="D687">
        <v>0.05</v>
      </c>
      <c r="E687">
        <v>0.05</v>
      </c>
      <c r="F687">
        <v>0.05</v>
      </c>
      <c r="G687">
        <v>0.15</v>
      </c>
    </row>
    <row r="688" spans="1:7" x14ac:dyDescent="0.2">
      <c r="A688">
        <v>8098</v>
      </c>
      <c r="B688" s="106" t="s">
        <v>1239</v>
      </c>
      <c r="C688">
        <v>0.05</v>
      </c>
      <c r="D688">
        <v>0.05</v>
      </c>
      <c r="E688">
        <v>0.05</v>
      </c>
      <c r="F688">
        <v>0.05</v>
      </c>
      <c r="G688">
        <v>0.15</v>
      </c>
    </row>
    <row r="689" spans="1:7" x14ac:dyDescent="0.2">
      <c r="A689">
        <v>8101</v>
      </c>
      <c r="B689" s="106" t="s">
        <v>1240</v>
      </c>
      <c r="C689">
        <v>0</v>
      </c>
      <c r="D689">
        <v>0</v>
      </c>
      <c r="E689">
        <v>0</v>
      </c>
      <c r="F689">
        <v>0</v>
      </c>
      <c r="G689" s="106">
        <v>0</v>
      </c>
    </row>
    <row r="690" spans="1:7" x14ac:dyDescent="0.2">
      <c r="A690">
        <v>8103</v>
      </c>
      <c r="B690" s="106" t="s">
        <v>1241</v>
      </c>
      <c r="C690">
        <v>0.05</v>
      </c>
      <c r="D690">
        <v>0.05</v>
      </c>
      <c r="E690">
        <v>0.05</v>
      </c>
      <c r="F690" s="106">
        <v>0.05</v>
      </c>
      <c r="G690" s="106">
        <v>0.15</v>
      </c>
    </row>
    <row r="691" spans="1:7" x14ac:dyDescent="0.2">
      <c r="A691">
        <v>8111</v>
      </c>
      <c r="B691" s="106" t="s">
        <v>1680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">
      <c r="A692">
        <v>8114</v>
      </c>
      <c r="B692" s="106" t="s">
        <v>1242</v>
      </c>
      <c r="C692">
        <v>0.05</v>
      </c>
      <c r="D692">
        <v>0.05</v>
      </c>
      <c r="E692">
        <v>0.05</v>
      </c>
      <c r="F692">
        <v>0.05</v>
      </c>
      <c r="G692">
        <v>0.15</v>
      </c>
    </row>
    <row r="693" spans="1:7" x14ac:dyDescent="0.2">
      <c r="A693">
        <v>8130</v>
      </c>
      <c r="B693" s="106" t="s">
        <v>1243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8131</v>
      </c>
      <c r="B694" s="106" t="s">
        <v>1244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">
      <c r="A695">
        <v>8132</v>
      </c>
      <c r="B695" s="106" t="s">
        <v>1245</v>
      </c>
      <c r="C695">
        <v>0.05</v>
      </c>
      <c r="D695">
        <v>0.05</v>
      </c>
      <c r="E695">
        <v>0.05</v>
      </c>
      <c r="F695">
        <v>0.05</v>
      </c>
      <c r="G695">
        <v>0.15</v>
      </c>
    </row>
    <row r="696" spans="1:7" x14ac:dyDescent="0.2">
      <c r="A696">
        <v>8140</v>
      </c>
      <c r="B696" s="106" t="s">
        <v>1246</v>
      </c>
      <c r="C696">
        <v>0.05</v>
      </c>
      <c r="D696">
        <v>0.05</v>
      </c>
      <c r="E696">
        <v>0.05</v>
      </c>
      <c r="F696">
        <v>0.05</v>
      </c>
      <c r="G696" s="106">
        <v>0.15</v>
      </c>
    </row>
    <row r="697" spans="1:7" x14ac:dyDescent="0.2">
      <c r="A697">
        <v>8141</v>
      </c>
      <c r="B697" s="106" t="s">
        <v>1247</v>
      </c>
      <c r="C697">
        <v>0.05</v>
      </c>
      <c r="D697">
        <v>0.05</v>
      </c>
      <c r="E697">
        <v>0.05</v>
      </c>
      <c r="F697">
        <v>0.05</v>
      </c>
      <c r="G697" s="106">
        <v>0.15</v>
      </c>
    </row>
    <row r="698" spans="1:7" x14ac:dyDescent="0.2">
      <c r="A698">
        <v>8142</v>
      </c>
      <c r="B698" s="106" t="s">
        <v>1248</v>
      </c>
      <c r="C698">
        <v>0.05</v>
      </c>
      <c r="D698">
        <v>0.05</v>
      </c>
      <c r="E698">
        <v>0.05</v>
      </c>
      <c r="F698">
        <v>0.05</v>
      </c>
      <c r="G698">
        <v>0.15</v>
      </c>
    </row>
    <row r="699" spans="1:7" x14ac:dyDescent="0.2">
      <c r="A699">
        <v>8150</v>
      </c>
      <c r="B699" s="106" t="s">
        <v>1249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">
      <c r="A700">
        <v>8153</v>
      </c>
      <c r="B700" s="106" t="s">
        <v>1250</v>
      </c>
      <c r="C700">
        <v>0.05</v>
      </c>
      <c r="D700">
        <v>0.1</v>
      </c>
      <c r="E700">
        <v>0.05</v>
      </c>
      <c r="F700">
        <v>0.05</v>
      </c>
      <c r="G700">
        <v>0.15</v>
      </c>
    </row>
    <row r="701" spans="1:7" x14ac:dyDescent="0.2">
      <c r="A701">
        <v>8158</v>
      </c>
      <c r="B701" s="106" t="s">
        <v>1251</v>
      </c>
      <c r="C701">
        <v>0.05</v>
      </c>
      <c r="D701" s="106">
        <v>0.05</v>
      </c>
      <c r="E701" s="106">
        <v>0.05</v>
      </c>
      <c r="F701" s="106">
        <v>0.05</v>
      </c>
      <c r="G701" s="106">
        <v>0.15</v>
      </c>
    </row>
    <row r="702" spans="1:7" x14ac:dyDescent="0.2">
      <c r="A702">
        <v>8160</v>
      </c>
      <c r="B702" s="106" t="s">
        <v>1252</v>
      </c>
      <c r="C702">
        <v>0.05</v>
      </c>
      <c r="D702" s="106">
        <v>0.05</v>
      </c>
      <c r="E702" s="106">
        <v>0.05</v>
      </c>
      <c r="F702" s="106">
        <v>0.05</v>
      </c>
      <c r="G702" s="106">
        <v>0.15</v>
      </c>
    </row>
    <row r="703" spans="1:7" x14ac:dyDescent="0.2">
      <c r="A703">
        <v>8163</v>
      </c>
      <c r="B703" s="106" t="s">
        <v>1253</v>
      </c>
      <c r="C703">
        <v>0.05</v>
      </c>
      <c r="D703">
        <v>0.05</v>
      </c>
      <c r="E703">
        <v>0.05</v>
      </c>
      <c r="F703">
        <v>0.05</v>
      </c>
      <c r="G703">
        <v>0.15</v>
      </c>
    </row>
    <row r="704" spans="1:7" x14ac:dyDescent="0.2">
      <c r="A704">
        <v>8166</v>
      </c>
      <c r="B704" s="106" t="s">
        <v>1907</v>
      </c>
      <c r="C704">
        <v>0</v>
      </c>
      <c r="D704">
        <v>0.05</v>
      </c>
      <c r="E704">
        <v>0</v>
      </c>
      <c r="F704">
        <v>0.05</v>
      </c>
      <c r="G704">
        <v>0</v>
      </c>
    </row>
    <row r="705" spans="1:7" x14ac:dyDescent="0.2">
      <c r="A705">
        <v>8179</v>
      </c>
      <c r="B705" s="106" t="s">
        <v>1254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8182</v>
      </c>
      <c r="B706" s="106" t="s">
        <v>1255</v>
      </c>
      <c r="C706">
        <v>0.05</v>
      </c>
      <c r="D706">
        <v>0.05</v>
      </c>
      <c r="E706">
        <v>0.05</v>
      </c>
      <c r="F706">
        <v>0.05</v>
      </c>
      <c r="G706">
        <v>0.15</v>
      </c>
    </row>
    <row r="707" spans="1:7" x14ac:dyDescent="0.2">
      <c r="A707">
        <v>8184</v>
      </c>
      <c r="B707" s="106" t="s">
        <v>4286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8185</v>
      </c>
      <c r="B708" s="106" t="s">
        <v>4571</v>
      </c>
      <c r="C708">
        <v>0.05</v>
      </c>
      <c r="D708">
        <v>0.05</v>
      </c>
      <c r="E708" s="106">
        <v>0.05</v>
      </c>
      <c r="F708" s="106" t="s">
        <v>162</v>
      </c>
      <c r="G708" s="106">
        <v>0.15</v>
      </c>
    </row>
    <row r="709" spans="1:7" x14ac:dyDescent="0.2">
      <c r="A709">
        <v>8200</v>
      </c>
      <c r="B709" s="106" t="s">
        <v>1256</v>
      </c>
      <c r="C709">
        <v>0.05</v>
      </c>
      <c r="D709" s="106">
        <v>0.05</v>
      </c>
      <c r="E709">
        <v>0.05</v>
      </c>
      <c r="F709" s="106">
        <v>0.05</v>
      </c>
      <c r="G709" s="106">
        <v>0.15</v>
      </c>
    </row>
    <row r="710" spans="1:7" x14ac:dyDescent="0.2">
      <c r="A710">
        <v>8214</v>
      </c>
      <c r="B710" s="106" t="s">
        <v>4335</v>
      </c>
      <c r="C710">
        <v>0.05</v>
      </c>
      <c r="D710">
        <v>0.05</v>
      </c>
      <c r="E710">
        <v>0.05</v>
      </c>
      <c r="F710" s="106">
        <v>0.05</v>
      </c>
      <c r="G710" s="106">
        <v>0.15</v>
      </c>
    </row>
    <row r="711" spans="1:7" x14ac:dyDescent="0.2">
      <c r="A711">
        <v>8217</v>
      </c>
      <c r="B711" s="106" t="s">
        <v>1257</v>
      </c>
      <c r="C711">
        <v>0.05</v>
      </c>
      <c r="D711">
        <v>0.05</v>
      </c>
      <c r="E711">
        <v>0.05</v>
      </c>
      <c r="F711" s="106">
        <v>0.05</v>
      </c>
      <c r="G711">
        <v>0.15</v>
      </c>
    </row>
    <row r="712" spans="1:7" x14ac:dyDescent="0.2">
      <c r="A712">
        <v>8227</v>
      </c>
      <c r="B712" s="106" t="s">
        <v>1258</v>
      </c>
      <c r="C712">
        <v>0.15</v>
      </c>
      <c r="D712">
        <v>0.15</v>
      </c>
      <c r="E712">
        <v>0.15</v>
      </c>
      <c r="F712" s="106">
        <v>0.15</v>
      </c>
      <c r="G712">
        <v>0.45</v>
      </c>
    </row>
    <row r="713" spans="1:7" x14ac:dyDescent="0.2">
      <c r="A713">
        <v>8230</v>
      </c>
      <c r="B713" s="106" t="s">
        <v>1259</v>
      </c>
      <c r="C713">
        <v>0.05</v>
      </c>
      <c r="D713">
        <v>0.05</v>
      </c>
      <c r="E713">
        <v>0.05</v>
      </c>
      <c r="F713">
        <v>0.05</v>
      </c>
      <c r="G713">
        <v>0.15</v>
      </c>
    </row>
    <row r="714" spans="1:7" x14ac:dyDescent="0.2">
      <c r="A714">
        <v>8233</v>
      </c>
      <c r="B714" s="106" t="s">
        <v>5140</v>
      </c>
      <c r="C714">
        <v>0</v>
      </c>
      <c r="D714" t="s">
        <v>162</v>
      </c>
      <c r="E714">
        <v>0</v>
      </c>
      <c r="F714" t="s">
        <v>162</v>
      </c>
      <c r="G714" t="s">
        <v>162</v>
      </c>
    </row>
    <row r="715" spans="1:7" x14ac:dyDescent="0.2">
      <c r="A715">
        <v>8237</v>
      </c>
      <c r="B715" s="106" t="s">
        <v>1260</v>
      </c>
      <c r="C715">
        <v>0</v>
      </c>
      <c r="D715">
        <v>0</v>
      </c>
      <c r="E715">
        <v>0</v>
      </c>
      <c r="F715">
        <v>0</v>
      </c>
      <c r="G715">
        <v>0.15</v>
      </c>
    </row>
    <row r="716" spans="1:7" x14ac:dyDescent="0.2">
      <c r="A716">
        <v>8242</v>
      </c>
      <c r="B716" s="106" t="s">
        <v>1261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">
      <c r="A717">
        <v>8244</v>
      </c>
      <c r="B717" s="106" t="s">
        <v>1262</v>
      </c>
      <c r="C717">
        <v>0.1</v>
      </c>
      <c r="D717">
        <v>0.1</v>
      </c>
      <c r="E717">
        <v>0.1</v>
      </c>
      <c r="F717">
        <v>0.1</v>
      </c>
      <c r="G717">
        <v>0.3</v>
      </c>
    </row>
    <row r="718" spans="1:7" x14ac:dyDescent="0.2">
      <c r="A718">
        <v>8251</v>
      </c>
      <c r="B718" s="106" t="s">
        <v>5141</v>
      </c>
      <c r="C718">
        <v>0.05</v>
      </c>
      <c r="D718" t="s">
        <v>162</v>
      </c>
      <c r="E718">
        <v>0.05</v>
      </c>
      <c r="F718">
        <v>0</v>
      </c>
      <c r="G718">
        <v>0</v>
      </c>
    </row>
    <row r="719" spans="1:7" x14ac:dyDescent="0.2">
      <c r="A719">
        <v>8252</v>
      </c>
      <c r="B719" s="106" t="s">
        <v>1263</v>
      </c>
      <c r="C719">
        <v>0.05</v>
      </c>
      <c r="D719" s="106">
        <v>0.05</v>
      </c>
      <c r="E719" s="106">
        <v>0.05</v>
      </c>
      <c r="F719" s="106">
        <v>0.05</v>
      </c>
      <c r="G719" s="106">
        <v>0.15</v>
      </c>
    </row>
    <row r="720" spans="1:7" x14ac:dyDescent="0.2">
      <c r="A720">
        <v>8253</v>
      </c>
      <c r="B720" s="106" t="s">
        <v>804</v>
      </c>
      <c r="C720">
        <v>0.05</v>
      </c>
      <c r="D720">
        <v>0.05</v>
      </c>
      <c r="E720">
        <v>0.05</v>
      </c>
      <c r="F720" s="106">
        <v>0.05</v>
      </c>
      <c r="G720" s="106">
        <v>0.15</v>
      </c>
    </row>
    <row r="721" spans="1:7" x14ac:dyDescent="0.2">
      <c r="A721">
        <v>8255</v>
      </c>
      <c r="B721" s="106" t="s">
        <v>4763</v>
      </c>
      <c r="C721">
        <v>0</v>
      </c>
      <c r="D721">
        <v>0</v>
      </c>
      <c r="E721" t="s">
        <v>162</v>
      </c>
      <c r="F721">
        <v>0.05</v>
      </c>
      <c r="G721">
        <v>0</v>
      </c>
    </row>
    <row r="722" spans="1:7" x14ac:dyDescent="0.2">
      <c r="A722">
        <v>8267</v>
      </c>
      <c r="B722" s="106" t="s">
        <v>227</v>
      </c>
      <c r="C722">
        <v>0.05</v>
      </c>
      <c r="D722">
        <v>0.05</v>
      </c>
      <c r="E722">
        <v>0.05</v>
      </c>
      <c r="F722">
        <v>0.05</v>
      </c>
      <c r="G722">
        <v>0.15</v>
      </c>
    </row>
    <row r="723" spans="1:7" x14ac:dyDescent="0.2">
      <c r="A723">
        <v>8275</v>
      </c>
      <c r="B723" s="106" t="s">
        <v>1264</v>
      </c>
      <c r="C723">
        <v>0.05</v>
      </c>
      <c r="D723">
        <v>0.05</v>
      </c>
      <c r="E723">
        <v>0.05</v>
      </c>
      <c r="F723">
        <v>0.05</v>
      </c>
      <c r="G723">
        <v>0.15</v>
      </c>
    </row>
    <row r="724" spans="1:7" x14ac:dyDescent="0.2">
      <c r="A724">
        <v>8276</v>
      </c>
      <c r="B724" s="106" t="s">
        <v>1265</v>
      </c>
      <c r="C724">
        <v>0</v>
      </c>
      <c r="D724">
        <v>0</v>
      </c>
      <c r="E724">
        <v>0.05</v>
      </c>
      <c r="F724">
        <v>0</v>
      </c>
      <c r="G724">
        <v>0.15</v>
      </c>
    </row>
    <row r="725" spans="1:7" x14ac:dyDescent="0.2">
      <c r="A725">
        <v>8278</v>
      </c>
      <c r="B725" s="106" t="s">
        <v>1266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">
      <c r="A726">
        <v>8279</v>
      </c>
      <c r="B726" s="106" t="s">
        <v>1267</v>
      </c>
      <c r="C726">
        <v>0.1</v>
      </c>
      <c r="D726">
        <v>0.1</v>
      </c>
      <c r="E726">
        <v>0.1</v>
      </c>
      <c r="F726">
        <v>0.1</v>
      </c>
      <c r="G726">
        <v>0.3</v>
      </c>
    </row>
    <row r="727" spans="1:7" x14ac:dyDescent="0.2">
      <c r="A727">
        <v>8281</v>
      </c>
      <c r="B727" s="106" t="s">
        <v>5142</v>
      </c>
      <c r="C727">
        <v>0</v>
      </c>
      <c r="D727" s="106" t="s">
        <v>162</v>
      </c>
      <c r="E727" t="s">
        <v>162</v>
      </c>
      <c r="F727" t="s">
        <v>162</v>
      </c>
      <c r="G727" t="s">
        <v>162</v>
      </c>
    </row>
    <row r="728" spans="1:7" x14ac:dyDescent="0.2">
      <c r="A728">
        <v>8282</v>
      </c>
      <c r="B728" s="106" t="s">
        <v>1268</v>
      </c>
      <c r="C728">
        <v>0.05</v>
      </c>
      <c r="D728">
        <v>0.05</v>
      </c>
      <c r="E728">
        <v>0.05</v>
      </c>
      <c r="F728">
        <v>0.05</v>
      </c>
      <c r="G728">
        <v>0.15</v>
      </c>
    </row>
    <row r="729" spans="1:7" x14ac:dyDescent="0.2">
      <c r="A729">
        <v>8283</v>
      </c>
      <c r="B729" s="106" t="s">
        <v>1269</v>
      </c>
      <c r="C729">
        <v>0.1</v>
      </c>
      <c r="D729">
        <v>0.1</v>
      </c>
      <c r="E729" s="106">
        <v>0.1</v>
      </c>
      <c r="F729" s="106">
        <v>0.1</v>
      </c>
      <c r="G729" s="106">
        <v>0.3</v>
      </c>
    </row>
    <row r="730" spans="1:7" x14ac:dyDescent="0.2">
      <c r="A730">
        <v>8289</v>
      </c>
      <c r="B730" s="106" t="s">
        <v>1270</v>
      </c>
      <c r="C730">
        <v>0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8303</v>
      </c>
      <c r="B731" s="106" t="s">
        <v>1271</v>
      </c>
      <c r="C731">
        <v>0.05</v>
      </c>
      <c r="D731">
        <v>0.05</v>
      </c>
      <c r="E731">
        <v>0.05</v>
      </c>
      <c r="F731" s="106">
        <v>0</v>
      </c>
      <c r="G731" s="106">
        <v>0</v>
      </c>
    </row>
    <row r="732" spans="1:7" x14ac:dyDescent="0.2">
      <c r="A732">
        <v>8308</v>
      </c>
      <c r="B732" s="106" t="s">
        <v>55</v>
      </c>
      <c r="C732">
        <v>0</v>
      </c>
      <c r="D732" s="106">
        <v>0</v>
      </c>
      <c r="E732" s="106">
        <v>0</v>
      </c>
      <c r="F732" s="106" t="s">
        <v>162</v>
      </c>
      <c r="G732">
        <v>0</v>
      </c>
    </row>
    <row r="733" spans="1:7" x14ac:dyDescent="0.2">
      <c r="A733">
        <v>8309</v>
      </c>
      <c r="B733" s="106" t="s">
        <v>1272</v>
      </c>
      <c r="C733">
        <v>0.1</v>
      </c>
      <c r="D733" s="106">
        <v>0.1</v>
      </c>
      <c r="E733" s="106">
        <v>0.1</v>
      </c>
      <c r="F733" s="106">
        <v>0.1</v>
      </c>
      <c r="G733">
        <v>0.3</v>
      </c>
    </row>
    <row r="734" spans="1:7" x14ac:dyDescent="0.2">
      <c r="A734">
        <v>8316</v>
      </c>
      <c r="B734" s="106" t="s">
        <v>4572</v>
      </c>
      <c r="C734">
        <v>0</v>
      </c>
      <c r="D734">
        <v>0</v>
      </c>
      <c r="E734">
        <v>0</v>
      </c>
      <c r="F734" t="s">
        <v>162</v>
      </c>
      <c r="G734">
        <v>0</v>
      </c>
    </row>
    <row r="735" spans="1:7" x14ac:dyDescent="0.2">
      <c r="A735">
        <v>8331</v>
      </c>
      <c r="B735" s="106" t="s">
        <v>1273</v>
      </c>
      <c r="C735">
        <v>0.05</v>
      </c>
      <c r="D735">
        <v>0.05</v>
      </c>
      <c r="E735">
        <v>0.05</v>
      </c>
      <c r="F735">
        <v>0.05</v>
      </c>
      <c r="G735">
        <v>0.15</v>
      </c>
    </row>
    <row r="736" spans="1:7" x14ac:dyDescent="0.2">
      <c r="A736">
        <v>8337</v>
      </c>
      <c r="B736" s="106" t="s">
        <v>1274</v>
      </c>
      <c r="C736">
        <v>0</v>
      </c>
      <c r="D736" s="106">
        <v>0</v>
      </c>
      <c r="E736">
        <v>0</v>
      </c>
      <c r="F736">
        <v>0</v>
      </c>
      <c r="G736" s="106">
        <v>0</v>
      </c>
    </row>
    <row r="737" spans="1:7" x14ac:dyDescent="0.2">
      <c r="A737">
        <v>8338</v>
      </c>
      <c r="B737" s="106" t="s">
        <v>1275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">
      <c r="A738">
        <v>8341</v>
      </c>
      <c r="B738" s="106" t="s">
        <v>1276</v>
      </c>
      <c r="C738">
        <v>0.05</v>
      </c>
      <c r="D738">
        <v>0.05</v>
      </c>
      <c r="E738" s="106">
        <v>0.05</v>
      </c>
      <c r="F738" s="106">
        <v>0.05</v>
      </c>
      <c r="G738" s="106">
        <v>0.15</v>
      </c>
    </row>
    <row r="739" spans="1:7" x14ac:dyDescent="0.2">
      <c r="A739">
        <v>8342</v>
      </c>
      <c r="B739" s="106" t="s">
        <v>1277</v>
      </c>
      <c r="C739">
        <v>0.05</v>
      </c>
      <c r="D739">
        <v>0.05</v>
      </c>
      <c r="E739" s="106">
        <v>0.05</v>
      </c>
      <c r="F739">
        <v>0.05</v>
      </c>
      <c r="G739" s="106">
        <v>0.15</v>
      </c>
    </row>
    <row r="740" spans="1:7" x14ac:dyDescent="0.2">
      <c r="A740">
        <v>8343</v>
      </c>
      <c r="B740" s="106" t="s">
        <v>1278</v>
      </c>
      <c r="C740">
        <v>0.05</v>
      </c>
      <c r="D740">
        <v>0.05</v>
      </c>
      <c r="E740" s="106">
        <v>0.05</v>
      </c>
      <c r="F740">
        <v>0.05</v>
      </c>
      <c r="G740" s="106">
        <v>0.15</v>
      </c>
    </row>
    <row r="741" spans="1:7" x14ac:dyDescent="0.2">
      <c r="A741">
        <v>8344</v>
      </c>
      <c r="B741" s="106" t="s">
        <v>1279</v>
      </c>
      <c r="C741">
        <v>0.05</v>
      </c>
      <c r="D741">
        <v>0.05</v>
      </c>
      <c r="E741">
        <v>0.05</v>
      </c>
      <c r="F741">
        <v>0.05</v>
      </c>
      <c r="G741">
        <v>0.15</v>
      </c>
    </row>
    <row r="742" spans="1:7" x14ac:dyDescent="0.2">
      <c r="A742">
        <v>8345</v>
      </c>
      <c r="B742" s="106" t="s">
        <v>1280</v>
      </c>
      <c r="C742">
        <v>0.05</v>
      </c>
      <c r="D742">
        <v>0.05</v>
      </c>
      <c r="E742">
        <v>0.05</v>
      </c>
      <c r="F742">
        <v>0.05</v>
      </c>
      <c r="G742">
        <v>0.15</v>
      </c>
    </row>
    <row r="743" spans="1:7" x14ac:dyDescent="0.2">
      <c r="A743">
        <v>8346</v>
      </c>
      <c r="B743" s="106" t="s">
        <v>1281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">
      <c r="A744">
        <v>8349</v>
      </c>
      <c r="B744" s="106" t="s">
        <v>1908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">
      <c r="A745">
        <v>8350</v>
      </c>
      <c r="B745" s="106" t="s">
        <v>1282</v>
      </c>
      <c r="C745">
        <v>0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8355</v>
      </c>
      <c r="B746" s="106" t="s">
        <v>1283</v>
      </c>
      <c r="C746">
        <v>0</v>
      </c>
      <c r="D746" s="106">
        <v>0</v>
      </c>
      <c r="E746">
        <v>0</v>
      </c>
      <c r="F746" s="106">
        <v>0</v>
      </c>
      <c r="G746" s="106">
        <v>0</v>
      </c>
    </row>
    <row r="747" spans="1:7" x14ac:dyDescent="0.2">
      <c r="A747">
        <v>8359</v>
      </c>
      <c r="B747" s="106" t="s">
        <v>835</v>
      </c>
      <c r="C747">
        <v>0.05</v>
      </c>
      <c r="D747">
        <v>0.05</v>
      </c>
      <c r="E747">
        <v>0.05</v>
      </c>
      <c r="F747">
        <v>0.05</v>
      </c>
      <c r="G747">
        <v>0.15</v>
      </c>
    </row>
    <row r="748" spans="1:7" x14ac:dyDescent="0.2">
      <c r="A748">
        <v>8362</v>
      </c>
      <c r="B748" s="106" t="s">
        <v>1284</v>
      </c>
      <c r="C748">
        <v>0.05</v>
      </c>
      <c r="D748">
        <v>0.05</v>
      </c>
      <c r="E748">
        <v>0.05</v>
      </c>
      <c r="F748">
        <v>0.05</v>
      </c>
      <c r="G748">
        <v>0.15</v>
      </c>
    </row>
    <row r="749" spans="1:7" x14ac:dyDescent="0.2">
      <c r="A749">
        <v>8363</v>
      </c>
      <c r="B749" s="106" t="s">
        <v>1285</v>
      </c>
      <c r="C749">
        <v>0.1</v>
      </c>
      <c r="D749" s="106">
        <v>0.05</v>
      </c>
      <c r="E749">
        <v>0.1</v>
      </c>
      <c r="F749" s="106">
        <v>0.1</v>
      </c>
      <c r="G749">
        <v>0.3</v>
      </c>
    </row>
    <row r="750" spans="1:7" x14ac:dyDescent="0.2">
      <c r="A750">
        <v>8364</v>
      </c>
      <c r="B750" s="106" t="s">
        <v>1286</v>
      </c>
      <c r="C750">
        <v>0.05</v>
      </c>
      <c r="D750" s="106">
        <v>0.05</v>
      </c>
      <c r="E750">
        <v>0.05</v>
      </c>
      <c r="F750" s="106">
        <v>0.05</v>
      </c>
      <c r="G750">
        <v>0.15</v>
      </c>
    </row>
    <row r="751" spans="1:7" x14ac:dyDescent="0.2">
      <c r="A751">
        <v>8365</v>
      </c>
      <c r="B751" s="106" t="s">
        <v>1287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8366</v>
      </c>
      <c r="B752" s="106" t="s">
        <v>1288</v>
      </c>
      <c r="C752">
        <v>0.05</v>
      </c>
      <c r="D752">
        <v>0.05</v>
      </c>
      <c r="E752">
        <v>0.05</v>
      </c>
      <c r="F752" s="106">
        <v>0.05</v>
      </c>
      <c r="G752">
        <v>0.15</v>
      </c>
    </row>
    <row r="753" spans="1:7" x14ac:dyDescent="0.2">
      <c r="A753">
        <v>8367</v>
      </c>
      <c r="B753" s="106" t="s">
        <v>1289</v>
      </c>
      <c r="C753">
        <v>0.05</v>
      </c>
      <c r="D753">
        <v>0.05</v>
      </c>
      <c r="E753">
        <v>0.05</v>
      </c>
      <c r="F753" s="106">
        <v>0.05</v>
      </c>
      <c r="G753" s="106">
        <v>0.15</v>
      </c>
    </row>
    <row r="754" spans="1:7" x14ac:dyDescent="0.2">
      <c r="A754">
        <v>8368</v>
      </c>
      <c r="B754" s="106" t="s">
        <v>4573</v>
      </c>
      <c r="C754">
        <v>0</v>
      </c>
      <c r="D754">
        <v>0</v>
      </c>
      <c r="E754">
        <v>0</v>
      </c>
      <c r="F754" s="106" t="s">
        <v>162</v>
      </c>
      <c r="G754" s="106" t="s">
        <v>162</v>
      </c>
    </row>
    <row r="755" spans="1:7" x14ac:dyDescent="0.2">
      <c r="A755">
        <v>8369</v>
      </c>
      <c r="B755" s="106" t="s">
        <v>1290</v>
      </c>
      <c r="C755">
        <v>0.1</v>
      </c>
      <c r="D755">
        <v>0.1</v>
      </c>
      <c r="E755" s="106">
        <v>0.1</v>
      </c>
      <c r="F755">
        <v>0.1</v>
      </c>
      <c r="G755" s="106">
        <v>0.15</v>
      </c>
    </row>
    <row r="756" spans="1:7" x14ac:dyDescent="0.2">
      <c r="A756">
        <v>8370</v>
      </c>
      <c r="B756" s="106" t="s">
        <v>1291</v>
      </c>
      <c r="C756">
        <v>0.05</v>
      </c>
      <c r="D756">
        <v>0.05</v>
      </c>
      <c r="E756" s="106">
        <v>0.05</v>
      </c>
      <c r="F756">
        <v>0.05</v>
      </c>
      <c r="G756" s="106">
        <v>0.15</v>
      </c>
    </row>
    <row r="757" spans="1:7" x14ac:dyDescent="0.2">
      <c r="A757">
        <v>8379</v>
      </c>
      <c r="B757" s="106" t="s">
        <v>1292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8382</v>
      </c>
      <c r="B758" s="106" t="s">
        <v>1293</v>
      </c>
      <c r="C758">
        <v>0.05</v>
      </c>
      <c r="D758">
        <v>0.05</v>
      </c>
      <c r="E758">
        <v>0.05</v>
      </c>
      <c r="F758">
        <v>0.05</v>
      </c>
      <c r="G758" s="106">
        <v>0.15</v>
      </c>
    </row>
    <row r="759" spans="1:7" x14ac:dyDescent="0.2">
      <c r="A759">
        <v>8383</v>
      </c>
      <c r="B759" s="106" t="s">
        <v>1294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">
      <c r="A760">
        <v>8385</v>
      </c>
      <c r="B760" s="106" t="s">
        <v>1295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">
      <c r="A761">
        <v>8387</v>
      </c>
      <c r="B761" s="106" t="s">
        <v>1296</v>
      </c>
      <c r="C761">
        <v>0.05</v>
      </c>
      <c r="D761" s="106">
        <v>0</v>
      </c>
      <c r="E761" s="106">
        <v>0.05</v>
      </c>
      <c r="F761" s="106">
        <v>0</v>
      </c>
      <c r="G761">
        <v>0.15</v>
      </c>
    </row>
    <row r="762" spans="1:7" x14ac:dyDescent="0.2">
      <c r="A762">
        <v>8388</v>
      </c>
      <c r="B762" s="106" t="s">
        <v>1297</v>
      </c>
      <c r="C762">
        <v>0.05</v>
      </c>
      <c r="D762">
        <v>0.05</v>
      </c>
      <c r="E762">
        <v>0.05</v>
      </c>
      <c r="F762" s="106">
        <v>0.05</v>
      </c>
      <c r="G762" s="106">
        <v>0.15</v>
      </c>
    </row>
    <row r="763" spans="1:7" x14ac:dyDescent="0.2">
      <c r="A763">
        <v>8392</v>
      </c>
      <c r="B763" s="106" t="s">
        <v>5143</v>
      </c>
      <c r="C763">
        <v>0.05</v>
      </c>
      <c r="D763" t="s">
        <v>162</v>
      </c>
      <c r="E763">
        <v>0.05</v>
      </c>
      <c r="F763" s="106">
        <v>0</v>
      </c>
      <c r="G763" s="106" t="s">
        <v>162</v>
      </c>
    </row>
    <row r="764" spans="1:7" x14ac:dyDescent="0.2">
      <c r="A764">
        <v>8393</v>
      </c>
      <c r="B764" s="106" t="s">
        <v>1298</v>
      </c>
      <c r="C764">
        <v>0</v>
      </c>
      <c r="D764">
        <v>0</v>
      </c>
      <c r="E764">
        <v>0</v>
      </c>
      <c r="F764">
        <v>0</v>
      </c>
      <c r="G764" s="106">
        <v>0</v>
      </c>
    </row>
    <row r="765" spans="1:7" x14ac:dyDescent="0.2">
      <c r="A765">
        <v>8395</v>
      </c>
      <c r="B765" s="106" t="s">
        <v>4574</v>
      </c>
      <c r="C765">
        <v>0</v>
      </c>
      <c r="D765">
        <v>0</v>
      </c>
      <c r="E765">
        <v>0</v>
      </c>
      <c r="F765" t="s">
        <v>162</v>
      </c>
      <c r="G765">
        <v>0.15</v>
      </c>
    </row>
    <row r="766" spans="1:7" x14ac:dyDescent="0.2">
      <c r="A766">
        <v>8397</v>
      </c>
      <c r="B766" s="106" t="s">
        <v>1299</v>
      </c>
      <c r="C766">
        <v>0.1</v>
      </c>
      <c r="D766">
        <v>0.1</v>
      </c>
      <c r="E766">
        <v>0.1</v>
      </c>
      <c r="F766">
        <v>0.1</v>
      </c>
      <c r="G766">
        <v>0.3</v>
      </c>
    </row>
    <row r="767" spans="1:7" x14ac:dyDescent="0.2">
      <c r="A767">
        <v>8399</v>
      </c>
      <c r="B767" s="106" t="s">
        <v>1300</v>
      </c>
      <c r="C767">
        <v>0</v>
      </c>
      <c r="D767">
        <v>0</v>
      </c>
      <c r="E767">
        <v>0</v>
      </c>
      <c r="F767">
        <v>0</v>
      </c>
      <c r="G767">
        <v>0.15</v>
      </c>
    </row>
    <row r="768" spans="1:7" x14ac:dyDescent="0.2">
      <c r="A768">
        <v>8416</v>
      </c>
      <c r="B768" s="106" t="s">
        <v>1301</v>
      </c>
      <c r="C768">
        <v>0</v>
      </c>
      <c r="D768">
        <v>0</v>
      </c>
      <c r="E768">
        <v>0</v>
      </c>
      <c r="F768" s="106">
        <v>0</v>
      </c>
      <c r="G768">
        <v>0</v>
      </c>
    </row>
    <row r="769" spans="1:7" x14ac:dyDescent="0.2">
      <c r="A769">
        <v>8439</v>
      </c>
      <c r="B769" s="106" t="s">
        <v>1302</v>
      </c>
      <c r="C769">
        <v>0.1</v>
      </c>
      <c r="D769">
        <v>0.1</v>
      </c>
      <c r="E769">
        <v>0</v>
      </c>
      <c r="F769" s="106">
        <v>0.05</v>
      </c>
      <c r="G769">
        <v>0.15</v>
      </c>
    </row>
    <row r="770" spans="1:7" x14ac:dyDescent="0.2">
      <c r="A770">
        <v>8522</v>
      </c>
      <c r="B770" s="106" t="s">
        <v>1303</v>
      </c>
      <c r="C770">
        <v>0.05</v>
      </c>
      <c r="D770">
        <v>0.05</v>
      </c>
      <c r="E770" s="106">
        <v>0.05</v>
      </c>
      <c r="F770" s="106">
        <v>0.1</v>
      </c>
      <c r="G770" s="106">
        <v>0.3</v>
      </c>
    </row>
    <row r="771" spans="1:7" x14ac:dyDescent="0.2">
      <c r="A771">
        <v>8530</v>
      </c>
      <c r="B771" s="106" t="s">
        <v>1304</v>
      </c>
      <c r="C771">
        <v>0.05</v>
      </c>
      <c r="D771">
        <v>0.05</v>
      </c>
      <c r="E771" s="106">
        <v>0.05</v>
      </c>
      <c r="F771" s="106">
        <v>0.05</v>
      </c>
      <c r="G771" s="106">
        <v>0.15</v>
      </c>
    </row>
    <row r="772" spans="1:7" x14ac:dyDescent="0.2">
      <c r="A772">
        <v>8537</v>
      </c>
      <c r="B772" s="106" t="s">
        <v>1305</v>
      </c>
      <c r="C772">
        <v>0.05</v>
      </c>
      <c r="D772" s="106">
        <v>0.05</v>
      </c>
      <c r="E772">
        <v>0.05</v>
      </c>
      <c r="F772" s="106">
        <v>0.05</v>
      </c>
      <c r="G772">
        <v>0.15</v>
      </c>
    </row>
    <row r="773" spans="1:7" x14ac:dyDescent="0.2">
      <c r="A773">
        <v>8542</v>
      </c>
      <c r="B773" s="106" t="s">
        <v>1306</v>
      </c>
      <c r="C773">
        <v>0.05</v>
      </c>
      <c r="D773">
        <v>0.05</v>
      </c>
      <c r="E773">
        <v>0.05</v>
      </c>
      <c r="F773">
        <v>0.05</v>
      </c>
      <c r="G773">
        <v>0.15</v>
      </c>
    </row>
    <row r="774" spans="1:7" x14ac:dyDescent="0.2">
      <c r="A774">
        <v>8544</v>
      </c>
      <c r="B774" s="106" t="s">
        <v>1307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">
      <c r="A775">
        <v>8551</v>
      </c>
      <c r="B775" s="106" t="s">
        <v>1308</v>
      </c>
      <c r="C775">
        <v>0.05</v>
      </c>
      <c r="D775">
        <v>0.05</v>
      </c>
      <c r="E775">
        <v>0.05</v>
      </c>
      <c r="F775">
        <v>0.05</v>
      </c>
      <c r="G775">
        <v>0.15</v>
      </c>
    </row>
    <row r="776" spans="1:7" x14ac:dyDescent="0.2">
      <c r="A776">
        <v>8558</v>
      </c>
      <c r="B776" s="106" t="s">
        <v>1309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8563</v>
      </c>
      <c r="B777" s="106" t="s">
        <v>1310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">
      <c r="A778">
        <v>8566</v>
      </c>
      <c r="B778" s="106" t="s">
        <v>1311</v>
      </c>
      <c r="C778">
        <v>0.1</v>
      </c>
      <c r="D778">
        <v>0.1</v>
      </c>
      <c r="E778">
        <v>0.1</v>
      </c>
      <c r="F778">
        <v>0.1</v>
      </c>
      <c r="G778">
        <v>0.15</v>
      </c>
    </row>
    <row r="779" spans="1:7" x14ac:dyDescent="0.2">
      <c r="A779">
        <v>8572</v>
      </c>
      <c r="B779" s="106" t="s">
        <v>4779</v>
      </c>
      <c r="C779">
        <v>0</v>
      </c>
      <c r="D779" t="s">
        <v>162</v>
      </c>
      <c r="E779">
        <v>0</v>
      </c>
      <c r="F779">
        <v>0</v>
      </c>
      <c r="G779">
        <v>0</v>
      </c>
    </row>
    <row r="780" spans="1:7" x14ac:dyDescent="0.2">
      <c r="A780">
        <v>8589</v>
      </c>
      <c r="B780" s="106" t="s">
        <v>1312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">
      <c r="A781">
        <v>8593</v>
      </c>
      <c r="B781" s="106" t="s">
        <v>232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8601</v>
      </c>
      <c r="B782" s="106" t="s">
        <v>26</v>
      </c>
      <c r="C782">
        <v>0.05</v>
      </c>
      <c r="D782">
        <v>0</v>
      </c>
      <c r="E782">
        <v>0.05</v>
      </c>
      <c r="F782" s="106">
        <v>0</v>
      </c>
      <c r="G782" s="106">
        <v>0</v>
      </c>
    </row>
    <row r="783" spans="1:7" x14ac:dyDescent="0.2">
      <c r="A783">
        <v>8604</v>
      </c>
      <c r="B783" s="106" t="s">
        <v>632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">
      <c r="A784">
        <v>8613</v>
      </c>
      <c r="B784" s="106" t="s">
        <v>4764</v>
      </c>
      <c r="C784">
        <v>0</v>
      </c>
      <c r="D784">
        <v>0</v>
      </c>
      <c r="E784" t="s">
        <v>162</v>
      </c>
      <c r="F784" t="s">
        <v>162</v>
      </c>
      <c r="G784">
        <v>0</v>
      </c>
    </row>
    <row r="785" spans="1:7" x14ac:dyDescent="0.2">
      <c r="A785">
        <v>8614</v>
      </c>
      <c r="B785" s="106" t="s">
        <v>4254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">
      <c r="A786">
        <v>8616</v>
      </c>
      <c r="B786" s="106" t="s">
        <v>1909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">
      <c r="A787">
        <v>8617</v>
      </c>
      <c r="B787" s="106" t="s">
        <v>4765</v>
      </c>
      <c r="C787">
        <v>0</v>
      </c>
      <c r="D787">
        <v>0</v>
      </c>
      <c r="E787" t="s">
        <v>162</v>
      </c>
      <c r="F787" t="s">
        <v>162</v>
      </c>
      <c r="G787" t="s">
        <v>162</v>
      </c>
    </row>
    <row r="788" spans="1:7" x14ac:dyDescent="0.2">
      <c r="A788">
        <v>8624</v>
      </c>
      <c r="B788" s="106" t="s">
        <v>1313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">
      <c r="A789">
        <v>8628</v>
      </c>
      <c r="B789" s="106" t="s">
        <v>1314</v>
      </c>
      <c r="C789">
        <v>0.05</v>
      </c>
      <c r="D789">
        <v>0.05</v>
      </c>
      <c r="E789">
        <v>0.05</v>
      </c>
      <c r="F789">
        <v>0.05</v>
      </c>
      <c r="G789">
        <v>0.15</v>
      </c>
    </row>
    <row r="790" spans="1:7" x14ac:dyDescent="0.2">
      <c r="A790">
        <v>8630</v>
      </c>
      <c r="B790" s="106" t="s">
        <v>4336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">
      <c r="A791">
        <v>8692</v>
      </c>
      <c r="B791" s="106" t="s">
        <v>4408</v>
      </c>
      <c r="C791">
        <v>0</v>
      </c>
      <c r="D791">
        <v>0</v>
      </c>
      <c r="E791">
        <v>0</v>
      </c>
      <c r="F791">
        <v>0</v>
      </c>
      <c r="G791" t="s">
        <v>162</v>
      </c>
    </row>
    <row r="792" spans="1:7" x14ac:dyDescent="0.2">
      <c r="A792">
        <v>8697</v>
      </c>
      <c r="B792" s="106" t="s">
        <v>1315</v>
      </c>
      <c r="C792">
        <v>0.05</v>
      </c>
      <c r="D792">
        <v>0.05</v>
      </c>
      <c r="E792">
        <v>0.05</v>
      </c>
      <c r="F792">
        <v>0.05</v>
      </c>
      <c r="G792" s="106">
        <v>0.15</v>
      </c>
    </row>
    <row r="793" spans="1:7" x14ac:dyDescent="0.2">
      <c r="A793">
        <v>8698</v>
      </c>
      <c r="B793" s="106" t="s">
        <v>1316</v>
      </c>
      <c r="C793">
        <v>0.05</v>
      </c>
      <c r="D793">
        <v>0</v>
      </c>
      <c r="E793">
        <v>0</v>
      </c>
      <c r="F793">
        <v>0</v>
      </c>
      <c r="G793">
        <v>0</v>
      </c>
    </row>
    <row r="794" spans="1:7" x14ac:dyDescent="0.2">
      <c r="A794">
        <v>8707</v>
      </c>
      <c r="B794" s="106" t="s">
        <v>1910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8708</v>
      </c>
      <c r="B795" s="106" t="s">
        <v>1317</v>
      </c>
      <c r="C795">
        <v>0.05</v>
      </c>
      <c r="D795">
        <v>0.05</v>
      </c>
      <c r="E795">
        <v>0.05</v>
      </c>
      <c r="F795">
        <v>0.05</v>
      </c>
      <c r="G795">
        <v>0.15</v>
      </c>
    </row>
    <row r="796" spans="1:7" x14ac:dyDescent="0.2">
      <c r="A796">
        <v>8725</v>
      </c>
      <c r="B796" s="106" t="s">
        <v>1318</v>
      </c>
      <c r="C796">
        <v>0.1</v>
      </c>
      <c r="D796">
        <v>0.1</v>
      </c>
      <c r="E796" s="106">
        <v>0.05</v>
      </c>
      <c r="F796">
        <v>0.05</v>
      </c>
      <c r="G796">
        <v>0.15</v>
      </c>
    </row>
    <row r="797" spans="1:7" x14ac:dyDescent="0.2">
      <c r="A797">
        <v>8729</v>
      </c>
      <c r="B797" s="106" t="s">
        <v>1319</v>
      </c>
      <c r="C797">
        <v>0.05</v>
      </c>
      <c r="D797">
        <v>0.05</v>
      </c>
      <c r="E797">
        <v>0.05</v>
      </c>
      <c r="F797">
        <v>0.05</v>
      </c>
      <c r="G797">
        <v>0.15</v>
      </c>
    </row>
    <row r="798" spans="1:7" x14ac:dyDescent="0.2">
      <c r="A798">
        <v>8750</v>
      </c>
      <c r="B798" s="106" t="s">
        <v>31</v>
      </c>
      <c r="C798">
        <v>0</v>
      </c>
      <c r="D798">
        <v>0.05</v>
      </c>
      <c r="E798">
        <v>0</v>
      </c>
      <c r="F798">
        <v>0</v>
      </c>
      <c r="G798">
        <v>0.15</v>
      </c>
    </row>
    <row r="799" spans="1:7" x14ac:dyDescent="0.2">
      <c r="A799">
        <v>8766</v>
      </c>
      <c r="B799" s="106" t="s">
        <v>1320</v>
      </c>
      <c r="C799">
        <v>0</v>
      </c>
      <c r="D799">
        <v>0</v>
      </c>
      <c r="E799">
        <v>0.1</v>
      </c>
      <c r="F799" t="s">
        <v>162</v>
      </c>
      <c r="G799">
        <v>0</v>
      </c>
    </row>
    <row r="800" spans="1:7" x14ac:dyDescent="0.2">
      <c r="A800">
        <v>8769</v>
      </c>
      <c r="B800" s="106" t="s">
        <v>1681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 x14ac:dyDescent="0.2">
      <c r="A801">
        <v>8798</v>
      </c>
      <c r="B801" s="106" t="s">
        <v>1321</v>
      </c>
      <c r="C801">
        <v>0</v>
      </c>
      <c r="D801">
        <v>0</v>
      </c>
      <c r="E801">
        <v>0</v>
      </c>
      <c r="F801">
        <v>0</v>
      </c>
      <c r="G801" s="106">
        <v>0</v>
      </c>
    </row>
    <row r="802" spans="1:7" x14ac:dyDescent="0.2">
      <c r="A802">
        <v>8801</v>
      </c>
      <c r="B802" s="106" t="s">
        <v>1593</v>
      </c>
      <c r="C802">
        <v>0.05</v>
      </c>
      <c r="D802">
        <v>0.05</v>
      </c>
      <c r="E802">
        <v>0.05</v>
      </c>
      <c r="F802">
        <v>0.05</v>
      </c>
      <c r="G802">
        <v>0.15</v>
      </c>
    </row>
    <row r="803" spans="1:7" x14ac:dyDescent="0.2">
      <c r="A803">
        <v>8803</v>
      </c>
      <c r="B803" s="106" t="s">
        <v>1322</v>
      </c>
      <c r="C803">
        <v>0.1</v>
      </c>
      <c r="D803">
        <v>0.1</v>
      </c>
      <c r="E803">
        <v>0.1</v>
      </c>
      <c r="F803">
        <v>0.1</v>
      </c>
      <c r="G803" s="106">
        <v>0.3</v>
      </c>
    </row>
    <row r="804" spans="1:7" x14ac:dyDescent="0.2">
      <c r="A804">
        <v>8804</v>
      </c>
      <c r="B804" s="106" t="s">
        <v>1323</v>
      </c>
      <c r="C804">
        <v>0.05</v>
      </c>
      <c r="D804">
        <v>0.05</v>
      </c>
      <c r="E804">
        <v>0.05</v>
      </c>
      <c r="F804">
        <v>0.05</v>
      </c>
      <c r="G804">
        <v>0.15</v>
      </c>
    </row>
    <row r="805" spans="1:7" x14ac:dyDescent="0.2">
      <c r="A805">
        <v>8848</v>
      </c>
      <c r="B805" s="106" t="s">
        <v>1911</v>
      </c>
      <c r="C805">
        <v>0.05</v>
      </c>
      <c r="D805">
        <v>0.05</v>
      </c>
      <c r="E805">
        <v>0.05</v>
      </c>
      <c r="F805">
        <v>0.05</v>
      </c>
      <c r="G805">
        <v>0.15</v>
      </c>
    </row>
    <row r="806" spans="1:7" x14ac:dyDescent="0.2">
      <c r="A806">
        <v>8850</v>
      </c>
      <c r="B806" s="106" t="s">
        <v>1551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">
      <c r="A807">
        <v>8876</v>
      </c>
      <c r="B807" s="106" t="s">
        <v>1324</v>
      </c>
      <c r="C807">
        <v>0.05</v>
      </c>
      <c r="D807">
        <v>0.05</v>
      </c>
      <c r="E807">
        <v>0.05</v>
      </c>
      <c r="F807">
        <v>0.05</v>
      </c>
      <c r="G807">
        <v>0.15</v>
      </c>
    </row>
    <row r="808" spans="1:7" x14ac:dyDescent="0.2">
      <c r="A808">
        <v>8892</v>
      </c>
      <c r="B808" s="106" t="s">
        <v>1325</v>
      </c>
      <c r="C808">
        <v>0</v>
      </c>
      <c r="D808">
        <v>0.05</v>
      </c>
      <c r="E808">
        <v>0</v>
      </c>
      <c r="F808" s="106">
        <v>0.05</v>
      </c>
      <c r="G808" s="106">
        <v>0</v>
      </c>
    </row>
    <row r="809" spans="1:7" x14ac:dyDescent="0.2">
      <c r="A809">
        <v>8897</v>
      </c>
      <c r="B809" s="106" t="s">
        <v>1326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">
      <c r="A810">
        <v>8904</v>
      </c>
      <c r="B810" s="106" t="s">
        <v>1912</v>
      </c>
      <c r="C810">
        <v>0.05</v>
      </c>
      <c r="D810">
        <v>0.05</v>
      </c>
      <c r="E810">
        <v>0.05</v>
      </c>
      <c r="F810">
        <v>0.05</v>
      </c>
      <c r="G810">
        <v>0.15</v>
      </c>
    </row>
    <row r="811" spans="1:7" x14ac:dyDescent="0.2">
      <c r="A811">
        <v>8905</v>
      </c>
      <c r="B811" s="106" t="s">
        <v>4575</v>
      </c>
      <c r="C811">
        <v>0</v>
      </c>
      <c r="D811">
        <v>0</v>
      </c>
      <c r="E811">
        <v>0</v>
      </c>
      <c r="F811" t="s">
        <v>162</v>
      </c>
      <c r="G811" t="s">
        <v>162</v>
      </c>
    </row>
    <row r="812" spans="1:7" x14ac:dyDescent="0.2">
      <c r="A812">
        <v>8917</v>
      </c>
      <c r="B812" s="106" t="s">
        <v>1327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8923</v>
      </c>
      <c r="B813" s="106" t="s">
        <v>4766</v>
      </c>
      <c r="C813">
        <v>0</v>
      </c>
      <c r="D813">
        <v>0</v>
      </c>
      <c r="E813" t="s">
        <v>162</v>
      </c>
      <c r="F813" t="s">
        <v>162</v>
      </c>
      <c r="G813">
        <v>0</v>
      </c>
    </row>
    <row r="814" spans="1:7" x14ac:dyDescent="0.2">
      <c r="A814">
        <v>8928</v>
      </c>
      <c r="B814" s="106" t="s">
        <v>1328</v>
      </c>
      <c r="C814">
        <v>0.05</v>
      </c>
      <c r="D814">
        <v>0.05</v>
      </c>
      <c r="E814">
        <v>0.05</v>
      </c>
      <c r="F814">
        <v>0.05</v>
      </c>
      <c r="G814">
        <v>0.15</v>
      </c>
    </row>
    <row r="815" spans="1:7" x14ac:dyDescent="0.2">
      <c r="A815">
        <v>8935</v>
      </c>
      <c r="B815" s="106" t="s">
        <v>4576</v>
      </c>
      <c r="C815">
        <v>0</v>
      </c>
      <c r="D815">
        <v>0</v>
      </c>
      <c r="E815">
        <v>0</v>
      </c>
      <c r="F815" t="s">
        <v>162</v>
      </c>
      <c r="G815" t="s">
        <v>162</v>
      </c>
    </row>
    <row r="816" spans="1:7" x14ac:dyDescent="0.2">
      <c r="A816">
        <v>8999</v>
      </c>
      <c r="B816" s="106" t="s">
        <v>1329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9001</v>
      </c>
      <c r="B817" s="106" t="s">
        <v>1330</v>
      </c>
      <c r="C817">
        <v>0.1</v>
      </c>
      <c r="D817">
        <v>0.1</v>
      </c>
      <c r="E817">
        <v>0.1</v>
      </c>
      <c r="F817">
        <v>0.1</v>
      </c>
      <c r="G817">
        <v>0.3</v>
      </c>
    </row>
    <row r="818" spans="1:7" x14ac:dyDescent="0.2">
      <c r="A818">
        <v>9006</v>
      </c>
      <c r="B818" s="106" t="s">
        <v>1331</v>
      </c>
      <c r="C818">
        <v>0.05</v>
      </c>
      <c r="D818">
        <v>0.05</v>
      </c>
      <c r="E818">
        <v>0.05</v>
      </c>
      <c r="F818">
        <v>0.05</v>
      </c>
      <c r="G818">
        <v>0</v>
      </c>
    </row>
    <row r="819" spans="1:7" x14ac:dyDescent="0.2">
      <c r="A819">
        <v>9007</v>
      </c>
      <c r="B819" s="106" t="s">
        <v>1332</v>
      </c>
      <c r="C819">
        <v>0</v>
      </c>
      <c r="D819">
        <v>0</v>
      </c>
      <c r="E819">
        <v>0</v>
      </c>
      <c r="F819" s="106">
        <v>0</v>
      </c>
      <c r="G819" s="106">
        <v>0</v>
      </c>
    </row>
    <row r="820" spans="1:7" x14ac:dyDescent="0.2">
      <c r="A820">
        <v>9008</v>
      </c>
      <c r="B820" s="106" t="s">
        <v>1333</v>
      </c>
      <c r="C820">
        <v>0</v>
      </c>
      <c r="D820">
        <v>0</v>
      </c>
      <c r="E820">
        <v>0</v>
      </c>
      <c r="F820" s="106">
        <v>0</v>
      </c>
      <c r="G820" s="106">
        <v>0</v>
      </c>
    </row>
    <row r="821" spans="1:7" x14ac:dyDescent="0.2">
      <c r="A821">
        <v>9009</v>
      </c>
      <c r="B821" s="106" t="s">
        <v>1334</v>
      </c>
      <c r="C821">
        <v>0.1</v>
      </c>
      <c r="D821">
        <v>0.1</v>
      </c>
      <c r="E821">
        <v>0.1</v>
      </c>
      <c r="F821">
        <v>0.1</v>
      </c>
      <c r="G821">
        <v>0.3</v>
      </c>
    </row>
    <row r="822" spans="1:7" x14ac:dyDescent="0.2">
      <c r="A822">
        <v>9010</v>
      </c>
      <c r="B822" s="106" t="s">
        <v>1335</v>
      </c>
      <c r="C822">
        <v>0.1</v>
      </c>
      <c r="D822">
        <v>0.1</v>
      </c>
      <c r="E822">
        <v>0.1</v>
      </c>
      <c r="F822">
        <v>0.1</v>
      </c>
      <c r="G822">
        <v>0.3</v>
      </c>
    </row>
    <row r="823" spans="1:7" x14ac:dyDescent="0.2">
      <c r="A823">
        <v>9014</v>
      </c>
      <c r="B823" s="106" t="s">
        <v>1336</v>
      </c>
      <c r="C823">
        <v>0.05</v>
      </c>
      <c r="D823">
        <v>0.05</v>
      </c>
      <c r="E823">
        <v>0.05</v>
      </c>
      <c r="F823">
        <v>0.05</v>
      </c>
      <c r="G823">
        <v>0.15</v>
      </c>
    </row>
    <row r="824" spans="1:7" x14ac:dyDescent="0.2">
      <c r="A824">
        <v>9021</v>
      </c>
      <c r="B824" s="106" t="s">
        <v>4409</v>
      </c>
      <c r="C824">
        <v>0.05</v>
      </c>
      <c r="D824">
        <v>0.05</v>
      </c>
      <c r="E824">
        <v>0</v>
      </c>
      <c r="F824">
        <v>0</v>
      </c>
      <c r="G824" t="s">
        <v>162</v>
      </c>
    </row>
    <row r="825" spans="1:7" x14ac:dyDescent="0.2">
      <c r="A825">
        <v>9031</v>
      </c>
      <c r="B825" s="106" t="s">
        <v>1337</v>
      </c>
      <c r="C825">
        <v>0.05</v>
      </c>
      <c r="D825">
        <v>0.05</v>
      </c>
      <c r="E825">
        <v>0.05</v>
      </c>
      <c r="F825">
        <v>0.05</v>
      </c>
      <c r="G825">
        <v>0.15</v>
      </c>
    </row>
    <row r="826" spans="1:7" x14ac:dyDescent="0.2">
      <c r="A826">
        <v>9041</v>
      </c>
      <c r="B826" s="106" t="s">
        <v>1338</v>
      </c>
      <c r="C826">
        <v>0.1</v>
      </c>
      <c r="D826">
        <v>0.1</v>
      </c>
      <c r="E826">
        <v>0.1</v>
      </c>
      <c r="F826">
        <v>0.1</v>
      </c>
      <c r="G826">
        <v>0.3</v>
      </c>
    </row>
    <row r="827" spans="1:7" x14ac:dyDescent="0.2">
      <c r="A827">
        <v>9042</v>
      </c>
      <c r="B827" s="106" t="s">
        <v>1339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">
      <c r="A828">
        <v>9044</v>
      </c>
      <c r="B828" s="106" t="s">
        <v>1340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9045</v>
      </c>
      <c r="B829" s="106" t="s">
        <v>1341</v>
      </c>
      <c r="C829">
        <v>0.1</v>
      </c>
      <c r="D829">
        <v>0.1</v>
      </c>
      <c r="E829">
        <v>0.1</v>
      </c>
      <c r="F829">
        <v>0.1</v>
      </c>
      <c r="G829">
        <v>0.3</v>
      </c>
    </row>
    <row r="830" spans="1:7" x14ac:dyDescent="0.2">
      <c r="A830">
        <v>9046</v>
      </c>
      <c r="B830" s="106" t="s">
        <v>1342</v>
      </c>
      <c r="C830">
        <v>0.1</v>
      </c>
      <c r="D830">
        <v>0.1</v>
      </c>
      <c r="E830">
        <v>0.1</v>
      </c>
      <c r="F830">
        <v>0.1</v>
      </c>
      <c r="G830">
        <v>0.3</v>
      </c>
    </row>
    <row r="831" spans="1:7" x14ac:dyDescent="0.2">
      <c r="A831">
        <v>9048</v>
      </c>
      <c r="B831" s="106" t="s">
        <v>1343</v>
      </c>
      <c r="C831">
        <v>0.1</v>
      </c>
      <c r="D831">
        <v>0.1</v>
      </c>
      <c r="E831">
        <v>0.1</v>
      </c>
      <c r="F831">
        <v>0.1</v>
      </c>
      <c r="G831">
        <v>0.3</v>
      </c>
    </row>
    <row r="832" spans="1:7" x14ac:dyDescent="0.2">
      <c r="A832">
        <v>9052</v>
      </c>
      <c r="B832" s="106" t="s">
        <v>1344</v>
      </c>
      <c r="C832">
        <v>0.05</v>
      </c>
      <c r="D832">
        <v>0.05</v>
      </c>
      <c r="E832">
        <v>0.05</v>
      </c>
      <c r="F832">
        <v>0.05</v>
      </c>
      <c r="G832">
        <v>0.15</v>
      </c>
    </row>
    <row r="833" spans="1:7" x14ac:dyDescent="0.2">
      <c r="A833">
        <v>9062</v>
      </c>
      <c r="B833" s="106" t="s">
        <v>4767</v>
      </c>
      <c r="C833">
        <v>0.15</v>
      </c>
      <c r="D833">
        <v>0.15</v>
      </c>
      <c r="E833" t="s">
        <v>162</v>
      </c>
      <c r="F833">
        <v>0.15</v>
      </c>
      <c r="G833">
        <v>0.45</v>
      </c>
    </row>
    <row r="834" spans="1:7" x14ac:dyDescent="0.2">
      <c r="A834">
        <v>9065</v>
      </c>
      <c r="B834" s="106" t="s">
        <v>1345</v>
      </c>
      <c r="C834">
        <v>0.1</v>
      </c>
      <c r="D834">
        <v>0.1</v>
      </c>
      <c r="E834">
        <v>0.1</v>
      </c>
      <c r="F834">
        <v>0.1</v>
      </c>
      <c r="G834">
        <v>0.3</v>
      </c>
    </row>
    <row r="835" spans="1:7" x14ac:dyDescent="0.2">
      <c r="A835">
        <v>9066</v>
      </c>
      <c r="B835" s="106" t="s">
        <v>4337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">
      <c r="A836">
        <v>9070</v>
      </c>
      <c r="B836" s="106" t="s">
        <v>1346</v>
      </c>
      <c r="C836">
        <v>0.1</v>
      </c>
      <c r="D836">
        <v>0.1</v>
      </c>
      <c r="E836">
        <v>0.1</v>
      </c>
      <c r="F836">
        <v>0.1</v>
      </c>
      <c r="G836">
        <v>0.3</v>
      </c>
    </row>
    <row r="837" spans="1:7" x14ac:dyDescent="0.2">
      <c r="A837">
        <v>9075</v>
      </c>
      <c r="B837" s="106" t="s">
        <v>1347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">
      <c r="A838">
        <v>9076</v>
      </c>
      <c r="B838" s="106" t="s">
        <v>1348</v>
      </c>
      <c r="C838">
        <v>0</v>
      </c>
      <c r="D838">
        <v>0</v>
      </c>
      <c r="E838" s="106">
        <v>0</v>
      </c>
      <c r="F838">
        <v>0.05</v>
      </c>
      <c r="G838">
        <v>0</v>
      </c>
    </row>
    <row r="839" spans="1:7" x14ac:dyDescent="0.2">
      <c r="A839">
        <v>9081</v>
      </c>
      <c r="B839" s="106" t="s">
        <v>4768</v>
      </c>
      <c r="C839">
        <v>0</v>
      </c>
      <c r="D839">
        <v>0</v>
      </c>
      <c r="E839" t="s">
        <v>162</v>
      </c>
      <c r="F839" t="s">
        <v>162</v>
      </c>
      <c r="G839" t="s">
        <v>162</v>
      </c>
    </row>
    <row r="840" spans="1:7" x14ac:dyDescent="0.2">
      <c r="A840">
        <v>9090</v>
      </c>
      <c r="B840" s="106" t="s">
        <v>1349</v>
      </c>
      <c r="C840">
        <v>0.05</v>
      </c>
      <c r="D840">
        <v>0.05</v>
      </c>
      <c r="E840">
        <v>0.05</v>
      </c>
      <c r="F840">
        <v>0.05</v>
      </c>
      <c r="G840">
        <v>0.15</v>
      </c>
    </row>
    <row r="841" spans="1:7" x14ac:dyDescent="0.2">
      <c r="A841">
        <v>9101</v>
      </c>
      <c r="B841" s="106" t="s">
        <v>1350</v>
      </c>
      <c r="C841">
        <v>0.05</v>
      </c>
      <c r="D841">
        <v>0.05</v>
      </c>
      <c r="E841">
        <v>0.05</v>
      </c>
      <c r="F841">
        <v>0.05</v>
      </c>
      <c r="G841">
        <v>0.15</v>
      </c>
    </row>
    <row r="842" spans="1:7" x14ac:dyDescent="0.2">
      <c r="A842">
        <v>9104</v>
      </c>
      <c r="B842" s="106" t="s">
        <v>1351</v>
      </c>
      <c r="C842">
        <v>0.05</v>
      </c>
      <c r="D842">
        <v>0.05</v>
      </c>
      <c r="E842">
        <v>0.05</v>
      </c>
      <c r="F842">
        <v>0.05</v>
      </c>
      <c r="G842">
        <v>0.15</v>
      </c>
    </row>
    <row r="843" spans="1:7" x14ac:dyDescent="0.2">
      <c r="A843">
        <v>9130</v>
      </c>
      <c r="B843" s="106" t="s">
        <v>1352</v>
      </c>
      <c r="C843">
        <v>0.05</v>
      </c>
      <c r="D843">
        <v>0.05</v>
      </c>
      <c r="E843">
        <v>0.05</v>
      </c>
      <c r="F843">
        <v>0.05</v>
      </c>
      <c r="G843">
        <v>0.15</v>
      </c>
    </row>
    <row r="844" spans="1:7" x14ac:dyDescent="0.2">
      <c r="A844">
        <v>9142</v>
      </c>
      <c r="B844" s="106" t="s">
        <v>1353</v>
      </c>
      <c r="C844">
        <v>0.1</v>
      </c>
      <c r="D844">
        <v>0.1</v>
      </c>
      <c r="E844">
        <v>0.1</v>
      </c>
      <c r="F844">
        <v>0.1</v>
      </c>
      <c r="G844">
        <v>0.3</v>
      </c>
    </row>
    <row r="845" spans="1:7" x14ac:dyDescent="0.2">
      <c r="A845">
        <v>9232</v>
      </c>
      <c r="B845" s="106" t="s">
        <v>1354</v>
      </c>
      <c r="C845">
        <v>0.05</v>
      </c>
      <c r="D845">
        <v>0.05</v>
      </c>
      <c r="E845">
        <v>0.05</v>
      </c>
      <c r="F845">
        <v>0.05</v>
      </c>
      <c r="G845">
        <v>0.15</v>
      </c>
    </row>
    <row r="846" spans="1:7" x14ac:dyDescent="0.2">
      <c r="A846">
        <v>9260</v>
      </c>
      <c r="B846" s="106" t="s">
        <v>1355</v>
      </c>
      <c r="C846">
        <v>0.05</v>
      </c>
      <c r="D846">
        <v>0.05</v>
      </c>
      <c r="E846">
        <v>0.05</v>
      </c>
      <c r="F846" s="106">
        <v>0.05</v>
      </c>
      <c r="G846" s="106">
        <v>0.15</v>
      </c>
    </row>
    <row r="847" spans="1:7" x14ac:dyDescent="0.2">
      <c r="A847">
        <v>9267</v>
      </c>
      <c r="B847" s="106" t="s">
        <v>1356</v>
      </c>
      <c r="C847">
        <v>0.05</v>
      </c>
      <c r="D847">
        <v>0.05</v>
      </c>
      <c r="E847">
        <v>0.05</v>
      </c>
      <c r="F847" s="106">
        <v>0.05</v>
      </c>
      <c r="G847" s="106">
        <v>0.15</v>
      </c>
    </row>
    <row r="848" spans="1:7" x14ac:dyDescent="0.2">
      <c r="A848">
        <v>9278</v>
      </c>
      <c r="B848" s="106" t="s">
        <v>4338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">
      <c r="A849">
        <v>9308</v>
      </c>
      <c r="B849" s="106" t="s">
        <v>1357</v>
      </c>
      <c r="C849">
        <v>0.05</v>
      </c>
      <c r="D849">
        <v>0.05</v>
      </c>
      <c r="E849">
        <v>0.05</v>
      </c>
      <c r="F849" s="106">
        <v>0.05</v>
      </c>
      <c r="G849">
        <v>0.15</v>
      </c>
    </row>
    <row r="850" spans="1:7" x14ac:dyDescent="0.2">
      <c r="A850">
        <v>9351</v>
      </c>
      <c r="B850" s="106" t="s">
        <v>1358</v>
      </c>
      <c r="C850">
        <v>0</v>
      </c>
      <c r="D850">
        <v>0</v>
      </c>
      <c r="E850">
        <v>0</v>
      </c>
      <c r="F850" s="106">
        <v>0</v>
      </c>
      <c r="G850">
        <v>0</v>
      </c>
    </row>
    <row r="851" spans="1:7" x14ac:dyDescent="0.2">
      <c r="A851">
        <v>9364</v>
      </c>
      <c r="B851" s="106" t="s">
        <v>4410</v>
      </c>
      <c r="C851">
        <v>0.05</v>
      </c>
      <c r="D851">
        <v>0.05</v>
      </c>
      <c r="E851">
        <v>0.05</v>
      </c>
      <c r="F851">
        <v>0.05</v>
      </c>
      <c r="G851" t="s">
        <v>162</v>
      </c>
    </row>
    <row r="852" spans="1:7" x14ac:dyDescent="0.2">
      <c r="A852">
        <v>9375</v>
      </c>
      <c r="B852" s="106" t="s">
        <v>1359</v>
      </c>
      <c r="C852">
        <v>0.05</v>
      </c>
      <c r="D852">
        <v>0.05</v>
      </c>
      <c r="E852">
        <v>0.05</v>
      </c>
      <c r="F852">
        <v>0.05</v>
      </c>
      <c r="G852">
        <v>0.15</v>
      </c>
    </row>
    <row r="853" spans="1:7" x14ac:dyDescent="0.2">
      <c r="A853">
        <v>9384</v>
      </c>
      <c r="B853" s="106" t="s">
        <v>1360</v>
      </c>
      <c r="C853">
        <v>0.05</v>
      </c>
      <c r="D853">
        <v>0.05</v>
      </c>
      <c r="E853">
        <v>0.05</v>
      </c>
      <c r="F853">
        <v>0.05</v>
      </c>
      <c r="G853">
        <v>0.15</v>
      </c>
    </row>
    <row r="854" spans="1:7" x14ac:dyDescent="0.2">
      <c r="A854">
        <v>9401</v>
      </c>
      <c r="B854" s="106" t="s">
        <v>1361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">
      <c r="A855">
        <v>9405</v>
      </c>
      <c r="B855" s="106" t="s">
        <v>1552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9409</v>
      </c>
      <c r="B856" s="106" t="s">
        <v>1362</v>
      </c>
      <c r="C856">
        <v>0.05</v>
      </c>
      <c r="D856">
        <v>0.05</v>
      </c>
      <c r="E856">
        <v>0.05</v>
      </c>
      <c r="F856">
        <v>0.05</v>
      </c>
      <c r="G856">
        <v>0.15</v>
      </c>
    </row>
    <row r="857" spans="1:7" x14ac:dyDescent="0.2">
      <c r="A857">
        <v>9412</v>
      </c>
      <c r="B857" s="106" t="s">
        <v>833</v>
      </c>
      <c r="C857">
        <v>0</v>
      </c>
      <c r="D857">
        <v>0</v>
      </c>
      <c r="E857">
        <v>0.05</v>
      </c>
      <c r="F857" s="106">
        <v>0.05</v>
      </c>
      <c r="G857">
        <v>0.15</v>
      </c>
    </row>
    <row r="858" spans="1:7" x14ac:dyDescent="0.2">
      <c r="A858">
        <v>9413</v>
      </c>
      <c r="B858" s="106" t="s">
        <v>1363</v>
      </c>
      <c r="C858">
        <v>0.05</v>
      </c>
      <c r="D858">
        <v>0.05</v>
      </c>
      <c r="E858">
        <v>0.05</v>
      </c>
      <c r="F858" s="106">
        <v>0.05</v>
      </c>
      <c r="G858">
        <v>0.15</v>
      </c>
    </row>
    <row r="859" spans="1:7" x14ac:dyDescent="0.2">
      <c r="A859">
        <v>9416</v>
      </c>
      <c r="B859" s="106" t="s">
        <v>1364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">
      <c r="A860">
        <v>9419</v>
      </c>
      <c r="B860" s="106" t="s">
        <v>1553</v>
      </c>
      <c r="C860">
        <v>0</v>
      </c>
      <c r="D860" s="106">
        <v>0</v>
      </c>
      <c r="E860">
        <v>0</v>
      </c>
      <c r="F860" s="106">
        <v>0</v>
      </c>
      <c r="G860">
        <v>0</v>
      </c>
    </row>
    <row r="861" spans="1:7" x14ac:dyDescent="0.2">
      <c r="A861">
        <v>9422</v>
      </c>
      <c r="B861" s="106" t="s">
        <v>4339</v>
      </c>
      <c r="C861">
        <v>0.05</v>
      </c>
      <c r="D861">
        <v>0.05</v>
      </c>
      <c r="E861">
        <v>0.05</v>
      </c>
      <c r="F861" s="106">
        <v>0.05</v>
      </c>
      <c r="G861">
        <v>0.15</v>
      </c>
    </row>
    <row r="862" spans="1:7" x14ac:dyDescent="0.2">
      <c r="A862">
        <v>9433</v>
      </c>
      <c r="B862" s="106" t="s">
        <v>825</v>
      </c>
      <c r="C862">
        <v>0</v>
      </c>
      <c r="D862">
        <v>0.05</v>
      </c>
      <c r="E862">
        <v>0</v>
      </c>
      <c r="F862">
        <v>0</v>
      </c>
      <c r="G862">
        <v>0.15</v>
      </c>
    </row>
    <row r="863" spans="1:7" x14ac:dyDescent="0.2">
      <c r="A863">
        <v>9437</v>
      </c>
      <c r="B863" s="106" t="s">
        <v>682</v>
      </c>
      <c r="C863">
        <v>0</v>
      </c>
      <c r="D863">
        <v>0.05</v>
      </c>
      <c r="E863" t="s">
        <v>162</v>
      </c>
      <c r="F863">
        <v>0</v>
      </c>
      <c r="G863">
        <v>0.3</v>
      </c>
    </row>
    <row r="864" spans="1:7" x14ac:dyDescent="0.2">
      <c r="A864">
        <v>9438</v>
      </c>
      <c r="B864" s="106" t="s">
        <v>1365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9450</v>
      </c>
      <c r="B865" s="106" t="s">
        <v>1366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">
      <c r="A866">
        <v>9470</v>
      </c>
      <c r="B866" s="106" t="s">
        <v>1367</v>
      </c>
      <c r="C866">
        <v>0.15</v>
      </c>
      <c r="D866">
        <v>0.15</v>
      </c>
      <c r="E866">
        <v>0.15</v>
      </c>
      <c r="F866">
        <v>0.15</v>
      </c>
      <c r="G866">
        <v>0.45</v>
      </c>
    </row>
    <row r="867" spans="1:7" x14ac:dyDescent="0.2">
      <c r="A867">
        <v>9475</v>
      </c>
      <c r="B867" s="106" t="s">
        <v>1368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">
      <c r="A868">
        <v>9504</v>
      </c>
      <c r="B868" s="106" t="s">
        <v>1369</v>
      </c>
      <c r="C868">
        <v>0.05</v>
      </c>
      <c r="D868" s="106">
        <v>0.05</v>
      </c>
      <c r="E868">
        <v>0.05</v>
      </c>
      <c r="F868" s="106">
        <v>0.05</v>
      </c>
      <c r="G868">
        <v>0.15</v>
      </c>
    </row>
    <row r="869" spans="1:7" x14ac:dyDescent="0.2">
      <c r="A869">
        <v>9511</v>
      </c>
      <c r="B869" s="106" t="s">
        <v>5144</v>
      </c>
      <c r="C869">
        <v>0</v>
      </c>
      <c r="D869" s="106" t="s">
        <v>162</v>
      </c>
      <c r="E869">
        <v>0.05</v>
      </c>
      <c r="F869" s="106" t="s">
        <v>162</v>
      </c>
      <c r="G869">
        <v>0</v>
      </c>
    </row>
    <row r="870" spans="1:7" x14ac:dyDescent="0.2">
      <c r="A870">
        <v>9517</v>
      </c>
      <c r="B870" s="106" t="s">
        <v>1370</v>
      </c>
      <c r="C870">
        <v>0.05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9519</v>
      </c>
      <c r="B871" s="106" t="s">
        <v>1371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9533</v>
      </c>
      <c r="B872" s="106" t="s">
        <v>1372</v>
      </c>
      <c r="C872">
        <v>0.1</v>
      </c>
      <c r="D872">
        <v>0.1</v>
      </c>
      <c r="E872">
        <v>0.1</v>
      </c>
      <c r="F872">
        <v>0.1</v>
      </c>
      <c r="G872">
        <v>0.3</v>
      </c>
    </row>
    <row r="873" spans="1:7" x14ac:dyDescent="0.2">
      <c r="A873">
        <v>9534</v>
      </c>
      <c r="B873" s="106" t="s">
        <v>5145</v>
      </c>
      <c r="C873">
        <v>0.05</v>
      </c>
      <c r="D873" t="s">
        <v>162</v>
      </c>
      <c r="E873">
        <v>0.05</v>
      </c>
      <c r="F873" t="s">
        <v>162</v>
      </c>
      <c r="G873">
        <v>0.15</v>
      </c>
    </row>
    <row r="874" spans="1:7" x14ac:dyDescent="0.2">
      <c r="A874">
        <v>9535</v>
      </c>
      <c r="B874" s="106" t="s">
        <v>4769</v>
      </c>
      <c r="C874">
        <v>0</v>
      </c>
      <c r="D874">
        <v>0</v>
      </c>
      <c r="E874" t="s">
        <v>162</v>
      </c>
      <c r="F874" s="106" t="s">
        <v>162</v>
      </c>
      <c r="G874">
        <v>0</v>
      </c>
    </row>
    <row r="875" spans="1:7" x14ac:dyDescent="0.2">
      <c r="A875">
        <v>9536</v>
      </c>
      <c r="B875" s="106" t="s">
        <v>1373</v>
      </c>
      <c r="C875">
        <v>0.05</v>
      </c>
      <c r="D875">
        <v>0.05</v>
      </c>
      <c r="E875">
        <v>0.05</v>
      </c>
      <c r="F875" s="106">
        <v>0.05</v>
      </c>
      <c r="G875">
        <v>0.15</v>
      </c>
    </row>
    <row r="876" spans="1:7" x14ac:dyDescent="0.2">
      <c r="A876">
        <v>9543</v>
      </c>
      <c r="B876" s="106" t="s">
        <v>1374</v>
      </c>
      <c r="C876">
        <v>0.05</v>
      </c>
      <c r="D876">
        <v>0.05</v>
      </c>
      <c r="E876">
        <v>0.05</v>
      </c>
      <c r="F876">
        <v>0.05</v>
      </c>
      <c r="G876">
        <v>0.15</v>
      </c>
    </row>
    <row r="877" spans="1:7" x14ac:dyDescent="0.2">
      <c r="A877">
        <v>9551</v>
      </c>
      <c r="B877" s="106" t="s">
        <v>1375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">
      <c r="A878">
        <v>9601</v>
      </c>
      <c r="B878" s="106" t="s">
        <v>1376</v>
      </c>
      <c r="C878">
        <v>0</v>
      </c>
      <c r="D878">
        <v>0.25</v>
      </c>
      <c r="E878">
        <v>0.25</v>
      </c>
      <c r="F878">
        <v>0.25</v>
      </c>
      <c r="G878">
        <v>0.9</v>
      </c>
    </row>
    <row r="879" spans="1:7" x14ac:dyDescent="0.2">
      <c r="A879">
        <v>9605</v>
      </c>
      <c r="B879" s="106" t="s">
        <v>1377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">
      <c r="A880">
        <v>9613</v>
      </c>
      <c r="B880" s="106" t="s">
        <v>4770</v>
      </c>
      <c r="C880">
        <v>0</v>
      </c>
      <c r="D880">
        <v>0</v>
      </c>
      <c r="E880" t="s">
        <v>162</v>
      </c>
      <c r="F880" s="106">
        <v>0</v>
      </c>
      <c r="G880" s="106">
        <v>0</v>
      </c>
    </row>
    <row r="881" spans="1:7" x14ac:dyDescent="0.2">
      <c r="A881">
        <v>9616</v>
      </c>
      <c r="B881" s="106" t="s">
        <v>4771</v>
      </c>
      <c r="C881">
        <v>0</v>
      </c>
      <c r="D881">
        <v>0</v>
      </c>
      <c r="E881" s="106" t="s">
        <v>162</v>
      </c>
      <c r="F881" s="106" t="s">
        <v>162</v>
      </c>
      <c r="G881" s="106" t="s">
        <v>162</v>
      </c>
    </row>
    <row r="882" spans="1:7" x14ac:dyDescent="0.2">
      <c r="A882">
        <v>9622</v>
      </c>
      <c r="B882" s="106" t="s">
        <v>1378</v>
      </c>
      <c r="C882">
        <v>0</v>
      </c>
      <c r="D882">
        <v>0</v>
      </c>
      <c r="E882" s="106">
        <v>0</v>
      </c>
      <c r="F882" s="106">
        <v>0</v>
      </c>
      <c r="G882" s="106">
        <v>0</v>
      </c>
    </row>
    <row r="883" spans="1:7" x14ac:dyDescent="0.2">
      <c r="A883">
        <v>9628</v>
      </c>
      <c r="B883" s="106" t="s">
        <v>1620</v>
      </c>
      <c r="C883">
        <v>0</v>
      </c>
      <c r="D883">
        <v>0</v>
      </c>
      <c r="E883">
        <v>0</v>
      </c>
      <c r="F883">
        <v>0</v>
      </c>
      <c r="G883" s="106">
        <v>0</v>
      </c>
    </row>
    <row r="884" spans="1:7" x14ac:dyDescent="0.2">
      <c r="A884">
        <v>9663</v>
      </c>
      <c r="B884" s="106" t="s">
        <v>1379</v>
      </c>
      <c r="C884">
        <v>0.15</v>
      </c>
      <c r="D884">
        <v>0.15</v>
      </c>
      <c r="E884">
        <v>0.15</v>
      </c>
      <c r="F884">
        <v>0.15</v>
      </c>
      <c r="G884" s="106">
        <v>0.45</v>
      </c>
    </row>
    <row r="885" spans="1:7" x14ac:dyDescent="0.2">
      <c r="A885">
        <v>9675</v>
      </c>
      <c r="B885" s="106" t="s">
        <v>1380</v>
      </c>
      <c r="C885">
        <v>0.05</v>
      </c>
      <c r="D885">
        <v>0.05</v>
      </c>
      <c r="E885">
        <v>0.05</v>
      </c>
      <c r="F885">
        <v>0.05</v>
      </c>
      <c r="G885" s="106">
        <v>0.15</v>
      </c>
    </row>
    <row r="886" spans="1:7" x14ac:dyDescent="0.2">
      <c r="A886">
        <v>9706</v>
      </c>
      <c r="B886" s="106" t="s">
        <v>5146</v>
      </c>
      <c r="C886">
        <v>0.1</v>
      </c>
      <c r="D886" t="s">
        <v>162</v>
      </c>
      <c r="E886">
        <v>0.1</v>
      </c>
      <c r="F886">
        <v>0.1</v>
      </c>
      <c r="G886">
        <v>0.3</v>
      </c>
    </row>
    <row r="887" spans="1:7" x14ac:dyDescent="0.2">
      <c r="A887">
        <v>9715</v>
      </c>
      <c r="B887" s="106" t="s">
        <v>4340</v>
      </c>
      <c r="C887">
        <v>0</v>
      </c>
      <c r="D887" s="106">
        <v>0</v>
      </c>
      <c r="E887">
        <v>0</v>
      </c>
      <c r="F887" s="106">
        <v>0</v>
      </c>
      <c r="G887" s="106">
        <v>0</v>
      </c>
    </row>
    <row r="888" spans="1:7" x14ac:dyDescent="0.2">
      <c r="A888">
        <v>9717</v>
      </c>
      <c r="B888" s="106" t="s">
        <v>1381</v>
      </c>
      <c r="C888">
        <v>0</v>
      </c>
      <c r="D888" s="106">
        <v>0</v>
      </c>
      <c r="E888">
        <v>0</v>
      </c>
      <c r="F888" s="106">
        <v>0</v>
      </c>
      <c r="G888" s="106">
        <v>0</v>
      </c>
    </row>
    <row r="889" spans="1:7" x14ac:dyDescent="0.2">
      <c r="A889">
        <v>9719</v>
      </c>
      <c r="B889" s="106" t="s">
        <v>1594</v>
      </c>
      <c r="C889">
        <v>0.1</v>
      </c>
      <c r="D889">
        <v>0</v>
      </c>
      <c r="E889" t="s">
        <v>162</v>
      </c>
      <c r="F889">
        <v>0.1</v>
      </c>
      <c r="G889">
        <v>0</v>
      </c>
    </row>
    <row r="890" spans="1:7" x14ac:dyDescent="0.2">
      <c r="A890">
        <v>9722</v>
      </c>
      <c r="B890" s="106" t="s">
        <v>1621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">
      <c r="A891">
        <v>9726</v>
      </c>
      <c r="B891" s="106" t="s">
        <v>5147</v>
      </c>
      <c r="C891">
        <v>0</v>
      </c>
      <c r="D891" t="s">
        <v>162</v>
      </c>
      <c r="E891" t="s">
        <v>162</v>
      </c>
      <c r="F891" t="s">
        <v>162</v>
      </c>
      <c r="G891" t="s">
        <v>162</v>
      </c>
    </row>
    <row r="892" spans="1:7" x14ac:dyDescent="0.2">
      <c r="A892">
        <v>9729</v>
      </c>
      <c r="B892" s="106" t="s">
        <v>1382</v>
      </c>
      <c r="C892">
        <v>0.05</v>
      </c>
      <c r="D892">
        <v>0.05</v>
      </c>
      <c r="E892">
        <v>0.05</v>
      </c>
      <c r="F892">
        <v>0.05</v>
      </c>
      <c r="G892">
        <v>0.15</v>
      </c>
    </row>
    <row r="893" spans="1:7" x14ac:dyDescent="0.2">
      <c r="A893">
        <v>9740</v>
      </c>
      <c r="B893" s="106" t="s">
        <v>5148</v>
      </c>
      <c r="C893">
        <v>0.1</v>
      </c>
      <c r="D893" t="s">
        <v>162</v>
      </c>
      <c r="E893">
        <v>0.1</v>
      </c>
      <c r="F893">
        <v>0</v>
      </c>
      <c r="G893">
        <v>0.3</v>
      </c>
    </row>
    <row r="894" spans="1:7" x14ac:dyDescent="0.2">
      <c r="A894">
        <v>9744</v>
      </c>
      <c r="B894" s="106" t="s">
        <v>1383</v>
      </c>
      <c r="C894">
        <v>0.1</v>
      </c>
      <c r="D894">
        <v>0.1</v>
      </c>
      <c r="E894">
        <v>0.1</v>
      </c>
      <c r="F894">
        <v>0.1</v>
      </c>
      <c r="G894">
        <v>0.3</v>
      </c>
    </row>
    <row r="895" spans="1:7" x14ac:dyDescent="0.2">
      <c r="A895">
        <v>9757</v>
      </c>
      <c r="B895" s="106" t="s">
        <v>1682</v>
      </c>
      <c r="C895">
        <v>0.05</v>
      </c>
      <c r="D895">
        <v>0.05</v>
      </c>
      <c r="E895">
        <v>0.05</v>
      </c>
      <c r="F895">
        <v>0.05</v>
      </c>
      <c r="G895">
        <v>0.15</v>
      </c>
    </row>
    <row r="896" spans="1:7" x14ac:dyDescent="0.2">
      <c r="A896">
        <v>9759</v>
      </c>
      <c r="B896" s="106" t="s">
        <v>680</v>
      </c>
      <c r="C896">
        <v>0</v>
      </c>
      <c r="D896">
        <v>0.05</v>
      </c>
      <c r="E896">
        <v>0.05</v>
      </c>
      <c r="F896">
        <v>0.05</v>
      </c>
      <c r="G896">
        <v>0.15</v>
      </c>
    </row>
    <row r="897" spans="1:7" x14ac:dyDescent="0.2">
      <c r="A897">
        <v>9763</v>
      </c>
      <c r="B897" s="106" t="s">
        <v>4287</v>
      </c>
      <c r="C897">
        <v>0.05</v>
      </c>
      <c r="D897">
        <v>0.05</v>
      </c>
      <c r="E897">
        <v>0.05</v>
      </c>
      <c r="F897">
        <v>0.05</v>
      </c>
      <c r="G897">
        <v>0.15</v>
      </c>
    </row>
    <row r="898" spans="1:7" x14ac:dyDescent="0.2">
      <c r="A898">
        <v>9765</v>
      </c>
      <c r="B898" s="106" t="s">
        <v>1384</v>
      </c>
      <c r="C898">
        <v>0</v>
      </c>
      <c r="D898">
        <v>0</v>
      </c>
      <c r="E898" s="106">
        <v>0</v>
      </c>
      <c r="F898">
        <v>0</v>
      </c>
      <c r="G898" s="106">
        <v>0</v>
      </c>
    </row>
    <row r="899" spans="1:7" x14ac:dyDescent="0.2">
      <c r="A899">
        <v>9788</v>
      </c>
      <c r="B899" s="106" t="s">
        <v>1385</v>
      </c>
      <c r="C899">
        <v>0</v>
      </c>
      <c r="D899" s="106">
        <v>0</v>
      </c>
      <c r="E899">
        <v>0</v>
      </c>
      <c r="F899">
        <v>0</v>
      </c>
      <c r="G899">
        <v>0</v>
      </c>
    </row>
    <row r="900" spans="1:7" x14ac:dyDescent="0.2">
      <c r="A900">
        <v>9824</v>
      </c>
      <c r="B900" s="106" t="s">
        <v>1386</v>
      </c>
      <c r="C900">
        <v>0.1</v>
      </c>
      <c r="D900" s="106">
        <v>0.05</v>
      </c>
      <c r="E900">
        <v>0.05</v>
      </c>
      <c r="F900" s="106">
        <v>0.05</v>
      </c>
      <c r="G900">
        <v>0.3</v>
      </c>
    </row>
    <row r="901" spans="1:7" x14ac:dyDescent="0.2">
      <c r="A901">
        <v>9831</v>
      </c>
      <c r="B901" s="106" t="s">
        <v>1387</v>
      </c>
      <c r="C901">
        <v>0.05</v>
      </c>
      <c r="D901">
        <v>0.05</v>
      </c>
      <c r="E901">
        <v>0.05</v>
      </c>
      <c r="F901">
        <v>0.05</v>
      </c>
      <c r="G901">
        <v>0.15</v>
      </c>
    </row>
    <row r="902" spans="1:7" x14ac:dyDescent="0.2">
      <c r="A902">
        <v>9837</v>
      </c>
      <c r="B902" s="106" t="s">
        <v>1388</v>
      </c>
      <c r="C902">
        <v>0</v>
      </c>
      <c r="D902">
        <v>0</v>
      </c>
      <c r="E902" s="106">
        <v>0</v>
      </c>
      <c r="F902">
        <v>0</v>
      </c>
      <c r="G902">
        <v>0</v>
      </c>
    </row>
    <row r="903" spans="1:7" x14ac:dyDescent="0.2">
      <c r="A903">
        <v>9850</v>
      </c>
      <c r="B903" s="106" t="s">
        <v>1389</v>
      </c>
      <c r="C903">
        <v>0</v>
      </c>
      <c r="D903">
        <v>0</v>
      </c>
      <c r="E903">
        <v>0.05</v>
      </c>
      <c r="F903">
        <v>0</v>
      </c>
      <c r="G903">
        <v>0.15</v>
      </c>
    </row>
    <row r="904" spans="1:7" x14ac:dyDescent="0.2">
      <c r="A904">
        <v>9856</v>
      </c>
      <c r="B904" s="106" t="s">
        <v>1390</v>
      </c>
      <c r="C904">
        <v>0</v>
      </c>
      <c r="D904">
        <v>0</v>
      </c>
      <c r="E904">
        <v>0</v>
      </c>
      <c r="F904">
        <v>0</v>
      </c>
      <c r="G904" s="106">
        <v>0</v>
      </c>
    </row>
    <row r="905" spans="1:7" x14ac:dyDescent="0.2">
      <c r="A905">
        <v>9861</v>
      </c>
      <c r="B905" s="106" t="s">
        <v>5149</v>
      </c>
      <c r="C905">
        <v>0</v>
      </c>
      <c r="D905" t="s">
        <v>162</v>
      </c>
      <c r="E905">
        <v>0</v>
      </c>
      <c r="F905">
        <v>0</v>
      </c>
      <c r="G905" s="106" t="s">
        <v>162</v>
      </c>
    </row>
    <row r="906" spans="1:7" x14ac:dyDescent="0.2">
      <c r="A906">
        <v>9869</v>
      </c>
      <c r="B906" s="106" t="s">
        <v>1391</v>
      </c>
      <c r="C906">
        <v>0</v>
      </c>
      <c r="D906">
        <v>0</v>
      </c>
      <c r="E906">
        <v>0</v>
      </c>
      <c r="F906" s="106">
        <v>0</v>
      </c>
      <c r="G906" s="106">
        <v>0</v>
      </c>
    </row>
    <row r="907" spans="1:7" x14ac:dyDescent="0.2">
      <c r="A907">
        <v>9872</v>
      </c>
      <c r="B907" s="106" t="s">
        <v>1392</v>
      </c>
      <c r="C907">
        <v>0</v>
      </c>
      <c r="D907">
        <v>0</v>
      </c>
      <c r="E907">
        <v>0</v>
      </c>
      <c r="F907" s="106">
        <v>0</v>
      </c>
      <c r="G907" s="106">
        <v>0.15</v>
      </c>
    </row>
    <row r="908" spans="1:7" x14ac:dyDescent="0.2">
      <c r="A908">
        <v>9882</v>
      </c>
      <c r="B908" s="106" t="s">
        <v>1393</v>
      </c>
      <c r="C908">
        <v>0.05</v>
      </c>
      <c r="D908">
        <v>0.05</v>
      </c>
      <c r="E908">
        <v>0.05</v>
      </c>
      <c r="F908">
        <v>0</v>
      </c>
      <c r="G908">
        <v>0</v>
      </c>
    </row>
    <row r="909" spans="1:7" x14ac:dyDescent="0.2">
      <c r="A909">
        <v>9887</v>
      </c>
      <c r="B909" s="106" t="s">
        <v>4411</v>
      </c>
      <c r="C909">
        <v>0.1</v>
      </c>
      <c r="D909" s="106">
        <v>0.1</v>
      </c>
      <c r="E909">
        <v>0.1</v>
      </c>
      <c r="F909" s="106">
        <v>0.1</v>
      </c>
      <c r="G909" s="106" t="s">
        <v>162</v>
      </c>
    </row>
    <row r="910" spans="1:7" x14ac:dyDescent="0.2">
      <c r="A910">
        <v>9896</v>
      </c>
      <c r="B910" s="106" t="s">
        <v>4577</v>
      </c>
      <c r="C910">
        <v>0</v>
      </c>
      <c r="D910" s="106">
        <v>0</v>
      </c>
      <c r="E910">
        <v>0</v>
      </c>
      <c r="F910" s="106" t="s">
        <v>162</v>
      </c>
      <c r="G910" s="106" t="s">
        <v>162</v>
      </c>
    </row>
    <row r="911" spans="1:7" x14ac:dyDescent="0.2">
      <c r="A911">
        <v>9900</v>
      </c>
      <c r="B911" s="106" t="s">
        <v>1394</v>
      </c>
      <c r="C911">
        <v>0.05</v>
      </c>
      <c r="D911" s="106">
        <v>0.05</v>
      </c>
      <c r="E911">
        <v>0.05</v>
      </c>
      <c r="F911">
        <v>0.05</v>
      </c>
      <c r="G911">
        <v>0.15</v>
      </c>
    </row>
    <row r="912" spans="1:7" x14ac:dyDescent="0.2">
      <c r="A912">
        <v>9902</v>
      </c>
      <c r="B912" s="106" t="s">
        <v>1395</v>
      </c>
      <c r="C912">
        <v>0.05</v>
      </c>
      <c r="D912">
        <v>0.05</v>
      </c>
      <c r="E912">
        <v>0.05</v>
      </c>
      <c r="F912">
        <v>0.05</v>
      </c>
      <c r="G912">
        <v>0.15</v>
      </c>
    </row>
    <row r="913" spans="1:7" x14ac:dyDescent="0.2">
      <c r="A913">
        <v>9919</v>
      </c>
      <c r="B913" s="106" t="s">
        <v>1396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">
      <c r="A914">
        <v>9928</v>
      </c>
      <c r="B914" s="106" t="s">
        <v>1595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">
      <c r="A915">
        <v>9930</v>
      </c>
      <c r="B915" s="106" t="s">
        <v>1397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">
      <c r="A916">
        <v>9945</v>
      </c>
      <c r="B916" s="106" t="s">
        <v>1398</v>
      </c>
      <c r="C916">
        <v>0.05</v>
      </c>
      <c r="D916">
        <v>0.05</v>
      </c>
      <c r="E916">
        <v>0.05</v>
      </c>
      <c r="F916">
        <v>0.05</v>
      </c>
      <c r="G916">
        <v>0.15</v>
      </c>
    </row>
    <row r="917" spans="1:7" x14ac:dyDescent="0.2">
      <c r="A917">
        <v>9946</v>
      </c>
      <c r="B917" s="106" t="s">
        <v>1399</v>
      </c>
      <c r="C917">
        <v>0.05</v>
      </c>
      <c r="D917">
        <v>0.05</v>
      </c>
      <c r="E917">
        <v>0.05</v>
      </c>
      <c r="F917">
        <v>0.05</v>
      </c>
      <c r="G917">
        <v>0.15</v>
      </c>
    </row>
    <row r="918" spans="1:7" x14ac:dyDescent="0.2">
      <c r="A918">
        <v>9956</v>
      </c>
      <c r="B918" s="106" t="s">
        <v>4578</v>
      </c>
      <c r="C918">
        <v>0</v>
      </c>
      <c r="D918">
        <v>0</v>
      </c>
      <c r="E918">
        <v>0</v>
      </c>
      <c r="F918" t="s">
        <v>162</v>
      </c>
      <c r="G918" s="106">
        <v>0</v>
      </c>
    </row>
    <row r="919" spans="1:7" x14ac:dyDescent="0.2">
      <c r="A919">
        <v>9962</v>
      </c>
      <c r="B919" s="106" t="s">
        <v>1400</v>
      </c>
      <c r="C919">
        <v>0.05</v>
      </c>
      <c r="D919">
        <v>0.05</v>
      </c>
      <c r="E919" s="106">
        <v>0.05</v>
      </c>
      <c r="F919" s="106">
        <v>0.05</v>
      </c>
      <c r="G919" s="106">
        <v>0.15</v>
      </c>
    </row>
    <row r="920" spans="1:7" x14ac:dyDescent="0.2">
      <c r="A920">
        <v>9974</v>
      </c>
      <c r="B920" s="106" t="s">
        <v>4579</v>
      </c>
      <c r="C920">
        <v>0.1</v>
      </c>
      <c r="D920">
        <v>0</v>
      </c>
      <c r="E920" s="106">
        <v>0</v>
      </c>
      <c r="F920" s="106" t="s">
        <v>162</v>
      </c>
      <c r="G920" s="106" t="s">
        <v>162</v>
      </c>
    </row>
    <row r="921" spans="1:7" x14ac:dyDescent="0.2">
      <c r="A921">
        <v>9979</v>
      </c>
      <c r="B921" s="106" t="s">
        <v>4288</v>
      </c>
      <c r="C921">
        <v>0</v>
      </c>
      <c r="D921" s="106">
        <v>0</v>
      </c>
      <c r="E921">
        <v>0</v>
      </c>
      <c r="F921">
        <v>0</v>
      </c>
      <c r="G921" s="106">
        <v>0.15</v>
      </c>
    </row>
    <row r="922" spans="1:7" x14ac:dyDescent="0.2">
      <c r="A922">
        <v>9982</v>
      </c>
      <c r="B922" s="106" t="s">
        <v>1401</v>
      </c>
      <c r="C922">
        <v>0.05</v>
      </c>
      <c r="D922" s="106">
        <v>0.05</v>
      </c>
      <c r="E922">
        <v>0.05</v>
      </c>
      <c r="F922">
        <v>0.05</v>
      </c>
      <c r="G922" s="106">
        <v>0.15</v>
      </c>
    </row>
    <row r="923" spans="1:7" x14ac:dyDescent="0.2">
      <c r="A923">
        <v>9983</v>
      </c>
      <c r="B923" s="106" t="s">
        <v>4289</v>
      </c>
      <c r="C923">
        <v>0</v>
      </c>
      <c r="D923">
        <v>1.1000000000000001</v>
      </c>
      <c r="E923">
        <v>1.1000000000000001</v>
      </c>
      <c r="F923">
        <v>1.1000000000000001</v>
      </c>
      <c r="G923">
        <v>3.3</v>
      </c>
    </row>
    <row r="924" spans="1:7" x14ac:dyDescent="0.2">
      <c r="A924">
        <v>9989</v>
      </c>
      <c r="B924" s="106" t="s">
        <v>829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">
      <c r="A925">
        <v>9994</v>
      </c>
      <c r="B925" s="106" t="s">
        <v>1402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">
      <c r="B926" s="106"/>
      <c r="D926" s="106"/>
    </row>
    <row r="927" spans="1:7" x14ac:dyDescent="0.2">
      <c r="B927" s="106"/>
    </row>
    <row r="928" spans="1:7" x14ac:dyDescent="0.2">
      <c r="B928" s="106"/>
    </row>
    <row r="929" spans="2:7" x14ac:dyDescent="0.2">
      <c r="B929" s="106"/>
    </row>
    <row r="930" spans="2:7" x14ac:dyDescent="0.2">
      <c r="B930" s="106"/>
      <c r="F930" s="106"/>
    </row>
    <row r="931" spans="2:7" x14ac:dyDescent="0.2">
      <c r="B931" s="106"/>
      <c r="F931" s="106"/>
    </row>
    <row r="932" spans="2:7" x14ac:dyDescent="0.2">
      <c r="B932" s="106"/>
    </row>
    <row r="933" spans="2:7" x14ac:dyDescent="0.2">
      <c r="B933" s="106"/>
    </row>
    <row r="934" spans="2:7" x14ac:dyDescent="0.2">
      <c r="B934" s="106"/>
      <c r="E934" s="106"/>
      <c r="F934" s="106"/>
      <c r="G934" s="106"/>
    </row>
    <row r="935" spans="2:7" x14ac:dyDescent="0.2">
      <c r="B935" s="106"/>
    </row>
    <row r="936" spans="2:7" x14ac:dyDescent="0.2">
      <c r="B936" s="106"/>
    </row>
    <row r="937" spans="2:7" x14ac:dyDescent="0.2">
      <c r="B937" s="106"/>
    </row>
    <row r="938" spans="2:7" x14ac:dyDescent="0.2">
      <c r="B938" s="106"/>
    </row>
    <row r="939" spans="2:7" x14ac:dyDescent="0.2">
      <c r="B939" s="106"/>
    </row>
    <row r="940" spans="2:7" x14ac:dyDescent="0.2">
      <c r="B940" s="106"/>
    </row>
    <row r="941" spans="2:7" x14ac:dyDescent="0.2">
      <c r="B941" s="106"/>
      <c r="G941" s="106"/>
    </row>
    <row r="942" spans="2:7" x14ac:dyDescent="0.2">
      <c r="B942" s="106"/>
      <c r="D942" s="106"/>
      <c r="F942" s="106"/>
    </row>
    <row r="943" spans="2:7" x14ac:dyDescent="0.2">
      <c r="B943" s="106"/>
    </row>
    <row r="944" spans="2:7" x14ac:dyDescent="0.2">
      <c r="B944" s="106"/>
      <c r="D944" s="106"/>
      <c r="E944" s="106"/>
      <c r="F944" s="106"/>
      <c r="G944" s="106"/>
    </row>
    <row r="945" spans="2:7" x14ac:dyDescent="0.2">
      <c r="B945" s="106"/>
    </row>
    <row r="946" spans="2:7" x14ac:dyDescent="0.2">
      <c r="B946" s="106"/>
    </row>
    <row r="947" spans="2:7" x14ac:dyDescent="0.2">
      <c r="B947" s="106"/>
    </row>
    <row r="948" spans="2:7" x14ac:dyDescent="0.2">
      <c r="B948" s="106"/>
      <c r="E948" s="106"/>
    </row>
    <row r="949" spans="2:7" x14ac:dyDescent="0.2">
      <c r="B949" s="106"/>
      <c r="E949" s="106"/>
      <c r="F949" s="106"/>
      <c r="G949" s="106"/>
    </row>
    <row r="950" spans="2:7" x14ac:dyDescent="0.2">
      <c r="B950" s="106"/>
    </row>
    <row r="951" spans="2:7" x14ac:dyDescent="0.2">
      <c r="B951" s="106"/>
    </row>
    <row r="952" spans="2:7" x14ac:dyDescent="0.2">
      <c r="B952" s="106"/>
      <c r="E952" s="106"/>
      <c r="F952" s="106"/>
      <c r="G952" s="106"/>
    </row>
    <row r="953" spans="2:7" x14ac:dyDescent="0.2">
      <c r="B953" s="106"/>
    </row>
    <row r="954" spans="2:7" x14ac:dyDescent="0.2">
      <c r="B954" s="106"/>
    </row>
    <row r="955" spans="2:7" x14ac:dyDescent="0.2">
      <c r="B955" s="106"/>
    </row>
    <row r="956" spans="2:7" x14ac:dyDescent="0.2">
      <c r="B956" s="106"/>
      <c r="D956" s="106"/>
      <c r="F956" s="106"/>
    </row>
    <row r="957" spans="2:7" x14ac:dyDescent="0.2">
      <c r="B957" s="106"/>
    </row>
    <row r="958" spans="2:7" x14ac:dyDescent="0.2">
      <c r="B958" s="106"/>
    </row>
    <row r="959" spans="2:7" x14ac:dyDescent="0.2">
      <c r="B959" s="106"/>
      <c r="F959" s="106"/>
    </row>
    <row r="960" spans="2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670</v>
      </c>
      <c r="D1" s="139">
        <v>0.1</v>
      </c>
    </row>
    <row r="2" spans="1:4" s="106" customFormat="1" x14ac:dyDescent="0.2">
      <c r="A2" s="13" t="s">
        <v>668</v>
      </c>
      <c r="B2" s="1" t="s">
        <v>677</v>
      </c>
      <c r="C2" s="1" t="s">
        <v>669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671</v>
      </c>
      <c r="B8" s="1" t="s">
        <v>678</v>
      </c>
    </row>
    <row r="9" spans="1:4" s="106" customFormat="1" x14ac:dyDescent="0.2">
      <c r="A9" s="140" t="s">
        <v>672</v>
      </c>
      <c r="B9" s="142">
        <v>198</v>
      </c>
    </row>
    <row r="10" spans="1:4" s="106" customFormat="1" x14ac:dyDescent="0.2">
      <c r="A10" s="140" t="s">
        <v>673</v>
      </c>
      <c r="B10" s="142">
        <v>385</v>
      </c>
    </row>
    <row r="11" spans="1:4" s="106" customFormat="1" x14ac:dyDescent="0.2">
      <c r="A11" s="1" t="s">
        <v>674</v>
      </c>
      <c r="B11" s="143">
        <v>2.8000000000000001E-2</v>
      </c>
    </row>
    <row r="12" spans="1:4" s="106" customFormat="1" x14ac:dyDescent="0.2">
      <c r="A12" s="1" t="s">
        <v>168</v>
      </c>
      <c r="B12" s="143">
        <v>1.0999999999999999E-2</v>
      </c>
    </row>
    <row r="15" spans="1:4" ht="15" x14ac:dyDescent="0.2">
      <c r="A15" s="78" t="s">
        <v>100</v>
      </c>
    </row>
    <row r="16" spans="1:4" x14ac:dyDescent="0.2">
      <c r="B16" s="1"/>
    </row>
    <row r="17" spans="1:2" ht="15.75" thickBot="1" x14ac:dyDescent="0.3">
      <c r="A17" s="69" t="s">
        <v>101</v>
      </c>
    </row>
    <row r="18" spans="1:2" ht="15.75" thickBot="1" x14ac:dyDescent="0.25">
      <c r="A18" s="71" t="s">
        <v>102</v>
      </c>
      <c r="B18" s="72" t="s">
        <v>103</v>
      </c>
    </row>
    <row r="19" spans="1:2" ht="15.75" thickBot="1" x14ac:dyDescent="0.3">
      <c r="A19" s="73" t="s">
        <v>104</v>
      </c>
      <c r="B19" s="70" t="s">
        <v>105</v>
      </c>
    </row>
    <row r="20" spans="1:2" ht="15.75" thickBot="1" x14ac:dyDescent="0.3">
      <c r="A20" s="73" t="s">
        <v>106</v>
      </c>
      <c r="B20" s="70" t="s">
        <v>107</v>
      </c>
    </row>
    <row r="21" spans="1:2" ht="15.75" thickBot="1" x14ac:dyDescent="0.3">
      <c r="A21" s="73" t="s">
        <v>108</v>
      </c>
      <c r="B21" s="70" t="s">
        <v>109</v>
      </c>
    </row>
    <row r="22" spans="1:2" ht="15.75" thickBot="1" x14ac:dyDescent="0.3">
      <c r="A22" s="73" t="s">
        <v>110</v>
      </c>
      <c r="B22" s="70" t="s">
        <v>111</v>
      </c>
    </row>
    <row r="23" spans="1:2" ht="15.75" thickBot="1" x14ac:dyDescent="0.3">
      <c r="A23" s="74" t="s">
        <v>112</v>
      </c>
      <c r="B23" s="75" t="s">
        <v>113</v>
      </c>
    </row>
    <row r="24" spans="1:2" ht="15.75" thickBot="1" x14ac:dyDescent="0.3">
      <c r="A24" s="76" t="s">
        <v>114</v>
      </c>
      <c r="B24" s="77" t="s">
        <v>115</v>
      </c>
    </row>
    <row r="25" spans="1:2" ht="15.75" thickBot="1" x14ac:dyDescent="0.3">
      <c r="A25" s="73" t="s">
        <v>116</v>
      </c>
      <c r="B25" s="70" t="s">
        <v>117</v>
      </c>
    </row>
    <row r="26" spans="1:2" ht="15.75" thickBot="1" x14ac:dyDescent="0.3">
      <c r="A26" s="73" t="s">
        <v>118</v>
      </c>
      <c r="B26" s="70" t="s">
        <v>119</v>
      </c>
    </row>
    <row r="27" spans="1:2" ht="15.75" thickBot="1" x14ac:dyDescent="0.3">
      <c r="A27" s="69" t="s">
        <v>120</v>
      </c>
    </row>
    <row r="28" spans="1:2" ht="15.75" thickBot="1" x14ac:dyDescent="0.25">
      <c r="A28" s="71" t="s">
        <v>102</v>
      </c>
      <c r="B28" s="72" t="s">
        <v>103</v>
      </c>
    </row>
    <row r="29" spans="1:2" ht="15.75" thickBot="1" x14ac:dyDescent="0.3">
      <c r="A29" s="73" t="s">
        <v>106</v>
      </c>
      <c r="B29" s="70" t="s">
        <v>107</v>
      </c>
    </row>
    <row r="30" spans="1:2" ht="15.75" thickBot="1" x14ac:dyDescent="0.3">
      <c r="A30" s="73" t="s">
        <v>108</v>
      </c>
      <c r="B30" s="70" t="s">
        <v>121</v>
      </c>
    </row>
    <row r="31" spans="1:2" ht="15.75" thickBot="1" x14ac:dyDescent="0.3">
      <c r="A31" s="73" t="s">
        <v>110</v>
      </c>
      <c r="B31" s="70" t="s">
        <v>122</v>
      </c>
    </row>
    <row r="32" spans="1:2" ht="15.75" thickBot="1" x14ac:dyDescent="0.3">
      <c r="A32" s="74" t="s">
        <v>123</v>
      </c>
      <c r="B32" s="75" t="s">
        <v>124</v>
      </c>
    </row>
    <row r="35" spans="1:8" ht="15" x14ac:dyDescent="0.2">
      <c r="A35" s="78" t="s">
        <v>125</v>
      </c>
    </row>
    <row r="36" spans="1:8" ht="15" thickBot="1" x14ac:dyDescent="0.25"/>
    <row r="37" spans="1:8" ht="15.75" thickBot="1" x14ac:dyDescent="0.25">
      <c r="A37" s="71" t="s">
        <v>126</v>
      </c>
      <c r="B37" s="72" t="s">
        <v>92</v>
      </c>
    </row>
    <row r="38" spans="1:8" ht="15.75" thickBot="1" x14ac:dyDescent="0.3">
      <c r="A38" s="73" t="s">
        <v>106</v>
      </c>
      <c r="B38" s="70" t="s">
        <v>127</v>
      </c>
    </row>
    <row r="39" spans="1:8" ht="15.75" thickBot="1" x14ac:dyDescent="0.3">
      <c r="A39" s="73" t="s">
        <v>108</v>
      </c>
      <c r="B39" s="70" t="s">
        <v>128</v>
      </c>
    </row>
    <row r="40" spans="1:8" ht="15.75" thickBot="1" x14ac:dyDescent="0.3">
      <c r="A40" s="73" t="s">
        <v>129</v>
      </c>
      <c r="B40" s="70" t="s">
        <v>130</v>
      </c>
    </row>
    <row r="41" spans="1:8" ht="15.75" thickBot="1" x14ac:dyDescent="0.3">
      <c r="A41" s="73" t="s">
        <v>110</v>
      </c>
      <c r="B41" s="70" t="s">
        <v>131</v>
      </c>
    </row>
    <row r="42" spans="1:8" ht="15.75" thickBot="1" x14ac:dyDescent="0.3">
      <c r="A42" s="73" t="s">
        <v>112</v>
      </c>
      <c r="B42" s="70" t="s">
        <v>132</v>
      </c>
    </row>
    <row r="43" spans="1:8" ht="15.75" thickBot="1" x14ac:dyDescent="0.3">
      <c r="A43" s="73" t="s">
        <v>133</v>
      </c>
      <c r="B43" s="70" t="s">
        <v>134</v>
      </c>
    </row>
    <row r="44" spans="1:8" ht="15" x14ac:dyDescent="0.25">
      <c r="A44" s="80" t="s">
        <v>135</v>
      </c>
      <c r="B44" s="368" t="s">
        <v>137</v>
      </c>
    </row>
    <row r="45" spans="1:8" ht="30.75" thickBot="1" x14ac:dyDescent="0.3">
      <c r="A45" s="73" t="s">
        <v>136</v>
      </c>
      <c r="B45" s="369"/>
    </row>
    <row r="47" spans="1:8" ht="15" thickBot="1" x14ac:dyDescent="0.25"/>
    <row r="48" spans="1:8" ht="15" thickBot="1" x14ac:dyDescent="0.25">
      <c r="A48" s="382" t="s">
        <v>86</v>
      </c>
      <c r="B48" s="383"/>
      <c r="C48" s="386" t="s">
        <v>138</v>
      </c>
      <c r="D48" s="387"/>
      <c r="E48" s="387"/>
      <c r="F48" s="387"/>
      <c r="G48" s="388"/>
      <c r="H48" s="86"/>
    </row>
    <row r="49" spans="1:8" ht="15" thickBot="1" x14ac:dyDescent="0.25">
      <c r="A49" s="384"/>
      <c r="B49" s="385"/>
      <c r="C49" s="389" t="s">
        <v>139</v>
      </c>
      <c r="D49" s="390"/>
      <c r="E49" s="81" t="s">
        <v>140</v>
      </c>
      <c r="F49" s="391" t="s">
        <v>141</v>
      </c>
      <c r="G49" s="392"/>
    </row>
    <row r="50" spans="1:8" ht="15" thickBot="1" x14ac:dyDescent="0.25">
      <c r="A50" s="87" t="s">
        <v>142</v>
      </c>
      <c r="B50" s="82" t="s">
        <v>143</v>
      </c>
      <c r="C50" s="82" t="s">
        <v>144</v>
      </c>
      <c r="D50" s="83" t="s">
        <v>143</v>
      </c>
      <c r="E50" s="83" t="s">
        <v>144</v>
      </c>
      <c r="F50" s="81" t="s">
        <v>144</v>
      </c>
      <c r="G50" s="84" t="s">
        <v>143</v>
      </c>
      <c r="H50" s="84" t="s">
        <v>144</v>
      </c>
    </row>
    <row r="51" spans="1:8" ht="28.5" customHeight="1" thickBot="1" x14ac:dyDescent="0.25">
      <c r="A51" s="88" t="s">
        <v>145</v>
      </c>
      <c r="B51" s="372" t="s">
        <v>146</v>
      </c>
      <c r="C51" s="374"/>
      <c r="D51" s="372" t="s">
        <v>147</v>
      </c>
      <c r="E51" s="373"/>
      <c r="F51" s="373"/>
      <c r="G51" s="373"/>
      <c r="H51" s="374"/>
    </row>
    <row r="52" spans="1:8" ht="43.5" thickBot="1" x14ac:dyDescent="0.25">
      <c r="A52" s="88" t="s">
        <v>148</v>
      </c>
      <c r="B52" s="372" t="s">
        <v>149</v>
      </c>
      <c r="C52" s="374"/>
      <c r="D52" s="85" t="s">
        <v>150</v>
      </c>
      <c r="E52" s="85" t="s">
        <v>151</v>
      </c>
      <c r="F52" s="85" t="s">
        <v>151</v>
      </c>
      <c r="G52" s="85" t="s">
        <v>150</v>
      </c>
      <c r="H52" s="85" t="s">
        <v>151</v>
      </c>
    </row>
    <row r="53" spans="1:8" ht="15" thickBot="1" x14ac:dyDescent="0.25">
      <c r="A53" s="88" t="s">
        <v>152</v>
      </c>
      <c r="B53" s="372" t="s">
        <v>153</v>
      </c>
      <c r="C53" s="374"/>
      <c r="D53" s="372" t="s">
        <v>139</v>
      </c>
      <c r="E53" s="374"/>
      <c r="F53" s="85" t="s">
        <v>154</v>
      </c>
      <c r="G53" s="372" t="s">
        <v>155</v>
      </c>
      <c r="H53" s="374"/>
    </row>
    <row r="54" spans="1:8" ht="15" thickBot="1" x14ac:dyDescent="0.25">
      <c r="A54" s="88" t="s">
        <v>92</v>
      </c>
      <c r="B54" s="372" t="s">
        <v>156</v>
      </c>
      <c r="C54" s="373"/>
      <c r="D54" s="373"/>
      <c r="E54" s="373"/>
      <c r="F54" s="374"/>
      <c r="G54" s="372" t="s">
        <v>157</v>
      </c>
      <c r="H54" s="374"/>
    </row>
    <row r="55" spans="1:8" ht="42.75" x14ac:dyDescent="0.2">
      <c r="A55" s="141" t="s">
        <v>674</v>
      </c>
      <c r="B55" s="79" t="s">
        <v>159</v>
      </c>
      <c r="C55" s="368" t="s">
        <v>162</v>
      </c>
      <c r="D55" s="79" t="s">
        <v>159</v>
      </c>
      <c r="E55" s="368" t="s">
        <v>162</v>
      </c>
      <c r="F55" s="368" t="s">
        <v>162</v>
      </c>
      <c r="G55" s="79" t="s">
        <v>165</v>
      </c>
      <c r="H55" s="368" t="s">
        <v>162</v>
      </c>
    </row>
    <row r="56" spans="1:8" ht="42.75" x14ac:dyDescent="0.2">
      <c r="A56" s="89" t="s">
        <v>158</v>
      </c>
      <c r="B56" s="90" t="s">
        <v>676</v>
      </c>
      <c r="C56" s="375"/>
      <c r="D56" s="79" t="s">
        <v>163</v>
      </c>
      <c r="E56" s="375"/>
      <c r="F56" s="375"/>
      <c r="G56" s="79" t="s">
        <v>166</v>
      </c>
      <c r="H56" s="375"/>
    </row>
    <row r="57" spans="1:8" ht="42.75" x14ac:dyDescent="0.2">
      <c r="A57" s="89"/>
      <c r="B57" s="79" t="s">
        <v>160</v>
      </c>
      <c r="C57" s="375"/>
      <c r="D57" s="79" t="s">
        <v>160</v>
      </c>
      <c r="E57" s="375"/>
      <c r="F57" s="375"/>
      <c r="G57" s="79" t="s">
        <v>167</v>
      </c>
      <c r="H57" s="375"/>
    </row>
    <row r="58" spans="1:8" ht="15" thickBot="1" x14ac:dyDescent="0.25">
      <c r="A58" s="88"/>
      <c r="B58" s="85" t="s">
        <v>161</v>
      </c>
      <c r="C58" s="369"/>
      <c r="D58" s="85" t="s">
        <v>164</v>
      </c>
      <c r="E58" s="369"/>
      <c r="F58" s="369"/>
      <c r="G58" s="85"/>
      <c r="H58" s="369"/>
    </row>
    <row r="59" spans="1:8" ht="42.75" x14ac:dyDescent="0.2">
      <c r="A59" s="141" t="s">
        <v>675</v>
      </c>
      <c r="B59" s="368" t="s">
        <v>162</v>
      </c>
      <c r="C59" s="376">
        <v>1.0999999999999999E-2</v>
      </c>
      <c r="D59" s="368" t="s">
        <v>162</v>
      </c>
      <c r="E59" s="379">
        <v>1.0999999999999999E-2</v>
      </c>
      <c r="F59" s="379">
        <v>3.9E-2</v>
      </c>
      <c r="G59" s="368" t="s">
        <v>162</v>
      </c>
      <c r="H59" s="79" t="s">
        <v>165</v>
      </c>
    </row>
    <row r="60" spans="1:8" ht="42.75" x14ac:dyDescent="0.2">
      <c r="A60" s="89" t="s">
        <v>158</v>
      </c>
      <c r="B60" s="375"/>
      <c r="C60" s="377"/>
      <c r="D60" s="375"/>
      <c r="E60" s="380"/>
      <c r="F60" s="380"/>
      <c r="G60" s="375"/>
      <c r="H60" s="79" t="s">
        <v>166</v>
      </c>
    </row>
    <row r="61" spans="1:8" ht="43.5" thickBot="1" x14ac:dyDescent="0.25">
      <c r="A61" s="88"/>
      <c r="B61" s="369"/>
      <c r="C61" s="378"/>
      <c r="D61" s="369"/>
      <c r="E61" s="381"/>
      <c r="F61" s="381"/>
      <c r="G61" s="369"/>
      <c r="H61" s="85" t="s">
        <v>167</v>
      </c>
    </row>
    <row r="62" spans="1:8" ht="127.5" customHeight="1" x14ac:dyDescent="0.2">
      <c r="A62" s="89" t="s">
        <v>169</v>
      </c>
      <c r="B62" s="368" t="s">
        <v>162</v>
      </c>
      <c r="C62" s="370" t="s">
        <v>171</v>
      </c>
      <c r="D62" s="368" t="s">
        <v>162</v>
      </c>
      <c r="E62" s="368" t="s">
        <v>162</v>
      </c>
      <c r="F62" s="368" t="s">
        <v>162</v>
      </c>
      <c r="G62" s="368" t="s">
        <v>162</v>
      </c>
      <c r="H62" s="368" t="s">
        <v>172</v>
      </c>
    </row>
    <row r="63" spans="1:8" ht="15" thickBot="1" x14ac:dyDescent="0.25">
      <c r="A63" s="88" t="s">
        <v>170</v>
      </c>
      <c r="B63" s="369"/>
      <c r="C63" s="371"/>
      <c r="D63" s="369"/>
      <c r="E63" s="369"/>
      <c r="F63" s="369"/>
      <c r="G63" s="369"/>
      <c r="H63" s="369"/>
    </row>
    <row r="64" spans="1:8" ht="15" thickBot="1" x14ac:dyDescent="0.25">
      <c r="A64" s="88" t="s">
        <v>173</v>
      </c>
      <c r="B64" s="372" t="s">
        <v>174</v>
      </c>
      <c r="C64" s="373"/>
      <c r="D64" s="373"/>
      <c r="E64" s="373"/>
      <c r="F64" s="373"/>
      <c r="G64" s="373"/>
      <c r="H64" s="374"/>
    </row>
    <row r="65" spans="1:8" ht="14.25" customHeight="1" x14ac:dyDescent="0.2">
      <c r="A65" s="356" t="s">
        <v>175</v>
      </c>
      <c r="B65" s="359" t="s">
        <v>176</v>
      </c>
      <c r="C65" s="360"/>
      <c r="D65" s="360"/>
      <c r="E65" s="360"/>
      <c r="F65" s="360"/>
      <c r="G65" s="360"/>
      <c r="H65" s="361"/>
    </row>
    <row r="66" spans="1:8" ht="15" thickBot="1" x14ac:dyDescent="0.25">
      <c r="A66" s="358"/>
      <c r="B66" s="365" t="s">
        <v>177</v>
      </c>
      <c r="C66" s="366"/>
      <c r="D66" s="366"/>
      <c r="E66" s="366"/>
      <c r="F66" s="366"/>
      <c r="G66" s="366"/>
      <c r="H66" s="367"/>
    </row>
    <row r="67" spans="1:8" ht="14.25" customHeight="1" x14ac:dyDescent="0.2">
      <c r="A67" s="356" t="s">
        <v>178</v>
      </c>
      <c r="B67" s="359" t="s">
        <v>179</v>
      </c>
      <c r="C67" s="360"/>
      <c r="D67" s="360"/>
      <c r="E67" s="360"/>
      <c r="F67" s="360"/>
      <c r="G67" s="360"/>
      <c r="H67" s="361"/>
    </row>
    <row r="68" spans="1:8" ht="15" thickBot="1" x14ac:dyDescent="0.25">
      <c r="A68" s="358"/>
      <c r="B68" s="365" t="s">
        <v>180</v>
      </c>
      <c r="C68" s="366"/>
      <c r="D68" s="366"/>
      <c r="E68" s="366"/>
      <c r="F68" s="366"/>
      <c r="G68" s="366"/>
      <c r="H68" s="367"/>
    </row>
    <row r="69" spans="1:8" ht="28.5" customHeight="1" x14ac:dyDescent="0.2">
      <c r="A69" s="356" t="s">
        <v>181</v>
      </c>
      <c r="B69" s="359" t="s">
        <v>182</v>
      </c>
      <c r="C69" s="360"/>
      <c r="D69" s="361"/>
      <c r="E69" s="359" t="s">
        <v>183</v>
      </c>
      <c r="F69" s="360"/>
      <c r="G69" s="360"/>
      <c r="H69" s="361"/>
    </row>
    <row r="70" spans="1:8" ht="28.5" customHeight="1" x14ac:dyDescent="0.2">
      <c r="A70" s="357"/>
      <c r="B70" s="362"/>
      <c r="C70" s="363"/>
      <c r="D70" s="364"/>
      <c r="E70" s="362" t="s">
        <v>184</v>
      </c>
      <c r="F70" s="363"/>
      <c r="G70" s="363"/>
      <c r="H70" s="364"/>
    </row>
    <row r="71" spans="1:8" ht="28.5" customHeight="1" thickBot="1" x14ac:dyDescent="0.25">
      <c r="A71" s="358"/>
      <c r="B71" s="365"/>
      <c r="C71" s="366"/>
      <c r="D71" s="367"/>
      <c r="E71" s="365" t="s">
        <v>185</v>
      </c>
      <c r="F71" s="366"/>
      <c r="G71" s="366"/>
      <c r="H71" s="367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2020-01-22T10:40:37Z</dcterms:modified>
</cp:coreProperties>
</file>