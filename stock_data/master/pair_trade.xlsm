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監視" sheetId="3" r:id="rId4"/>
    <sheet name="シミュレーション" sheetId="4" r:id="rId5"/>
    <sheet name="抽出結果" sheetId="5" r:id="rId6"/>
    <sheet name="個別計算" sheetId="6" r:id="rId7"/>
    <sheet name="日経サヤ計算" sheetId="11" r:id="rId8"/>
    <sheet name="グラフ" sheetId="7" r:id="rId9"/>
    <sheet name="code" sheetId="8" r:id="rId10"/>
    <sheet name="元データ" sheetId="9" r:id="rId11"/>
    <sheet name="改訂欄" sheetId="10" r:id="rId12"/>
    <sheet name="Sheet1" sheetId="12" r:id="rId13"/>
  </sheets>
  <definedNames>
    <definedName name="_xlnm._FilterDatabase" localSheetId="10" hidden="1">元データ!$A$1:$AE$302</definedName>
  </definedNames>
  <calcPr calcId="125725"/>
</workbook>
</file>

<file path=xl/calcChain.xml><?xml version="1.0" encoding="utf-8"?>
<calcChain xmlns="http://schemas.openxmlformats.org/spreadsheetml/2006/main">
  <c r="S4" i="13"/>
  <c r="S12" i="2"/>
  <c r="P13"/>
  <c r="M13"/>
  <c r="J13"/>
  <c r="Q13" s="1"/>
  <c r="U12"/>
  <c r="V12" s="1"/>
  <c r="Q12"/>
  <c r="P12"/>
  <c r="R12" s="1"/>
  <c r="M12"/>
  <c r="J12"/>
  <c r="C12"/>
  <c r="P11"/>
  <c r="M11"/>
  <c r="J11"/>
  <c r="U10"/>
  <c r="V10" s="1"/>
  <c r="P10"/>
  <c r="Q10" s="1"/>
  <c r="M10"/>
  <c r="J10"/>
  <c r="C10"/>
  <c r="P8"/>
  <c r="P6"/>
  <c r="Q6" s="1"/>
  <c r="P9"/>
  <c r="M9"/>
  <c r="J9"/>
  <c r="U8"/>
  <c r="V8" s="1"/>
  <c r="M8"/>
  <c r="J8"/>
  <c r="C8"/>
  <c r="C6"/>
  <c r="C4"/>
  <c r="P5" i="13"/>
  <c r="M5"/>
  <c r="J5"/>
  <c r="M4"/>
  <c r="P4" s="1"/>
  <c r="J4"/>
  <c r="M7" i="2"/>
  <c r="P7" s="1"/>
  <c r="J7"/>
  <c r="U6"/>
  <c r="V6" s="1"/>
  <c r="M6"/>
  <c r="J6"/>
  <c r="M4"/>
  <c r="P4" s="1"/>
  <c r="M5"/>
  <c r="P5" s="1"/>
  <c r="J5"/>
  <c r="U4"/>
  <c r="V4" s="1"/>
  <c r="J4"/>
  <c r="R4" l="1"/>
  <c r="S4" s="1"/>
  <c r="R8"/>
  <c r="S8" s="1"/>
  <c r="Q11"/>
  <c r="R10"/>
  <c r="S10" s="1"/>
  <c r="Q9"/>
  <c r="Q8"/>
  <c r="Q5" i="13"/>
  <c r="Q4"/>
  <c r="R4"/>
  <c r="R2" s="1"/>
  <c r="R6" i="2"/>
  <c r="S6" s="1"/>
  <c r="Q7"/>
  <c r="Q5"/>
  <c r="Q4"/>
  <c r="R2" l="1"/>
</calcChain>
</file>

<file path=xl/sharedStrings.xml><?xml version="1.0" encoding="utf-8"?>
<sst xmlns="http://schemas.openxmlformats.org/spreadsheetml/2006/main" count="1990" uniqueCount="301">
  <si>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</si>
  <si>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</si>
  <si>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</si>
  <si>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</si>
  <si>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</si>
  <si>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</si>
  <si>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</si>
  <si>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</si>
  <si>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</si>
  <si>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</si>
  <si>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</si>
  <si>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</si>
  <si>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</si>
  <si>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</si>
  <si>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</si>
  <si>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</si>
  <si>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</si>
  <si>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</si>
  <si>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</si>
  <si>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</si>
  <si>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</si>
  <si>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</si>
  <si>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</si>
  <si>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</si>
  <si>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</si>
  <si>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</si>
  <si>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コード</t>
    <phoneticPr fontId="1" type="noConversion"/>
  </si>
  <si>
    <t>売</t>
    <phoneticPr fontId="1" type="noConversion"/>
  </si>
  <si>
    <t>銘柄名</t>
    <phoneticPr fontId="1" type="noConversion"/>
  </si>
  <si>
    <t>業種分類</t>
    <phoneticPr fontId="1" type="noConversion"/>
  </si>
  <si>
    <t>銘柄２（買い銘柄）</t>
    <phoneticPr fontId="1" type="noConversion"/>
  </si>
  <si>
    <t>銘柄１（売り銘柄）</t>
    <phoneticPr fontId="1" type="noConversion"/>
  </si>
  <si>
    <t>バックテスト</t>
    <phoneticPr fontId="1" type="noConversion"/>
  </si>
  <si>
    <t>損益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</si>
  <si>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</si>
  <si>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</si>
  <si>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</si>
  <si>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</si>
  <si>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</si>
  <si>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</si>
  <si>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</si>
  <si>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</si>
  <si>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</si>
  <si>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</si>
  <si>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</si>
  <si>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</si>
  <si>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</si>
  <si>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</si>
  <si>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</si>
  <si>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</si>
  <si>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</si>
  <si>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</si>
  <si>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</si>
  <si>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</si>
  <si>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</si>
  <si>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</si>
  <si>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</si>
  <si>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</si>
  <si>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</si>
  <si>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</si>
  <si>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</si>
  <si>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</si>
  <si>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</si>
  <si>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</si>
  <si>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</si>
  <si>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</si>
  <si>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</si>
  <si>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</si>
  <si>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</si>
  <si>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</si>
  <si>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</si>
  <si>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</si>
  <si>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</si>
  <si>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</si>
  <si>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</si>
  <si>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</si>
  <si>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</si>
  <si>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</si>
  <si>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</si>
  <si>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</si>
  <si>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</si>
  <si>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</si>
  <si>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抽出データパス</t>
    <phoneticPr fontId="1" type="noConversion"/>
  </si>
  <si>
    <t>データ更新日</t>
    <phoneticPr fontId="1" type="noConversion"/>
  </si>
  <si>
    <t>決済値</t>
    <phoneticPr fontId="1" type="noConversion"/>
  </si>
  <si>
    <t>手数料未チェック</t>
    <phoneticPr fontId="1" type="noConversion"/>
  </si>
  <si>
    <t>手数料+税</t>
    <phoneticPr fontId="1" type="noConversion"/>
  </si>
  <si>
    <t>制度信用</t>
    <phoneticPr fontId="1" type="noConversion"/>
  </si>
  <si>
    <t>現物</t>
    <phoneticPr fontId="1" type="noConversion"/>
  </si>
  <si>
    <t>SYM_B_NAME</t>
  </si>
  <si>
    <t>マキタ</t>
  </si>
  <si>
    <t>エクセディ</t>
  </si>
  <si>
    <t>アルプスアルパイン</t>
  </si>
  <si>
    <t>三菱ＵＦＪフィナンシャル・グループ</t>
  </si>
  <si>
    <t>日本ペイントホールディングス</t>
  </si>
  <si>
    <t>コンコルディア・フィナンシャルグループ</t>
  </si>
  <si>
    <t>三井住友トラスト・ホールディングス</t>
  </si>
  <si>
    <t>東海カーボン</t>
  </si>
  <si>
    <t>ケーヒン</t>
  </si>
  <si>
    <t>日本電気硝子</t>
  </si>
  <si>
    <t>大和証券グループ本社</t>
  </si>
  <si>
    <t>川崎重工業</t>
  </si>
  <si>
    <t>りそなホールディングス</t>
  </si>
  <si>
    <t>ほくほくフィナンシャルグループ</t>
  </si>
  <si>
    <t>フジクラ</t>
  </si>
  <si>
    <t>アイシン精機</t>
  </si>
  <si>
    <t>ゆうちょ銀行</t>
  </si>
  <si>
    <t>イオンフィナンシャルサービス</t>
  </si>
  <si>
    <t>大正製薬ホールディングス</t>
  </si>
  <si>
    <t>日産自動車</t>
  </si>
  <si>
    <t>三菱自動車工業</t>
  </si>
  <si>
    <t>大同特殊鋼</t>
  </si>
  <si>
    <t>堀場製作所</t>
  </si>
  <si>
    <t>東海理化電機製作所</t>
  </si>
  <si>
    <t>丸紅</t>
  </si>
  <si>
    <t>伊予銀行</t>
  </si>
  <si>
    <t>日本テレビホールディングス</t>
  </si>
  <si>
    <t>日本発條</t>
  </si>
  <si>
    <t>荏原製作所</t>
  </si>
  <si>
    <t>小松製作所</t>
  </si>
  <si>
    <t>ニコン</t>
  </si>
  <si>
    <t>スタンレー電気</t>
  </si>
  <si>
    <t>ヤマハ発動機</t>
  </si>
  <si>
    <t>イズミ</t>
  </si>
  <si>
    <t>住友電気工業</t>
  </si>
  <si>
    <t>長瀬産業</t>
  </si>
  <si>
    <t>宇部興産</t>
  </si>
  <si>
    <t>ＮＴＮ</t>
  </si>
  <si>
    <t>大阪瓦斯</t>
  </si>
  <si>
    <t>めぶきフィナンシャルグループ</t>
  </si>
  <si>
    <t>住友ゴム工業</t>
  </si>
  <si>
    <t>ニチアス</t>
  </si>
  <si>
    <t>椿本チエイン</t>
  </si>
  <si>
    <t>ジーエス・ユアサ　コーポレーション</t>
  </si>
  <si>
    <t>七十七銀行</t>
  </si>
  <si>
    <t>三菱瓦斯化学</t>
  </si>
  <si>
    <t>第一生命ホールディングス</t>
  </si>
  <si>
    <t>パナソニック</t>
  </si>
  <si>
    <t>ＤＩＣ</t>
  </si>
  <si>
    <t>塩野義製薬</t>
  </si>
  <si>
    <t>神戸製鋼所</t>
  </si>
  <si>
    <t>いすゞ自動車</t>
  </si>
  <si>
    <t>本田技研工業</t>
  </si>
  <si>
    <t>コニカミノルタ</t>
  </si>
  <si>
    <t>阪和興業</t>
  </si>
  <si>
    <t>日鉄物産</t>
  </si>
  <si>
    <t>ニッコンホールディングス</t>
  </si>
  <si>
    <t>ジェイ　エフ　イー　ホールディングス</t>
  </si>
  <si>
    <t>日本製鉄</t>
  </si>
  <si>
    <t>ダイセル</t>
  </si>
  <si>
    <t>第四北越フィナンシャルグループ</t>
  </si>
  <si>
    <t>エイチ・ツー・オー　リテイリング</t>
  </si>
  <si>
    <t>パイロットコーポレーション</t>
  </si>
  <si>
    <t>相鉄ホールディングス</t>
  </si>
  <si>
    <t>三井住友フィナンシャルグループ</t>
  </si>
  <si>
    <t>西日本フィナンシャルホールディングス</t>
  </si>
  <si>
    <t>サンリオ</t>
  </si>
  <si>
    <t>ジェイテクト</t>
  </si>
  <si>
    <t>みずほフィナンシャルグループ</t>
  </si>
  <si>
    <t>アドバンテスト</t>
  </si>
  <si>
    <t>北陸電力</t>
  </si>
  <si>
    <t>住友化学</t>
  </si>
  <si>
    <t>スカパーＪＳＡＴホールディングス</t>
  </si>
  <si>
    <t>日本郵政</t>
  </si>
  <si>
    <t>かんぽ生命保険</t>
  </si>
  <si>
    <t>ＩＨＩ</t>
  </si>
  <si>
    <t>Ｔ＆Ｄホールディングス</t>
  </si>
  <si>
    <t>ＪＸＴＧホールディングス</t>
  </si>
  <si>
    <t>出光興産</t>
  </si>
  <si>
    <t>サンドラッグ</t>
  </si>
  <si>
    <t>日本特殊陶業</t>
  </si>
  <si>
    <t>キヤノン</t>
  </si>
  <si>
    <t>東京放送ホールディングス</t>
  </si>
  <si>
    <t>九電工</t>
  </si>
  <si>
    <t>マツダ</t>
  </si>
  <si>
    <t>日東電工</t>
  </si>
  <si>
    <t>ニプロ</t>
  </si>
  <si>
    <t>日野自動車</t>
  </si>
  <si>
    <t>日立キャピタル</t>
  </si>
  <si>
    <t>コクヨ</t>
  </si>
  <si>
    <t>日立建機</t>
  </si>
  <si>
    <t>シチズン時計</t>
  </si>
  <si>
    <t>オムロン</t>
  </si>
  <si>
    <t>コスモエネルギーホールディングス</t>
  </si>
  <si>
    <t>ＡＤＥＫＡ</t>
  </si>
  <si>
    <t>アインホールディングス</t>
  </si>
  <si>
    <t>バローホールディングス</t>
  </si>
  <si>
    <t>ホシザキ</t>
  </si>
  <si>
    <t>三菱商事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</si>
  <si>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</si>
  <si>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</si>
  <si>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</si>
  <si>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</si>
  <si>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</si>
  <si>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</si>
  <si>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</si>
  <si>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</si>
  <si>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</si>
  <si>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</si>
  <si>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</si>
  <si>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</si>
  <si>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</si>
  <si>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</si>
  <si>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</si>
  <si>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</si>
  <si>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</si>
  <si>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SIGMA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</si>
  <si>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</si>
  <si>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</si>
  <si>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</si>
  <si>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</si>
  <si>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</si>
  <si>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</si>
  <si>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</si>
  <si>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</si>
  <si>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</si>
  <si>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</si>
  <si>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</si>
  <si>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コーエーテクモホールディングス</t>
  </si>
  <si>
    <t>情報・通信業</t>
  </si>
  <si>
    <t>BUY</t>
  </si>
  <si>
    <t>化学</t>
  </si>
  <si>
    <t>SELL</t>
  </si>
  <si>
    <t>良品計画</t>
  </si>
  <si>
    <t>小売業</t>
  </si>
  <si>
    <t>銀行業</t>
  </si>
  <si>
    <t>その他金融業</t>
  </si>
  <si>
    <t>非鉄金属</t>
  </si>
  <si>
    <t>輸送用機器</t>
  </si>
  <si>
    <t>ガラス・土石製品</t>
  </si>
  <si>
    <t>機械</t>
  </si>
  <si>
    <t>電気機器</t>
  </si>
  <si>
    <t>金属製品</t>
  </si>
  <si>
    <t>トヨタ紡織</t>
  </si>
  <si>
    <t>三越伊勢丹ホールディングス</t>
  </si>
  <si>
    <t>ワコールホールディングス</t>
  </si>
  <si>
    <t>繊維製品</t>
  </si>
  <si>
    <t>ＡＧＣ</t>
  </si>
  <si>
    <t>クラレ</t>
  </si>
  <si>
    <t>鉄鋼</t>
  </si>
  <si>
    <t>デンカ</t>
  </si>
  <si>
    <t>東京瓦斯</t>
  </si>
  <si>
    <t>電気・ガス業</t>
  </si>
  <si>
    <t>証券、商品先物取引業</t>
  </si>
  <si>
    <t>精密機器</t>
  </si>
  <si>
    <t>住友林業</t>
  </si>
  <si>
    <t>建設業</t>
  </si>
  <si>
    <t>医薬品</t>
  </si>
  <si>
    <t>日本精工</t>
  </si>
  <si>
    <t>東洋インキＳＣホールディングス</t>
  </si>
  <si>
    <t>卸売業</t>
  </si>
  <si>
    <t>関電工</t>
  </si>
  <si>
    <t>日揮</t>
  </si>
  <si>
    <t>保険業</t>
  </si>
  <si>
    <t>日清紡ホールディングス</t>
  </si>
  <si>
    <t>あおぞら銀行</t>
  </si>
  <si>
    <t>国際石油開発帝石</t>
  </si>
  <si>
    <t>鉱業</t>
  </si>
  <si>
    <t>カネカ</t>
  </si>
  <si>
    <t>ＴＨＫ</t>
  </si>
  <si>
    <t>その他製品</t>
  </si>
  <si>
    <t>クミアイ化学工業</t>
  </si>
  <si>
    <t>九州フィナンシャルグループ</t>
  </si>
  <si>
    <t>マルハニチロ</t>
  </si>
  <si>
    <t>水産・農林業</t>
  </si>
  <si>
    <t>陸運業</t>
  </si>
  <si>
    <t>ゴム製品</t>
  </si>
  <si>
    <t>日清製粉グループ本社</t>
  </si>
  <si>
    <t>食料品</t>
  </si>
  <si>
    <t>ＳＡＮＫＹＯ</t>
  </si>
  <si>
    <t>西松建設</t>
  </si>
  <si>
    <t>イビデン</t>
  </si>
  <si>
    <t>戸田建設</t>
  </si>
  <si>
    <t>石油・石炭製品</t>
  </si>
  <si>
    <t>双日</t>
  </si>
  <si>
    <t>日本たばこ産業</t>
  </si>
  <si>
    <t>サービス業</t>
  </si>
  <si>
    <t>日本軽金属ホールディングス</t>
  </si>
  <si>
    <t>三菱ケミカルホールディングス</t>
  </si>
  <si>
    <t>サトーホールディングス</t>
  </si>
  <si>
    <t>きんでん</t>
  </si>
  <si>
    <t>日本製粉</t>
  </si>
  <si>
    <t>丸一鋼管</t>
  </si>
  <si>
    <t>五洋建設</t>
  </si>
  <si>
    <t>東洋製罐グループホールディングス</t>
  </si>
  <si>
    <t>飯田グループホールディングス</t>
  </si>
  <si>
    <t>不動産業</t>
  </si>
  <si>
    <t>八十二銀行</t>
  </si>
  <si>
    <t>王子ホールディングス</t>
  </si>
  <si>
    <t>パルプ・紙</t>
  </si>
  <si>
    <t>太平洋セメント</t>
  </si>
  <si>
    <t>ロート製薬</t>
  </si>
  <si>
    <t>安川電機</t>
  </si>
  <si>
    <t>日本触媒</t>
  </si>
  <si>
    <t>アルフレッサ　ホールディングス</t>
  </si>
  <si>
    <t>宝ホールディングス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</si>
  <si>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</si>
  <si>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</si>
  <si>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</si>
  <si>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パナソニック</t>
    <phoneticPr fontId="1" type="noConversion"/>
  </si>
  <si>
    <t>新規約定日</t>
    <phoneticPr fontId="1" type="noConversion"/>
  </si>
</sst>
</file>

<file path=xl/styles.xml><?xml version="1.0" encoding="utf-8"?>
<styleSheet xmlns="http://schemas.openxmlformats.org/spreadsheetml/2006/main">
  <numFmts count="6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</numFmts>
  <fonts count="10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</fonts>
  <fills count="1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2" fillId="7" borderId="0" xfId="0" applyFont="1" applyFill="1"/>
    <xf numFmtId="0" fontId="0" fillId="7" borderId="0" xfId="0" applyFill="1"/>
    <xf numFmtId="0" fontId="2" fillId="2" borderId="0" xfId="0" applyFont="1" applyFill="1"/>
    <xf numFmtId="0" fontId="0" fillId="2" borderId="0" xfId="0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80" fontId="8" fillId="10" borderId="1" xfId="0" applyNumberFormat="1" applyFont="1" applyFill="1" applyBorder="1"/>
    <xf numFmtId="11" fontId="0" fillId="0" borderId="0" xfId="0" applyNumberFormat="1"/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  <xf numFmtId="0" fontId="0" fillId="11" borderId="0" xfId="0" applyFill="1"/>
    <xf numFmtId="0" fontId="0" fillId="12" borderId="0" xfId="0" applyFill="1"/>
    <xf numFmtId="0" fontId="0" fillId="13" borderId="0" xfId="0" applyFill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671"/>
          <c:y val="0.32811630502904976"/>
          <c:w val="0.65364151343754739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89797376"/>
        <c:axId val="89798912"/>
      </c:lineChart>
      <c:catAx>
        <c:axId val="89797376"/>
        <c:scaling>
          <c:orientation val="minMax"/>
        </c:scaling>
        <c:axPos val="b"/>
        <c:numFmt formatCode="General" sourceLinked="1"/>
        <c:tickLblPos val="nextTo"/>
        <c:crossAx val="89798912"/>
        <c:crosses val="autoZero"/>
        <c:auto val="1"/>
        <c:lblAlgn val="ctr"/>
        <c:lblOffset val="100"/>
      </c:catAx>
      <c:valAx>
        <c:axId val="89798912"/>
        <c:scaling>
          <c:orientation val="minMax"/>
        </c:scaling>
        <c:axPos val="l"/>
        <c:majorGridlines/>
        <c:numFmt formatCode="General" sourceLinked="1"/>
        <c:tickLblPos val="nextTo"/>
        <c:crossAx val="89797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4" sqref="A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3"/>
  <sheetViews>
    <sheetView showGridLines="0" tabSelected="1" zoomScaleNormal="100" workbookViewId="0">
      <selection activeCell="K33" sqref="K33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0.3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5" t="s">
        <v>67</v>
      </c>
      <c r="D1" s="25"/>
      <c r="H1" s="1"/>
      <c r="I1" s="1" t="s">
        <v>83</v>
      </c>
      <c r="K1" s="37">
        <v>43746</v>
      </c>
      <c r="U1" s="25" t="s">
        <v>66</v>
      </c>
    </row>
    <row r="2" spans="2:24">
      <c r="R2">
        <f>SUM(R4:R98)</f>
        <v>61671.000000000102</v>
      </c>
    </row>
    <row r="3" spans="2:24">
      <c r="C3" s="22" t="s">
        <v>73</v>
      </c>
      <c r="D3" s="22" t="s">
        <v>68</v>
      </c>
      <c r="E3" s="49" t="s">
        <v>58</v>
      </c>
      <c r="F3" s="50"/>
      <c r="G3" s="50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59</v>
      </c>
      <c r="M3" s="22" t="s">
        <v>79</v>
      </c>
      <c r="N3" s="22" t="s">
        <v>80</v>
      </c>
      <c r="O3" s="22" t="s">
        <v>81</v>
      </c>
      <c r="P3" s="22" t="s">
        <v>86</v>
      </c>
      <c r="Q3" s="24" t="s">
        <v>57</v>
      </c>
      <c r="R3" s="24" t="s">
        <v>65</v>
      </c>
      <c r="S3" s="24" t="s">
        <v>60</v>
      </c>
      <c r="U3" s="22" t="s">
        <v>74</v>
      </c>
      <c r="V3" s="26" t="s">
        <v>69</v>
      </c>
      <c r="W3" s="26" t="s">
        <v>70</v>
      </c>
      <c r="X3" s="26" t="s">
        <v>71</v>
      </c>
    </row>
    <row r="4" spans="2:24">
      <c r="B4" s="1" t="s">
        <v>25</v>
      </c>
      <c r="C4" s="44">
        <f>ROW()/2-1</f>
        <v>1</v>
      </c>
      <c r="D4" s="30">
        <v>43732</v>
      </c>
      <c r="E4" s="28" t="s">
        <v>76</v>
      </c>
      <c r="F4" s="31">
        <v>6305</v>
      </c>
      <c r="G4" s="36" t="s">
        <v>180</v>
      </c>
      <c r="H4" s="40">
        <v>2638</v>
      </c>
      <c r="I4" s="32">
        <v>300</v>
      </c>
      <c r="J4" s="34">
        <f t="shared" ref="J4:J13" si="0">H4*I4</f>
        <v>791400</v>
      </c>
      <c r="K4" s="28" t="s">
        <v>77</v>
      </c>
      <c r="L4" s="29">
        <v>2481</v>
      </c>
      <c r="M4" s="27">
        <f t="shared" ref="M4:M13" si="1">360*2</f>
        <v>720</v>
      </c>
      <c r="N4" s="33">
        <v>162</v>
      </c>
      <c r="O4" s="33">
        <v>92</v>
      </c>
      <c r="P4" s="28">
        <f>(H4-L4)*I4-M4-N4-O4</f>
        <v>46126</v>
      </c>
      <c r="Q4" s="35">
        <f t="shared" ref="Q4:Q13" si="2">P4/J4</f>
        <v>5.8284053575941366E-2</v>
      </c>
      <c r="R4" s="46">
        <f>P4+P5</f>
        <v>38612</v>
      </c>
      <c r="S4" s="47">
        <f>R4/(J4+J5)</f>
        <v>2.4455000316676166E-2</v>
      </c>
      <c r="U4" s="48">
        <f ca="1">TODAY()</f>
        <v>43746</v>
      </c>
      <c r="V4" s="42">
        <f ca="1">DATEDIF(D4,U4,"d")</f>
        <v>14</v>
      </c>
      <c r="W4" s="42"/>
      <c r="X4" s="43" t="s">
        <v>72</v>
      </c>
    </row>
    <row r="5" spans="2:24">
      <c r="B5" s="1"/>
      <c r="C5" s="45"/>
      <c r="D5" s="30">
        <v>43732</v>
      </c>
      <c r="E5" s="28" t="s">
        <v>78</v>
      </c>
      <c r="F5" s="31">
        <v>3861</v>
      </c>
      <c r="G5" s="36" t="s">
        <v>288</v>
      </c>
      <c r="H5" s="40">
        <v>525</v>
      </c>
      <c r="I5" s="32">
        <v>1500</v>
      </c>
      <c r="J5" s="34">
        <f t="shared" si="0"/>
        <v>787500</v>
      </c>
      <c r="K5" s="28" t="s">
        <v>77</v>
      </c>
      <c r="L5" s="29">
        <v>521</v>
      </c>
      <c r="M5" s="27">
        <f t="shared" si="1"/>
        <v>720</v>
      </c>
      <c r="N5" s="33">
        <v>386</v>
      </c>
      <c r="O5" s="33">
        <v>408</v>
      </c>
      <c r="P5" s="28">
        <f>(L5-H5)*I5-M5-N5-O5</f>
        <v>-7514</v>
      </c>
      <c r="Q5" s="35">
        <f t="shared" si="2"/>
        <v>-9.541587301587301E-3</v>
      </c>
      <c r="R5" s="46"/>
      <c r="S5" s="46"/>
      <c r="U5" s="42"/>
      <c r="V5" s="42"/>
      <c r="W5" s="42"/>
      <c r="X5" s="42"/>
    </row>
    <row r="6" spans="2:24">
      <c r="B6" s="1" t="s">
        <v>25</v>
      </c>
      <c r="C6" s="44">
        <f>ROW()/2-1</f>
        <v>2</v>
      </c>
      <c r="D6" s="30">
        <v>43742</v>
      </c>
      <c r="E6" s="28" t="s">
        <v>76</v>
      </c>
      <c r="F6" s="31">
        <v>8750</v>
      </c>
      <c r="G6" s="36" t="s">
        <v>136</v>
      </c>
      <c r="H6" s="40">
        <v>1635</v>
      </c>
      <c r="I6" s="32">
        <v>600</v>
      </c>
      <c r="J6" s="34">
        <f t="shared" si="0"/>
        <v>981000</v>
      </c>
      <c r="K6" s="36" t="s">
        <v>87</v>
      </c>
      <c r="L6" s="29">
        <v>1655</v>
      </c>
      <c r="M6" s="38">
        <f t="shared" si="1"/>
        <v>720</v>
      </c>
      <c r="N6" s="39">
        <v>162</v>
      </c>
      <c r="O6" s="39">
        <v>92</v>
      </c>
      <c r="P6" s="28">
        <f>(H6-L6)*I6-M6-N6-O6</f>
        <v>-12974</v>
      </c>
      <c r="Q6" s="35">
        <f t="shared" si="2"/>
        <v>-1.3225280326197757E-2</v>
      </c>
      <c r="R6" s="46">
        <f>P6+P7</f>
        <v>23900.000000000102</v>
      </c>
      <c r="S6" s="47">
        <f t="shared" ref="S6" si="3">R6/(J6+J7)</f>
        <v>1.2228867085006541E-2</v>
      </c>
      <c r="U6" s="48">
        <f ca="1">TODAY()</f>
        <v>43746</v>
      </c>
      <c r="V6" s="42">
        <f ca="1">DATEDIF(D6,U6,"d")</f>
        <v>4</v>
      </c>
      <c r="W6" s="42"/>
      <c r="X6" s="43" t="s">
        <v>72</v>
      </c>
    </row>
    <row r="7" spans="2:24">
      <c r="B7" s="1"/>
      <c r="C7" s="45"/>
      <c r="D7" s="30">
        <v>43742</v>
      </c>
      <c r="E7" s="28" t="s">
        <v>78</v>
      </c>
      <c r="F7" s="31">
        <v>8002</v>
      </c>
      <c r="G7" s="36" t="s">
        <v>114</v>
      </c>
      <c r="H7" s="40">
        <v>695.28</v>
      </c>
      <c r="I7" s="32">
        <v>1400</v>
      </c>
      <c r="J7" s="34">
        <f t="shared" si="0"/>
        <v>973392</v>
      </c>
      <c r="K7" s="36" t="s">
        <v>88</v>
      </c>
      <c r="L7" s="29">
        <v>722.7</v>
      </c>
      <c r="M7" s="38">
        <f t="shared" si="1"/>
        <v>720</v>
      </c>
      <c r="N7" s="39">
        <v>386</v>
      </c>
      <c r="O7" s="39">
        <v>408</v>
      </c>
      <c r="P7" s="28">
        <f>(L7-H7)*I7-M7-N7-O7</f>
        <v>36874.000000000102</v>
      </c>
      <c r="Q7" s="35">
        <f t="shared" si="2"/>
        <v>3.7881963278925755E-2</v>
      </c>
      <c r="R7" s="46"/>
      <c r="S7" s="46"/>
      <c r="U7" s="42"/>
      <c r="V7" s="42"/>
      <c r="W7" s="42"/>
      <c r="X7" s="42"/>
    </row>
    <row r="8" spans="2:24">
      <c r="B8" s="1" t="s">
        <v>25</v>
      </c>
      <c r="C8" s="44">
        <f>ROW()/2-1</f>
        <v>3</v>
      </c>
      <c r="D8" s="30">
        <v>43745</v>
      </c>
      <c r="E8" s="28" t="s">
        <v>76</v>
      </c>
      <c r="F8" s="31">
        <v>6770</v>
      </c>
      <c r="G8" s="36" t="s">
        <v>92</v>
      </c>
      <c r="H8" s="40">
        <v>2105</v>
      </c>
      <c r="I8" s="32">
        <v>400</v>
      </c>
      <c r="J8" s="34">
        <f t="shared" si="0"/>
        <v>842000</v>
      </c>
      <c r="K8" s="28" t="s">
        <v>77</v>
      </c>
      <c r="L8" s="29">
        <v>2046</v>
      </c>
      <c r="M8" s="38">
        <f t="shared" si="1"/>
        <v>720</v>
      </c>
      <c r="N8" s="39">
        <v>162</v>
      </c>
      <c r="O8" s="39">
        <v>92</v>
      </c>
      <c r="P8" s="28">
        <f>(H8-L8)*I8-M8-N8-O8</f>
        <v>22626</v>
      </c>
      <c r="Q8" s="35">
        <f t="shared" si="2"/>
        <v>2.6871733966745845E-2</v>
      </c>
      <c r="R8" s="46">
        <f>P8+P9</f>
        <v>18034.999999999996</v>
      </c>
      <c r="S8" s="47">
        <f t="shared" ref="S8" si="4">R8/(J8+J9)</f>
        <v>1.0779088747133394E-2</v>
      </c>
      <c r="U8" s="48">
        <f ca="1">TODAY()</f>
        <v>43746</v>
      </c>
      <c r="V8" s="42">
        <f ca="1">DATEDIF(D8,U8,"d")</f>
        <v>1</v>
      </c>
      <c r="W8" s="42"/>
      <c r="X8" s="43" t="s">
        <v>72</v>
      </c>
    </row>
    <row r="9" spans="2:24">
      <c r="B9" s="1"/>
      <c r="C9" s="45"/>
      <c r="D9" s="30">
        <v>43745</v>
      </c>
      <c r="E9" s="28" t="s">
        <v>78</v>
      </c>
      <c r="F9" s="31">
        <v>8601</v>
      </c>
      <c r="G9" s="36" t="s">
        <v>100</v>
      </c>
      <c r="H9" s="40">
        <v>488.91</v>
      </c>
      <c r="I9" s="32">
        <v>1700</v>
      </c>
      <c r="J9" s="34">
        <f t="shared" si="0"/>
        <v>831147</v>
      </c>
      <c r="K9" s="36" t="s">
        <v>88</v>
      </c>
      <c r="L9" s="29">
        <v>487.1</v>
      </c>
      <c r="M9" s="38">
        <f t="shared" si="1"/>
        <v>720</v>
      </c>
      <c r="N9" s="39">
        <v>386</v>
      </c>
      <c r="O9" s="39">
        <v>408</v>
      </c>
      <c r="P9" s="28">
        <f>(L9-H9)*I9-M9-N9-O9</f>
        <v>-4591.0000000000036</v>
      </c>
      <c r="Q9" s="35">
        <f t="shared" si="2"/>
        <v>-5.5236919582215948E-3</v>
      </c>
      <c r="R9" s="46"/>
      <c r="S9" s="46"/>
      <c r="U9" s="42"/>
      <c r="V9" s="42"/>
      <c r="W9" s="42"/>
      <c r="X9" s="42"/>
    </row>
    <row r="10" spans="2:24">
      <c r="B10" s="1" t="s">
        <v>25</v>
      </c>
      <c r="C10" s="44">
        <f>ROW()/2-1</f>
        <v>4</v>
      </c>
      <c r="D10" s="30">
        <v>43745</v>
      </c>
      <c r="E10" s="28" t="s">
        <v>76</v>
      </c>
      <c r="F10" s="31">
        <v>5803</v>
      </c>
      <c r="G10" s="36" t="s">
        <v>104</v>
      </c>
      <c r="H10" s="40">
        <v>413</v>
      </c>
      <c r="I10" s="32">
        <v>1700</v>
      </c>
      <c r="J10" s="34">
        <f t="shared" si="0"/>
        <v>702100</v>
      </c>
      <c r="K10" s="28" t="s">
        <v>77</v>
      </c>
      <c r="L10" s="29">
        <v>420</v>
      </c>
      <c r="M10" s="38">
        <f t="shared" si="1"/>
        <v>720</v>
      </c>
      <c r="N10" s="39">
        <v>162</v>
      </c>
      <c r="O10" s="39">
        <v>92</v>
      </c>
      <c r="P10" s="28">
        <f>(H10-L10)*I10-M10-N10-O10</f>
        <v>-12874</v>
      </c>
      <c r="Q10" s="35">
        <f t="shared" si="2"/>
        <v>-1.8336419313488107E-2</v>
      </c>
      <c r="R10" s="46">
        <f>P10+P11</f>
        <v>-16388</v>
      </c>
      <c r="S10" s="47">
        <f t="shared" ref="S10" si="5">R10/(J10+J11)</f>
        <v>-1.1857318573185732E-2</v>
      </c>
      <c r="U10" s="48">
        <f ca="1">TODAY()</f>
        <v>43746</v>
      </c>
      <c r="V10" s="42">
        <f ca="1">DATEDIF(D10,U10,"d")</f>
        <v>1</v>
      </c>
      <c r="W10" s="42"/>
      <c r="X10" s="43" t="s">
        <v>72</v>
      </c>
    </row>
    <row r="11" spans="2:24">
      <c r="B11" s="1"/>
      <c r="C11" s="45"/>
      <c r="D11" s="30">
        <v>43745</v>
      </c>
      <c r="E11" s="28" t="s">
        <v>78</v>
      </c>
      <c r="F11" s="31">
        <v>7259</v>
      </c>
      <c r="G11" s="36" t="s">
        <v>105</v>
      </c>
      <c r="H11" s="40">
        <v>3400</v>
      </c>
      <c r="I11" s="32">
        <v>200</v>
      </c>
      <c r="J11" s="34">
        <f t="shared" si="0"/>
        <v>680000</v>
      </c>
      <c r="K11" s="36" t="s">
        <v>88</v>
      </c>
      <c r="L11" s="29">
        <v>3390</v>
      </c>
      <c r="M11" s="38">
        <f t="shared" si="1"/>
        <v>720</v>
      </c>
      <c r="N11" s="39">
        <v>386</v>
      </c>
      <c r="O11" s="39">
        <v>408</v>
      </c>
      <c r="P11" s="28">
        <f>(L11-H11)*I11-M11-N11-O11</f>
        <v>-3514</v>
      </c>
      <c r="Q11" s="35">
        <f t="shared" si="2"/>
        <v>-5.1676470588235294E-3</v>
      </c>
      <c r="R11" s="46"/>
      <c r="S11" s="46"/>
      <c r="U11" s="42"/>
      <c r="V11" s="42"/>
      <c r="W11" s="42"/>
      <c r="X11" s="42"/>
    </row>
    <row r="12" spans="2:24">
      <c r="B12" s="1" t="s">
        <v>25</v>
      </c>
      <c r="C12" s="44">
        <f>ROW()/2-1</f>
        <v>5</v>
      </c>
      <c r="D12" s="30">
        <v>43746</v>
      </c>
      <c r="E12" s="28" t="s">
        <v>76</v>
      </c>
      <c r="F12" s="31">
        <v>3099</v>
      </c>
      <c r="G12" s="36"/>
      <c r="H12" s="40"/>
      <c r="I12" s="32"/>
      <c r="J12" s="34">
        <f t="shared" si="0"/>
        <v>0</v>
      </c>
      <c r="K12" s="28" t="s">
        <v>77</v>
      </c>
      <c r="L12" s="29"/>
      <c r="M12" s="38">
        <f t="shared" si="1"/>
        <v>720</v>
      </c>
      <c r="N12" s="39">
        <v>162</v>
      </c>
      <c r="O12" s="39">
        <v>92</v>
      </c>
      <c r="P12" s="28">
        <f>(H12-L12)*I12-M12-N12-O12</f>
        <v>-974</v>
      </c>
      <c r="Q12" s="35" t="e">
        <f t="shared" si="2"/>
        <v>#DIV/0!</v>
      </c>
      <c r="R12" s="46">
        <f>P12+P13</f>
        <v>-2488</v>
      </c>
      <c r="S12" s="47" t="e">
        <f t="shared" ref="S12" si="6">R12/(J12+J13)</f>
        <v>#DIV/0!</v>
      </c>
      <c r="U12" s="48">
        <f ca="1">TODAY()</f>
        <v>43746</v>
      </c>
      <c r="V12" s="42">
        <f ca="1">DATEDIF(D12,U12,"d")</f>
        <v>0</v>
      </c>
      <c r="W12" s="42"/>
      <c r="X12" s="43" t="s">
        <v>72</v>
      </c>
    </row>
    <row r="13" spans="2:24">
      <c r="B13" s="1"/>
      <c r="C13" s="45"/>
      <c r="D13" s="30">
        <v>43746</v>
      </c>
      <c r="E13" s="28" t="s">
        <v>78</v>
      </c>
      <c r="F13" s="31">
        <v>7211</v>
      </c>
      <c r="G13" s="36"/>
      <c r="H13" s="40"/>
      <c r="I13" s="32"/>
      <c r="J13" s="34">
        <f t="shared" si="0"/>
        <v>0</v>
      </c>
      <c r="K13" s="28" t="s">
        <v>77</v>
      </c>
      <c r="L13" s="29"/>
      <c r="M13" s="38">
        <f t="shared" si="1"/>
        <v>720</v>
      </c>
      <c r="N13" s="39">
        <v>386</v>
      </c>
      <c r="O13" s="39">
        <v>408</v>
      </c>
      <c r="P13" s="28">
        <f>(L13-H13)*I13-M13-N13-O13</f>
        <v>-1514</v>
      </c>
      <c r="Q13" s="35" t="e">
        <f t="shared" si="2"/>
        <v>#DIV/0!</v>
      </c>
      <c r="R13" s="46"/>
      <c r="S13" s="46"/>
      <c r="U13" s="42"/>
      <c r="V13" s="42"/>
      <c r="W13" s="42"/>
      <c r="X13" s="42"/>
    </row>
  </sheetData>
  <mergeCells count="36">
    <mergeCell ref="E3:G3"/>
    <mergeCell ref="W4:W5"/>
    <mergeCell ref="X4:X5"/>
    <mergeCell ref="C4:C5"/>
    <mergeCell ref="R4:R5"/>
    <mergeCell ref="S4:S5"/>
    <mergeCell ref="U4:U5"/>
    <mergeCell ref="V4:V5"/>
    <mergeCell ref="W6:W7"/>
    <mergeCell ref="X6:X7"/>
    <mergeCell ref="C8:C9"/>
    <mergeCell ref="R8:R9"/>
    <mergeCell ref="S8:S9"/>
    <mergeCell ref="U8:U9"/>
    <mergeCell ref="V8:V9"/>
    <mergeCell ref="W8:W9"/>
    <mergeCell ref="X8:X9"/>
    <mergeCell ref="C6:C7"/>
    <mergeCell ref="R6:R7"/>
    <mergeCell ref="S6:S7"/>
    <mergeCell ref="U6:U7"/>
    <mergeCell ref="V6:V7"/>
    <mergeCell ref="W10:W11"/>
    <mergeCell ref="X10:X11"/>
    <mergeCell ref="C12:C13"/>
    <mergeCell ref="R12:R13"/>
    <mergeCell ref="S12:S13"/>
    <mergeCell ref="U12:U13"/>
    <mergeCell ref="V12:V13"/>
    <mergeCell ref="W12:W13"/>
    <mergeCell ref="X12:X13"/>
    <mergeCell ref="C10:C11"/>
    <mergeCell ref="R10:R11"/>
    <mergeCell ref="S10:S11"/>
    <mergeCell ref="U10:U11"/>
    <mergeCell ref="V10:V11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T5"/>
  <sheetViews>
    <sheetView showGridLines="0" topLeftCell="B1" zoomScaleNormal="100" workbookViewId="0">
      <selection activeCell="F32" sqref="F32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2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</cols>
  <sheetData>
    <row r="1" spans="2:20">
      <c r="C1" s="25" t="s">
        <v>67</v>
      </c>
      <c r="D1" s="25"/>
      <c r="H1" s="1"/>
      <c r="I1" s="1"/>
      <c r="K1" s="37"/>
    </row>
    <row r="2" spans="2:20">
      <c r="R2">
        <f>SUM(R4:R96)</f>
        <v>32</v>
      </c>
    </row>
    <row r="3" spans="2:20">
      <c r="C3" s="22" t="s">
        <v>73</v>
      </c>
      <c r="D3" s="22" t="s">
        <v>300</v>
      </c>
      <c r="E3" s="49" t="s">
        <v>58</v>
      </c>
      <c r="F3" s="50"/>
      <c r="G3" s="50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84</v>
      </c>
      <c r="M3" s="22" t="s">
        <v>79</v>
      </c>
      <c r="N3" s="22" t="s">
        <v>80</v>
      </c>
      <c r="O3" s="22" t="s">
        <v>81</v>
      </c>
      <c r="P3" s="22" t="s">
        <v>79</v>
      </c>
      <c r="Q3" s="24" t="s">
        <v>57</v>
      </c>
      <c r="R3" s="24" t="s">
        <v>65</v>
      </c>
      <c r="S3" s="24" t="s">
        <v>60</v>
      </c>
    </row>
    <row r="4" spans="2:20">
      <c r="B4" s="1"/>
      <c r="C4" s="42">
        <v>1</v>
      </c>
      <c r="D4" s="30">
        <v>43726</v>
      </c>
      <c r="E4" s="28" t="s">
        <v>76</v>
      </c>
      <c r="F4" s="31">
        <v>6472</v>
      </c>
      <c r="G4" s="28" t="s">
        <v>75</v>
      </c>
      <c r="H4" s="29">
        <v>320</v>
      </c>
      <c r="I4" s="32">
        <v>1200</v>
      </c>
      <c r="J4" s="34">
        <f>H4*I4</f>
        <v>384000</v>
      </c>
      <c r="K4" s="28" t="s">
        <v>77</v>
      </c>
      <c r="L4" s="39">
        <v>313</v>
      </c>
      <c r="M4" s="38">
        <f>180*2</f>
        <v>360</v>
      </c>
      <c r="N4" s="39">
        <v>162</v>
      </c>
      <c r="O4" s="39">
        <v>92</v>
      </c>
      <c r="P4" s="28">
        <f>(H4-L4)*I4-M4-N4-O4</f>
        <v>7786</v>
      </c>
      <c r="Q4" s="35">
        <f>P4/J4</f>
        <v>2.0276041666666668E-2</v>
      </c>
      <c r="R4" s="46">
        <f>P4+P5</f>
        <v>32</v>
      </c>
      <c r="S4" s="47">
        <f>R4/(J4+J5)</f>
        <v>4.308255694975497E-5</v>
      </c>
    </row>
    <row r="5" spans="2:20">
      <c r="B5" s="1"/>
      <c r="C5" s="42"/>
      <c r="D5" s="30">
        <v>43726</v>
      </c>
      <c r="E5" s="28" t="s">
        <v>78</v>
      </c>
      <c r="F5" s="31">
        <v>6752</v>
      </c>
      <c r="G5" s="36" t="s">
        <v>299</v>
      </c>
      <c r="H5" s="29">
        <v>896.9</v>
      </c>
      <c r="I5" s="32">
        <v>400</v>
      </c>
      <c r="J5" s="34">
        <f>H5*I5</f>
        <v>358760</v>
      </c>
      <c r="K5" s="28" t="s">
        <v>77</v>
      </c>
      <c r="L5" s="39">
        <v>880.4</v>
      </c>
      <c r="M5" s="38">
        <f>180*2</f>
        <v>360</v>
      </c>
      <c r="N5" s="39">
        <v>386</v>
      </c>
      <c r="O5" s="39">
        <v>408</v>
      </c>
      <c r="P5" s="28">
        <f>(L5-H5)*I5-M5-N5-O5</f>
        <v>-7754</v>
      </c>
      <c r="Q5" s="35">
        <f>P5/J5</f>
        <v>-2.1613334819935333E-2</v>
      </c>
      <c r="R5" s="46"/>
      <c r="S5" s="46"/>
      <c r="T5" s="1" t="s">
        <v>85</v>
      </c>
    </row>
  </sheetData>
  <mergeCells count="4">
    <mergeCell ref="E3:G3"/>
    <mergeCell ref="C4:C5"/>
    <mergeCell ref="R4:R5"/>
    <mergeCell ref="S4:S5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zoomScale="115" zoomScaleNormal="115" workbookViewId="0">
      <selection activeCell="H28" sqref="H28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2000000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82</v>
      </c>
      <c r="C17" s="51" t="s">
        <v>297</v>
      </c>
      <c r="D17" s="52"/>
      <c r="E17" s="53"/>
      <c r="F17" s="53"/>
    </row>
    <row r="18" spans="2:7">
      <c r="B18" s="4" t="s">
        <v>296</v>
      </c>
      <c r="C18" s="51" t="s">
        <v>298</v>
      </c>
      <c r="D18" s="52"/>
      <c r="E18" s="53"/>
      <c r="F18" s="53"/>
      <c r="G18" s="53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L4"/>
  <sheetViews>
    <sheetView showGridLines="0" zoomScale="130" zoomScaleNormal="130" workbookViewId="0">
      <selection activeCell="E32" sqref="E32"/>
    </sheetView>
  </sheetViews>
  <sheetFormatPr defaultRowHeight="14.25"/>
  <cols>
    <col min="1" max="1" width="5.625" customWidth="1"/>
    <col min="2" max="2" width="3.5" bestFit="1" customWidth="1"/>
  </cols>
  <sheetData>
    <row r="2" spans="1:12">
      <c r="C2" s="14" t="s">
        <v>31</v>
      </c>
      <c r="D2" s="15"/>
      <c r="E2" s="15"/>
      <c r="F2" s="15"/>
      <c r="G2" s="16" t="s">
        <v>30</v>
      </c>
      <c r="H2" s="17"/>
      <c r="I2" s="17"/>
      <c r="J2" s="17"/>
      <c r="K2" s="1" t="s">
        <v>32</v>
      </c>
    </row>
    <row r="3" spans="1:12">
      <c r="A3" s="1"/>
      <c r="B3" s="1"/>
      <c r="C3" s="14" t="s">
        <v>26</v>
      </c>
      <c r="D3" s="14" t="s">
        <v>28</v>
      </c>
      <c r="E3" s="14" t="s">
        <v>29</v>
      </c>
      <c r="F3" s="14" t="s">
        <v>12</v>
      </c>
      <c r="G3" s="16" t="s">
        <v>26</v>
      </c>
      <c r="H3" s="16" t="s">
        <v>28</v>
      </c>
      <c r="I3" s="16" t="s">
        <v>29</v>
      </c>
      <c r="J3" s="16" t="s">
        <v>12</v>
      </c>
      <c r="K3" s="1" t="s">
        <v>33</v>
      </c>
      <c r="L3" s="1" t="s">
        <v>34</v>
      </c>
    </row>
    <row r="4" spans="1:12">
      <c r="A4" s="1" t="s">
        <v>25</v>
      </c>
      <c r="B4" s="1" t="s">
        <v>27</v>
      </c>
      <c r="C4">
        <v>8804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K12" sqref="K1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6" t="s">
        <v>28</v>
      </c>
      <c r="G1" s="16" t="s">
        <v>41</v>
      </c>
      <c r="H1" s="16" t="s">
        <v>42</v>
      </c>
      <c r="I1" s="16" t="s">
        <v>29</v>
      </c>
      <c r="J1" s="16" t="s">
        <v>12</v>
      </c>
    </row>
    <row r="2" spans="3:11">
      <c r="C2" s="54" t="s">
        <v>35</v>
      </c>
      <c r="D2" s="53"/>
      <c r="E2">
        <v>8804</v>
      </c>
      <c r="G2" s="1" t="s">
        <v>43</v>
      </c>
    </row>
    <row r="3" spans="3:11">
      <c r="C3" s="54" t="s">
        <v>46</v>
      </c>
      <c r="D3" s="53"/>
      <c r="E3">
        <v>5711</v>
      </c>
    </row>
    <row r="4" spans="3:11">
      <c r="C4" s="54" t="s">
        <v>36</v>
      </c>
      <c r="D4" s="53"/>
    </row>
    <row r="5" spans="3:11">
      <c r="C5" s="54" t="s">
        <v>37</v>
      </c>
      <c r="D5" s="53"/>
    </row>
    <row r="6" spans="3:11">
      <c r="C6" s="54" t="s">
        <v>39</v>
      </c>
      <c r="D6" s="53"/>
    </row>
    <row r="7" spans="3:11">
      <c r="C7" s="54" t="s">
        <v>38</v>
      </c>
      <c r="D7" s="53"/>
    </row>
    <row r="8" spans="3:11">
      <c r="C8" s="54" t="s">
        <v>40</v>
      </c>
      <c r="D8" s="53"/>
      <c r="K8" s="1" t="s">
        <v>52</v>
      </c>
    </row>
    <row r="9" spans="3:11">
      <c r="C9" s="54" t="s">
        <v>22</v>
      </c>
      <c r="D9" s="53"/>
      <c r="K9" s="1" t="s">
        <v>53</v>
      </c>
    </row>
    <row r="10" spans="3:11">
      <c r="C10" s="54" t="s">
        <v>9</v>
      </c>
      <c r="D10" s="53"/>
      <c r="K10" s="1" t="s">
        <v>54</v>
      </c>
    </row>
    <row r="11" spans="3:11">
      <c r="K11" s="1" t="s">
        <v>34</v>
      </c>
    </row>
    <row r="16" spans="3:11">
      <c r="C16" s="18" t="s">
        <v>44</v>
      </c>
      <c r="D16" s="18" t="s">
        <v>45</v>
      </c>
      <c r="E16" s="1"/>
    </row>
    <row r="17" spans="2:8">
      <c r="C17">
        <v>333</v>
      </c>
      <c r="D17">
        <v>222</v>
      </c>
    </row>
    <row r="18" spans="2:8">
      <c r="B18" s="3"/>
      <c r="C18" s="19" t="s">
        <v>47</v>
      </c>
      <c r="D18" s="19" t="s">
        <v>48</v>
      </c>
      <c r="E18" s="19" t="s">
        <v>49</v>
      </c>
      <c r="F18" s="19" t="s">
        <v>50</v>
      </c>
      <c r="G18" s="19" t="s">
        <v>51</v>
      </c>
      <c r="H18" s="19" t="s">
        <v>0</v>
      </c>
    </row>
    <row r="19" spans="2:8">
      <c r="B19" s="20">
        <v>43737</v>
      </c>
      <c r="C19" s="3"/>
      <c r="D19" s="3"/>
      <c r="E19" s="3"/>
      <c r="F19" s="3"/>
      <c r="G19" s="3"/>
      <c r="H19" s="3"/>
    </row>
    <row r="20" spans="2:8">
      <c r="B20" s="20">
        <v>43737</v>
      </c>
      <c r="C20" s="3"/>
      <c r="D20" s="3"/>
      <c r="E20" s="3"/>
      <c r="F20" s="3"/>
      <c r="G20" s="3"/>
      <c r="H20" s="3"/>
    </row>
    <row r="21" spans="2:8">
      <c r="B21" s="21"/>
      <c r="C21" s="3"/>
      <c r="D21" s="3"/>
      <c r="E21" s="3"/>
      <c r="F21" s="3"/>
      <c r="G21" s="3"/>
      <c r="H21" s="3"/>
    </row>
    <row r="22" spans="2:8">
      <c r="B22" s="21"/>
      <c r="C22" s="3"/>
      <c r="D22" s="3"/>
      <c r="E22" s="3"/>
      <c r="F22" s="3"/>
      <c r="G22" s="3"/>
      <c r="H22" s="3"/>
    </row>
    <row r="23" spans="2:8">
      <c r="B23" s="21"/>
      <c r="C23" s="3"/>
      <c r="D23" s="3"/>
      <c r="E23" s="3"/>
      <c r="F23" s="3"/>
      <c r="G23" s="3"/>
      <c r="H23" s="3"/>
    </row>
    <row r="24" spans="2:8">
      <c r="B24" s="21"/>
      <c r="C24" s="3"/>
      <c r="D24" s="3"/>
      <c r="E24" s="3"/>
      <c r="F24" s="3"/>
      <c r="G24" s="3"/>
      <c r="H24" s="3"/>
    </row>
    <row r="25" spans="2:8">
      <c r="B25" s="21"/>
      <c r="C25" s="3"/>
      <c r="D25" s="3"/>
      <c r="E25" s="3"/>
      <c r="F25" s="3"/>
      <c r="G25" s="3"/>
      <c r="H25" s="3"/>
    </row>
    <row r="26" spans="2:8">
      <c r="B26" s="21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G40" sqref="G40"/>
    </sheetView>
  </sheetViews>
  <sheetFormatPr defaultRowHeight="14.25"/>
  <sheetData>
    <row r="1" spans="1:1">
      <c r="A1" s="1" t="s">
        <v>55</v>
      </c>
    </row>
    <row r="2" spans="1:1">
      <c r="A2" s="1" t="s">
        <v>56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 filterMode="1"/>
  <dimension ref="A1:AE302"/>
  <sheetViews>
    <sheetView workbookViewId="0">
      <selection activeCell="N7" sqref="N7"/>
    </sheetView>
  </sheetViews>
  <sheetFormatPr defaultRowHeight="14.25"/>
  <sheetData>
    <row r="1" spans="1:31"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89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</row>
    <row r="2" spans="1:31" s="55" customFormat="1">
      <c r="A2" s="55">
        <v>194</v>
      </c>
      <c r="B2" s="55">
        <v>7453</v>
      </c>
      <c r="C2" s="55" t="s">
        <v>223</v>
      </c>
      <c r="D2" s="55" t="s">
        <v>224</v>
      </c>
      <c r="E2" s="55">
        <v>2028</v>
      </c>
      <c r="F2" s="55">
        <v>2068</v>
      </c>
      <c r="G2" s="55">
        <v>500</v>
      </c>
      <c r="H2" s="55" t="s">
        <v>222</v>
      </c>
      <c r="I2" s="55">
        <v>8308</v>
      </c>
      <c r="J2" s="55" t="s">
        <v>102</v>
      </c>
      <c r="K2" s="55" t="s">
        <v>225</v>
      </c>
      <c r="L2" s="55">
        <v>448.6</v>
      </c>
      <c r="M2" s="55">
        <v>446.6</v>
      </c>
      <c r="N2" s="55">
        <v>2300</v>
      </c>
      <c r="O2" s="55" t="s">
        <v>220</v>
      </c>
      <c r="P2" s="55">
        <v>0.92384978335549095</v>
      </c>
      <c r="Q2" s="55">
        <v>0.90981086236723296</v>
      </c>
      <c r="R2" s="55">
        <v>1.53143517426272E-3</v>
      </c>
      <c r="S2" s="55">
        <v>0.309507489979571</v>
      </c>
      <c r="T2" s="55">
        <v>2.75697610127399</v>
      </c>
      <c r="U2" s="55">
        <v>2.75697610127399</v>
      </c>
      <c r="V2" s="55">
        <v>5.42</v>
      </c>
      <c r="W2" s="55">
        <v>0.66</v>
      </c>
      <c r="X2" s="55">
        <v>378202</v>
      </c>
      <c r="Y2" s="55">
        <v>19905</v>
      </c>
      <c r="Z2" s="55">
        <v>1.08</v>
      </c>
      <c r="AA2" s="55">
        <v>19</v>
      </c>
      <c r="AB2" s="55">
        <v>12</v>
      </c>
      <c r="AC2" s="55">
        <v>7</v>
      </c>
      <c r="AD2" s="55">
        <v>63.16</v>
      </c>
      <c r="AE2" s="55">
        <v>11</v>
      </c>
    </row>
    <row r="3" spans="1:31">
      <c r="A3">
        <v>243</v>
      </c>
      <c r="B3">
        <v>3099</v>
      </c>
      <c r="C3" t="s">
        <v>234</v>
      </c>
      <c r="D3" t="s">
        <v>224</v>
      </c>
      <c r="E3">
        <v>867</v>
      </c>
      <c r="F3">
        <v>878</v>
      </c>
      <c r="G3">
        <v>1200</v>
      </c>
      <c r="H3" t="s">
        <v>222</v>
      </c>
      <c r="I3">
        <v>7182</v>
      </c>
      <c r="J3" t="s">
        <v>106</v>
      </c>
      <c r="K3" t="s">
        <v>225</v>
      </c>
      <c r="L3">
        <v>1028</v>
      </c>
      <c r="M3">
        <v>1036</v>
      </c>
      <c r="N3">
        <v>1000</v>
      </c>
      <c r="O3" t="s">
        <v>220</v>
      </c>
      <c r="P3">
        <v>0.91144669883684504</v>
      </c>
      <c r="Q3">
        <v>0.934501606470724</v>
      </c>
      <c r="R3">
        <v>1.5472621180109E-2</v>
      </c>
      <c r="S3">
        <v>0.29537915001019199</v>
      </c>
      <c r="T3">
        <v>2.0571804754622298</v>
      </c>
      <c r="U3">
        <v>2.0571804754622298</v>
      </c>
      <c r="V3">
        <v>4.66</v>
      </c>
      <c r="W3">
        <v>1.7</v>
      </c>
      <c r="X3">
        <v>362427</v>
      </c>
      <c r="Y3">
        <v>18121</v>
      </c>
      <c r="Z3">
        <v>0.89</v>
      </c>
      <c r="AA3">
        <v>20</v>
      </c>
      <c r="AB3">
        <v>14</v>
      </c>
      <c r="AC3">
        <v>6</v>
      </c>
      <c r="AD3">
        <v>70</v>
      </c>
      <c r="AE3">
        <v>13</v>
      </c>
    </row>
    <row r="4" spans="1:31" s="55" customFormat="1" hidden="1">
      <c r="A4" s="55">
        <v>144</v>
      </c>
      <c r="B4" s="55">
        <v>3591</v>
      </c>
      <c r="C4" s="55" t="s">
        <v>235</v>
      </c>
      <c r="D4" s="55" t="s">
        <v>236</v>
      </c>
      <c r="E4" s="55">
        <v>2737</v>
      </c>
      <c r="F4" s="55">
        <v>2783</v>
      </c>
      <c r="G4" s="55">
        <v>300</v>
      </c>
      <c r="H4" s="55" t="s">
        <v>222</v>
      </c>
      <c r="I4" s="55">
        <v>8309</v>
      </c>
      <c r="J4" s="55" t="s">
        <v>96</v>
      </c>
      <c r="K4" s="55" t="s">
        <v>225</v>
      </c>
      <c r="L4" s="55">
        <v>3725</v>
      </c>
      <c r="M4" s="55">
        <v>3722</v>
      </c>
      <c r="N4" s="55">
        <v>200</v>
      </c>
      <c r="O4" s="55" t="s">
        <v>220</v>
      </c>
      <c r="P4" s="55">
        <v>0.93301096264196404</v>
      </c>
      <c r="Q4" s="55">
        <v>0.91728122200696705</v>
      </c>
      <c r="R4" s="55">
        <v>0.17581514080458499</v>
      </c>
      <c r="S4" s="55">
        <v>1.9548511156252599E-2</v>
      </c>
      <c r="T4" s="55">
        <v>2.2107794880726401</v>
      </c>
      <c r="U4" s="55">
        <v>2.2107794880726401</v>
      </c>
      <c r="V4" s="55">
        <v>4.58</v>
      </c>
      <c r="W4" s="55">
        <v>12.16</v>
      </c>
      <c r="X4" s="55">
        <v>297694</v>
      </c>
      <c r="Y4" s="55">
        <v>27063</v>
      </c>
      <c r="Z4" s="55">
        <v>1.58</v>
      </c>
      <c r="AA4" s="55">
        <v>11</v>
      </c>
      <c r="AB4" s="55">
        <v>9</v>
      </c>
      <c r="AC4" s="55">
        <v>2</v>
      </c>
      <c r="AD4" s="55">
        <v>81.819999999999993</v>
      </c>
      <c r="AE4" s="55">
        <v>15</v>
      </c>
    </row>
    <row r="5" spans="1:31" s="56" customFormat="1">
      <c r="A5" s="56">
        <v>298</v>
      </c>
      <c r="B5" s="56">
        <v>7182</v>
      </c>
      <c r="C5" s="56" t="s">
        <v>106</v>
      </c>
      <c r="D5" s="56" t="s">
        <v>225</v>
      </c>
      <c r="E5" s="56">
        <v>1028</v>
      </c>
      <c r="F5" s="56">
        <v>1036</v>
      </c>
      <c r="G5" s="56">
        <v>1100</v>
      </c>
      <c r="H5" s="56" t="s">
        <v>222</v>
      </c>
      <c r="I5" s="56">
        <v>8570</v>
      </c>
      <c r="J5" s="56" t="s">
        <v>107</v>
      </c>
      <c r="K5" s="56" t="s">
        <v>226</v>
      </c>
      <c r="L5" s="56">
        <v>1569</v>
      </c>
      <c r="M5" s="56">
        <v>1563</v>
      </c>
      <c r="N5" s="56">
        <v>700</v>
      </c>
      <c r="O5" s="56" t="s">
        <v>220</v>
      </c>
      <c r="P5" s="56">
        <v>0.90048162809034105</v>
      </c>
      <c r="Q5" s="56">
        <v>0.93094173207293995</v>
      </c>
      <c r="R5" s="56">
        <v>0.29084583272992898</v>
      </c>
      <c r="S5" s="56">
        <v>0.34273346477419903</v>
      </c>
      <c r="T5" s="56">
        <v>2.7005015835103898</v>
      </c>
      <c r="U5" s="56">
        <v>2.7005015835103898</v>
      </c>
      <c r="V5" s="56">
        <v>5.25</v>
      </c>
      <c r="W5" s="56">
        <v>4.16</v>
      </c>
      <c r="X5" s="56">
        <v>275645</v>
      </c>
      <c r="Y5" s="56">
        <v>15314</v>
      </c>
      <c r="Z5" s="56">
        <v>0.78</v>
      </c>
      <c r="AA5" s="56">
        <v>18</v>
      </c>
      <c r="AB5" s="56">
        <v>13</v>
      </c>
      <c r="AC5" s="56">
        <v>5</v>
      </c>
      <c r="AD5" s="56">
        <v>72.22</v>
      </c>
      <c r="AE5" s="56">
        <v>15</v>
      </c>
    </row>
    <row r="6" spans="1:31" hidden="1">
      <c r="A6">
        <v>163</v>
      </c>
      <c r="B6">
        <v>3635</v>
      </c>
      <c r="C6" t="s">
        <v>218</v>
      </c>
      <c r="D6" t="s">
        <v>219</v>
      </c>
      <c r="E6">
        <v>2296</v>
      </c>
      <c r="F6">
        <v>2298</v>
      </c>
      <c r="G6">
        <v>300</v>
      </c>
      <c r="H6" t="s">
        <v>220</v>
      </c>
      <c r="I6">
        <v>4612</v>
      </c>
      <c r="J6" t="s">
        <v>94</v>
      </c>
      <c r="K6" t="s">
        <v>221</v>
      </c>
      <c r="L6">
        <v>5950</v>
      </c>
      <c r="M6">
        <v>6040</v>
      </c>
      <c r="N6">
        <v>100</v>
      </c>
      <c r="O6" t="s">
        <v>222</v>
      </c>
      <c r="P6">
        <v>0.92998706171061296</v>
      </c>
      <c r="Q6">
        <v>0.92789279187910501</v>
      </c>
      <c r="R6">
        <v>0.23364999089327801</v>
      </c>
      <c r="S6">
        <v>2.8822465925641E-4</v>
      </c>
      <c r="T6">
        <v>-2.79562215557225</v>
      </c>
      <c r="U6">
        <v>2.79562215557225</v>
      </c>
      <c r="V6">
        <v>-16.66</v>
      </c>
      <c r="W6">
        <v>14.14</v>
      </c>
      <c r="X6">
        <v>175106</v>
      </c>
      <c r="Y6">
        <v>11674</v>
      </c>
      <c r="Z6">
        <v>0.46</v>
      </c>
      <c r="AA6">
        <v>15</v>
      </c>
      <c r="AB6">
        <v>9</v>
      </c>
      <c r="AC6">
        <v>6</v>
      </c>
      <c r="AD6">
        <v>60</v>
      </c>
      <c r="AE6">
        <v>10</v>
      </c>
    </row>
    <row r="7" spans="1:31" s="57" customFormat="1">
      <c r="A7" s="57">
        <v>68</v>
      </c>
      <c r="B7" s="57">
        <v>3099</v>
      </c>
      <c r="C7" s="57" t="s">
        <v>234</v>
      </c>
      <c r="D7" s="57" t="s">
        <v>224</v>
      </c>
      <c r="E7" s="57">
        <v>867</v>
      </c>
      <c r="F7" s="57">
        <v>878</v>
      </c>
      <c r="G7" s="57">
        <v>1200</v>
      </c>
      <c r="H7" s="57" t="s">
        <v>222</v>
      </c>
      <c r="I7" s="57">
        <v>7211</v>
      </c>
      <c r="J7" s="57" t="s">
        <v>110</v>
      </c>
      <c r="K7" s="57" t="s">
        <v>228</v>
      </c>
      <c r="L7" s="57">
        <v>470</v>
      </c>
      <c r="M7" s="57">
        <v>470</v>
      </c>
      <c r="N7" s="57">
        <v>2200</v>
      </c>
      <c r="O7" s="57" t="s">
        <v>220</v>
      </c>
      <c r="P7" s="57">
        <v>0.95143833712489101</v>
      </c>
      <c r="Q7" s="57">
        <v>0.95294961198842199</v>
      </c>
      <c r="R7" s="57">
        <v>2.6121682459764699E-3</v>
      </c>
      <c r="S7" s="57">
        <v>8.1901090594795098E-2</v>
      </c>
      <c r="T7" s="57">
        <v>2.3189568817825799</v>
      </c>
      <c r="U7" s="57">
        <v>2.3189568817825799</v>
      </c>
      <c r="V7" s="57">
        <v>5.04</v>
      </c>
      <c r="W7" s="57">
        <v>1.86</v>
      </c>
      <c r="X7" s="57">
        <v>171445</v>
      </c>
      <c r="Y7" s="57">
        <v>10715</v>
      </c>
      <c r="Z7" s="57">
        <v>0.51</v>
      </c>
      <c r="AA7" s="57">
        <v>16</v>
      </c>
      <c r="AB7" s="57">
        <v>9</v>
      </c>
      <c r="AC7" s="57">
        <v>7</v>
      </c>
      <c r="AD7" s="57">
        <v>56.25</v>
      </c>
      <c r="AE7" s="57">
        <v>13</v>
      </c>
    </row>
    <row r="8" spans="1:31">
      <c r="A8">
        <v>228</v>
      </c>
      <c r="B8">
        <v>5803</v>
      </c>
      <c r="C8" t="s">
        <v>104</v>
      </c>
      <c r="D8" t="s">
        <v>227</v>
      </c>
      <c r="E8">
        <v>414</v>
      </c>
      <c r="F8">
        <v>420</v>
      </c>
      <c r="G8">
        <v>2600</v>
      </c>
      <c r="H8" t="s">
        <v>222</v>
      </c>
      <c r="I8">
        <v>7211</v>
      </c>
      <c r="J8" t="s">
        <v>110</v>
      </c>
      <c r="K8" t="s">
        <v>228</v>
      </c>
      <c r="L8">
        <v>470</v>
      </c>
      <c r="M8">
        <v>470</v>
      </c>
      <c r="N8">
        <v>2300</v>
      </c>
      <c r="O8" t="s">
        <v>220</v>
      </c>
      <c r="P8">
        <v>0.91527691021331403</v>
      </c>
      <c r="Q8">
        <v>0.90987298421699103</v>
      </c>
      <c r="R8">
        <v>0.119458944806232</v>
      </c>
      <c r="S8">
        <v>2.4882180894660901E-2</v>
      </c>
      <c r="T8">
        <v>2.58759235718545</v>
      </c>
      <c r="U8">
        <v>2.58759235718545</v>
      </c>
      <c r="V8">
        <v>10.220000000000001</v>
      </c>
      <c r="W8">
        <v>1.02</v>
      </c>
      <c r="X8">
        <v>164583</v>
      </c>
      <c r="Y8">
        <v>10286</v>
      </c>
      <c r="Z8">
        <v>0.45</v>
      </c>
      <c r="AA8">
        <v>16</v>
      </c>
      <c r="AB8">
        <v>9</v>
      </c>
      <c r="AC8">
        <v>7</v>
      </c>
      <c r="AD8">
        <v>56.25</v>
      </c>
      <c r="AE8">
        <v>12</v>
      </c>
    </row>
    <row r="9" spans="1:31">
      <c r="A9">
        <v>291</v>
      </c>
      <c r="B9">
        <v>3116</v>
      </c>
      <c r="C9" t="s">
        <v>233</v>
      </c>
      <c r="D9" t="s">
        <v>228</v>
      </c>
      <c r="E9">
        <v>1480</v>
      </c>
      <c r="F9">
        <v>1470</v>
      </c>
      <c r="G9">
        <v>600</v>
      </c>
      <c r="H9" t="s">
        <v>220</v>
      </c>
      <c r="I9">
        <v>5471</v>
      </c>
      <c r="J9" t="s">
        <v>111</v>
      </c>
      <c r="K9" t="s">
        <v>239</v>
      </c>
      <c r="L9">
        <v>4350</v>
      </c>
      <c r="M9">
        <v>4330</v>
      </c>
      <c r="N9">
        <v>200</v>
      </c>
      <c r="O9" t="s">
        <v>222</v>
      </c>
      <c r="P9">
        <v>0.90160716072085301</v>
      </c>
      <c r="Q9">
        <v>0.90721123105616197</v>
      </c>
      <c r="R9">
        <v>8.0811991838024104E-4</v>
      </c>
      <c r="S9">
        <v>1.7501439728412699E-2</v>
      </c>
      <c r="T9">
        <v>-2.1070471357363698</v>
      </c>
      <c r="U9">
        <v>2.1070471357363698</v>
      </c>
      <c r="V9">
        <v>-5.43</v>
      </c>
      <c r="W9">
        <v>1.85</v>
      </c>
      <c r="X9">
        <v>132217</v>
      </c>
      <c r="Y9">
        <v>14691</v>
      </c>
      <c r="Z9">
        <v>0.95</v>
      </c>
      <c r="AA9">
        <v>9</v>
      </c>
      <c r="AB9">
        <v>5</v>
      </c>
      <c r="AC9">
        <v>4</v>
      </c>
      <c r="AD9">
        <v>55.56</v>
      </c>
      <c r="AE9">
        <v>16</v>
      </c>
    </row>
    <row r="10" spans="1:31">
      <c r="A10">
        <v>118</v>
      </c>
      <c r="B10">
        <v>6586</v>
      </c>
      <c r="C10" t="s">
        <v>90</v>
      </c>
      <c r="D10" t="s">
        <v>230</v>
      </c>
      <c r="E10">
        <v>3060</v>
      </c>
      <c r="F10">
        <v>3070</v>
      </c>
      <c r="G10">
        <v>300</v>
      </c>
      <c r="H10" t="s">
        <v>220</v>
      </c>
      <c r="I10">
        <v>8377</v>
      </c>
      <c r="J10" t="s">
        <v>103</v>
      </c>
      <c r="K10" t="s">
        <v>225</v>
      </c>
      <c r="L10">
        <v>1028</v>
      </c>
      <c r="M10">
        <v>1031</v>
      </c>
      <c r="N10">
        <v>900</v>
      </c>
      <c r="O10" t="s">
        <v>222</v>
      </c>
      <c r="P10">
        <v>0.94004078577747396</v>
      </c>
      <c r="Q10">
        <v>0.92883261138056505</v>
      </c>
      <c r="R10">
        <v>1.13984696114964E-2</v>
      </c>
      <c r="S10">
        <v>1.33076094847595E-2</v>
      </c>
      <c r="T10">
        <v>-2.5252385858339799</v>
      </c>
      <c r="U10">
        <v>2.5252385858339799</v>
      </c>
      <c r="V10">
        <v>-7.19</v>
      </c>
      <c r="W10">
        <v>0.75</v>
      </c>
      <c r="X10">
        <v>116244</v>
      </c>
      <c r="Y10">
        <v>8303</v>
      </c>
      <c r="Z10">
        <v>0.27</v>
      </c>
      <c r="AA10">
        <v>14</v>
      </c>
      <c r="AB10">
        <v>7</v>
      </c>
      <c r="AC10">
        <v>7</v>
      </c>
      <c r="AD10">
        <v>50</v>
      </c>
      <c r="AE10">
        <v>12</v>
      </c>
    </row>
    <row r="11" spans="1:31">
      <c r="A11">
        <v>11</v>
      </c>
      <c r="B11">
        <v>7186</v>
      </c>
      <c r="C11" t="s">
        <v>95</v>
      </c>
      <c r="D11" t="s">
        <v>225</v>
      </c>
      <c r="E11">
        <v>414</v>
      </c>
      <c r="F11">
        <v>409</v>
      </c>
      <c r="G11">
        <v>1800</v>
      </c>
      <c r="H11" t="s">
        <v>222</v>
      </c>
      <c r="I11">
        <v>8309</v>
      </c>
      <c r="J11" t="s">
        <v>96</v>
      </c>
      <c r="K11" t="s">
        <v>225</v>
      </c>
      <c r="L11">
        <v>3725</v>
      </c>
      <c r="M11">
        <v>3722</v>
      </c>
      <c r="N11">
        <v>200</v>
      </c>
      <c r="O11" t="s">
        <v>220</v>
      </c>
      <c r="P11">
        <v>0.96743531685182305</v>
      </c>
      <c r="Q11">
        <v>0.95329284252424296</v>
      </c>
      <c r="R11">
        <v>4.4533160728552401E-2</v>
      </c>
      <c r="S11" s="41">
        <v>5.22664149561715E-2</v>
      </c>
      <c r="T11">
        <v>2.6530263139132102</v>
      </c>
      <c r="U11">
        <v>2.6530263139132102</v>
      </c>
      <c r="V11">
        <v>4.82</v>
      </c>
      <c r="W11">
        <v>1.1000000000000001</v>
      </c>
      <c r="X11">
        <v>80736</v>
      </c>
      <c r="Y11">
        <v>4749</v>
      </c>
      <c r="Z11">
        <v>0.26</v>
      </c>
      <c r="AA11">
        <v>17</v>
      </c>
      <c r="AB11">
        <v>9</v>
      </c>
      <c r="AC11">
        <v>8</v>
      </c>
      <c r="AD11">
        <v>52.94</v>
      </c>
      <c r="AE11">
        <v>13</v>
      </c>
    </row>
    <row r="12" spans="1:31">
      <c r="A12">
        <v>192</v>
      </c>
      <c r="B12">
        <v>3116</v>
      </c>
      <c r="C12" t="s">
        <v>233</v>
      </c>
      <c r="D12" t="s">
        <v>228</v>
      </c>
      <c r="E12">
        <v>1480</v>
      </c>
      <c r="F12">
        <v>1470</v>
      </c>
      <c r="G12">
        <v>700</v>
      </c>
      <c r="H12" t="s">
        <v>220</v>
      </c>
      <c r="I12">
        <v>6770</v>
      </c>
      <c r="J12" t="s">
        <v>92</v>
      </c>
      <c r="K12" t="s">
        <v>231</v>
      </c>
      <c r="L12">
        <v>2040</v>
      </c>
      <c r="M12">
        <v>2046</v>
      </c>
      <c r="N12">
        <v>500</v>
      </c>
      <c r="O12" t="s">
        <v>222</v>
      </c>
      <c r="P12">
        <v>0.92423149669183302</v>
      </c>
      <c r="Q12">
        <v>0.93566234556243</v>
      </c>
      <c r="R12">
        <v>3.37281953324183E-3</v>
      </c>
      <c r="S12">
        <v>8.8755714427408205E-2</v>
      </c>
      <c r="T12">
        <v>-2.3386629929601401</v>
      </c>
      <c r="U12">
        <v>2.3386629929601401</v>
      </c>
      <c r="V12">
        <v>-6.82</v>
      </c>
      <c r="W12">
        <v>0.59</v>
      </c>
      <c r="X12">
        <v>67003</v>
      </c>
      <c r="Y12">
        <v>4188</v>
      </c>
      <c r="Z12">
        <v>0.19</v>
      </c>
      <c r="AA12">
        <v>16</v>
      </c>
      <c r="AB12">
        <v>8</v>
      </c>
      <c r="AC12">
        <v>8</v>
      </c>
      <c r="AD12">
        <v>50</v>
      </c>
      <c r="AE12">
        <v>11</v>
      </c>
    </row>
    <row r="13" spans="1:31">
      <c r="A13">
        <v>17</v>
      </c>
      <c r="B13">
        <v>5201</v>
      </c>
      <c r="C13" t="s">
        <v>237</v>
      </c>
      <c r="D13" t="s">
        <v>229</v>
      </c>
      <c r="E13">
        <v>3340</v>
      </c>
      <c r="F13">
        <v>3325</v>
      </c>
      <c r="G13">
        <v>300</v>
      </c>
      <c r="H13" t="s">
        <v>220</v>
      </c>
      <c r="I13">
        <v>7012</v>
      </c>
      <c r="J13" t="s">
        <v>101</v>
      </c>
      <c r="K13" t="s">
        <v>228</v>
      </c>
      <c r="L13">
        <v>2374</v>
      </c>
      <c r="M13">
        <v>2419</v>
      </c>
      <c r="N13">
        <v>400</v>
      </c>
      <c r="O13" t="s">
        <v>222</v>
      </c>
      <c r="P13">
        <v>0.96589755585138704</v>
      </c>
      <c r="Q13">
        <v>0.95081729659162995</v>
      </c>
      <c r="R13">
        <v>5.3300918839847299E-2</v>
      </c>
      <c r="S13">
        <v>2.1836583612892201E-3</v>
      </c>
      <c r="T13">
        <v>-2.2053014843335101</v>
      </c>
      <c r="U13">
        <v>2.2053014843335101</v>
      </c>
      <c r="V13">
        <v>-5.45</v>
      </c>
      <c r="W13">
        <v>3</v>
      </c>
      <c r="X13">
        <v>54740</v>
      </c>
      <c r="Y13">
        <v>5474</v>
      </c>
      <c r="Z13">
        <v>0.28999999999999998</v>
      </c>
      <c r="AA13">
        <v>10</v>
      </c>
      <c r="AB13">
        <v>5</v>
      </c>
      <c r="AC13">
        <v>5</v>
      </c>
      <c r="AD13">
        <v>50</v>
      </c>
      <c r="AE13">
        <v>15</v>
      </c>
    </row>
    <row r="14" spans="1:31">
      <c r="A14">
        <v>191</v>
      </c>
      <c r="B14">
        <v>3116</v>
      </c>
      <c r="C14" t="s">
        <v>233</v>
      </c>
      <c r="D14" t="s">
        <v>228</v>
      </c>
      <c r="E14">
        <v>1480</v>
      </c>
      <c r="F14">
        <v>1470</v>
      </c>
      <c r="G14">
        <v>600</v>
      </c>
      <c r="H14" t="s">
        <v>220</v>
      </c>
      <c r="I14">
        <v>6923</v>
      </c>
      <c r="J14" t="s">
        <v>121</v>
      </c>
      <c r="K14" t="s">
        <v>231</v>
      </c>
      <c r="L14">
        <v>2804</v>
      </c>
      <c r="M14">
        <v>2829</v>
      </c>
      <c r="N14">
        <v>300</v>
      </c>
      <c r="O14" t="s">
        <v>222</v>
      </c>
      <c r="P14">
        <v>0.92458352009557099</v>
      </c>
      <c r="Q14">
        <v>0.96700311880559697</v>
      </c>
      <c r="R14">
        <v>0.12762212179628299</v>
      </c>
      <c r="S14">
        <v>4.2446847538157299E-2</v>
      </c>
      <c r="T14">
        <v>-2.1947591060425302</v>
      </c>
      <c r="U14">
        <v>2.1947591060425302</v>
      </c>
      <c r="V14">
        <v>-3.88</v>
      </c>
      <c r="W14">
        <v>3.92</v>
      </c>
      <c r="X14">
        <v>21401</v>
      </c>
      <c r="Y14">
        <v>1529</v>
      </c>
      <c r="Z14">
        <v>0.17</v>
      </c>
      <c r="AA14">
        <v>14</v>
      </c>
      <c r="AB14">
        <v>8</v>
      </c>
      <c r="AC14">
        <v>6</v>
      </c>
      <c r="AD14">
        <v>57.14</v>
      </c>
      <c r="AE14">
        <v>12</v>
      </c>
    </row>
    <row r="15" spans="1:31">
      <c r="A15">
        <v>253</v>
      </c>
      <c r="B15">
        <v>5803</v>
      </c>
      <c r="C15" t="s">
        <v>104</v>
      </c>
      <c r="D15" t="s">
        <v>227</v>
      </c>
      <c r="E15">
        <v>414</v>
      </c>
      <c r="F15">
        <v>420</v>
      </c>
      <c r="G15">
        <v>2400</v>
      </c>
      <c r="H15" t="s">
        <v>222</v>
      </c>
      <c r="I15">
        <v>7259</v>
      </c>
      <c r="J15" t="s">
        <v>105</v>
      </c>
      <c r="K15" t="s">
        <v>228</v>
      </c>
      <c r="L15">
        <v>3390</v>
      </c>
      <c r="M15">
        <v>3390</v>
      </c>
      <c r="N15">
        <v>300</v>
      </c>
      <c r="O15" t="s">
        <v>220</v>
      </c>
      <c r="P15">
        <v>0.90854188269869796</v>
      </c>
      <c r="Q15">
        <v>0.92766270940349804</v>
      </c>
      <c r="R15">
        <v>0.23013146032804099</v>
      </c>
      <c r="S15">
        <v>2.4399290809603999E-2</v>
      </c>
      <c r="T15">
        <v>2.6836195959721798</v>
      </c>
      <c r="U15">
        <v>2.6836195959721798</v>
      </c>
      <c r="V15">
        <v>9.74</v>
      </c>
      <c r="W15">
        <v>0.88</v>
      </c>
      <c r="X15">
        <v>-34398</v>
      </c>
      <c r="Y15">
        <v>-1720</v>
      </c>
      <c r="Z15">
        <v>0.12</v>
      </c>
      <c r="AA15">
        <v>20</v>
      </c>
      <c r="AB15">
        <v>12</v>
      </c>
      <c r="AC15">
        <v>8</v>
      </c>
      <c r="AD15">
        <v>60</v>
      </c>
      <c r="AE15">
        <v>14</v>
      </c>
    </row>
    <row r="16" spans="1:31">
      <c r="A16">
        <v>63</v>
      </c>
      <c r="B16">
        <v>3405</v>
      </c>
      <c r="C16" t="s">
        <v>238</v>
      </c>
      <c r="D16" t="s">
        <v>221</v>
      </c>
      <c r="E16">
        <v>1297</v>
      </c>
      <c r="F16">
        <v>1286</v>
      </c>
      <c r="G16">
        <v>700</v>
      </c>
      <c r="H16" t="s">
        <v>220</v>
      </c>
      <c r="I16">
        <v>4631</v>
      </c>
      <c r="J16" t="s">
        <v>138</v>
      </c>
      <c r="K16" t="s">
        <v>221</v>
      </c>
      <c r="L16">
        <v>2976</v>
      </c>
      <c r="M16">
        <v>2979</v>
      </c>
      <c r="N16">
        <v>300</v>
      </c>
      <c r="O16" t="s">
        <v>222</v>
      </c>
      <c r="P16">
        <v>0.95214691475993896</v>
      </c>
      <c r="Q16">
        <v>0.90240539961205402</v>
      </c>
      <c r="R16">
        <v>1.11357247163984E-2</v>
      </c>
      <c r="S16">
        <v>0.298373111366741</v>
      </c>
      <c r="T16">
        <v>-2.14899370625352</v>
      </c>
      <c r="U16">
        <v>2.14899370625352</v>
      </c>
      <c r="V16">
        <v>-3.49</v>
      </c>
      <c r="W16">
        <v>0.73</v>
      </c>
      <c r="X16">
        <v>-65496</v>
      </c>
      <c r="Y16">
        <v>-4366</v>
      </c>
      <c r="Z16">
        <v>-0.25</v>
      </c>
      <c r="AA16">
        <v>15</v>
      </c>
      <c r="AB16">
        <v>7</v>
      </c>
      <c r="AC16">
        <v>8</v>
      </c>
      <c r="AD16">
        <v>46.67</v>
      </c>
      <c r="AE16">
        <v>14</v>
      </c>
    </row>
    <row r="17" spans="1:31">
      <c r="A17">
        <v>193</v>
      </c>
      <c r="B17">
        <v>8309</v>
      </c>
      <c r="C17" t="s">
        <v>96</v>
      </c>
      <c r="D17" t="s">
        <v>225</v>
      </c>
      <c r="E17">
        <v>3725</v>
      </c>
      <c r="F17">
        <v>3722</v>
      </c>
      <c r="G17">
        <v>200</v>
      </c>
      <c r="H17" t="s">
        <v>220</v>
      </c>
      <c r="I17">
        <v>8385</v>
      </c>
      <c r="J17" t="s">
        <v>115</v>
      </c>
      <c r="K17" t="s">
        <v>225</v>
      </c>
      <c r="L17">
        <v>566</v>
      </c>
      <c r="M17">
        <v>565</v>
      </c>
      <c r="N17">
        <v>1300</v>
      </c>
      <c r="O17" t="s">
        <v>222</v>
      </c>
      <c r="P17">
        <v>0.92396198990021705</v>
      </c>
      <c r="Q17">
        <v>0.94093593634515904</v>
      </c>
      <c r="R17">
        <v>8.0559922910386807E-3</v>
      </c>
      <c r="S17">
        <v>0.12061462302064201</v>
      </c>
      <c r="T17">
        <v>-2.5029993345918902</v>
      </c>
      <c r="U17">
        <v>2.5029993345918902</v>
      </c>
      <c r="V17">
        <v>-5.92</v>
      </c>
      <c r="W17">
        <v>1.33</v>
      </c>
      <c r="X17">
        <v>-86749</v>
      </c>
      <c r="Y17">
        <v>-5103</v>
      </c>
      <c r="Z17">
        <v>-0.27</v>
      </c>
      <c r="AA17">
        <v>17</v>
      </c>
      <c r="AB17">
        <v>8</v>
      </c>
      <c r="AC17">
        <v>9</v>
      </c>
      <c r="AD17">
        <v>47.06</v>
      </c>
      <c r="AE17">
        <v>16</v>
      </c>
    </row>
    <row r="18" spans="1:31">
      <c r="A18">
        <v>141</v>
      </c>
      <c r="B18">
        <v>5803</v>
      </c>
      <c r="C18" t="s">
        <v>104</v>
      </c>
      <c r="D18" t="s">
        <v>227</v>
      </c>
      <c r="E18">
        <v>414</v>
      </c>
      <c r="F18">
        <v>420</v>
      </c>
      <c r="G18">
        <v>2500</v>
      </c>
      <c r="H18" t="s">
        <v>222</v>
      </c>
      <c r="I18">
        <v>5991</v>
      </c>
      <c r="J18" t="s">
        <v>117</v>
      </c>
      <c r="K18" t="s">
        <v>232</v>
      </c>
      <c r="L18">
        <v>809</v>
      </c>
      <c r="M18">
        <v>810</v>
      </c>
      <c r="N18">
        <v>1300</v>
      </c>
      <c r="O18" t="s">
        <v>220</v>
      </c>
      <c r="P18">
        <v>0.93322857420495098</v>
      </c>
      <c r="Q18">
        <v>0.92970755383901404</v>
      </c>
      <c r="R18">
        <v>7.5904009833650005E-2</v>
      </c>
      <c r="S18">
        <v>4.1391895247460703E-2</v>
      </c>
      <c r="T18">
        <v>2.3563036051391699</v>
      </c>
      <c r="U18">
        <v>2.3563036051391699</v>
      </c>
      <c r="V18">
        <v>8.5299999999999994</v>
      </c>
      <c r="W18">
        <v>0.28000000000000003</v>
      </c>
      <c r="X18">
        <v>-109942</v>
      </c>
      <c r="Y18">
        <v>-6467</v>
      </c>
      <c r="Z18">
        <v>-0.31</v>
      </c>
      <c r="AA18">
        <v>17</v>
      </c>
      <c r="AB18">
        <v>8</v>
      </c>
      <c r="AC18">
        <v>9</v>
      </c>
      <c r="AD18">
        <v>47.06</v>
      </c>
      <c r="AE18">
        <v>13</v>
      </c>
    </row>
    <row r="19" spans="1:31">
      <c r="A19">
        <v>273</v>
      </c>
      <c r="B19">
        <v>6770</v>
      </c>
      <c r="C19" t="s">
        <v>92</v>
      </c>
      <c r="D19" t="s">
        <v>231</v>
      </c>
      <c r="E19">
        <v>2040</v>
      </c>
      <c r="F19">
        <v>2046</v>
      </c>
      <c r="G19">
        <v>500</v>
      </c>
      <c r="H19" t="s">
        <v>222</v>
      </c>
      <c r="I19">
        <v>8306</v>
      </c>
      <c r="J19" t="s">
        <v>93</v>
      </c>
      <c r="K19" t="s">
        <v>225</v>
      </c>
      <c r="L19">
        <v>536.1</v>
      </c>
      <c r="M19">
        <v>535.4</v>
      </c>
      <c r="N19">
        <v>1900</v>
      </c>
      <c r="O19" t="s">
        <v>220</v>
      </c>
      <c r="P19">
        <v>0.90586548485324203</v>
      </c>
      <c r="Q19">
        <v>0.93372893334110696</v>
      </c>
      <c r="R19">
        <v>8.7780930640156601E-2</v>
      </c>
      <c r="S19">
        <v>0.33474905503041802</v>
      </c>
      <c r="T19">
        <v>2.3839013321992701</v>
      </c>
      <c r="U19">
        <v>2.3839013321992701</v>
      </c>
      <c r="V19">
        <v>6.02</v>
      </c>
      <c r="W19">
        <v>0.56000000000000005</v>
      </c>
      <c r="X19">
        <v>-119935</v>
      </c>
      <c r="Y19">
        <v>-9226</v>
      </c>
      <c r="Z19">
        <v>-0.49</v>
      </c>
      <c r="AA19">
        <v>13</v>
      </c>
      <c r="AB19">
        <v>6</v>
      </c>
      <c r="AC19">
        <v>7</v>
      </c>
      <c r="AD19">
        <v>46.15</v>
      </c>
      <c r="AE19">
        <v>13</v>
      </c>
    </row>
    <row r="20" spans="1:31">
      <c r="A20">
        <v>92</v>
      </c>
      <c r="B20">
        <v>5214</v>
      </c>
      <c r="C20" t="s">
        <v>99</v>
      </c>
      <c r="D20" t="s">
        <v>229</v>
      </c>
      <c r="E20">
        <v>2345</v>
      </c>
      <c r="F20">
        <v>2369</v>
      </c>
      <c r="G20">
        <v>400</v>
      </c>
      <c r="H20" t="s">
        <v>220</v>
      </c>
      <c r="I20">
        <v>7012</v>
      </c>
      <c r="J20" t="s">
        <v>101</v>
      </c>
      <c r="K20" t="s">
        <v>228</v>
      </c>
      <c r="L20">
        <v>2374</v>
      </c>
      <c r="M20">
        <v>2419</v>
      </c>
      <c r="N20">
        <v>400</v>
      </c>
      <c r="O20" t="s">
        <v>222</v>
      </c>
      <c r="P20">
        <v>0.94562304638128303</v>
      </c>
      <c r="Q20">
        <v>0.94568978768772904</v>
      </c>
      <c r="R20">
        <v>0.20354261594706</v>
      </c>
      <c r="S20">
        <v>2.1217733511494702E-3</v>
      </c>
      <c r="T20">
        <v>-2.6327830060180402</v>
      </c>
      <c r="U20">
        <v>2.6327830060180402</v>
      </c>
      <c r="V20">
        <v>-8.14</v>
      </c>
      <c r="W20">
        <v>2.0699999999999998</v>
      </c>
      <c r="X20">
        <v>-258013</v>
      </c>
      <c r="Y20">
        <v>-25801</v>
      </c>
      <c r="Z20">
        <v>-1.48</v>
      </c>
      <c r="AA20">
        <v>10</v>
      </c>
      <c r="AB20">
        <v>3</v>
      </c>
      <c r="AC20">
        <v>7</v>
      </c>
      <c r="AD20">
        <v>30</v>
      </c>
      <c r="AE20">
        <v>13</v>
      </c>
    </row>
    <row r="21" spans="1:31">
      <c r="A21">
        <v>53</v>
      </c>
      <c r="B21">
        <v>4182</v>
      </c>
      <c r="C21" t="s">
        <v>135</v>
      </c>
      <c r="D21" t="s">
        <v>221</v>
      </c>
      <c r="E21">
        <v>1414</v>
      </c>
      <c r="F21">
        <v>1426</v>
      </c>
      <c r="G21">
        <v>500</v>
      </c>
      <c r="H21" t="s">
        <v>222</v>
      </c>
      <c r="I21">
        <v>8309</v>
      </c>
      <c r="J21" t="s">
        <v>96</v>
      </c>
      <c r="K21" t="s">
        <v>225</v>
      </c>
      <c r="L21">
        <v>3725</v>
      </c>
      <c r="M21">
        <v>3722</v>
      </c>
      <c r="N21">
        <v>200</v>
      </c>
      <c r="O21" t="s">
        <v>220</v>
      </c>
      <c r="P21">
        <v>0.954571340634772</v>
      </c>
      <c r="Q21">
        <v>0.90464300313321799</v>
      </c>
      <c r="R21">
        <v>1.36117478668678E-2</v>
      </c>
      <c r="S21">
        <v>0.137619285789052</v>
      </c>
      <c r="T21">
        <v>2.1976436641313701</v>
      </c>
      <c r="U21">
        <v>2.1976436641313701</v>
      </c>
      <c r="V21">
        <v>4.82</v>
      </c>
      <c r="W21">
        <v>4.22</v>
      </c>
      <c r="X21">
        <v>-265784</v>
      </c>
      <c r="Y21">
        <v>-15634</v>
      </c>
      <c r="Z21">
        <v>-0.85</v>
      </c>
      <c r="AA21">
        <v>17</v>
      </c>
      <c r="AB21">
        <v>7</v>
      </c>
      <c r="AC21">
        <v>10</v>
      </c>
      <c r="AD21">
        <v>41.18</v>
      </c>
      <c r="AE21">
        <v>11</v>
      </c>
    </row>
    <row r="22" spans="1:31" hidden="1">
      <c r="A22">
        <v>59</v>
      </c>
      <c r="B22">
        <v>5802</v>
      </c>
      <c r="C22" t="s">
        <v>124</v>
      </c>
      <c r="D22" t="s">
        <v>227</v>
      </c>
      <c r="E22">
        <v>1347</v>
      </c>
      <c r="F22">
        <v>1349</v>
      </c>
      <c r="G22">
        <v>800</v>
      </c>
      <c r="H22" t="s">
        <v>220</v>
      </c>
      <c r="I22">
        <v>5803</v>
      </c>
      <c r="J22" t="s">
        <v>104</v>
      </c>
      <c r="K22" t="s">
        <v>227</v>
      </c>
      <c r="L22">
        <v>414</v>
      </c>
      <c r="M22">
        <v>420</v>
      </c>
      <c r="N22">
        <v>2600</v>
      </c>
      <c r="O22" t="s">
        <v>222</v>
      </c>
      <c r="P22">
        <v>0.952745471109958</v>
      </c>
      <c r="Q22">
        <v>0.95993478000932297</v>
      </c>
      <c r="R22">
        <v>0.297886753860159</v>
      </c>
      <c r="S22">
        <v>4.9689568752961499E-3</v>
      </c>
      <c r="T22">
        <v>-1.9789665720343499</v>
      </c>
      <c r="U22">
        <v>1.9789665720343499</v>
      </c>
      <c r="V22">
        <v>-8.81</v>
      </c>
      <c r="W22">
        <v>1.19</v>
      </c>
      <c r="X22">
        <v>-338497</v>
      </c>
      <c r="Y22">
        <v>-18805</v>
      </c>
      <c r="Z22">
        <v>-0.9</v>
      </c>
      <c r="AA22">
        <v>18</v>
      </c>
      <c r="AB22">
        <v>7</v>
      </c>
      <c r="AC22">
        <v>11</v>
      </c>
      <c r="AD22">
        <v>38.89</v>
      </c>
      <c r="AE22">
        <v>14</v>
      </c>
    </row>
    <row r="23" spans="1:31" hidden="1">
      <c r="A23">
        <v>146</v>
      </c>
      <c r="B23">
        <v>4061</v>
      </c>
      <c r="C23" t="s">
        <v>240</v>
      </c>
      <c r="D23" t="s">
        <v>221</v>
      </c>
      <c r="E23">
        <v>2914</v>
      </c>
      <c r="F23">
        <v>2911</v>
      </c>
      <c r="G23">
        <v>300</v>
      </c>
      <c r="H23" t="s">
        <v>222</v>
      </c>
      <c r="I23">
        <v>6586</v>
      </c>
      <c r="J23" t="s">
        <v>90</v>
      </c>
      <c r="K23" t="s">
        <v>230</v>
      </c>
      <c r="L23">
        <v>3060</v>
      </c>
      <c r="M23">
        <v>3070</v>
      </c>
      <c r="N23">
        <v>300</v>
      </c>
      <c r="O23" t="s">
        <v>220</v>
      </c>
      <c r="P23">
        <v>0.93296386018727595</v>
      </c>
      <c r="Q23">
        <v>0.91261078362155601</v>
      </c>
      <c r="R23">
        <v>3.0947437865633701E-2</v>
      </c>
      <c r="S23">
        <v>4.61875017128464E-4</v>
      </c>
      <c r="T23">
        <v>1.94248263326732</v>
      </c>
      <c r="U23">
        <v>1.94248263326732</v>
      </c>
      <c r="V23">
        <v>5.68</v>
      </c>
      <c r="W23">
        <v>5.18</v>
      </c>
      <c r="X23">
        <v>30386</v>
      </c>
      <c r="Y23">
        <v>3798</v>
      </c>
      <c r="Z23">
        <v>0.25</v>
      </c>
      <c r="AA23">
        <v>8</v>
      </c>
      <c r="AB23">
        <v>4</v>
      </c>
      <c r="AC23">
        <v>4</v>
      </c>
      <c r="AD23">
        <v>50</v>
      </c>
      <c r="AE23">
        <v>10</v>
      </c>
    </row>
    <row r="24" spans="1:31" hidden="1">
      <c r="A24">
        <v>283</v>
      </c>
      <c r="B24">
        <v>6923</v>
      </c>
      <c r="C24" t="s">
        <v>121</v>
      </c>
      <c r="D24" t="s">
        <v>231</v>
      </c>
      <c r="E24">
        <v>2804</v>
      </c>
      <c r="F24">
        <v>2829</v>
      </c>
      <c r="G24">
        <v>300</v>
      </c>
      <c r="H24" t="s">
        <v>222</v>
      </c>
      <c r="I24">
        <v>8306</v>
      </c>
      <c r="J24" t="s">
        <v>93</v>
      </c>
      <c r="K24" t="s">
        <v>225</v>
      </c>
      <c r="L24">
        <v>536.1</v>
      </c>
      <c r="M24">
        <v>535.4</v>
      </c>
      <c r="N24">
        <v>1600</v>
      </c>
      <c r="O24" t="s">
        <v>220</v>
      </c>
      <c r="P24">
        <v>0.90332567751986004</v>
      </c>
      <c r="Q24">
        <v>0.90633786035932096</v>
      </c>
      <c r="R24">
        <v>3.7994090433476499E-2</v>
      </c>
      <c r="S24">
        <v>0.14450166167731801</v>
      </c>
      <c r="T24">
        <v>1.8567792675335799</v>
      </c>
      <c r="U24">
        <v>1.8567792675335799</v>
      </c>
      <c r="V24">
        <v>3.41</v>
      </c>
      <c r="W24">
        <v>0.94</v>
      </c>
      <c r="X24">
        <v>264683</v>
      </c>
      <c r="Y24">
        <v>18906</v>
      </c>
      <c r="Z24">
        <v>1.04</v>
      </c>
      <c r="AA24">
        <v>14</v>
      </c>
      <c r="AB24">
        <v>9</v>
      </c>
      <c r="AC24">
        <v>5</v>
      </c>
      <c r="AD24">
        <v>64.290000000000006</v>
      </c>
      <c r="AE24">
        <v>16</v>
      </c>
    </row>
    <row r="25" spans="1:31" hidden="1">
      <c r="A25">
        <v>6</v>
      </c>
      <c r="B25">
        <v>8309</v>
      </c>
      <c r="C25" t="s">
        <v>96</v>
      </c>
      <c r="D25" t="s">
        <v>225</v>
      </c>
      <c r="E25">
        <v>3725</v>
      </c>
      <c r="F25">
        <v>3722</v>
      </c>
      <c r="G25">
        <v>200</v>
      </c>
      <c r="H25" t="s">
        <v>220</v>
      </c>
      <c r="I25">
        <v>8341</v>
      </c>
      <c r="J25" t="s">
        <v>134</v>
      </c>
      <c r="K25" t="s">
        <v>225</v>
      </c>
      <c r="L25">
        <v>1575</v>
      </c>
      <c r="M25">
        <v>1580</v>
      </c>
      <c r="N25">
        <v>500</v>
      </c>
      <c r="O25" t="s">
        <v>222</v>
      </c>
      <c r="P25">
        <v>0.97507301815999703</v>
      </c>
      <c r="Q25">
        <v>0.91687488254635896</v>
      </c>
      <c r="R25">
        <v>0.157422832082628</v>
      </c>
      <c r="S25">
        <v>0.314098751979145</v>
      </c>
      <c r="T25">
        <v>-1.85540709187098</v>
      </c>
      <c r="U25">
        <v>1.85540709187098</v>
      </c>
      <c r="V25">
        <v>-5.31</v>
      </c>
      <c r="W25">
        <v>6.13</v>
      </c>
      <c r="X25">
        <v>189642</v>
      </c>
      <c r="Y25">
        <v>9482</v>
      </c>
      <c r="Z25">
        <v>0.65</v>
      </c>
      <c r="AA25">
        <v>20</v>
      </c>
      <c r="AB25">
        <v>13</v>
      </c>
      <c r="AC25">
        <v>7</v>
      </c>
      <c r="AD25">
        <v>65</v>
      </c>
      <c r="AE25">
        <v>14</v>
      </c>
    </row>
    <row r="26" spans="1:31" hidden="1">
      <c r="A26">
        <v>212</v>
      </c>
      <c r="B26">
        <v>9531</v>
      </c>
      <c r="C26" t="s">
        <v>241</v>
      </c>
      <c r="D26" t="s">
        <v>242</v>
      </c>
      <c r="E26">
        <v>2788</v>
      </c>
      <c r="F26">
        <v>2757.5</v>
      </c>
      <c r="G26">
        <v>300</v>
      </c>
      <c r="H26" t="s">
        <v>220</v>
      </c>
      <c r="I26">
        <v>9532</v>
      </c>
      <c r="J26" t="s">
        <v>128</v>
      </c>
      <c r="K26" t="s">
        <v>242</v>
      </c>
      <c r="L26">
        <v>2086</v>
      </c>
      <c r="M26">
        <v>2078</v>
      </c>
      <c r="N26">
        <v>400</v>
      </c>
      <c r="O26" t="s">
        <v>222</v>
      </c>
      <c r="P26">
        <v>0.91913586787891399</v>
      </c>
      <c r="Q26">
        <v>0.93345434766941204</v>
      </c>
      <c r="R26">
        <v>4.9891040513561101E-2</v>
      </c>
      <c r="S26">
        <v>0.26428262255368301</v>
      </c>
      <c r="T26">
        <v>-1.8221067494715399</v>
      </c>
      <c r="U26">
        <v>1.8221067494715399</v>
      </c>
      <c r="V26">
        <v>-3.39</v>
      </c>
      <c r="W26">
        <v>0.48</v>
      </c>
      <c r="X26">
        <v>-162096</v>
      </c>
      <c r="Y26">
        <v>-12469</v>
      </c>
      <c r="Z26">
        <v>-0.66</v>
      </c>
      <c r="AA26">
        <v>13</v>
      </c>
      <c r="AB26">
        <v>3</v>
      </c>
      <c r="AC26">
        <v>10</v>
      </c>
      <c r="AD26">
        <v>23.08</v>
      </c>
      <c r="AE26">
        <v>15</v>
      </c>
    </row>
    <row r="27" spans="1:31" hidden="1">
      <c r="A27">
        <v>82</v>
      </c>
      <c r="B27">
        <v>3591</v>
      </c>
      <c r="C27" t="s">
        <v>235</v>
      </c>
      <c r="D27" t="s">
        <v>236</v>
      </c>
      <c r="E27">
        <v>2737</v>
      </c>
      <c r="F27">
        <v>2783</v>
      </c>
      <c r="G27">
        <v>300</v>
      </c>
      <c r="H27" t="s">
        <v>222</v>
      </c>
      <c r="I27">
        <v>7167</v>
      </c>
      <c r="J27" t="s">
        <v>129</v>
      </c>
      <c r="K27" t="s">
        <v>225</v>
      </c>
      <c r="L27">
        <v>260</v>
      </c>
      <c r="M27">
        <v>261</v>
      </c>
      <c r="N27">
        <v>3200</v>
      </c>
      <c r="O27" t="s">
        <v>220</v>
      </c>
      <c r="P27">
        <v>0.94777460230518895</v>
      </c>
      <c r="Q27">
        <v>0.91512667406920301</v>
      </c>
      <c r="R27">
        <v>9.7367605568981094E-2</v>
      </c>
      <c r="S27">
        <v>1.9776877846164999E-3</v>
      </c>
      <c r="T27">
        <v>1.79592628569414</v>
      </c>
      <c r="U27">
        <v>1.79592628569414</v>
      </c>
      <c r="V27">
        <v>3.76</v>
      </c>
      <c r="W27">
        <v>0.04</v>
      </c>
      <c r="X27">
        <v>-3363</v>
      </c>
      <c r="Y27">
        <v>-198</v>
      </c>
      <c r="Z27">
        <v>0</v>
      </c>
      <c r="AA27">
        <v>17</v>
      </c>
      <c r="AB27">
        <v>8</v>
      </c>
      <c r="AC27">
        <v>9</v>
      </c>
      <c r="AD27">
        <v>47.06</v>
      </c>
      <c r="AE27">
        <v>15</v>
      </c>
    </row>
    <row r="28" spans="1:31" hidden="1">
      <c r="A28">
        <v>91</v>
      </c>
      <c r="B28">
        <v>7251</v>
      </c>
      <c r="C28" t="s">
        <v>98</v>
      </c>
      <c r="D28" t="s">
        <v>228</v>
      </c>
      <c r="E28">
        <v>1643</v>
      </c>
      <c r="F28">
        <v>1627</v>
      </c>
      <c r="G28">
        <v>600</v>
      </c>
      <c r="H28" t="s">
        <v>222</v>
      </c>
      <c r="I28">
        <v>8601</v>
      </c>
      <c r="J28" t="s">
        <v>100</v>
      </c>
      <c r="K28" t="s">
        <v>243</v>
      </c>
      <c r="L28">
        <v>484.4</v>
      </c>
      <c r="M28">
        <v>487.1</v>
      </c>
      <c r="N28">
        <v>2000</v>
      </c>
      <c r="O28" t="s">
        <v>220</v>
      </c>
      <c r="P28">
        <v>0.94562524087005395</v>
      </c>
      <c r="Q28">
        <v>0.940525127709677</v>
      </c>
      <c r="R28">
        <v>5.8068912003129101E-3</v>
      </c>
      <c r="S28">
        <v>0.13404345869280501</v>
      </c>
      <c r="T28">
        <v>1.76680751348962</v>
      </c>
      <c r="U28">
        <v>1.76680751348962</v>
      </c>
      <c r="V28">
        <v>4.74</v>
      </c>
      <c r="W28">
        <v>0.2</v>
      </c>
      <c r="X28">
        <v>174349</v>
      </c>
      <c r="Y28">
        <v>10897</v>
      </c>
      <c r="Z28">
        <v>0.56999999999999995</v>
      </c>
      <c r="AA28">
        <v>16</v>
      </c>
      <c r="AB28">
        <v>10</v>
      </c>
      <c r="AC28">
        <v>6</v>
      </c>
      <c r="AD28">
        <v>62.5</v>
      </c>
      <c r="AE28">
        <v>14</v>
      </c>
    </row>
    <row r="29" spans="1:31" hidden="1">
      <c r="A29">
        <v>258</v>
      </c>
      <c r="B29">
        <v>5803</v>
      </c>
      <c r="C29" t="s">
        <v>104</v>
      </c>
      <c r="D29" t="s">
        <v>227</v>
      </c>
      <c r="E29">
        <v>414</v>
      </c>
      <c r="F29">
        <v>420</v>
      </c>
      <c r="G29">
        <v>2400</v>
      </c>
      <c r="H29" t="s">
        <v>222</v>
      </c>
      <c r="I29">
        <v>6371</v>
      </c>
      <c r="J29" t="s">
        <v>132</v>
      </c>
      <c r="K29" t="s">
        <v>230</v>
      </c>
      <c r="L29">
        <v>3400</v>
      </c>
      <c r="M29">
        <v>3420</v>
      </c>
      <c r="N29">
        <v>300</v>
      </c>
      <c r="O29" t="s">
        <v>220</v>
      </c>
      <c r="P29">
        <v>0.90814109362412898</v>
      </c>
      <c r="Q29">
        <v>0.91237134100818196</v>
      </c>
      <c r="R29">
        <v>0.25846989273826099</v>
      </c>
      <c r="S29">
        <v>0.35090754640719601</v>
      </c>
      <c r="T29">
        <v>1.76539203104522</v>
      </c>
      <c r="U29">
        <v>1.76539203104522</v>
      </c>
      <c r="V29">
        <v>8.3800000000000008</v>
      </c>
      <c r="W29">
        <v>1.75</v>
      </c>
      <c r="X29">
        <v>15435</v>
      </c>
      <c r="Y29">
        <v>965</v>
      </c>
      <c r="Z29">
        <v>0</v>
      </c>
      <c r="AA29">
        <v>16</v>
      </c>
      <c r="AB29">
        <v>8</v>
      </c>
      <c r="AC29">
        <v>8</v>
      </c>
      <c r="AD29">
        <v>50</v>
      </c>
      <c r="AE29">
        <v>11</v>
      </c>
    </row>
    <row r="30" spans="1:31" hidden="1">
      <c r="A30">
        <v>113</v>
      </c>
      <c r="B30">
        <v>7731</v>
      </c>
      <c r="C30" t="s">
        <v>120</v>
      </c>
      <c r="D30" t="s">
        <v>244</v>
      </c>
      <c r="E30">
        <v>1320</v>
      </c>
      <c r="F30">
        <v>1335</v>
      </c>
      <c r="G30">
        <v>800</v>
      </c>
      <c r="H30" t="s">
        <v>220</v>
      </c>
      <c r="I30">
        <v>8377</v>
      </c>
      <c r="J30" t="s">
        <v>103</v>
      </c>
      <c r="K30" t="s">
        <v>225</v>
      </c>
      <c r="L30">
        <v>1028</v>
      </c>
      <c r="M30">
        <v>1031</v>
      </c>
      <c r="N30">
        <v>1000</v>
      </c>
      <c r="O30" t="s">
        <v>222</v>
      </c>
      <c r="P30">
        <v>0.94036386757375201</v>
      </c>
      <c r="Q30">
        <v>0.91139657811139596</v>
      </c>
      <c r="R30">
        <v>0.26659406116038498</v>
      </c>
      <c r="S30">
        <v>7.1715679173853297E-2</v>
      </c>
      <c r="T30">
        <v>-1.76318074465727</v>
      </c>
      <c r="U30">
        <v>1.76318074465727</v>
      </c>
      <c r="V30">
        <v>-4.49</v>
      </c>
      <c r="W30">
        <v>3.46</v>
      </c>
      <c r="X30">
        <v>-169459</v>
      </c>
      <c r="Y30">
        <v>-10591</v>
      </c>
      <c r="Z30">
        <v>-0.52</v>
      </c>
      <c r="AA30">
        <v>16</v>
      </c>
      <c r="AB30">
        <v>7</v>
      </c>
      <c r="AC30">
        <v>9</v>
      </c>
      <c r="AD30">
        <v>43.75</v>
      </c>
      <c r="AE30">
        <v>12</v>
      </c>
    </row>
    <row r="31" spans="1:31" hidden="1">
      <c r="A31">
        <v>115</v>
      </c>
      <c r="B31">
        <v>1911</v>
      </c>
      <c r="C31" t="s">
        <v>245</v>
      </c>
      <c r="D31" t="s">
        <v>246</v>
      </c>
      <c r="E31">
        <v>1437</v>
      </c>
      <c r="F31">
        <v>1455</v>
      </c>
      <c r="G31">
        <v>600</v>
      </c>
      <c r="H31" t="s">
        <v>222</v>
      </c>
      <c r="I31">
        <v>6923</v>
      </c>
      <c r="J31" t="s">
        <v>121</v>
      </c>
      <c r="K31" t="s">
        <v>231</v>
      </c>
      <c r="L31">
        <v>2804</v>
      </c>
      <c r="M31">
        <v>2829</v>
      </c>
      <c r="N31">
        <v>300</v>
      </c>
      <c r="O31" t="s">
        <v>220</v>
      </c>
      <c r="P31">
        <v>0.94020890294011406</v>
      </c>
      <c r="Q31">
        <v>0.92513476111922299</v>
      </c>
      <c r="R31">
        <v>5.0526507520463003E-4</v>
      </c>
      <c r="S31">
        <v>0.17720282952685301</v>
      </c>
      <c r="T31">
        <v>1.7586185598998501</v>
      </c>
      <c r="U31">
        <v>1.7586185598998501</v>
      </c>
      <c r="V31">
        <v>3.25</v>
      </c>
      <c r="W31">
        <v>2.86</v>
      </c>
      <c r="X31">
        <v>128570</v>
      </c>
      <c r="Y31">
        <v>7143</v>
      </c>
      <c r="Z31">
        <v>0.5</v>
      </c>
      <c r="AA31">
        <v>18</v>
      </c>
      <c r="AB31">
        <v>9</v>
      </c>
      <c r="AC31">
        <v>9</v>
      </c>
      <c r="AD31">
        <v>50</v>
      </c>
      <c r="AE31">
        <v>13</v>
      </c>
    </row>
    <row r="32" spans="1:31" hidden="1">
      <c r="A32">
        <v>269</v>
      </c>
      <c r="B32">
        <v>4581</v>
      </c>
      <c r="C32" t="s">
        <v>108</v>
      </c>
      <c r="D32" t="s">
        <v>247</v>
      </c>
      <c r="E32">
        <v>7780</v>
      </c>
      <c r="F32">
        <v>7720</v>
      </c>
      <c r="G32">
        <v>100</v>
      </c>
      <c r="H32" t="s">
        <v>222</v>
      </c>
      <c r="I32">
        <v>7201</v>
      </c>
      <c r="J32" t="s">
        <v>109</v>
      </c>
      <c r="K32" t="s">
        <v>228</v>
      </c>
      <c r="L32">
        <v>661</v>
      </c>
      <c r="M32">
        <v>660.8</v>
      </c>
      <c r="N32">
        <v>1200</v>
      </c>
      <c r="O32" t="s">
        <v>220</v>
      </c>
      <c r="P32">
        <v>0.906311771144238</v>
      </c>
      <c r="Q32">
        <v>0.94756065095067799</v>
      </c>
      <c r="R32">
        <v>8.2303529277916607E-2</v>
      </c>
      <c r="S32">
        <v>0.17380388484009299</v>
      </c>
      <c r="T32">
        <v>1.73783143130482</v>
      </c>
      <c r="U32">
        <v>1.73783143130482</v>
      </c>
      <c r="V32">
        <v>4.43</v>
      </c>
      <c r="W32">
        <v>2.72</v>
      </c>
      <c r="X32">
        <v>109327</v>
      </c>
      <c r="Y32">
        <v>9939</v>
      </c>
      <c r="Z32">
        <v>0.5</v>
      </c>
      <c r="AA32">
        <v>11</v>
      </c>
      <c r="AB32">
        <v>7</v>
      </c>
      <c r="AC32">
        <v>4</v>
      </c>
      <c r="AD32">
        <v>63.64</v>
      </c>
      <c r="AE32">
        <v>12</v>
      </c>
    </row>
    <row r="33" spans="1:31" hidden="1">
      <c r="A33">
        <v>280</v>
      </c>
      <c r="B33">
        <v>6770</v>
      </c>
      <c r="C33" t="s">
        <v>92</v>
      </c>
      <c r="D33" t="s">
        <v>231</v>
      </c>
      <c r="E33">
        <v>2040</v>
      </c>
      <c r="F33">
        <v>2046</v>
      </c>
      <c r="G33">
        <v>500</v>
      </c>
      <c r="H33" t="s">
        <v>222</v>
      </c>
      <c r="I33">
        <v>8601</v>
      </c>
      <c r="J33" t="s">
        <v>100</v>
      </c>
      <c r="K33" t="s">
        <v>243</v>
      </c>
      <c r="L33">
        <v>484.4</v>
      </c>
      <c r="M33">
        <v>487.1</v>
      </c>
      <c r="N33">
        <v>2100</v>
      </c>
      <c r="O33" t="s">
        <v>220</v>
      </c>
      <c r="P33">
        <v>0.90428858187390404</v>
      </c>
      <c r="Q33">
        <v>0.934349442816646</v>
      </c>
      <c r="R33">
        <v>0.13981911158806901</v>
      </c>
      <c r="S33">
        <v>0.121925191166528</v>
      </c>
      <c r="T33">
        <v>1.73065766198565</v>
      </c>
      <c r="U33">
        <v>1.73065766198565</v>
      </c>
      <c r="V33">
        <v>5.23</v>
      </c>
      <c r="W33">
        <v>0.01</v>
      </c>
      <c r="X33">
        <v>123816</v>
      </c>
      <c r="Y33">
        <v>6517</v>
      </c>
      <c r="Z33">
        <v>0.45</v>
      </c>
      <c r="AA33">
        <v>19</v>
      </c>
      <c r="AB33">
        <v>11</v>
      </c>
      <c r="AC33">
        <v>8</v>
      </c>
      <c r="AD33">
        <v>57.89</v>
      </c>
      <c r="AE33">
        <v>12</v>
      </c>
    </row>
    <row r="34" spans="1:31" hidden="1">
      <c r="A34">
        <v>138</v>
      </c>
      <c r="B34">
        <v>4182</v>
      </c>
      <c r="C34" t="s">
        <v>135</v>
      </c>
      <c r="D34" t="s">
        <v>221</v>
      </c>
      <c r="E34">
        <v>1414</v>
      </c>
      <c r="F34">
        <v>1426</v>
      </c>
      <c r="G34">
        <v>700</v>
      </c>
      <c r="H34" t="s">
        <v>222</v>
      </c>
      <c r="I34">
        <v>6301</v>
      </c>
      <c r="J34" t="s">
        <v>119</v>
      </c>
      <c r="K34" t="s">
        <v>230</v>
      </c>
      <c r="L34">
        <v>2382</v>
      </c>
      <c r="M34">
        <v>2391.5</v>
      </c>
      <c r="N34">
        <v>400</v>
      </c>
      <c r="O34" t="s">
        <v>220</v>
      </c>
      <c r="P34">
        <v>0.93387483999366905</v>
      </c>
      <c r="Q34">
        <v>0.90148679471539594</v>
      </c>
      <c r="R34">
        <v>0.20763312097209</v>
      </c>
      <c r="S34">
        <v>2.6395513123128201E-2</v>
      </c>
      <c r="T34">
        <v>1.7048056403729901</v>
      </c>
      <c r="U34">
        <v>1.7048056403729901</v>
      </c>
      <c r="V34">
        <v>5.22</v>
      </c>
      <c r="W34">
        <v>4.3499999999999996</v>
      </c>
      <c r="X34">
        <v>190665</v>
      </c>
      <c r="Y34">
        <v>12711</v>
      </c>
      <c r="Z34">
        <v>0.73</v>
      </c>
      <c r="AA34">
        <v>15</v>
      </c>
      <c r="AB34">
        <v>10</v>
      </c>
      <c r="AC34">
        <v>5</v>
      </c>
      <c r="AD34">
        <v>66.67</v>
      </c>
      <c r="AE34">
        <v>15</v>
      </c>
    </row>
    <row r="35" spans="1:31" hidden="1">
      <c r="A35">
        <v>149</v>
      </c>
      <c r="B35">
        <v>8273</v>
      </c>
      <c r="C35" t="s">
        <v>123</v>
      </c>
      <c r="D35" t="s">
        <v>224</v>
      </c>
      <c r="E35">
        <v>4200</v>
      </c>
      <c r="F35">
        <v>4315</v>
      </c>
      <c r="G35">
        <v>200</v>
      </c>
      <c r="H35" t="s">
        <v>222</v>
      </c>
      <c r="I35">
        <v>8309</v>
      </c>
      <c r="J35" t="s">
        <v>96</v>
      </c>
      <c r="K35" t="s">
        <v>225</v>
      </c>
      <c r="L35">
        <v>3725</v>
      </c>
      <c r="M35">
        <v>3722</v>
      </c>
      <c r="N35">
        <v>200</v>
      </c>
      <c r="O35" t="s">
        <v>220</v>
      </c>
      <c r="P35">
        <v>0.93280133086051797</v>
      </c>
      <c r="Q35">
        <v>0.91844921280402603</v>
      </c>
      <c r="R35">
        <v>3.8417268337279602E-4</v>
      </c>
      <c r="S35">
        <v>0.15091708836576101</v>
      </c>
      <c r="T35">
        <v>1.6974605001530501</v>
      </c>
      <c r="U35">
        <v>1.6974605001530501</v>
      </c>
      <c r="V35">
        <v>3.93</v>
      </c>
      <c r="W35">
        <v>13.74</v>
      </c>
      <c r="X35">
        <v>129319</v>
      </c>
      <c r="Y35">
        <v>64660</v>
      </c>
      <c r="Z35">
        <v>3.55</v>
      </c>
      <c r="AA35">
        <v>2</v>
      </c>
      <c r="AB35">
        <v>2</v>
      </c>
      <c r="AC35">
        <v>0</v>
      </c>
      <c r="AD35">
        <v>100</v>
      </c>
      <c r="AE35">
        <v>12</v>
      </c>
    </row>
    <row r="36" spans="1:31" hidden="1">
      <c r="A36">
        <v>3</v>
      </c>
      <c r="B36">
        <v>6471</v>
      </c>
      <c r="C36" t="s">
        <v>248</v>
      </c>
      <c r="D36" t="s">
        <v>230</v>
      </c>
      <c r="E36">
        <v>921</v>
      </c>
      <c r="F36">
        <v>926</v>
      </c>
      <c r="G36">
        <v>1100</v>
      </c>
      <c r="H36" t="s">
        <v>220</v>
      </c>
      <c r="I36">
        <v>6472</v>
      </c>
      <c r="J36" t="s">
        <v>127</v>
      </c>
      <c r="K36" t="s">
        <v>230</v>
      </c>
      <c r="L36">
        <v>313</v>
      </c>
      <c r="M36">
        <v>315</v>
      </c>
      <c r="N36">
        <v>3200</v>
      </c>
      <c r="O36" t="s">
        <v>222</v>
      </c>
      <c r="P36">
        <v>0.98040296559038198</v>
      </c>
      <c r="Q36">
        <v>0.95129374546052303</v>
      </c>
      <c r="R36">
        <v>1.74228593690368E-2</v>
      </c>
      <c r="S36">
        <v>0.17124621904198301</v>
      </c>
      <c r="T36">
        <v>-1.6661460557877401</v>
      </c>
      <c r="U36">
        <v>1.6661460557877401</v>
      </c>
      <c r="V36">
        <v>-2.44</v>
      </c>
      <c r="W36">
        <v>1.04</v>
      </c>
      <c r="X36">
        <v>-45015</v>
      </c>
      <c r="Y36">
        <v>-3001</v>
      </c>
      <c r="Z36">
        <v>-0.16</v>
      </c>
      <c r="AA36">
        <v>15</v>
      </c>
      <c r="AB36">
        <v>8</v>
      </c>
      <c r="AC36">
        <v>7</v>
      </c>
      <c r="AD36">
        <v>53.33</v>
      </c>
      <c r="AE36">
        <v>16</v>
      </c>
    </row>
    <row r="37" spans="1:31" hidden="1">
      <c r="A37">
        <v>57</v>
      </c>
      <c r="B37">
        <v>4634</v>
      </c>
      <c r="C37" t="s">
        <v>249</v>
      </c>
      <c r="D37" t="s">
        <v>221</v>
      </c>
      <c r="E37">
        <v>2455</v>
      </c>
      <c r="F37">
        <v>2464</v>
      </c>
      <c r="G37">
        <v>400</v>
      </c>
      <c r="H37" t="s">
        <v>222</v>
      </c>
      <c r="I37">
        <v>6995</v>
      </c>
      <c r="J37" t="s">
        <v>113</v>
      </c>
      <c r="K37" t="s">
        <v>228</v>
      </c>
      <c r="L37">
        <v>1813</v>
      </c>
      <c r="M37">
        <v>1818</v>
      </c>
      <c r="N37">
        <v>500</v>
      </c>
      <c r="O37" t="s">
        <v>220</v>
      </c>
      <c r="P37">
        <v>0.953549492629989</v>
      </c>
      <c r="Q37">
        <v>0.92130203697694701</v>
      </c>
      <c r="R37">
        <v>2.2614972148653299E-2</v>
      </c>
      <c r="S37">
        <v>0.20876799993421</v>
      </c>
      <c r="T37">
        <v>1.6593036230487499</v>
      </c>
      <c r="U37">
        <v>1.6593036230487499</v>
      </c>
      <c r="V37">
        <v>2.98</v>
      </c>
      <c r="W37">
        <v>7.77</v>
      </c>
      <c r="X37">
        <v>10445</v>
      </c>
      <c r="Y37">
        <v>696</v>
      </c>
      <c r="Z37">
        <v>-0.05</v>
      </c>
      <c r="AA37">
        <v>15</v>
      </c>
      <c r="AB37">
        <v>8</v>
      </c>
      <c r="AC37">
        <v>7</v>
      </c>
      <c r="AD37">
        <v>53.33</v>
      </c>
      <c r="AE37">
        <v>13</v>
      </c>
    </row>
    <row r="38" spans="1:31" hidden="1">
      <c r="A38">
        <v>62</v>
      </c>
      <c r="B38">
        <v>7182</v>
      </c>
      <c r="C38" t="s">
        <v>106</v>
      </c>
      <c r="D38" t="s">
        <v>225</v>
      </c>
      <c r="E38">
        <v>1028</v>
      </c>
      <c r="F38">
        <v>1036</v>
      </c>
      <c r="G38">
        <v>800</v>
      </c>
      <c r="H38" t="s">
        <v>220</v>
      </c>
      <c r="I38">
        <v>9810</v>
      </c>
      <c r="J38" t="s">
        <v>145</v>
      </c>
      <c r="K38" t="s">
        <v>250</v>
      </c>
      <c r="L38">
        <v>4280</v>
      </c>
      <c r="M38">
        <v>4330</v>
      </c>
      <c r="N38">
        <v>200</v>
      </c>
      <c r="O38" t="s">
        <v>222</v>
      </c>
      <c r="P38">
        <v>0.95247834122419095</v>
      </c>
      <c r="Q38">
        <v>0.90007988410446105</v>
      </c>
      <c r="R38">
        <v>4.1440125105556697E-2</v>
      </c>
      <c r="S38">
        <v>0.130069139015796</v>
      </c>
      <c r="T38">
        <v>-1.64495769413659</v>
      </c>
      <c r="U38">
        <v>1.64495769413659</v>
      </c>
      <c r="V38">
        <v>-2.29</v>
      </c>
      <c r="W38">
        <v>4.3</v>
      </c>
      <c r="X38">
        <v>174676</v>
      </c>
      <c r="Y38">
        <v>10275</v>
      </c>
      <c r="Z38">
        <v>0.84</v>
      </c>
      <c r="AA38">
        <v>17</v>
      </c>
      <c r="AB38">
        <v>10</v>
      </c>
      <c r="AC38">
        <v>7</v>
      </c>
      <c r="AD38">
        <v>58.82</v>
      </c>
      <c r="AE38">
        <v>13</v>
      </c>
    </row>
    <row r="39" spans="1:31" hidden="1">
      <c r="A39">
        <v>2</v>
      </c>
      <c r="B39">
        <v>5201</v>
      </c>
      <c r="C39" t="s">
        <v>237</v>
      </c>
      <c r="D39" t="s">
        <v>229</v>
      </c>
      <c r="E39">
        <v>3340</v>
      </c>
      <c r="F39">
        <v>3325</v>
      </c>
      <c r="G39">
        <v>300</v>
      </c>
      <c r="H39" t="s">
        <v>222</v>
      </c>
      <c r="I39">
        <v>5214</v>
      </c>
      <c r="J39" t="s">
        <v>99</v>
      </c>
      <c r="K39" t="s">
        <v>229</v>
      </c>
      <c r="L39">
        <v>2345</v>
      </c>
      <c r="M39">
        <v>2369</v>
      </c>
      <c r="N39">
        <v>400</v>
      </c>
      <c r="O39" t="s">
        <v>220</v>
      </c>
      <c r="P39">
        <v>0.98115314379575802</v>
      </c>
      <c r="Q39">
        <v>0.93085000051141098</v>
      </c>
      <c r="R39">
        <v>3.0830458551308801E-3</v>
      </c>
      <c r="S39">
        <v>5.36487008462493E-2</v>
      </c>
      <c r="T39">
        <v>1.64102476003542</v>
      </c>
      <c r="U39">
        <v>1.64102476003542</v>
      </c>
      <c r="V39">
        <v>2.46</v>
      </c>
      <c r="W39">
        <v>5</v>
      </c>
      <c r="X39">
        <v>215362</v>
      </c>
      <c r="Y39">
        <v>26920</v>
      </c>
      <c r="Z39">
        <v>1.34</v>
      </c>
      <c r="AA39">
        <v>8</v>
      </c>
      <c r="AB39">
        <v>4</v>
      </c>
      <c r="AC39">
        <v>4</v>
      </c>
      <c r="AD39">
        <v>50</v>
      </c>
      <c r="AE39">
        <v>15</v>
      </c>
    </row>
    <row r="40" spans="1:31" hidden="1">
      <c r="A40">
        <v>159</v>
      </c>
      <c r="B40">
        <v>6301</v>
      </c>
      <c r="C40" t="s">
        <v>119</v>
      </c>
      <c r="D40" t="s">
        <v>230</v>
      </c>
      <c r="E40">
        <v>2382</v>
      </c>
      <c r="F40">
        <v>2391.5</v>
      </c>
      <c r="G40">
        <v>400</v>
      </c>
      <c r="H40" t="s">
        <v>220</v>
      </c>
      <c r="I40">
        <v>7186</v>
      </c>
      <c r="J40" t="s">
        <v>95</v>
      </c>
      <c r="K40" t="s">
        <v>225</v>
      </c>
      <c r="L40">
        <v>414</v>
      </c>
      <c r="M40">
        <v>409</v>
      </c>
      <c r="N40">
        <v>2300</v>
      </c>
      <c r="O40" t="s">
        <v>222</v>
      </c>
      <c r="P40">
        <v>0.93090975467049997</v>
      </c>
      <c r="Q40">
        <v>0.90872479706629605</v>
      </c>
      <c r="R40">
        <v>0.33183089625375001</v>
      </c>
      <c r="S40">
        <v>4.9029845611628001E-2</v>
      </c>
      <c r="T40">
        <v>-1.6310596555583099</v>
      </c>
      <c r="U40">
        <v>1.6310596555583099</v>
      </c>
      <c r="V40">
        <v>-5.61</v>
      </c>
      <c r="W40">
        <v>1.66</v>
      </c>
      <c r="X40">
        <v>305926</v>
      </c>
      <c r="Y40">
        <v>17996</v>
      </c>
      <c r="Z40">
        <v>0.97</v>
      </c>
      <c r="AA40">
        <v>17</v>
      </c>
      <c r="AB40">
        <v>11</v>
      </c>
      <c r="AC40">
        <v>6</v>
      </c>
      <c r="AD40">
        <v>64.709999999999994</v>
      </c>
      <c r="AE40">
        <v>10</v>
      </c>
    </row>
    <row r="41" spans="1:31" hidden="1">
      <c r="A41">
        <v>84</v>
      </c>
      <c r="B41">
        <v>4208</v>
      </c>
      <c r="C41" t="s">
        <v>126</v>
      </c>
      <c r="D41" t="s">
        <v>221</v>
      </c>
      <c r="E41">
        <v>2158</v>
      </c>
      <c r="F41">
        <v>2171</v>
      </c>
      <c r="G41">
        <v>500</v>
      </c>
      <c r="H41" t="s">
        <v>220</v>
      </c>
      <c r="I41">
        <v>5803</v>
      </c>
      <c r="J41" t="s">
        <v>104</v>
      </c>
      <c r="K41" t="s">
        <v>227</v>
      </c>
      <c r="L41">
        <v>414</v>
      </c>
      <c r="M41">
        <v>420</v>
      </c>
      <c r="N41">
        <v>2600</v>
      </c>
      <c r="O41" t="s">
        <v>222</v>
      </c>
      <c r="P41">
        <v>0.94757290836872299</v>
      </c>
      <c r="Q41">
        <v>0.93380216102459501</v>
      </c>
      <c r="R41">
        <v>4.9199693767815897E-2</v>
      </c>
      <c r="S41">
        <v>0.12900060893037299</v>
      </c>
      <c r="T41">
        <v>-1.6152215073257199</v>
      </c>
      <c r="U41">
        <v>1.6152215073257199</v>
      </c>
      <c r="V41">
        <v>-8.92</v>
      </c>
      <c r="W41">
        <v>0.6</v>
      </c>
      <c r="X41">
        <v>-101142</v>
      </c>
      <c r="Y41">
        <v>-6321</v>
      </c>
      <c r="Z41">
        <v>-0.35</v>
      </c>
      <c r="AA41">
        <v>16</v>
      </c>
      <c r="AB41">
        <v>9</v>
      </c>
      <c r="AC41">
        <v>7</v>
      </c>
      <c r="AD41">
        <v>56.25</v>
      </c>
      <c r="AE41">
        <v>13</v>
      </c>
    </row>
    <row r="42" spans="1:31" hidden="1">
      <c r="A42">
        <v>265</v>
      </c>
      <c r="B42">
        <v>5301</v>
      </c>
      <c r="C42" t="s">
        <v>97</v>
      </c>
      <c r="D42" t="s">
        <v>229</v>
      </c>
      <c r="E42">
        <v>1068</v>
      </c>
      <c r="F42">
        <v>1088</v>
      </c>
      <c r="G42">
        <v>900</v>
      </c>
      <c r="H42" t="s">
        <v>220</v>
      </c>
      <c r="I42">
        <v>7251</v>
      </c>
      <c r="J42" t="s">
        <v>98</v>
      </c>
      <c r="K42" t="s">
        <v>228</v>
      </c>
      <c r="L42">
        <v>1643</v>
      </c>
      <c r="M42">
        <v>1627</v>
      </c>
      <c r="N42">
        <v>600</v>
      </c>
      <c r="O42" t="s">
        <v>222</v>
      </c>
      <c r="P42">
        <v>0.90726897752778701</v>
      </c>
      <c r="Q42">
        <v>0.95655565788158103</v>
      </c>
      <c r="R42">
        <v>7.4566448849262498E-4</v>
      </c>
      <c r="S42" s="41">
        <v>7.0107282274679405E-5</v>
      </c>
      <c r="T42">
        <v>-1.6034075991777299</v>
      </c>
      <c r="U42">
        <v>1.6034075991777299</v>
      </c>
      <c r="V42">
        <v>-5.56</v>
      </c>
      <c r="W42">
        <v>0.31</v>
      </c>
      <c r="X42">
        <v>195079</v>
      </c>
      <c r="Y42">
        <v>6967</v>
      </c>
      <c r="Z42">
        <v>0.47</v>
      </c>
      <c r="AA42">
        <v>28</v>
      </c>
      <c r="AB42">
        <v>15</v>
      </c>
      <c r="AC42">
        <v>13</v>
      </c>
      <c r="AD42">
        <v>53.57</v>
      </c>
      <c r="AE42">
        <v>8</v>
      </c>
    </row>
    <row r="43" spans="1:31" hidden="1">
      <c r="A43">
        <v>1</v>
      </c>
      <c r="B43">
        <v>5802</v>
      </c>
      <c r="C43" t="s">
        <v>124</v>
      </c>
      <c r="D43" t="s">
        <v>227</v>
      </c>
      <c r="E43">
        <v>1347</v>
      </c>
      <c r="F43">
        <v>1349</v>
      </c>
      <c r="G43">
        <v>600</v>
      </c>
      <c r="H43" t="s">
        <v>222</v>
      </c>
      <c r="I43">
        <v>8309</v>
      </c>
      <c r="J43" t="s">
        <v>96</v>
      </c>
      <c r="K43" t="s">
        <v>225</v>
      </c>
      <c r="L43">
        <v>3725</v>
      </c>
      <c r="M43">
        <v>3722</v>
      </c>
      <c r="N43">
        <v>200</v>
      </c>
      <c r="O43" t="s">
        <v>220</v>
      </c>
      <c r="P43">
        <v>0.98208839881479604</v>
      </c>
      <c r="Q43">
        <v>0.90513589878429801</v>
      </c>
      <c r="R43">
        <v>8.4665577332334197E-3</v>
      </c>
      <c r="S43">
        <v>0.350338569450937</v>
      </c>
      <c r="T43">
        <v>1.5927939063168499</v>
      </c>
      <c r="U43">
        <v>1.5927939063168499</v>
      </c>
      <c r="V43">
        <v>1.89</v>
      </c>
      <c r="W43">
        <v>8.73</v>
      </c>
      <c r="X43">
        <v>44582</v>
      </c>
      <c r="Y43">
        <v>2972</v>
      </c>
      <c r="Z43">
        <v>0.21</v>
      </c>
      <c r="AA43">
        <v>15</v>
      </c>
      <c r="AB43">
        <v>8</v>
      </c>
      <c r="AC43">
        <v>7</v>
      </c>
      <c r="AD43">
        <v>53.33</v>
      </c>
      <c r="AE43">
        <v>16</v>
      </c>
    </row>
    <row r="44" spans="1:31" hidden="1">
      <c r="A44">
        <v>234</v>
      </c>
      <c r="B44">
        <v>1942</v>
      </c>
      <c r="C44" t="s">
        <v>251</v>
      </c>
      <c r="D44" t="s">
        <v>246</v>
      </c>
      <c r="E44">
        <v>968</v>
      </c>
      <c r="F44">
        <v>972</v>
      </c>
      <c r="G44">
        <v>1100</v>
      </c>
      <c r="H44" t="s">
        <v>222</v>
      </c>
      <c r="I44">
        <v>8308</v>
      </c>
      <c r="J44" t="s">
        <v>102</v>
      </c>
      <c r="K44" t="s">
        <v>225</v>
      </c>
      <c r="L44">
        <v>448.6</v>
      </c>
      <c r="M44">
        <v>446.6</v>
      </c>
      <c r="N44">
        <v>2400</v>
      </c>
      <c r="O44" t="s">
        <v>220</v>
      </c>
      <c r="P44">
        <v>0.91395841279804402</v>
      </c>
      <c r="Q44">
        <v>0.94722555516288798</v>
      </c>
      <c r="R44">
        <v>0.35318714827595499</v>
      </c>
      <c r="S44">
        <v>0.246241387808253</v>
      </c>
      <c r="T44">
        <v>1.5831111326603999</v>
      </c>
      <c r="U44">
        <v>1.5831111326603999</v>
      </c>
      <c r="V44">
        <v>3.98</v>
      </c>
      <c r="W44">
        <v>0.25</v>
      </c>
      <c r="X44">
        <v>130616</v>
      </c>
      <c r="Y44">
        <v>9330</v>
      </c>
      <c r="Z44">
        <v>0.44</v>
      </c>
      <c r="AA44">
        <v>14</v>
      </c>
      <c r="AB44">
        <v>10</v>
      </c>
      <c r="AC44">
        <v>4</v>
      </c>
      <c r="AD44">
        <v>71.430000000000007</v>
      </c>
      <c r="AE44">
        <v>16</v>
      </c>
    </row>
    <row r="45" spans="1:31" hidden="1">
      <c r="A45">
        <v>5</v>
      </c>
      <c r="B45">
        <v>5401</v>
      </c>
      <c r="C45" t="s">
        <v>148</v>
      </c>
      <c r="D45" t="s">
        <v>239</v>
      </c>
      <c r="E45">
        <v>1481</v>
      </c>
      <c r="F45">
        <v>1484</v>
      </c>
      <c r="G45">
        <v>700</v>
      </c>
      <c r="H45" t="s">
        <v>220</v>
      </c>
      <c r="I45">
        <v>5411</v>
      </c>
      <c r="J45" t="s">
        <v>147</v>
      </c>
      <c r="K45" t="s">
        <v>239</v>
      </c>
      <c r="L45">
        <v>1293.5</v>
      </c>
      <c r="M45">
        <v>1296.5</v>
      </c>
      <c r="N45">
        <v>800</v>
      </c>
      <c r="O45" t="s">
        <v>222</v>
      </c>
      <c r="P45">
        <v>0.97690453721491199</v>
      </c>
      <c r="Q45">
        <v>0.95487177199541295</v>
      </c>
      <c r="R45">
        <v>0.182128521174963</v>
      </c>
      <c r="S45">
        <v>0.33674611439574698</v>
      </c>
      <c r="T45">
        <v>-1.5576811479882</v>
      </c>
      <c r="U45">
        <v>1.5576811479882</v>
      </c>
      <c r="V45">
        <v>-2.66</v>
      </c>
      <c r="W45">
        <v>0.15</v>
      </c>
      <c r="X45">
        <v>-306952</v>
      </c>
      <c r="Y45">
        <v>-16155</v>
      </c>
      <c r="Z45">
        <v>-0.83</v>
      </c>
      <c r="AA45">
        <v>19</v>
      </c>
      <c r="AB45">
        <v>6</v>
      </c>
      <c r="AC45">
        <v>13</v>
      </c>
      <c r="AD45">
        <v>31.58</v>
      </c>
      <c r="AE45">
        <v>16</v>
      </c>
    </row>
    <row r="46" spans="1:31" hidden="1">
      <c r="A46">
        <v>139</v>
      </c>
      <c r="B46">
        <v>5802</v>
      </c>
      <c r="C46" t="s">
        <v>124</v>
      </c>
      <c r="D46" t="s">
        <v>227</v>
      </c>
      <c r="E46">
        <v>1347</v>
      </c>
      <c r="F46">
        <v>1349</v>
      </c>
      <c r="G46">
        <v>800</v>
      </c>
      <c r="H46" t="s">
        <v>222</v>
      </c>
      <c r="I46">
        <v>7202</v>
      </c>
      <c r="J46" t="s">
        <v>141</v>
      </c>
      <c r="K46" t="s">
        <v>228</v>
      </c>
      <c r="L46">
        <v>1161</v>
      </c>
      <c r="M46">
        <v>1159.5</v>
      </c>
      <c r="N46">
        <v>900</v>
      </c>
      <c r="O46" t="s">
        <v>220</v>
      </c>
      <c r="P46">
        <v>0.93370808306557995</v>
      </c>
      <c r="Q46">
        <v>0.909373005381238</v>
      </c>
      <c r="R46">
        <v>0.27597261064687501</v>
      </c>
      <c r="S46">
        <v>0.16925754786011299</v>
      </c>
      <c r="T46">
        <v>1.55729390162143</v>
      </c>
      <c r="U46">
        <v>1.55729390162143</v>
      </c>
      <c r="V46">
        <v>3.28</v>
      </c>
      <c r="W46">
        <v>3.3</v>
      </c>
      <c r="X46">
        <v>50699</v>
      </c>
      <c r="Y46">
        <v>3900</v>
      </c>
      <c r="Z46">
        <v>0.2</v>
      </c>
      <c r="AA46">
        <v>13</v>
      </c>
      <c r="AB46">
        <v>8</v>
      </c>
      <c r="AC46">
        <v>5</v>
      </c>
      <c r="AD46">
        <v>61.54</v>
      </c>
      <c r="AE46">
        <v>15</v>
      </c>
    </row>
    <row r="47" spans="1:31" hidden="1">
      <c r="A47">
        <v>15</v>
      </c>
      <c r="B47">
        <v>4182</v>
      </c>
      <c r="C47" t="s">
        <v>135</v>
      </c>
      <c r="D47" t="s">
        <v>221</v>
      </c>
      <c r="E47">
        <v>1414</v>
      </c>
      <c r="F47">
        <v>1426</v>
      </c>
      <c r="G47">
        <v>700</v>
      </c>
      <c r="H47" t="s">
        <v>222</v>
      </c>
      <c r="I47">
        <v>5802</v>
      </c>
      <c r="J47" t="s">
        <v>124</v>
      </c>
      <c r="K47" t="s">
        <v>227</v>
      </c>
      <c r="L47">
        <v>1347</v>
      </c>
      <c r="M47">
        <v>1349</v>
      </c>
      <c r="N47">
        <v>700</v>
      </c>
      <c r="O47" t="s">
        <v>220</v>
      </c>
      <c r="P47">
        <v>0.96604069007982396</v>
      </c>
      <c r="Q47">
        <v>0.94031329158027299</v>
      </c>
      <c r="R47">
        <v>0.30600781326515503</v>
      </c>
      <c r="S47">
        <v>0.22377200215780901</v>
      </c>
      <c r="T47">
        <v>1.54444946070598</v>
      </c>
      <c r="U47">
        <v>1.54444946070598</v>
      </c>
      <c r="V47">
        <v>2.99</v>
      </c>
      <c r="W47">
        <v>5.4</v>
      </c>
      <c r="X47">
        <v>183257</v>
      </c>
      <c r="Y47">
        <v>10780</v>
      </c>
      <c r="Z47">
        <v>0.65</v>
      </c>
      <c r="AA47">
        <v>17</v>
      </c>
      <c r="AB47">
        <v>10</v>
      </c>
      <c r="AC47">
        <v>7</v>
      </c>
      <c r="AD47">
        <v>58.82</v>
      </c>
      <c r="AE47">
        <v>13</v>
      </c>
    </row>
    <row r="48" spans="1:31" hidden="1">
      <c r="A48">
        <v>131</v>
      </c>
      <c r="B48">
        <v>3099</v>
      </c>
      <c r="C48" t="s">
        <v>234</v>
      </c>
      <c r="D48" t="s">
        <v>224</v>
      </c>
      <c r="E48">
        <v>867</v>
      </c>
      <c r="F48">
        <v>878</v>
      </c>
      <c r="G48">
        <v>1200</v>
      </c>
      <c r="H48" t="s">
        <v>222</v>
      </c>
      <c r="I48">
        <v>9505</v>
      </c>
      <c r="J48" t="s">
        <v>160</v>
      </c>
      <c r="K48" t="s">
        <v>242</v>
      </c>
      <c r="L48">
        <v>716</v>
      </c>
      <c r="M48">
        <v>715</v>
      </c>
      <c r="N48">
        <v>1500</v>
      </c>
      <c r="O48" t="s">
        <v>220</v>
      </c>
      <c r="P48">
        <v>0.93618471969029904</v>
      </c>
      <c r="Q48">
        <v>0.94578522985174296</v>
      </c>
      <c r="R48">
        <v>5.5385588041358203E-3</v>
      </c>
      <c r="S48">
        <v>0.154111569355911</v>
      </c>
      <c r="T48">
        <v>1.5393534443895101</v>
      </c>
      <c r="U48">
        <v>1.5393534443895101</v>
      </c>
      <c r="V48">
        <v>4.34</v>
      </c>
      <c r="W48">
        <v>1.79</v>
      </c>
      <c r="X48">
        <v>-90972</v>
      </c>
      <c r="Y48">
        <v>-4135</v>
      </c>
      <c r="Z48">
        <v>-0.21</v>
      </c>
      <c r="AA48">
        <v>22</v>
      </c>
      <c r="AB48">
        <v>11</v>
      </c>
      <c r="AC48">
        <v>11</v>
      </c>
      <c r="AD48">
        <v>50</v>
      </c>
      <c r="AE48">
        <v>11</v>
      </c>
    </row>
    <row r="49" spans="1:31" hidden="1">
      <c r="A49">
        <v>219</v>
      </c>
      <c r="B49">
        <v>5802</v>
      </c>
      <c r="C49" t="s">
        <v>124</v>
      </c>
      <c r="D49" t="s">
        <v>227</v>
      </c>
      <c r="E49">
        <v>1347</v>
      </c>
      <c r="F49">
        <v>1349</v>
      </c>
      <c r="G49">
        <v>800</v>
      </c>
      <c r="H49" t="s">
        <v>220</v>
      </c>
      <c r="I49">
        <v>8385</v>
      </c>
      <c r="J49" t="s">
        <v>115</v>
      </c>
      <c r="K49" t="s">
        <v>225</v>
      </c>
      <c r="L49">
        <v>566</v>
      </c>
      <c r="M49">
        <v>565</v>
      </c>
      <c r="N49">
        <v>1900</v>
      </c>
      <c r="O49" t="s">
        <v>222</v>
      </c>
      <c r="P49">
        <v>0.91712730426996503</v>
      </c>
      <c r="Q49">
        <v>0.917122107052597</v>
      </c>
      <c r="R49">
        <v>4.3263836265173203E-3</v>
      </c>
      <c r="S49">
        <v>0.30542373365843101</v>
      </c>
      <c r="T49">
        <v>-1.5287976397885099</v>
      </c>
      <c r="U49">
        <v>1.5287976397885099</v>
      </c>
      <c r="V49">
        <v>-3.92</v>
      </c>
      <c r="W49">
        <v>0.53</v>
      </c>
      <c r="X49">
        <v>23702</v>
      </c>
      <c r="Y49">
        <v>1975</v>
      </c>
      <c r="Z49">
        <v>0.15</v>
      </c>
      <c r="AA49">
        <v>12</v>
      </c>
      <c r="AB49">
        <v>6</v>
      </c>
      <c r="AC49">
        <v>6</v>
      </c>
      <c r="AD49">
        <v>50</v>
      </c>
      <c r="AE49">
        <v>14</v>
      </c>
    </row>
    <row r="50" spans="1:31" hidden="1">
      <c r="A50">
        <v>166</v>
      </c>
      <c r="B50">
        <v>1963</v>
      </c>
      <c r="C50" t="s">
        <v>252</v>
      </c>
      <c r="D50" t="s">
        <v>246</v>
      </c>
      <c r="E50">
        <v>1383</v>
      </c>
      <c r="F50">
        <v>1395</v>
      </c>
      <c r="G50">
        <v>700</v>
      </c>
      <c r="H50" t="s">
        <v>220</v>
      </c>
      <c r="I50">
        <v>8750</v>
      </c>
      <c r="J50" t="s">
        <v>136</v>
      </c>
      <c r="K50" t="s">
        <v>253</v>
      </c>
      <c r="L50">
        <v>1651</v>
      </c>
      <c r="M50">
        <v>1655</v>
      </c>
      <c r="N50">
        <v>600</v>
      </c>
      <c r="O50" t="s">
        <v>222</v>
      </c>
      <c r="P50">
        <v>0.92953123846337604</v>
      </c>
      <c r="Q50">
        <v>0.92027442273466398</v>
      </c>
      <c r="R50">
        <v>9.1819704546900693E-2</v>
      </c>
      <c r="S50">
        <v>0.121176464044408</v>
      </c>
      <c r="T50">
        <v>-1.5014521329077699</v>
      </c>
      <c r="U50">
        <v>1.5014521329077699</v>
      </c>
      <c r="V50">
        <v>-4.46</v>
      </c>
      <c r="W50">
        <v>1.66</v>
      </c>
      <c r="X50">
        <v>196685</v>
      </c>
      <c r="Y50">
        <v>11570</v>
      </c>
      <c r="Z50">
        <v>0.43</v>
      </c>
      <c r="AA50">
        <v>17</v>
      </c>
      <c r="AB50">
        <v>9</v>
      </c>
      <c r="AC50">
        <v>8</v>
      </c>
      <c r="AD50">
        <v>52.94</v>
      </c>
      <c r="AE50">
        <v>10</v>
      </c>
    </row>
    <row r="51" spans="1:31" hidden="1">
      <c r="A51">
        <v>187</v>
      </c>
      <c r="B51">
        <v>6361</v>
      </c>
      <c r="C51" t="s">
        <v>118</v>
      </c>
      <c r="D51" t="s">
        <v>230</v>
      </c>
      <c r="E51">
        <v>2845</v>
      </c>
      <c r="F51">
        <v>2874</v>
      </c>
      <c r="G51">
        <v>300</v>
      </c>
      <c r="H51" t="s">
        <v>222</v>
      </c>
      <c r="I51">
        <v>8012</v>
      </c>
      <c r="J51" t="s">
        <v>125</v>
      </c>
      <c r="K51" t="s">
        <v>250</v>
      </c>
      <c r="L51">
        <v>1505</v>
      </c>
      <c r="M51">
        <v>1518</v>
      </c>
      <c r="N51">
        <v>600</v>
      </c>
      <c r="O51" t="s">
        <v>220</v>
      </c>
      <c r="P51">
        <v>0.92502425475545202</v>
      </c>
      <c r="Q51">
        <v>0.90146713111307097</v>
      </c>
      <c r="R51">
        <v>3.6507676449744002E-2</v>
      </c>
      <c r="S51">
        <v>7.9285799369834004E-3</v>
      </c>
      <c r="T51">
        <v>1.4836161591460599</v>
      </c>
      <c r="U51">
        <v>1.4836161591460599</v>
      </c>
      <c r="V51">
        <v>4.53</v>
      </c>
      <c r="W51">
        <v>5.64</v>
      </c>
      <c r="X51">
        <v>396734</v>
      </c>
      <c r="Y51">
        <v>24796</v>
      </c>
      <c r="Z51">
        <v>1.27</v>
      </c>
      <c r="AA51">
        <v>16</v>
      </c>
      <c r="AB51">
        <v>13</v>
      </c>
      <c r="AC51">
        <v>3</v>
      </c>
      <c r="AD51">
        <v>81.25</v>
      </c>
      <c r="AE51">
        <v>13</v>
      </c>
    </row>
    <row r="52" spans="1:31" hidden="1">
      <c r="A52">
        <v>287</v>
      </c>
      <c r="B52">
        <v>3105</v>
      </c>
      <c r="C52" t="s">
        <v>254</v>
      </c>
      <c r="D52" t="s">
        <v>231</v>
      </c>
      <c r="E52">
        <v>830</v>
      </c>
      <c r="F52">
        <v>830</v>
      </c>
      <c r="G52">
        <v>1200</v>
      </c>
      <c r="H52" t="s">
        <v>220</v>
      </c>
      <c r="I52">
        <v>7272</v>
      </c>
      <c r="J52" t="s">
        <v>122</v>
      </c>
      <c r="K52" t="s">
        <v>228</v>
      </c>
      <c r="L52">
        <v>1946</v>
      </c>
      <c r="M52">
        <v>1951</v>
      </c>
      <c r="N52">
        <v>500</v>
      </c>
      <c r="O52" t="s">
        <v>222</v>
      </c>
      <c r="P52">
        <v>0.90229890921006495</v>
      </c>
      <c r="Q52">
        <v>0.918042374725629</v>
      </c>
      <c r="R52">
        <v>3.4945012470548799E-2</v>
      </c>
      <c r="S52">
        <v>0.27077782334845901</v>
      </c>
      <c r="T52">
        <v>-1.46421890659775</v>
      </c>
      <c r="U52">
        <v>1.46421890659775</v>
      </c>
      <c r="V52">
        <v>-3.96</v>
      </c>
      <c r="W52">
        <v>2.1</v>
      </c>
      <c r="X52">
        <v>302089</v>
      </c>
      <c r="Y52">
        <v>16783</v>
      </c>
      <c r="Z52">
        <v>0.84</v>
      </c>
      <c r="AA52">
        <v>18</v>
      </c>
      <c r="AB52">
        <v>11</v>
      </c>
      <c r="AC52">
        <v>7</v>
      </c>
      <c r="AD52">
        <v>61.11</v>
      </c>
      <c r="AE52">
        <v>12</v>
      </c>
    </row>
    <row r="53" spans="1:31" hidden="1">
      <c r="A53">
        <v>35</v>
      </c>
      <c r="B53">
        <v>7186</v>
      </c>
      <c r="C53" t="s">
        <v>95</v>
      </c>
      <c r="D53" t="s">
        <v>225</v>
      </c>
      <c r="E53">
        <v>414</v>
      </c>
      <c r="F53">
        <v>409</v>
      </c>
      <c r="G53">
        <v>2600</v>
      </c>
      <c r="H53" t="s">
        <v>222</v>
      </c>
      <c r="I53">
        <v>8308</v>
      </c>
      <c r="J53" t="s">
        <v>102</v>
      </c>
      <c r="K53" t="s">
        <v>225</v>
      </c>
      <c r="L53">
        <v>448.6</v>
      </c>
      <c r="M53">
        <v>446.6</v>
      </c>
      <c r="N53">
        <v>2400</v>
      </c>
      <c r="O53" t="s">
        <v>220</v>
      </c>
      <c r="P53">
        <v>0.959068557754023</v>
      </c>
      <c r="Q53">
        <v>0.94120136753080896</v>
      </c>
      <c r="R53">
        <v>0.121186302494277</v>
      </c>
      <c r="S53">
        <v>0.241647655489725</v>
      </c>
      <c r="T53">
        <v>1.4638227340821299</v>
      </c>
      <c r="U53">
        <v>1.4638227340821299</v>
      </c>
      <c r="V53">
        <v>3.2</v>
      </c>
      <c r="W53">
        <v>0.79</v>
      </c>
      <c r="X53">
        <v>261570</v>
      </c>
      <c r="Y53">
        <v>15386</v>
      </c>
      <c r="Z53">
        <v>0.73</v>
      </c>
      <c r="AA53">
        <v>17</v>
      </c>
      <c r="AB53">
        <v>10</v>
      </c>
      <c r="AC53">
        <v>7</v>
      </c>
      <c r="AD53">
        <v>58.82</v>
      </c>
      <c r="AE53">
        <v>15</v>
      </c>
    </row>
    <row r="54" spans="1:31" hidden="1">
      <c r="A54">
        <v>218</v>
      </c>
      <c r="B54">
        <v>5214</v>
      </c>
      <c r="C54" t="s">
        <v>99</v>
      </c>
      <c r="D54" t="s">
        <v>229</v>
      </c>
      <c r="E54">
        <v>2345</v>
      </c>
      <c r="F54">
        <v>2369</v>
      </c>
      <c r="G54">
        <v>400</v>
      </c>
      <c r="H54" t="s">
        <v>222</v>
      </c>
      <c r="I54">
        <v>5401</v>
      </c>
      <c r="J54" t="s">
        <v>148</v>
      </c>
      <c r="K54" t="s">
        <v>239</v>
      </c>
      <c r="L54">
        <v>1481</v>
      </c>
      <c r="M54">
        <v>1484</v>
      </c>
      <c r="N54">
        <v>600</v>
      </c>
      <c r="O54" t="s">
        <v>220</v>
      </c>
      <c r="P54">
        <v>0.91736925236716405</v>
      </c>
      <c r="Q54">
        <v>0.93671748612577399</v>
      </c>
      <c r="R54">
        <v>0.14899106834759801</v>
      </c>
      <c r="S54">
        <v>5.7327541864491897E-2</v>
      </c>
      <c r="T54">
        <v>1.4532245354553099</v>
      </c>
      <c r="U54">
        <v>1.4532245354553099</v>
      </c>
      <c r="V54">
        <v>4.5599999999999996</v>
      </c>
      <c r="W54">
        <v>6.04</v>
      </c>
      <c r="X54">
        <v>-115485</v>
      </c>
      <c r="Y54">
        <v>-9624</v>
      </c>
      <c r="Z54">
        <v>-0.48</v>
      </c>
      <c r="AA54">
        <v>12</v>
      </c>
      <c r="AB54">
        <v>6</v>
      </c>
      <c r="AC54">
        <v>6</v>
      </c>
      <c r="AD54">
        <v>50</v>
      </c>
      <c r="AE54">
        <v>15</v>
      </c>
    </row>
    <row r="55" spans="1:31" hidden="1">
      <c r="A55">
        <v>296</v>
      </c>
      <c r="B55">
        <v>7211</v>
      </c>
      <c r="C55" t="s">
        <v>110</v>
      </c>
      <c r="D55" t="s">
        <v>228</v>
      </c>
      <c r="E55">
        <v>470</v>
      </c>
      <c r="F55">
        <v>470</v>
      </c>
      <c r="G55">
        <v>1800</v>
      </c>
      <c r="H55" t="s">
        <v>220</v>
      </c>
      <c r="I55">
        <v>8273</v>
      </c>
      <c r="J55" t="s">
        <v>123</v>
      </c>
      <c r="K55" t="s">
        <v>224</v>
      </c>
      <c r="L55">
        <v>4200</v>
      </c>
      <c r="M55">
        <v>4315</v>
      </c>
      <c r="N55">
        <v>200</v>
      </c>
      <c r="O55" t="s">
        <v>222</v>
      </c>
      <c r="P55">
        <v>0.90068388326799498</v>
      </c>
      <c r="Q55">
        <v>0.93926456013987403</v>
      </c>
      <c r="R55">
        <v>2.0651976905213001E-2</v>
      </c>
      <c r="S55">
        <v>5.9364794474230598E-2</v>
      </c>
      <c r="T55">
        <v>-1.4342300087131099</v>
      </c>
      <c r="U55">
        <v>1.4342300087131099</v>
      </c>
      <c r="V55">
        <v>-4.8099999999999996</v>
      </c>
      <c r="W55">
        <v>1.97</v>
      </c>
      <c r="X55">
        <v>139074</v>
      </c>
      <c r="Y55">
        <v>8181</v>
      </c>
      <c r="Z55">
        <v>0.45</v>
      </c>
      <c r="AA55">
        <v>17</v>
      </c>
      <c r="AB55">
        <v>11</v>
      </c>
      <c r="AC55">
        <v>6</v>
      </c>
      <c r="AD55">
        <v>64.709999999999994</v>
      </c>
      <c r="AE55">
        <v>11</v>
      </c>
    </row>
    <row r="56" spans="1:31" hidden="1">
      <c r="A56">
        <v>286</v>
      </c>
      <c r="B56">
        <v>3116</v>
      </c>
      <c r="C56" t="s">
        <v>233</v>
      </c>
      <c r="D56" t="s">
        <v>228</v>
      </c>
      <c r="E56">
        <v>1480</v>
      </c>
      <c r="F56">
        <v>1470</v>
      </c>
      <c r="G56">
        <v>700</v>
      </c>
      <c r="H56" t="s">
        <v>220</v>
      </c>
      <c r="I56">
        <v>7251</v>
      </c>
      <c r="J56" t="s">
        <v>98</v>
      </c>
      <c r="K56" t="s">
        <v>228</v>
      </c>
      <c r="L56">
        <v>1643</v>
      </c>
      <c r="M56">
        <v>1627</v>
      </c>
      <c r="N56">
        <v>600</v>
      </c>
      <c r="O56" t="s">
        <v>222</v>
      </c>
      <c r="P56">
        <v>0.90233950521986095</v>
      </c>
      <c r="Q56">
        <v>0.97118196251461997</v>
      </c>
      <c r="R56">
        <v>8.3057123883932701E-2</v>
      </c>
      <c r="S56">
        <v>4.1408221442113403E-2</v>
      </c>
      <c r="T56">
        <v>-1.4172344122279299</v>
      </c>
      <c r="U56">
        <v>1.4172344122279299</v>
      </c>
      <c r="V56">
        <v>-6.3</v>
      </c>
      <c r="W56">
        <v>5.41</v>
      </c>
      <c r="X56">
        <v>231706</v>
      </c>
      <c r="Y56">
        <v>13630</v>
      </c>
      <c r="Z56">
        <v>0.71</v>
      </c>
      <c r="AA56">
        <v>17</v>
      </c>
      <c r="AB56">
        <v>10</v>
      </c>
      <c r="AC56">
        <v>7</v>
      </c>
      <c r="AD56">
        <v>58.82</v>
      </c>
      <c r="AE56">
        <v>13</v>
      </c>
    </row>
    <row r="57" spans="1:31" hidden="1">
      <c r="A57">
        <v>110</v>
      </c>
      <c r="B57">
        <v>6674</v>
      </c>
      <c r="C57" t="s">
        <v>133</v>
      </c>
      <c r="D57" t="s">
        <v>231</v>
      </c>
      <c r="E57">
        <v>1843</v>
      </c>
      <c r="F57">
        <v>1840</v>
      </c>
      <c r="G57">
        <v>500</v>
      </c>
      <c r="H57" t="s">
        <v>220</v>
      </c>
      <c r="I57">
        <v>8377</v>
      </c>
      <c r="J57" t="s">
        <v>103</v>
      </c>
      <c r="K57" t="s">
        <v>225</v>
      </c>
      <c r="L57">
        <v>1028</v>
      </c>
      <c r="M57">
        <v>1031</v>
      </c>
      <c r="N57">
        <v>900</v>
      </c>
      <c r="O57" t="s">
        <v>222</v>
      </c>
      <c r="P57">
        <v>0.94086576344410899</v>
      </c>
      <c r="Q57">
        <v>0.92067679290891902</v>
      </c>
      <c r="R57">
        <v>0.15927660088812001</v>
      </c>
      <c r="S57">
        <v>0.11389699423638799</v>
      </c>
      <c r="T57">
        <v>-1.40782019277091</v>
      </c>
      <c r="U57">
        <v>1.40782019277091</v>
      </c>
      <c r="V57">
        <v>-3.47</v>
      </c>
      <c r="W57">
        <v>0.86</v>
      </c>
      <c r="X57">
        <v>-51937</v>
      </c>
      <c r="Y57">
        <v>-2885</v>
      </c>
      <c r="Z57">
        <v>-0.06</v>
      </c>
      <c r="AA57">
        <v>18</v>
      </c>
      <c r="AB57">
        <v>8</v>
      </c>
      <c r="AC57">
        <v>10</v>
      </c>
      <c r="AD57">
        <v>44.44</v>
      </c>
      <c r="AE57">
        <v>15</v>
      </c>
    </row>
    <row r="58" spans="1:31" hidden="1">
      <c r="A58">
        <v>8</v>
      </c>
      <c r="B58">
        <v>5802</v>
      </c>
      <c r="C58" t="s">
        <v>124</v>
      </c>
      <c r="D58" t="s">
        <v>227</v>
      </c>
      <c r="E58">
        <v>1347</v>
      </c>
      <c r="F58">
        <v>1349</v>
      </c>
      <c r="G58">
        <v>800</v>
      </c>
      <c r="H58" t="s">
        <v>222</v>
      </c>
      <c r="I58">
        <v>7211</v>
      </c>
      <c r="J58" t="s">
        <v>110</v>
      </c>
      <c r="K58" t="s">
        <v>228</v>
      </c>
      <c r="L58">
        <v>470</v>
      </c>
      <c r="M58">
        <v>470</v>
      </c>
      <c r="N58">
        <v>2300</v>
      </c>
      <c r="O58" t="s">
        <v>220</v>
      </c>
      <c r="P58">
        <v>0.97220316213528002</v>
      </c>
      <c r="Q58">
        <v>0.93682879166064803</v>
      </c>
      <c r="R58">
        <v>7.9772978200763303E-2</v>
      </c>
      <c r="S58">
        <v>3.7136793583489702E-2</v>
      </c>
      <c r="T58">
        <v>1.4028695598385701</v>
      </c>
      <c r="U58">
        <v>1.4028695598385701</v>
      </c>
      <c r="V58">
        <v>2.4700000000000002</v>
      </c>
      <c r="W58">
        <v>0.17</v>
      </c>
      <c r="X58">
        <v>60840</v>
      </c>
      <c r="Y58">
        <v>3579</v>
      </c>
      <c r="Z58">
        <v>0.19</v>
      </c>
      <c r="AA58">
        <v>17</v>
      </c>
      <c r="AB58">
        <v>10</v>
      </c>
      <c r="AC58">
        <v>7</v>
      </c>
      <c r="AD58">
        <v>58.82</v>
      </c>
      <c r="AE58">
        <v>14</v>
      </c>
    </row>
    <row r="59" spans="1:31" hidden="1">
      <c r="A59">
        <v>288</v>
      </c>
      <c r="B59">
        <v>8304</v>
      </c>
      <c r="C59" t="s">
        <v>255</v>
      </c>
      <c r="D59" t="s">
        <v>225</v>
      </c>
      <c r="E59">
        <v>2586</v>
      </c>
      <c r="F59">
        <v>2575</v>
      </c>
      <c r="G59">
        <v>400</v>
      </c>
      <c r="H59" t="s">
        <v>220</v>
      </c>
      <c r="I59">
        <v>8411</v>
      </c>
      <c r="J59" t="s">
        <v>158</v>
      </c>
      <c r="K59" t="s">
        <v>225</v>
      </c>
      <c r="L59">
        <v>162.6</v>
      </c>
      <c r="M59">
        <v>162.9</v>
      </c>
      <c r="N59">
        <v>6300</v>
      </c>
      <c r="O59" t="s">
        <v>222</v>
      </c>
      <c r="P59">
        <v>0.90212551330047897</v>
      </c>
      <c r="Q59">
        <v>0.92653629728350195</v>
      </c>
      <c r="R59">
        <v>0.22446625267391099</v>
      </c>
      <c r="S59">
        <v>2.1256914118746001E-2</v>
      </c>
      <c r="T59">
        <v>-1.39900273792866</v>
      </c>
      <c r="U59">
        <v>1.39900273792866</v>
      </c>
      <c r="V59">
        <v>-2.8</v>
      </c>
      <c r="W59">
        <v>0.36</v>
      </c>
      <c r="X59">
        <v>-111266</v>
      </c>
      <c r="Y59">
        <v>-5856</v>
      </c>
      <c r="Z59">
        <v>-0.34</v>
      </c>
      <c r="AA59">
        <v>19</v>
      </c>
      <c r="AB59">
        <v>6</v>
      </c>
      <c r="AC59">
        <v>13</v>
      </c>
      <c r="AD59">
        <v>31.58</v>
      </c>
      <c r="AE59">
        <v>18</v>
      </c>
    </row>
    <row r="60" spans="1:31" hidden="1">
      <c r="A60">
        <v>290</v>
      </c>
      <c r="B60">
        <v>6923</v>
      </c>
      <c r="C60" t="s">
        <v>121</v>
      </c>
      <c r="D60" t="s">
        <v>231</v>
      </c>
      <c r="E60">
        <v>2804</v>
      </c>
      <c r="F60">
        <v>2829</v>
      </c>
      <c r="G60">
        <v>300</v>
      </c>
      <c r="H60" t="s">
        <v>222</v>
      </c>
      <c r="I60">
        <v>8411</v>
      </c>
      <c r="J60" t="s">
        <v>158</v>
      </c>
      <c r="K60" t="s">
        <v>225</v>
      </c>
      <c r="L60">
        <v>162.6</v>
      </c>
      <c r="M60">
        <v>162.9</v>
      </c>
      <c r="N60">
        <v>5200</v>
      </c>
      <c r="O60" t="s">
        <v>220</v>
      </c>
      <c r="P60">
        <v>0.90164628043942496</v>
      </c>
      <c r="Q60">
        <v>0.93460075052151004</v>
      </c>
      <c r="R60">
        <v>8.6064921690264307E-2</v>
      </c>
      <c r="S60">
        <v>5.8091628707017402E-2</v>
      </c>
      <c r="T60">
        <v>1.3838801867285699</v>
      </c>
      <c r="U60">
        <v>1.3838801867285699</v>
      </c>
      <c r="V60">
        <v>2.79</v>
      </c>
      <c r="W60">
        <v>0.19</v>
      </c>
      <c r="X60">
        <v>92357</v>
      </c>
      <c r="Y60">
        <v>4861</v>
      </c>
      <c r="Z60">
        <v>0.25</v>
      </c>
      <c r="AA60">
        <v>19</v>
      </c>
      <c r="AB60">
        <v>9</v>
      </c>
      <c r="AC60">
        <v>10</v>
      </c>
      <c r="AD60">
        <v>47.37</v>
      </c>
      <c r="AE60">
        <v>14</v>
      </c>
    </row>
    <row r="61" spans="1:31" hidden="1">
      <c r="A61">
        <v>238</v>
      </c>
      <c r="B61">
        <v>1605</v>
      </c>
      <c r="C61" t="s">
        <v>256</v>
      </c>
      <c r="D61" t="s">
        <v>257</v>
      </c>
      <c r="E61">
        <v>940</v>
      </c>
      <c r="F61">
        <v>946.8</v>
      </c>
      <c r="G61">
        <v>1100</v>
      </c>
      <c r="H61" t="s">
        <v>220</v>
      </c>
      <c r="I61">
        <v>8002</v>
      </c>
      <c r="J61" t="s">
        <v>114</v>
      </c>
      <c r="K61" t="s">
        <v>250</v>
      </c>
      <c r="L61">
        <v>710.4</v>
      </c>
      <c r="M61">
        <v>722.7</v>
      </c>
      <c r="N61">
        <v>1400</v>
      </c>
      <c r="O61" t="s">
        <v>222</v>
      </c>
      <c r="P61">
        <v>0.91251540590491897</v>
      </c>
      <c r="Q61">
        <v>0.927039492926375</v>
      </c>
      <c r="R61">
        <v>0.27663266353994098</v>
      </c>
      <c r="S61">
        <v>5.5875032043639798E-2</v>
      </c>
      <c r="T61">
        <v>-1.3667200320366999</v>
      </c>
      <c r="U61">
        <v>1.3667200320366999</v>
      </c>
      <c r="V61">
        <v>-2.99</v>
      </c>
      <c r="W61">
        <v>2.85</v>
      </c>
      <c r="X61">
        <v>-32190</v>
      </c>
      <c r="Y61">
        <v>-2012</v>
      </c>
      <c r="Z61">
        <v>-0.13</v>
      </c>
      <c r="AA61">
        <v>16</v>
      </c>
      <c r="AB61">
        <v>8</v>
      </c>
      <c r="AC61">
        <v>8</v>
      </c>
      <c r="AD61">
        <v>50</v>
      </c>
      <c r="AE61">
        <v>14</v>
      </c>
    </row>
    <row r="62" spans="1:31" hidden="1">
      <c r="A62">
        <v>189</v>
      </c>
      <c r="B62">
        <v>4061</v>
      </c>
      <c r="C62" t="s">
        <v>240</v>
      </c>
      <c r="D62" t="s">
        <v>221</v>
      </c>
      <c r="E62">
        <v>2914</v>
      </c>
      <c r="F62">
        <v>2911</v>
      </c>
      <c r="G62">
        <v>300</v>
      </c>
      <c r="H62" t="s">
        <v>222</v>
      </c>
      <c r="I62">
        <v>7731</v>
      </c>
      <c r="J62" t="s">
        <v>120</v>
      </c>
      <c r="K62" t="s">
        <v>244</v>
      </c>
      <c r="L62">
        <v>1320</v>
      </c>
      <c r="M62">
        <v>1335</v>
      </c>
      <c r="N62">
        <v>700</v>
      </c>
      <c r="O62" t="s">
        <v>220</v>
      </c>
      <c r="P62">
        <v>0.92464228996202202</v>
      </c>
      <c r="Q62">
        <v>0.93277695155092399</v>
      </c>
      <c r="R62">
        <v>2.9227250519619399E-2</v>
      </c>
      <c r="S62">
        <v>5.9482843297793502E-4</v>
      </c>
      <c r="T62">
        <v>1.35586008997106</v>
      </c>
      <c r="U62">
        <v>1.35586008997106</v>
      </c>
      <c r="V62">
        <v>3.26</v>
      </c>
      <c r="W62">
        <v>7.01</v>
      </c>
      <c r="X62">
        <v>-172301</v>
      </c>
      <c r="Y62">
        <v>-9068</v>
      </c>
      <c r="Z62">
        <v>-0.52</v>
      </c>
      <c r="AA62">
        <v>19</v>
      </c>
      <c r="AB62">
        <v>8</v>
      </c>
      <c r="AC62">
        <v>11</v>
      </c>
      <c r="AD62">
        <v>42.11</v>
      </c>
      <c r="AE62">
        <v>12</v>
      </c>
    </row>
    <row r="63" spans="1:31" hidden="1">
      <c r="A63">
        <v>278</v>
      </c>
      <c r="B63">
        <v>4118</v>
      </c>
      <c r="C63" t="s">
        <v>258</v>
      </c>
      <c r="D63" t="s">
        <v>221</v>
      </c>
      <c r="E63">
        <v>3385</v>
      </c>
      <c r="F63">
        <v>3395</v>
      </c>
      <c r="G63">
        <v>300</v>
      </c>
      <c r="H63" t="s">
        <v>222</v>
      </c>
      <c r="I63">
        <v>4902</v>
      </c>
      <c r="J63" t="s">
        <v>143</v>
      </c>
      <c r="K63" t="s">
        <v>231</v>
      </c>
      <c r="L63">
        <v>726</v>
      </c>
      <c r="M63">
        <v>739</v>
      </c>
      <c r="N63">
        <v>1400</v>
      </c>
      <c r="O63" t="s">
        <v>220</v>
      </c>
      <c r="P63">
        <v>0.90495868819551395</v>
      </c>
      <c r="Q63">
        <v>0.90524089740694302</v>
      </c>
      <c r="R63">
        <v>0.34844784663038098</v>
      </c>
      <c r="S63">
        <v>7.5977154965383403E-2</v>
      </c>
      <c r="T63">
        <v>1.34676470132628</v>
      </c>
      <c r="U63">
        <v>1.34676470132628</v>
      </c>
      <c r="V63">
        <v>9.08</v>
      </c>
      <c r="W63">
        <v>1.58</v>
      </c>
      <c r="X63">
        <v>254644</v>
      </c>
      <c r="Y63">
        <v>14147</v>
      </c>
      <c r="Z63">
        <v>0.88</v>
      </c>
      <c r="AA63">
        <v>18</v>
      </c>
      <c r="AB63">
        <v>12</v>
      </c>
      <c r="AC63">
        <v>6</v>
      </c>
      <c r="AD63">
        <v>66.67</v>
      </c>
      <c r="AE63">
        <v>11</v>
      </c>
    </row>
    <row r="64" spans="1:31" hidden="1">
      <c r="A64">
        <v>230</v>
      </c>
      <c r="B64">
        <v>4581</v>
      </c>
      <c r="C64" t="s">
        <v>108</v>
      </c>
      <c r="D64" t="s">
        <v>247</v>
      </c>
      <c r="E64">
        <v>7780</v>
      </c>
      <c r="F64">
        <v>7720</v>
      </c>
      <c r="G64">
        <v>100</v>
      </c>
      <c r="H64" t="s">
        <v>222</v>
      </c>
      <c r="I64">
        <v>6674</v>
      </c>
      <c r="J64" t="s">
        <v>133</v>
      </c>
      <c r="K64" t="s">
        <v>231</v>
      </c>
      <c r="L64">
        <v>1843</v>
      </c>
      <c r="M64">
        <v>1840</v>
      </c>
      <c r="N64">
        <v>400</v>
      </c>
      <c r="O64" t="s">
        <v>220</v>
      </c>
      <c r="P64">
        <v>0.91471159564566096</v>
      </c>
      <c r="Q64">
        <v>0.92333562695821203</v>
      </c>
      <c r="R64">
        <v>8.6482318812616907E-2</v>
      </c>
      <c r="S64">
        <v>0.28154160209642398</v>
      </c>
      <c r="T64">
        <v>1.3312969384633899</v>
      </c>
      <c r="U64">
        <v>1.3312969384633899</v>
      </c>
      <c r="V64">
        <v>2.89</v>
      </c>
      <c r="W64">
        <v>4.66</v>
      </c>
      <c r="X64">
        <v>-62185</v>
      </c>
      <c r="Y64">
        <v>-5182</v>
      </c>
      <c r="Z64">
        <v>-0.3</v>
      </c>
      <c r="AA64">
        <v>12</v>
      </c>
      <c r="AB64">
        <v>5</v>
      </c>
      <c r="AC64">
        <v>7</v>
      </c>
      <c r="AD64">
        <v>41.67</v>
      </c>
      <c r="AE64">
        <v>13</v>
      </c>
    </row>
    <row r="65" spans="1:31" hidden="1">
      <c r="A65">
        <v>38</v>
      </c>
      <c r="B65">
        <v>7211</v>
      </c>
      <c r="C65" t="s">
        <v>110</v>
      </c>
      <c r="D65" t="s">
        <v>228</v>
      </c>
      <c r="E65">
        <v>470</v>
      </c>
      <c r="F65">
        <v>470</v>
      </c>
      <c r="G65">
        <v>2300</v>
      </c>
      <c r="H65" t="s">
        <v>220</v>
      </c>
      <c r="I65">
        <v>8242</v>
      </c>
      <c r="J65" t="s">
        <v>151</v>
      </c>
      <c r="K65" t="s">
        <v>224</v>
      </c>
      <c r="L65">
        <v>1204</v>
      </c>
      <c r="M65">
        <v>1219</v>
      </c>
      <c r="N65">
        <v>900</v>
      </c>
      <c r="O65" t="s">
        <v>222</v>
      </c>
      <c r="P65">
        <v>0.95875594575093204</v>
      </c>
      <c r="Q65">
        <v>0.94943719026715501</v>
      </c>
      <c r="R65">
        <v>1.49117310559739E-2</v>
      </c>
      <c r="S65">
        <v>0.11136688244422401</v>
      </c>
      <c r="T65">
        <v>-1.28930456427483</v>
      </c>
      <c r="U65">
        <v>1.28930456427483</v>
      </c>
      <c r="V65">
        <v>-3.42</v>
      </c>
      <c r="W65">
        <v>1.47</v>
      </c>
      <c r="X65">
        <v>258024</v>
      </c>
      <c r="Y65">
        <v>16126</v>
      </c>
      <c r="Z65">
        <v>0.82</v>
      </c>
      <c r="AA65">
        <v>16</v>
      </c>
      <c r="AB65">
        <v>9</v>
      </c>
      <c r="AC65">
        <v>7</v>
      </c>
      <c r="AD65">
        <v>56.25</v>
      </c>
      <c r="AE65">
        <v>11</v>
      </c>
    </row>
    <row r="66" spans="1:31" hidden="1">
      <c r="A66">
        <v>170</v>
      </c>
      <c r="B66">
        <v>6481</v>
      </c>
      <c r="C66" t="s">
        <v>259</v>
      </c>
      <c r="D66" t="s">
        <v>230</v>
      </c>
      <c r="E66">
        <v>2770</v>
      </c>
      <c r="F66">
        <v>2797</v>
      </c>
      <c r="G66">
        <v>200</v>
      </c>
      <c r="H66" t="s">
        <v>220</v>
      </c>
      <c r="I66">
        <v>6856</v>
      </c>
      <c r="J66" t="s">
        <v>112</v>
      </c>
      <c r="K66" t="s">
        <v>231</v>
      </c>
      <c r="L66">
        <v>6350</v>
      </c>
      <c r="M66">
        <v>6350</v>
      </c>
      <c r="N66">
        <v>100</v>
      </c>
      <c r="O66" t="s">
        <v>222</v>
      </c>
      <c r="P66">
        <v>0.92823936019034803</v>
      </c>
      <c r="Q66">
        <v>0.92214824386497696</v>
      </c>
      <c r="R66">
        <v>0.20835192654687601</v>
      </c>
      <c r="S66">
        <v>7.2756158617870896E-3</v>
      </c>
      <c r="T66">
        <v>-1.2867236441302401</v>
      </c>
      <c r="U66">
        <v>1.2867236441302401</v>
      </c>
      <c r="V66">
        <v>-3.34</v>
      </c>
      <c r="W66">
        <v>11.91</v>
      </c>
      <c r="X66">
        <v>19908</v>
      </c>
      <c r="Y66">
        <v>1810</v>
      </c>
      <c r="Z66">
        <v>-0.11</v>
      </c>
      <c r="AA66">
        <v>11</v>
      </c>
      <c r="AB66">
        <v>6</v>
      </c>
      <c r="AC66">
        <v>5</v>
      </c>
      <c r="AD66">
        <v>54.55</v>
      </c>
      <c r="AE66">
        <v>12</v>
      </c>
    </row>
    <row r="67" spans="1:31" hidden="1">
      <c r="A67">
        <v>90</v>
      </c>
      <c r="B67">
        <v>7202</v>
      </c>
      <c r="C67" t="s">
        <v>141</v>
      </c>
      <c r="D67" t="s">
        <v>228</v>
      </c>
      <c r="E67">
        <v>1161</v>
      </c>
      <c r="F67">
        <v>1159.5</v>
      </c>
      <c r="G67">
        <v>900</v>
      </c>
      <c r="H67" t="s">
        <v>220</v>
      </c>
      <c r="I67">
        <v>7267</v>
      </c>
      <c r="J67" t="s">
        <v>142</v>
      </c>
      <c r="K67" t="s">
        <v>228</v>
      </c>
      <c r="L67">
        <v>2726.5</v>
      </c>
      <c r="M67">
        <v>2724</v>
      </c>
      <c r="N67">
        <v>400</v>
      </c>
      <c r="O67" t="s">
        <v>222</v>
      </c>
      <c r="P67">
        <v>0.94573148107495997</v>
      </c>
      <c r="Q67">
        <v>0.91414994698139496</v>
      </c>
      <c r="R67">
        <v>4.0843162762590403E-2</v>
      </c>
      <c r="S67">
        <v>5.4275158259468097E-2</v>
      </c>
      <c r="T67">
        <v>-1.2788308383687299</v>
      </c>
      <c r="U67">
        <v>1.2788308383687299</v>
      </c>
      <c r="V67">
        <v>-2.59</v>
      </c>
      <c r="W67">
        <v>4.2300000000000004</v>
      </c>
      <c r="X67">
        <v>88797</v>
      </c>
      <c r="Y67">
        <v>5550</v>
      </c>
      <c r="Z67">
        <v>0.27</v>
      </c>
      <c r="AA67">
        <v>16</v>
      </c>
      <c r="AB67">
        <v>10</v>
      </c>
      <c r="AC67">
        <v>6</v>
      </c>
      <c r="AD67">
        <v>62.5</v>
      </c>
      <c r="AE67">
        <v>15</v>
      </c>
    </row>
    <row r="68" spans="1:31" hidden="1">
      <c r="A68">
        <v>61</v>
      </c>
      <c r="B68">
        <v>6471</v>
      </c>
      <c r="C68" t="s">
        <v>248</v>
      </c>
      <c r="D68" t="s">
        <v>230</v>
      </c>
      <c r="E68">
        <v>921</v>
      </c>
      <c r="F68">
        <v>926</v>
      </c>
      <c r="G68">
        <v>1100</v>
      </c>
      <c r="H68" t="s">
        <v>222</v>
      </c>
      <c r="I68">
        <v>6473</v>
      </c>
      <c r="J68" t="s">
        <v>157</v>
      </c>
      <c r="K68" t="s">
        <v>230</v>
      </c>
      <c r="L68">
        <v>1225</v>
      </c>
      <c r="M68">
        <v>1231</v>
      </c>
      <c r="N68">
        <v>800</v>
      </c>
      <c r="O68" t="s">
        <v>220</v>
      </c>
      <c r="P68">
        <v>0.95248298687500799</v>
      </c>
      <c r="Q68">
        <v>0.95966155958731303</v>
      </c>
      <c r="R68">
        <v>0.36863635252257099</v>
      </c>
      <c r="S68">
        <v>3.1250988441383E-2</v>
      </c>
      <c r="T68">
        <v>1.2780363087501101</v>
      </c>
      <c r="U68">
        <v>1.2780363087501101</v>
      </c>
      <c r="V68">
        <v>2.21</v>
      </c>
      <c r="W68">
        <v>3.43</v>
      </c>
      <c r="X68">
        <v>-71891</v>
      </c>
      <c r="Y68">
        <v>-4793</v>
      </c>
      <c r="Z68">
        <v>-0.24</v>
      </c>
      <c r="AA68">
        <v>15</v>
      </c>
      <c r="AB68">
        <v>9</v>
      </c>
      <c r="AC68">
        <v>6</v>
      </c>
      <c r="AD68">
        <v>60</v>
      </c>
      <c r="AE68">
        <v>15</v>
      </c>
    </row>
    <row r="69" spans="1:31" hidden="1">
      <c r="A69">
        <v>155</v>
      </c>
      <c r="B69">
        <v>4202</v>
      </c>
      <c r="C69" t="s">
        <v>149</v>
      </c>
      <c r="D69" t="s">
        <v>221</v>
      </c>
      <c r="E69">
        <v>912</v>
      </c>
      <c r="F69">
        <v>916</v>
      </c>
      <c r="G69">
        <v>1100</v>
      </c>
      <c r="H69" t="s">
        <v>222</v>
      </c>
      <c r="I69">
        <v>7182</v>
      </c>
      <c r="J69" t="s">
        <v>106</v>
      </c>
      <c r="K69" t="s">
        <v>225</v>
      </c>
      <c r="L69">
        <v>1028</v>
      </c>
      <c r="M69">
        <v>1036</v>
      </c>
      <c r="N69">
        <v>1000</v>
      </c>
      <c r="O69" t="s">
        <v>220</v>
      </c>
      <c r="P69">
        <v>0.93169711222276397</v>
      </c>
      <c r="Q69">
        <v>0.93995324827056403</v>
      </c>
      <c r="R69">
        <v>1.6043441257314E-4</v>
      </c>
      <c r="S69">
        <v>2.3671631556109698E-2</v>
      </c>
      <c r="T69">
        <v>1.25361665115416</v>
      </c>
      <c r="U69">
        <v>1.25361665115416</v>
      </c>
      <c r="V69">
        <v>3.33</v>
      </c>
      <c r="W69">
        <v>2.74</v>
      </c>
      <c r="X69">
        <v>105475</v>
      </c>
      <c r="Y69">
        <v>7032</v>
      </c>
      <c r="Z69">
        <v>0.38</v>
      </c>
      <c r="AA69">
        <v>15</v>
      </c>
      <c r="AB69">
        <v>7</v>
      </c>
      <c r="AC69">
        <v>8</v>
      </c>
      <c r="AD69">
        <v>46.67</v>
      </c>
      <c r="AE69">
        <v>15</v>
      </c>
    </row>
    <row r="70" spans="1:31" hidden="1">
      <c r="A70">
        <v>245</v>
      </c>
      <c r="B70">
        <v>7846</v>
      </c>
      <c r="C70" t="s">
        <v>152</v>
      </c>
      <c r="D70" t="s">
        <v>260</v>
      </c>
      <c r="E70">
        <v>3940</v>
      </c>
      <c r="F70">
        <v>3965</v>
      </c>
      <c r="G70">
        <v>200</v>
      </c>
      <c r="H70" t="s">
        <v>222</v>
      </c>
      <c r="I70">
        <v>8377</v>
      </c>
      <c r="J70" t="s">
        <v>103</v>
      </c>
      <c r="K70" t="s">
        <v>225</v>
      </c>
      <c r="L70">
        <v>1028</v>
      </c>
      <c r="M70">
        <v>1031</v>
      </c>
      <c r="N70">
        <v>800</v>
      </c>
      <c r="O70" t="s">
        <v>220</v>
      </c>
      <c r="P70">
        <v>0.91045795436287202</v>
      </c>
      <c r="Q70">
        <v>0.91331178954890402</v>
      </c>
      <c r="R70">
        <v>0.146078023066081</v>
      </c>
      <c r="S70">
        <v>0.25892082002285199</v>
      </c>
      <c r="T70">
        <v>1.21499865686716</v>
      </c>
      <c r="U70">
        <v>1.21499865686716</v>
      </c>
      <c r="V70">
        <v>3.27</v>
      </c>
      <c r="W70">
        <v>4.01</v>
      </c>
      <c r="X70">
        <v>27213</v>
      </c>
      <c r="Y70">
        <v>1944</v>
      </c>
      <c r="Z70">
        <v>0.34</v>
      </c>
      <c r="AA70">
        <v>14</v>
      </c>
      <c r="AB70">
        <v>8</v>
      </c>
      <c r="AC70">
        <v>6</v>
      </c>
      <c r="AD70">
        <v>57.14</v>
      </c>
      <c r="AE70">
        <v>13</v>
      </c>
    </row>
    <row r="71" spans="1:31" hidden="1">
      <c r="A71">
        <v>0</v>
      </c>
      <c r="B71">
        <v>4118</v>
      </c>
      <c r="C71" t="s">
        <v>258</v>
      </c>
      <c r="D71" t="s">
        <v>221</v>
      </c>
      <c r="E71">
        <v>3385</v>
      </c>
      <c r="F71">
        <v>3395</v>
      </c>
      <c r="G71">
        <v>300</v>
      </c>
      <c r="H71" t="s">
        <v>220</v>
      </c>
      <c r="I71">
        <v>4401</v>
      </c>
      <c r="J71" t="s">
        <v>184</v>
      </c>
      <c r="K71" t="s">
        <v>221</v>
      </c>
      <c r="L71">
        <v>1364</v>
      </c>
      <c r="M71">
        <v>1375</v>
      </c>
      <c r="N71">
        <v>700</v>
      </c>
      <c r="O71" t="s">
        <v>222</v>
      </c>
      <c r="P71">
        <v>0.99240241741256596</v>
      </c>
      <c r="Q71">
        <v>0.929384578615436</v>
      </c>
      <c r="R71">
        <v>2.30041021033279E-2</v>
      </c>
      <c r="S71">
        <v>0.35764267059624</v>
      </c>
      <c r="T71">
        <v>-1.2102630300113499</v>
      </c>
      <c r="U71">
        <v>1.2102630300113499</v>
      </c>
      <c r="V71">
        <v>-1.49</v>
      </c>
      <c r="W71">
        <v>5.5</v>
      </c>
      <c r="X71">
        <v>306774</v>
      </c>
      <c r="Y71">
        <v>21912</v>
      </c>
      <c r="Z71">
        <v>1.0900000000000001</v>
      </c>
      <c r="AA71">
        <v>14</v>
      </c>
      <c r="AB71">
        <v>9</v>
      </c>
      <c r="AC71">
        <v>5</v>
      </c>
      <c r="AD71">
        <v>64.290000000000006</v>
      </c>
      <c r="AE71">
        <v>15</v>
      </c>
    </row>
    <row r="72" spans="1:31" hidden="1">
      <c r="A72">
        <v>178</v>
      </c>
      <c r="B72">
        <v>4061</v>
      </c>
      <c r="C72" t="s">
        <v>240</v>
      </c>
      <c r="D72" t="s">
        <v>221</v>
      </c>
      <c r="E72">
        <v>2914</v>
      </c>
      <c r="F72">
        <v>2911</v>
      </c>
      <c r="G72">
        <v>300</v>
      </c>
      <c r="H72" t="s">
        <v>220</v>
      </c>
      <c r="I72">
        <v>7167</v>
      </c>
      <c r="J72" t="s">
        <v>129</v>
      </c>
      <c r="K72" t="s">
        <v>225</v>
      </c>
      <c r="L72">
        <v>260</v>
      </c>
      <c r="M72">
        <v>261</v>
      </c>
      <c r="N72">
        <v>3300</v>
      </c>
      <c r="O72" t="s">
        <v>222</v>
      </c>
      <c r="P72">
        <v>0.92709612788011098</v>
      </c>
      <c r="Q72">
        <v>0.93924339745555296</v>
      </c>
      <c r="R72">
        <v>0.26590962079513097</v>
      </c>
      <c r="S72">
        <v>2.3954176823614899E-2</v>
      </c>
      <c r="T72">
        <v>-1.1887369870995801</v>
      </c>
      <c r="U72">
        <v>1.1887369870995801</v>
      </c>
      <c r="V72">
        <v>-3.22</v>
      </c>
      <c r="W72">
        <v>1.37</v>
      </c>
      <c r="X72">
        <v>-31917</v>
      </c>
      <c r="Y72">
        <v>-1596</v>
      </c>
      <c r="Z72">
        <v>-0.06</v>
      </c>
      <c r="AA72">
        <v>20</v>
      </c>
      <c r="AB72">
        <v>10</v>
      </c>
      <c r="AC72">
        <v>10</v>
      </c>
      <c r="AD72">
        <v>50</v>
      </c>
      <c r="AE72">
        <v>15</v>
      </c>
    </row>
    <row r="73" spans="1:31" hidden="1">
      <c r="A73">
        <v>37</v>
      </c>
      <c r="B73">
        <v>6752</v>
      </c>
      <c r="C73" t="s">
        <v>137</v>
      </c>
      <c r="D73" t="s">
        <v>231</v>
      </c>
      <c r="E73">
        <v>877.2</v>
      </c>
      <c r="F73">
        <v>874.4</v>
      </c>
      <c r="G73">
        <v>1200</v>
      </c>
      <c r="H73" t="s">
        <v>220</v>
      </c>
      <c r="I73">
        <v>8795</v>
      </c>
      <c r="J73" t="s">
        <v>166</v>
      </c>
      <c r="K73" t="s">
        <v>253</v>
      </c>
      <c r="L73">
        <v>1156.5</v>
      </c>
      <c r="M73">
        <v>1162</v>
      </c>
      <c r="N73">
        <v>900</v>
      </c>
      <c r="O73" t="s">
        <v>222</v>
      </c>
      <c r="P73">
        <v>0.95881394501267803</v>
      </c>
      <c r="Q73">
        <v>0.94250426452198</v>
      </c>
      <c r="R73">
        <v>3.3920443129342802E-2</v>
      </c>
      <c r="S73">
        <v>0.16485043479523001</v>
      </c>
      <c r="T73">
        <v>-1.1785341373881899</v>
      </c>
      <c r="U73">
        <v>1.1785341373881899</v>
      </c>
      <c r="V73">
        <v>-3.08</v>
      </c>
      <c r="W73">
        <v>0.33</v>
      </c>
      <c r="X73">
        <v>-6055</v>
      </c>
      <c r="Y73">
        <v>-356</v>
      </c>
      <c r="Z73">
        <v>0.02</v>
      </c>
      <c r="AA73">
        <v>17</v>
      </c>
      <c r="AB73">
        <v>8</v>
      </c>
      <c r="AC73">
        <v>9</v>
      </c>
      <c r="AD73">
        <v>47.06</v>
      </c>
      <c r="AE73">
        <v>14</v>
      </c>
    </row>
    <row r="74" spans="1:31" hidden="1">
      <c r="A74">
        <v>74</v>
      </c>
      <c r="B74">
        <v>5991</v>
      </c>
      <c r="C74" t="s">
        <v>117</v>
      </c>
      <c r="D74" t="s">
        <v>232</v>
      </c>
      <c r="E74">
        <v>809</v>
      </c>
      <c r="F74">
        <v>810</v>
      </c>
      <c r="G74">
        <v>1300</v>
      </c>
      <c r="H74" t="s">
        <v>222</v>
      </c>
      <c r="I74">
        <v>7202</v>
      </c>
      <c r="J74" t="s">
        <v>141</v>
      </c>
      <c r="K74" t="s">
        <v>228</v>
      </c>
      <c r="L74">
        <v>1161</v>
      </c>
      <c r="M74">
        <v>1159.5</v>
      </c>
      <c r="N74">
        <v>900</v>
      </c>
      <c r="O74" t="s">
        <v>220</v>
      </c>
      <c r="P74">
        <v>0.94969734775509596</v>
      </c>
      <c r="Q74">
        <v>0.94509523633736703</v>
      </c>
      <c r="R74">
        <v>0.197420396440871</v>
      </c>
      <c r="S74">
        <v>0.16459456444496401</v>
      </c>
      <c r="T74">
        <v>1.1580060852254599</v>
      </c>
      <c r="U74">
        <v>1.1580060852254599</v>
      </c>
      <c r="V74">
        <v>2.67</v>
      </c>
      <c r="W74">
        <v>0.91</v>
      </c>
      <c r="X74">
        <v>-33533</v>
      </c>
      <c r="Y74">
        <v>-2096</v>
      </c>
      <c r="Z74">
        <v>-0.08</v>
      </c>
      <c r="AA74">
        <v>16</v>
      </c>
      <c r="AB74">
        <v>6</v>
      </c>
      <c r="AC74">
        <v>10</v>
      </c>
      <c r="AD74">
        <v>37.5</v>
      </c>
      <c r="AE74">
        <v>15</v>
      </c>
    </row>
    <row r="75" spans="1:31" hidden="1">
      <c r="A75">
        <v>242</v>
      </c>
      <c r="B75">
        <v>4996</v>
      </c>
      <c r="C75" t="s">
        <v>261</v>
      </c>
      <c r="D75" t="s">
        <v>221</v>
      </c>
      <c r="E75">
        <v>963</v>
      </c>
      <c r="F75">
        <v>973</v>
      </c>
      <c r="G75">
        <v>1000</v>
      </c>
      <c r="H75" t="s">
        <v>220</v>
      </c>
      <c r="I75">
        <v>6857</v>
      </c>
      <c r="J75" t="s">
        <v>159</v>
      </c>
      <c r="K75" t="s">
        <v>231</v>
      </c>
      <c r="L75">
        <v>4870</v>
      </c>
      <c r="M75">
        <v>5060</v>
      </c>
      <c r="N75">
        <v>200</v>
      </c>
      <c r="O75" t="s">
        <v>222</v>
      </c>
      <c r="P75">
        <v>0.91155795023168495</v>
      </c>
      <c r="Q75">
        <v>0.90591590229992602</v>
      </c>
      <c r="R75">
        <v>7.0579518120238799E-2</v>
      </c>
      <c r="S75">
        <v>5.5425554484906499E-2</v>
      </c>
      <c r="T75">
        <v>-1.15422469806607</v>
      </c>
      <c r="U75">
        <v>1.15422469806607</v>
      </c>
      <c r="V75">
        <v>-16.27</v>
      </c>
      <c r="W75">
        <v>3.85</v>
      </c>
      <c r="X75">
        <v>380049</v>
      </c>
      <c r="Y75">
        <v>29235</v>
      </c>
      <c r="Z75">
        <v>1.34</v>
      </c>
      <c r="AA75">
        <v>13</v>
      </c>
      <c r="AB75">
        <v>8</v>
      </c>
      <c r="AC75">
        <v>5</v>
      </c>
      <c r="AD75">
        <v>61.54</v>
      </c>
      <c r="AE75">
        <v>11</v>
      </c>
    </row>
    <row r="76" spans="1:31" hidden="1">
      <c r="A76">
        <v>158</v>
      </c>
      <c r="B76">
        <v>6371</v>
      </c>
      <c r="C76" t="s">
        <v>132</v>
      </c>
      <c r="D76" t="s">
        <v>230</v>
      </c>
      <c r="E76">
        <v>3400</v>
      </c>
      <c r="F76">
        <v>3420</v>
      </c>
      <c r="G76">
        <v>300</v>
      </c>
      <c r="H76" t="s">
        <v>220</v>
      </c>
      <c r="I76">
        <v>7762</v>
      </c>
      <c r="J76" t="s">
        <v>181</v>
      </c>
      <c r="K76" t="s">
        <v>244</v>
      </c>
      <c r="L76">
        <v>543</v>
      </c>
      <c r="M76">
        <v>545</v>
      </c>
      <c r="N76">
        <v>1900</v>
      </c>
      <c r="O76" t="s">
        <v>222</v>
      </c>
      <c r="P76">
        <v>0.93099759525936998</v>
      </c>
      <c r="Q76">
        <v>0.93129691153741101</v>
      </c>
      <c r="R76">
        <v>8.0177571621121695E-3</v>
      </c>
      <c r="S76">
        <v>0.249412323206058</v>
      </c>
      <c r="T76">
        <v>-1.1430233200936999</v>
      </c>
      <c r="U76">
        <v>1.1430233200936999</v>
      </c>
      <c r="V76">
        <v>-2.3199999999999998</v>
      </c>
      <c r="W76">
        <v>0.93</v>
      </c>
      <c r="X76">
        <v>276294</v>
      </c>
      <c r="Y76">
        <v>14542</v>
      </c>
      <c r="Z76">
        <v>0.78</v>
      </c>
      <c r="AA76">
        <v>19</v>
      </c>
      <c r="AB76">
        <v>13</v>
      </c>
      <c r="AC76">
        <v>6</v>
      </c>
      <c r="AD76">
        <v>68.42</v>
      </c>
      <c r="AE76">
        <v>13</v>
      </c>
    </row>
    <row r="77" spans="1:31" hidden="1">
      <c r="A77">
        <v>25</v>
      </c>
      <c r="B77">
        <v>3099</v>
      </c>
      <c r="C77" t="s">
        <v>234</v>
      </c>
      <c r="D77" t="s">
        <v>224</v>
      </c>
      <c r="E77">
        <v>867</v>
      </c>
      <c r="F77">
        <v>878</v>
      </c>
      <c r="G77">
        <v>1200</v>
      </c>
      <c r="H77" t="s">
        <v>222</v>
      </c>
      <c r="I77">
        <v>8242</v>
      </c>
      <c r="J77" t="s">
        <v>151</v>
      </c>
      <c r="K77" t="s">
        <v>224</v>
      </c>
      <c r="L77">
        <v>1204</v>
      </c>
      <c r="M77">
        <v>1219</v>
      </c>
      <c r="N77">
        <v>900</v>
      </c>
      <c r="O77" t="s">
        <v>220</v>
      </c>
      <c r="P77">
        <v>0.96146423976109696</v>
      </c>
      <c r="Q77">
        <v>0.97488312090046303</v>
      </c>
      <c r="R77">
        <v>1.40737596459483E-2</v>
      </c>
      <c r="S77">
        <v>5.32956496491802E-4</v>
      </c>
      <c r="T77">
        <v>1.1413369746108399</v>
      </c>
      <c r="U77">
        <v>1.1413369746108399</v>
      </c>
      <c r="V77">
        <v>1.84</v>
      </c>
      <c r="W77">
        <v>3.96</v>
      </c>
      <c r="X77">
        <v>153254</v>
      </c>
      <c r="Y77">
        <v>11789</v>
      </c>
      <c r="Z77">
        <v>0.63</v>
      </c>
      <c r="AA77">
        <v>13</v>
      </c>
      <c r="AB77">
        <v>9</v>
      </c>
      <c r="AC77">
        <v>4</v>
      </c>
      <c r="AD77">
        <v>69.23</v>
      </c>
      <c r="AE77">
        <v>11</v>
      </c>
    </row>
    <row r="78" spans="1:31" hidden="1">
      <c r="A78">
        <v>169</v>
      </c>
      <c r="B78">
        <v>4208</v>
      </c>
      <c r="C78" t="s">
        <v>126</v>
      </c>
      <c r="D78" t="s">
        <v>221</v>
      </c>
      <c r="E78">
        <v>2158</v>
      </c>
      <c r="F78">
        <v>2171</v>
      </c>
      <c r="G78">
        <v>400</v>
      </c>
      <c r="H78" t="s">
        <v>222</v>
      </c>
      <c r="I78">
        <v>6301</v>
      </c>
      <c r="J78" t="s">
        <v>119</v>
      </c>
      <c r="K78" t="s">
        <v>230</v>
      </c>
      <c r="L78">
        <v>2382</v>
      </c>
      <c r="M78">
        <v>2391.5</v>
      </c>
      <c r="N78">
        <v>400</v>
      </c>
      <c r="O78" t="s">
        <v>220</v>
      </c>
      <c r="P78">
        <v>0.92864354181850906</v>
      </c>
      <c r="Q78">
        <v>0.92756504714688004</v>
      </c>
      <c r="R78">
        <v>0.220258669296959</v>
      </c>
      <c r="S78">
        <v>1.0357396323783E-2</v>
      </c>
      <c r="T78">
        <v>1.13815667278622</v>
      </c>
      <c r="U78">
        <v>1.13815667278622</v>
      </c>
      <c r="V78">
        <v>2.25</v>
      </c>
      <c r="W78">
        <v>9.2200000000000006</v>
      </c>
      <c r="X78">
        <v>346563</v>
      </c>
      <c r="Y78">
        <v>31506</v>
      </c>
      <c r="Z78">
        <v>1.64</v>
      </c>
      <c r="AA78">
        <v>11</v>
      </c>
      <c r="AB78">
        <v>8</v>
      </c>
      <c r="AC78">
        <v>3</v>
      </c>
      <c r="AD78">
        <v>72.73</v>
      </c>
      <c r="AE78">
        <v>12</v>
      </c>
    </row>
    <row r="79" spans="1:31" hidden="1">
      <c r="A79">
        <v>71</v>
      </c>
      <c r="B79">
        <v>7180</v>
      </c>
      <c r="C79" t="s">
        <v>262</v>
      </c>
      <c r="D79" t="s">
        <v>225</v>
      </c>
      <c r="E79">
        <v>430</v>
      </c>
      <c r="F79">
        <v>432</v>
      </c>
      <c r="G79">
        <v>2500</v>
      </c>
      <c r="H79" t="s">
        <v>220</v>
      </c>
      <c r="I79">
        <v>8385</v>
      </c>
      <c r="J79" t="s">
        <v>115</v>
      </c>
      <c r="K79" t="s">
        <v>225</v>
      </c>
      <c r="L79">
        <v>566</v>
      </c>
      <c r="M79">
        <v>565</v>
      </c>
      <c r="N79">
        <v>1900</v>
      </c>
      <c r="O79" t="s">
        <v>222</v>
      </c>
      <c r="P79">
        <v>0.950402122907548</v>
      </c>
      <c r="Q79">
        <v>0.92868909622389795</v>
      </c>
      <c r="R79">
        <v>0.121500951026783</v>
      </c>
      <c r="S79">
        <v>0.36771590928136499</v>
      </c>
      <c r="T79">
        <v>-1.1376877889675301</v>
      </c>
      <c r="U79">
        <v>1.1376877889675301</v>
      </c>
      <c r="V79">
        <v>-2.5</v>
      </c>
      <c r="W79">
        <v>0.61</v>
      </c>
      <c r="X79">
        <v>-131955</v>
      </c>
      <c r="Y79">
        <v>-6945</v>
      </c>
      <c r="Z79">
        <v>-0.33</v>
      </c>
      <c r="AA79">
        <v>19</v>
      </c>
      <c r="AB79">
        <v>8</v>
      </c>
      <c r="AC79">
        <v>11</v>
      </c>
      <c r="AD79">
        <v>42.11</v>
      </c>
      <c r="AE79">
        <v>16</v>
      </c>
    </row>
    <row r="80" spans="1:31" hidden="1">
      <c r="A80">
        <v>111</v>
      </c>
      <c r="B80">
        <v>5393</v>
      </c>
      <c r="C80" t="s">
        <v>131</v>
      </c>
      <c r="D80" t="s">
        <v>229</v>
      </c>
      <c r="E80">
        <v>1829</v>
      </c>
      <c r="F80">
        <v>1875</v>
      </c>
      <c r="G80">
        <v>500</v>
      </c>
      <c r="H80" t="s">
        <v>220</v>
      </c>
      <c r="I80">
        <v>6472</v>
      </c>
      <c r="J80" t="s">
        <v>127</v>
      </c>
      <c r="K80" t="s">
        <v>230</v>
      </c>
      <c r="L80">
        <v>313</v>
      </c>
      <c r="M80">
        <v>315</v>
      </c>
      <c r="N80">
        <v>3000</v>
      </c>
      <c r="O80" t="s">
        <v>222</v>
      </c>
      <c r="P80">
        <v>0.94082376168152404</v>
      </c>
      <c r="Q80">
        <v>0.914967465907914</v>
      </c>
      <c r="R80">
        <v>0.119315396688935</v>
      </c>
      <c r="S80">
        <v>0.105970669443472</v>
      </c>
      <c r="T80">
        <v>-1.13647820661987</v>
      </c>
      <c r="U80">
        <v>1.13647820661987</v>
      </c>
      <c r="V80">
        <v>-2.9</v>
      </c>
      <c r="W80">
        <v>0.8</v>
      </c>
      <c r="X80">
        <v>153978</v>
      </c>
      <c r="Y80">
        <v>9058</v>
      </c>
      <c r="Z80">
        <v>0.49</v>
      </c>
      <c r="AA80">
        <v>17</v>
      </c>
      <c r="AB80">
        <v>9</v>
      </c>
      <c r="AC80">
        <v>8</v>
      </c>
      <c r="AD80">
        <v>52.94</v>
      </c>
      <c r="AE80">
        <v>11</v>
      </c>
    </row>
    <row r="81" spans="1:31" hidden="1">
      <c r="A81">
        <v>49</v>
      </c>
      <c r="B81">
        <v>1333</v>
      </c>
      <c r="C81" t="s">
        <v>263</v>
      </c>
      <c r="D81" t="s">
        <v>264</v>
      </c>
      <c r="E81">
        <v>2782</v>
      </c>
      <c r="F81">
        <v>2778</v>
      </c>
      <c r="G81">
        <v>300</v>
      </c>
      <c r="H81" t="s">
        <v>222</v>
      </c>
      <c r="I81">
        <v>5401</v>
      </c>
      <c r="J81" t="s">
        <v>148</v>
      </c>
      <c r="K81" t="s">
        <v>239</v>
      </c>
      <c r="L81">
        <v>1481</v>
      </c>
      <c r="M81">
        <v>1484</v>
      </c>
      <c r="N81">
        <v>600</v>
      </c>
      <c r="O81" t="s">
        <v>220</v>
      </c>
      <c r="P81">
        <v>0.95591099908735899</v>
      </c>
      <c r="Q81">
        <v>0.93482421358461598</v>
      </c>
      <c r="R81">
        <v>2.7658165263613099E-2</v>
      </c>
      <c r="S81">
        <v>0.16932454278487399</v>
      </c>
      <c r="T81">
        <v>1.13278416282709</v>
      </c>
      <c r="U81">
        <v>1.13278416282709</v>
      </c>
      <c r="V81">
        <v>3.47</v>
      </c>
      <c r="W81">
        <v>6.84</v>
      </c>
      <c r="X81">
        <v>42346</v>
      </c>
      <c r="Y81">
        <v>2823</v>
      </c>
      <c r="Z81">
        <v>0.22</v>
      </c>
      <c r="AA81">
        <v>15</v>
      </c>
      <c r="AB81">
        <v>7</v>
      </c>
      <c r="AC81">
        <v>8</v>
      </c>
      <c r="AD81">
        <v>46.67</v>
      </c>
      <c r="AE81">
        <v>12</v>
      </c>
    </row>
    <row r="82" spans="1:31" hidden="1">
      <c r="A82">
        <v>156</v>
      </c>
      <c r="B82">
        <v>9072</v>
      </c>
      <c r="C82" t="s">
        <v>146</v>
      </c>
      <c r="D82" t="s">
        <v>265</v>
      </c>
      <c r="E82">
        <v>2468</v>
      </c>
      <c r="F82">
        <v>2461</v>
      </c>
      <c r="G82">
        <v>400</v>
      </c>
      <c r="H82" t="s">
        <v>220</v>
      </c>
      <c r="I82">
        <v>9810</v>
      </c>
      <c r="J82" t="s">
        <v>145</v>
      </c>
      <c r="K82" t="s">
        <v>250</v>
      </c>
      <c r="L82">
        <v>4280</v>
      </c>
      <c r="M82">
        <v>4330</v>
      </c>
      <c r="N82">
        <v>200</v>
      </c>
      <c r="O82" t="s">
        <v>222</v>
      </c>
      <c r="P82">
        <v>0.93161217432758603</v>
      </c>
      <c r="Q82">
        <v>0.93323457326394199</v>
      </c>
      <c r="R82">
        <v>2.46102097223376E-3</v>
      </c>
      <c r="S82">
        <v>9.6502343203200204E-4</v>
      </c>
      <c r="T82">
        <v>-1.1316452741659599</v>
      </c>
      <c r="U82">
        <v>1.1316452741659599</v>
      </c>
      <c r="V82">
        <v>-1.81</v>
      </c>
      <c r="W82">
        <v>13.67</v>
      </c>
      <c r="X82">
        <v>225014</v>
      </c>
      <c r="Y82">
        <v>15001</v>
      </c>
      <c r="Z82">
        <v>0.93</v>
      </c>
      <c r="AA82">
        <v>15</v>
      </c>
      <c r="AB82">
        <v>10</v>
      </c>
      <c r="AC82">
        <v>5</v>
      </c>
      <c r="AD82">
        <v>66.67</v>
      </c>
      <c r="AE82">
        <v>14</v>
      </c>
    </row>
    <row r="83" spans="1:31" hidden="1">
      <c r="A83">
        <v>235</v>
      </c>
      <c r="B83">
        <v>5110</v>
      </c>
      <c r="C83" t="s">
        <v>130</v>
      </c>
      <c r="D83" t="s">
        <v>266</v>
      </c>
      <c r="E83">
        <v>1274</v>
      </c>
      <c r="F83">
        <v>1272</v>
      </c>
      <c r="G83">
        <v>800</v>
      </c>
      <c r="H83" t="s">
        <v>220</v>
      </c>
      <c r="I83">
        <v>7251</v>
      </c>
      <c r="J83" t="s">
        <v>98</v>
      </c>
      <c r="K83" t="s">
        <v>228</v>
      </c>
      <c r="L83">
        <v>1643</v>
      </c>
      <c r="M83">
        <v>1627</v>
      </c>
      <c r="N83">
        <v>600</v>
      </c>
      <c r="O83" t="s">
        <v>222</v>
      </c>
      <c r="P83">
        <v>0.91389873924635001</v>
      </c>
      <c r="Q83">
        <v>0.94857127782527895</v>
      </c>
      <c r="R83">
        <v>9.8269856255052496E-2</v>
      </c>
      <c r="S83">
        <v>0.104647569034802</v>
      </c>
      <c r="T83">
        <v>-1.1289178619206499</v>
      </c>
      <c r="U83">
        <v>1.1289178619206499</v>
      </c>
      <c r="V83">
        <v>-3.75</v>
      </c>
      <c r="W83">
        <v>4.24</v>
      </c>
      <c r="X83">
        <v>-300472</v>
      </c>
      <c r="Y83">
        <v>-17675</v>
      </c>
      <c r="Z83">
        <v>-0.9</v>
      </c>
      <c r="AA83">
        <v>17</v>
      </c>
      <c r="AB83">
        <v>5</v>
      </c>
      <c r="AC83">
        <v>12</v>
      </c>
      <c r="AD83">
        <v>29.41</v>
      </c>
      <c r="AE83">
        <v>13</v>
      </c>
    </row>
    <row r="84" spans="1:31" hidden="1">
      <c r="A84">
        <v>209</v>
      </c>
      <c r="B84">
        <v>2002</v>
      </c>
      <c r="C84" t="s">
        <v>267</v>
      </c>
      <c r="D84" t="s">
        <v>268</v>
      </c>
      <c r="E84">
        <v>1966</v>
      </c>
      <c r="F84">
        <v>1982</v>
      </c>
      <c r="G84">
        <v>500</v>
      </c>
      <c r="H84" t="s">
        <v>220</v>
      </c>
      <c r="I84">
        <v>8136</v>
      </c>
      <c r="J84" t="s">
        <v>156</v>
      </c>
      <c r="K84" t="s">
        <v>250</v>
      </c>
      <c r="L84">
        <v>2071</v>
      </c>
      <c r="M84">
        <v>2088</v>
      </c>
      <c r="N84">
        <v>500</v>
      </c>
      <c r="O84" t="s">
        <v>222</v>
      </c>
      <c r="P84">
        <v>0.91947033431715097</v>
      </c>
      <c r="Q84">
        <v>0.91695268777432903</v>
      </c>
      <c r="R84">
        <v>7.1644425549689103E-3</v>
      </c>
      <c r="S84">
        <v>4.6265363380486903E-3</v>
      </c>
      <c r="T84">
        <v>-1.11373211035776</v>
      </c>
      <c r="U84">
        <v>1.11373211035776</v>
      </c>
      <c r="V84">
        <v>-4.9000000000000004</v>
      </c>
      <c r="W84">
        <v>5.08</v>
      </c>
      <c r="X84">
        <v>420425</v>
      </c>
      <c r="Y84">
        <v>22128</v>
      </c>
      <c r="Z84">
        <v>1.1100000000000001</v>
      </c>
      <c r="AA84">
        <v>19</v>
      </c>
      <c r="AB84">
        <v>14</v>
      </c>
      <c r="AC84">
        <v>5</v>
      </c>
      <c r="AD84">
        <v>73.680000000000007</v>
      </c>
      <c r="AE84">
        <v>13</v>
      </c>
    </row>
    <row r="85" spans="1:31" hidden="1">
      <c r="A85">
        <v>214</v>
      </c>
      <c r="B85">
        <v>8586</v>
      </c>
      <c r="C85" t="s">
        <v>178</v>
      </c>
      <c r="D85" t="s">
        <v>226</v>
      </c>
      <c r="E85">
        <v>2221</v>
      </c>
      <c r="F85">
        <v>2217</v>
      </c>
      <c r="G85">
        <v>400</v>
      </c>
      <c r="H85" t="s">
        <v>220</v>
      </c>
      <c r="I85">
        <v>9810</v>
      </c>
      <c r="J85" t="s">
        <v>145</v>
      </c>
      <c r="K85" t="s">
        <v>250</v>
      </c>
      <c r="L85">
        <v>4280</v>
      </c>
      <c r="M85">
        <v>4330</v>
      </c>
      <c r="N85">
        <v>200</v>
      </c>
      <c r="O85" t="s">
        <v>222</v>
      </c>
      <c r="P85">
        <v>0.918676317486676</v>
      </c>
      <c r="Q85">
        <v>0.92388391839733197</v>
      </c>
      <c r="R85">
        <v>1.3329479720661E-2</v>
      </c>
      <c r="S85">
        <v>0.140095528249052</v>
      </c>
      <c r="T85">
        <v>-1.1117245062380301</v>
      </c>
      <c r="U85">
        <v>1.1117245062380301</v>
      </c>
      <c r="V85">
        <v>-2.11</v>
      </c>
      <c r="W85">
        <v>2.4</v>
      </c>
      <c r="X85">
        <v>-136974</v>
      </c>
      <c r="Y85">
        <v>-13697</v>
      </c>
      <c r="Z85">
        <v>-0.7</v>
      </c>
      <c r="AA85">
        <v>10</v>
      </c>
      <c r="AB85">
        <v>4</v>
      </c>
      <c r="AC85">
        <v>6</v>
      </c>
      <c r="AD85">
        <v>40</v>
      </c>
      <c r="AE85">
        <v>15</v>
      </c>
    </row>
    <row r="86" spans="1:31" hidden="1">
      <c r="A86">
        <v>22</v>
      </c>
      <c r="B86">
        <v>4182</v>
      </c>
      <c r="C86" t="s">
        <v>135</v>
      </c>
      <c r="D86" t="s">
        <v>221</v>
      </c>
      <c r="E86">
        <v>1414</v>
      </c>
      <c r="F86">
        <v>1426</v>
      </c>
      <c r="G86">
        <v>800</v>
      </c>
      <c r="H86" t="s">
        <v>222</v>
      </c>
      <c r="I86">
        <v>4208</v>
      </c>
      <c r="J86" t="s">
        <v>126</v>
      </c>
      <c r="K86" t="s">
        <v>221</v>
      </c>
      <c r="L86">
        <v>2158</v>
      </c>
      <c r="M86">
        <v>2171</v>
      </c>
      <c r="N86">
        <v>500</v>
      </c>
      <c r="O86" t="s">
        <v>220</v>
      </c>
      <c r="P86">
        <v>0.962623822240539</v>
      </c>
      <c r="Q86">
        <v>0.93121669849037103</v>
      </c>
      <c r="R86">
        <v>8.6437579820378002E-2</v>
      </c>
      <c r="S86">
        <v>7.9135522934596594E-2</v>
      </c>
      <c r="T86">
        <v>1.1063445638181899</v>
      </c>
      <c r="U86">
        <v>1.1063445638181899</v>
      </c>
      <c r="V86">
        <v>3.02</v>
      </c>
      <c r="W86">
        <v>5.09</v>
      </c>
      <c r="X86">
        <v>428264</v>
      </c>
      <c r="Y86">
        <v>21413</v>
      </c>
      <c r="Z86">
        <v>1.0900000000000001</v>
      </c>
      <c r="AA86">
        <v>20</v>
      </c>
      <c r="AB86">
        <v>15</v>
      </c>
      <c r="AC86">
        <v>5</v>
      </c>
      <c r="AD86">
        <v>75</v>
      </c>
      <c r="AE86">
        <v>13</v>
      </c>
    </row>
    <row r="87" spans="1:31" hidden="1">
      <c r="A87">
        <v>40</v>
      </c>
      <c r="B87">
        <v>7278</v>
      </c>
      <c r="C87" t="s">
        <v>91</v>
      </c>
      <c r="D87" t="s">
        <v>228</v>
      </c>
      <c r="E87">
        <v>2095</v>
      </c>
      <c r="F87">
        <v>2100</v>
      </c>
      <c r="G87">
        <v>400</v>
      </c>
      <c r="H87" t="s">
        <v>220</v>
      </c>
      <c r="I87">
        <v>7846</v>
      </c>
      <c r="J87" t="s">
        <v>152</v>
      </c>
      <c r="K87" t="s">
        <v>260</v>
      </c>
      <c r="L87">
        <v>3940</v>
      </c>
      <c r="M87">
        <v>3965</v>
      </c>
      <c r="N87">
        <v>200</v>
      </c>
      <c r="O87" t="s">
        <v>222</v>
      </c>
      <c r="P87">
        <v>0.95834298610174096</v>
      </c>
      <c r="Q87">
        <v>0.94294411290396296</v>
      </c>
      <c r="R87">
        <v>1.1081123094659801E-2</v>
      </c>
      <c r="S87">
        <v>0.11773229052449299</v>
      </c>
      <c r="T87">
        <v>-1.1023549326547</v>
      </c>
      <c r="U87">
        <v>1.1023549326547</v>
      </c>
      <c r="V87">
        <v>-2.15</v>
      </c>
      <c r="W87">
        <v>5.93</v>
      </c>
      <c r="X87">
        <v>180727</v>
      </c>
      <c r="Y87">
        <v>20081</v>
      </c>
      <c r="Z87">
        <v>1.01</v>
      </c>
      <c r="AA87">
        <v>9</v>
      </c>
      <c r="AB87">
        <v>6</v>
      </c>
      <c r="AC87">
        <v>3</v>
      </c>
      <c r="AD87">
        <v>66.67</v>
      </c>
      <c r="AE87">
        <v>11</v>
      </c>
    </row>
    <row r="88" spans="1:31" hidden="1">
      <c r="A88">
        <v>297</v>
      </c>
      <c r="B88">
        <v>7278</v>
      </c>
      <c r="C88" t="s">
        <v>91</v>
      </c>
      <c r="D88" t="s">
        <v>228</v>
      </c>
      <c r="E88">
        <v>2095</v>
      </c>
      <c r="F88">
        <v>2100</v>
      </c>
      <c r="G88">
        <v>500</v>
      </c>
      <c r="H88" t="s">
        <v>220</v>
      </c>
      <c r="I88">
        <v>7984</v>
      </c>
      <c r="J88" t="s">
        <v>179</v>
      </c>
      <c r="K88" t="s">
        <v>260</v>
      </c>
      <c r="L88">
        <v>1494</v>
      </c>
      <c r="M88">
        <v>1504</v>
      </c>
      <c r="N88">
        <v>700</v>
      </c>
      <c r="O88" t="s">
        <v>222</v>
      </c>
      <c r="P88">
        <v>0.90062662990763098</v>
      </c>
      <c r="Q88">
        <v>0.91224429189898504</v>
      </c>
      <c r="R88">
        <v>0.29170340217305402</v>
      </c>
      <c r="S88">
        <v>1.1106384585757099E-2</v>
      </c>
      <c r="T88">
        <v>-1.0877199037702101</v>
      </c>
      <c r="U88">
        <v>1.0877199037702101</v>
      </c>
      <c r="V88">
        <v>-3.89</v>
      </c>
      <c r="W88">
        <v>0.27</v>
      </c>
      <c r="X88">
        <v>307115</v>
      </c>
      <c r="Y88">
        <v>21937</v>
      </c>
      <c r="Z88">
        <v>1.22</v>
      </c>
      <c r="AA88">
        <v>14</v>
      </c>
      <c r="AB88">
        <v>10</v>
      </c>
      <c r="AC88">
        <v>4</v>
      </c>
      <c r="AD88">
        <v>71.430000000000007</v>
      </c>
      <c r="AE88">
        <v>14</v>
      </c>
    </row>
    <row r="89" spans="1:31" hidden="1">
      <c r="A89">
        <v>257</v>
      </c>
      <c r="B89">
        <v>4182</v>
      </c>
      <c r="C89" t="s">
        <v>135</v>
      </c>
      <c r="D89" t="s">
        <v>221</v>
      </c>
      <c r="E89">
        <v>1414</v>
      </c>
      <c r="F89">
        <v>1426</v>
      </c>
      <c r="G89">
        <v>700</v>
      </c>
      <c r="H89" t="s">
        <v>222</v>
      </c>
      <c r="I89">
        <v>6371</v>
      </c>
      <c r="J89" t="s">
        <v>132</v>
      </c>
      <c r="K89" t="s">
        <v>230</v>
      </c>
      <c r="L89">
        <v>3400</v>
      </c>
      <c r="M89">
        <v>3420</v>
      </c>
      <c r="N89">
        <v>300</v>
      </c>
      <c r="O89" t="s">
        <v>220</v>
      </c>
      <c r="P89">
        <v>0.90829567064885897</v>
      </c>
      <c r="Q89">
        <v>0.96136792643982205</v>
      </c>
      <c r="R89">
        <v>0.20244455282523599</v>
      </c>
      <c r="S89">
        <v>1.1842443628167399E-2</v>
      </c>
      <c r="T89">
        <v>1.0855105163843799</v>
      </c>
      <c r="U89">
        <v>1.0855105163843799</v>
      </c>
      <c r="V89">
        <v>3.47</v>
      </c>
      <c r="W89">
        <v>2.71</v>
      </c>
      <c r="X89">
        <v>16333</v>
      </c>
      <c r="Y89">
        <v>1256</v>
      </c>
      <c r="Z89">
        <v>0.15</v>
      </c>
      <c r="AA89">
        <v>13</v>
      </c>
      <c r="AB89">
        <v>7</v>
      </c>
      <c r="AC89">
        <v>6</v>
      </c>
      <c r="AD89">
        <v>53.85</v>
      </c>
      <c r="AE89">
        <v>12</v>
      </c>
    </row>
    <row r="90" spans="1:31" hidden="1">
      <c r="A90">
        <v>177</v>
      </c>
      <c r="B90">
        <v>6770</v>
      </c>
      <c r="C90" t="s">
        <v>92</v>
      </c>
      <c r="D90" t="s">
        <v>231</v>
      </c>
      <c r="E90">
        <v>2040</v>
      </c>
      <c r="F90">
        <v>2046</v>
      </c>
      <c r="G90">
        <v>400</v>
      </c>
      <c r="H90" t="s">
        <v>222</v>
      </c>
      <c r="I90">
        <v>6923</v>
      </c>
      <c r="J90" t="s">
        <v>121</v>
      </c>
      <c r="K90" t="s">
        <v>231</v>
      </c>
      <c r="L90">
        <v>2804</v>
      </c>
      <c r="M90">
        <v>2829</v>
      </c>
      <c r="N90">
        <v>300</v>
      </c>
      <c r="O90" t="s">
        <v>220</v>
      </c>
      <c r="P90">
        <v>0.927199344740398</v>
      </c>
      <c r="Q90">
        <v>0.95261067993749104</v>
      </c>
      <c r="R90">
        <v>0.14092371967657599</v>
      </c>
      <c r="S90">
        <v>5.5001317559944104E-3</v>
      </c>
      <c r="T90">
        <v>1.06766712070884</v>
      </c>
      <c r="U90">
        <v>1.06766712070884</v>
      </c>
      <c r="V90">
        <v>2.69</v>
      </c>
      <c r="W90">
        <v>3.57</v>
      </c>
      <c r="X90">
        <v>221055</v>
      </c>
      <c r="Y90">
        <v>17004</v>
      </c>
      <c r="Z90">
        <v>0.92</v>
      </c>
      <c r="AA90">
        <v>13</v>
      </c>
      <c r="AB90">
        <v>9</v>
      </c>
      <c r="AC90">
        <v>4</v>
      </c>
      <c r="AD90">
        <v>69.23</v>
      </c>
      <c r="AE90">
        <v>12</v>
      </c>
    </row>
    <row r="91" spans="1:31" hidden="1">
      <c r="A91">
        <v>121</v>
      </c>
      <c r="B91">
        <v>6417</v>
      </c>
      <c r="C91" t="s">
        <v>269</v>
      </c>
      <c r="D91" t="s">
        <v>230</v>
      </c>
      <c r="E91">
        <v>3690</v>
      </c>
      <c r="F91">
        <v>3725</v>
      </c>
      <c r="G91">
        <v>200</v>
      </c>
      <c r="H91" t="s">
        <v>220</v>
      </c>
      <c r="I91">
        <v>9627</v>
      </c>
      <c r="J91" t="s">
        <v>185</v>
      </c>
      <c r="K91" t="s">
        <v>224</v>
      </c>
      <c r="L91">
        <v>5980</v>
      </c>
      <c r="M91">
        <v>6150</v>
      </c>
      <c r="N91">
        <v>100</v>
      </c>
      <c r="O91" t="s">
        <v>222</v>
      </c>
      <c r="P91">
        <v>0.93890007821394905</v>
      </c>
      <c r="Q91">
        <v>0.91567290609495999</v>
      </c>
      <c r="R91">
        <v>9.8289427503497504E-4</v>
      </c>
      <c r="S91">
        <v>3.3115243004188202E-3</v>
      </c>
      <c r="T91">
        <v>-1.05197830142159</v>
      </c>
      <c r="U91">
        <v>1.05197830142159</v>
      </c>
      <c r="V91">
        <v>-3.28</v>
      </c>
      <c r="W91">
        <v>21.14</v>
      </c>
      <c r="X91">
        <v>176932</v>
      </c>
      <c r="Y91">
        <v>14744</v>
      </c>
      <c r="Z91">
        <v>0.85</v>
      </c>
      <c r="AA91">
        <v>12</v>
      </c>
      <c r="AB91">
        <v>9</v>
      </c>
      <c r="AC91">
        <v>3</v>
      </c>
      <c r="AD91">
        <v>75</v>
      </c>
      <c r="AE91">
        <v>12</v>
      </c>
    </row>
    <row r="92" spans="1:31" hidden="1">
      <c r="A92">
        <v>161</v>
      </c>
      <c r="B92">
        <v>4061</v>
      </c>
      <c r="C92" t="s">
        <v>240</v>
      </c>
      <c r="D92" t="s">
        <v>221</v>
      </c>
      <c r="E92">
        <v>2914</v>
      </c>
      <c r="F92">
        <v>2911</v>
      </c>
      <c r="G92">
        <v>300</v>
      </c>
      <c r="H92" t="s">
        <v>220</v>
      </c>
      <c r="I92">
        <v>6752</v>
      </c>
      <c r="J92" t="s">
        <v>137</v>
      </c>
      <c r="K92" t="s">
        <v>231</v>
      </c>
      <c r="L92">
        <v>877.2</v>
      </c>
      <c r="M92">
        <v>874.4</v>
      </c>
      <c r="N92">
        <v>1000</v>
      </c>
      <c r="O92" t="s">
        <v>222</v>
      </c>
      <c r="P92">
        <v>0.93047482198869802</v>
      </c>
      <c r="Q92">
        <v>0.92062272574534199</v>
      </c>
      <c r="R92">
        <v>0.22343509876369599</v>
      </c>
      <c r="S92">
        <v>3.2853248026383501E-2</v>
      </c>
      <c r="T92">
        <v>-1.0486532150252099</v>
      </c>
      <c r="U92">
        <v>1.0486532150252099</v>
      </c>
      <c r="V92">
        <v>-2.82</v>
      </c>
      <c r="W92">
        <v>0.13</v>
      </c>
      <c r="X92">
        <v>252708</v>
      </c>
      <c r="Y92">
        <v>14039</v>
      </c>
      <c r="Z92">
        <v>0.78</v>
      </c>
      <c r="AA92">
        <v>18</v>
      </c>
      <c r="AB92">
        <v>12</v>
      </c>
      <c r="AC92">
        <v>6</v>
      </c>
      <c r="AD92">
        <v>66.67</v>
      </c>
      <c r="AE92">
        <v>13</v>
      </c>
    </row>
    <row r="93" spans="1:31" hidden="1">
      <c r="A93">
        <v>180</v>
      </c>
      <c r="B93">
        <v>1820</v>
      </c>
      <c r="C93" t="s">
        <v>270</v>
      </c>
      <c r="D93" t="s">
        <v>246</v>
      </c>
      <c r="E93">
        <v>1967</v>
      </c>
      <c r="F93">
        <v>1974</v>
      </c>
      <c r="G93">
        <v>500</v>
      </c>
      <c r="H93" t="s">
        <v>220</v>
      </c>
      <c r="I93">
        <v>8242</v>
      </c>
      <c r="J93" t="s">
        <v>151</v>
      </c>
      <c r="K93" t="s">
        <v>224</v>
      </c>
      <c r="L93">
        <v>1204</v>
      </c>
      <c r="M93">
        <v>1219</v>
      </c>
      <c r="N93">
        <v>800</v>
      </c>
      <c r="O93" t="s">
        <v>222</v>
      </c>
      <c r="P93">
        <v>0.92675760620129799</v>
      </c>
      <c r="Q93">
        <v>0.90676809967983596</v>
      </c>
      <c r="R93">
        <v>0.122012259241793</v>
      </c>
      <c r="S93">
        <v>0.24603134825850601</v>
      </c>
      <c r="T93">
        <v>-1.04655256139631</v>
      </c>
      <c r="U93">
        <v>1.04655256139631</v>
      </c>
      <c r="V93">
        <v>-2.46</v>
      </c>
      <c r="W93">
        <v>1.2</v>
      </c>
      <c r="X93">
        <v>-259932</v>
      </c>
      <c r="Y93">
        <v>-17329</v>
      </c>
      <c r="Z93">
        <v>-0.96</v>
      </c>
      <c r="AA93">
        <v>15</v>
      </c>
      <c r="AB93">
        <v>4</v>
      </c>
      <c r="AC93">
        <v>11</v>
      </c>
      <c r="AD93">
        <v>26.67</v>
      </c>
      <c r="AE93">
        <v>11</v>
      </c>
    </row>
    <row r="94" spans="1:31" hidden="1">
      <c r="A94">
        <v>181</v>
      </c>
      <c r="B94">
        <v>4182</v>
      </c>
      <c r="C94" t="s">
        <v>135</v>
      </c>
      <c r="D94" t="s">
        <v>221</v>
      </c>
      <c r="E94">
        <v>1414</v>
      </c>
      <c r="F94">
        <v>1426</v>
      </c>
      <c r="G94">
        <v>600</v>
      </c>
      <c r="H94" t="s">
        <v>222</v>
      </c>
      <c r="I94">
        <v>7846</v>
      </c>
      <c r="J94" t="s">
        <v>152</v>
      </c>
      <c r="K94" t="s">
        <v>260</v>
      </c>
      <c r="L94">
        <v>3940</v>
      </c>
      <c r="M94">
        <v>3965</v>
      </c>
      <c r="N94">
        <v>200</v>
      </c>
      <c r="O94" t="s">
        <v>220</v>
      </c>
      <c r="P94">
        <v>0.92665077027335496</v>
      </c>
      <c r="Q94">
        <v>0.92803855729623297</v>
      </c>
      <c r="R94">
        <v>0.28447822532122902</v>
      </c>
      <c r="S94">
        <v>0.27601650097784802</v>
      </c>
      <c r="T94">
        <v>1.0463214655324</v>
      </c>
      <c r="U94">
        <v>1.0463214655324</v>
      </c>
      <c r="V94">
        <v>2.78</v>
      </c>
      <c r="W94">
        <v>7.89</v>
      </c>
      <c r="X94">
        <v>-118778</v>
      </c>
      <c r="Y94">
        <v>-7919</v>
      </c>
      <c r="Z94">
        <v>-0.65</v>
      </c>
      <c r="AA94">
        <v>15</v>
      </c>
      <c r="AB94">
        <v>8</v>
      </c>
      <c r="AC94">
        <v>7</v>
      </c>
      <c r="AD94">
        <v>53.33</v>
      </c>
      <c r="AE94">
        <v>12</v>
      </c>
    </row>
    <row r="95" spans="1:31" hidden="1">
      <c r="A95">
        <v>42</v>
      </c>
      <c r="B95">
        <v>7186</v>
      </c>
      <c r="C95" t="s">
        <v>95</v>
      </c>
      <c r="D95" t="s">
        <v>225</v>
      </c>
      <c r="E95">
        <v>414</v>
      </c>
      <c r="F95">
        <v>409</v>
      </c>
      <c r="G95">
        <v>2400</v>
      </c>
      <c r="H95" t="s">
        <v>220</v>
      </c>
      <c r="I95">
        <v>8750</v>
      </c>
      <c r="J95" t="s">
        <v>136</v>
      </c>
      <c r="K95" t="s">
        <v>253</v>
      </c>
      <c r="L95">
        <v>1651</v>
      </c>
      <c r="M95">
        <v>1655</v>
      </c>
      <c r="N95">
        <v>600</v>
      </c>
      <c r="O95" t="s">
        <v>222</v>
      </c>
      <c r="P95">
        <v>0.95793250818593101</v>
      </c>
      <c r="Q95">
        <v>0.93599767466142103</v>
      </c>
      <c r="R95">
        <v>2.7907247311515102E-2</v>
      </c>
      <c r="S95">
        <v>0.25942469329359702</v>
      </c>
      <c r="T95">
        <v>-1.0443628540563701</v>
      </c>
      <c r="U95">
        <v>1.0443628540563701</v>
      </c>
      <c r="V95">
        <v>-1.99</v>
      </c>
      <c r="W95">
        <v>1.1499999999999999</v>
      </c>
      <c r="X95">
        <v>328916</v>
      </c>
      <c r="Y95">
        <v>21928</v>
      </c>
      <c r="Z95">
        <v>1.0900000000000001</v>
      </c>
      <c r="AA95">
        <v>15</v>
      </c>
      <c r="AB95">
        <v>9</v>
      </c>
      <c r="AC95">
        <v>6</v>
      </c>
      <c r="AD95">
        <v>60</v>
      </c>
      <c r="AE95">
        <v>11</v>
      </c>
    </row>
    <row r="96" spans="1:31" hidden="1">
      <c r="A96">
        <v>261</v>
      </c>
      <c r="B96">
        <v>7211</v>
      </c>
      <c r="C96" t="s">
        <v>110</v>
      </c>
      <c r="D96" t="s">
        <v>228</v>
      </c>
      <c r="E96">
        <v>470</v>
      </c>
      <c r="F96">
        <v>470</v>
      </c>
      <c r="G96">
        <v>1700</v>
      </c>
      <c r="H96" t="s">
        <v>220</v>
      </c>
      <c r="I96">
        <v>7846</v>
      </c>
      <c r="J96" t="s">
        <v>152</v>
      </c>
      <c r="K96" t="s">
        <v>260</v>
      </c>
      <c r="L96">
        <v>3940</v>
      </c>
      <c r="M96">
        <v>3965</v>
      </c>
      <c r="N96">
        <v>200</v>
      </c>
      <c r="O96" t="s">
        <v>222</v>
      </c>
      <c r="P96">
        <v>0.90765557753483395</v>
      </c>
      <c r="Q96">
        <v>0.92778060646835703</v>
      </c>
      <c r="R96">
        <v>0.21971412298655699</v>
      </c>
      <c r="S96">
        <v>6.5219018895020506E-2</v>
      </c>
      <c r="T96">
        <v>-1.0426358528319499</v>
      </c>
      <c r="U96">
        <v>1.0426358528319499</v>
      </c>
      <c r="V96">
        <v>-2.79</v>
      </c>
      <c r="W96">
        <v>0.76</v>
      </c>
      <c r="X96">
        <v>155304</v>
      </c>
      <c r="Y96">
        <v>11093</v>
      </c>
      <c r="Z96">
        <v>0.61</v>
      </c>
      <c r="AA96">
        <v>14</v>
      </c>
      <c r="AB96">
        <v>7</v>
      </c>
      <c r="AC96">
        <v>7</v>
      </c>
      <c r="AD96">
        <v>50</v>
      </c>
      <c r="AE96">
        <v>12</v>
      </c>
    </row>
    <row r="97" spans="1:31" hidden="1">
      <c r="A97">
        <v>4</v>
      </c>
      <c r="B97">
        <v>4902</v>
      </c>
      <c r="C97" t="s">
        <v>143</v>
      </c>
      <c r="D97" t="s">
        <v>231</v>
      </c>
      <c r="E97">
        <v>726</v>
      </c>
      <c r="F97">
        <v>739</v>
      </c>
      <c r="G97">
        <v>1400</v>
      </c>
      <c r="H97" t="s">
        <v>220</v>
      </c>
      <c r="I97">
        <v>5401</v>
      </c>
      <c r="J97" t="s">
        <v>148</v>
      </c>
      <c r="K97" t="s">
        <v>239</v>
      </c>
      <c r="L97">
        <v>1481</v>
      </c>
      <c r="M97">
        <v>1484</v>
      </c>
      <c r="N97">
        <v>700</v>
      </c>
      <c r="O97" t="s">
        <v>222</v>
      </c>
      <c r="P97">
        <v>0.97884184340356895</v>
      </c>
      <c r="Q97">
        <v>0.91128867559329696</v>
      </c>
      <c r="R97">
        <v>9.9520974375568103E-2</v>
      </c>
      <c r="S97">
        <v>0.25561275546967099</v>
      </c>
      <c r="T97">
        <v>-1.02534263682555</v>
      </c>
      <c r="U97">
        <v>1.02534263682555</v>
      </c>
      <c r="V97">
        <v>-7.7</v>
      </c>
      <c r="W97">
        <v>0.4</v>
      </c>
      <c r="X97">
        <v>52928</v>
      </c>
      <c r="Y97">
        <v>2786</v>
      </c>
      <c r="Z97">
        <v>0.15</v>
      </c>
      <c r="AA97">
        <v>19</v>
      </c>
      <c r="AB97">
        <v>11</v>
      </c>
      <c r="AC97">
        <v>8</v>
      </c>
      <c r="AD97">
        <v>57.89</v>
      </c>
      <c r="AE97">
        <v>13</v>
      </c>
    </row>
    <row r="98" spans="1:31" hidden="1">
      <c r="A98">
        <v>64</v>
      </c>
      <c r="B98">
        <v>7189</v>
      </c>
      <c r="C98" t="s">
        <v>155</v>
      </c>
      <c r="D98" t="s">
        <v>225</v>
      </c>
      <c r="E98">
        <v>744</v>
      </c>
      <c r="F98">
        <v>742</v>
      </c>
      <c r="G98">
        <v>1400</v>
      </c>
      <c r="H98" t="s">
        <v>222</v>
      </c>
      <c r="I98">
        <v>9505</v>
      </c>
      <c r="J98" t="s">
        <v>160</v>
      </c>
      <c r="K98" t="s">
        <v>242</v>
      </c>
      <c r="L98">
        <v>716</v>
      </c>
      <c r="M98">
        <v>715</v>
      </c>
      <c r="N98">
        <v>1500</v>
      </c>
      <c r="O98" t="s">
        <v>220</v>
      </c>
      <c r="P98">
        <v>0.95209950954440803</v>
      </c>
      <c r="Q98">
        <v>0.93410679419850096</v>
      </c>
      <c r="R98">
        <v>7.0778973045248399E-3</v>
      </c>
      <c r="S98">
        <v>9.5381827748921705E-2</v>
      </c>
      <c r="T98">
        <v>1.0133223042994299</v>
      </c>
      <c r="U98">
        <v>1.0133223042994299</v>
      </c>
      <c r="V98">
        <v>2.34</v>
      </c>
      <c r="W98">
        <v>3.24</v>
      </c>
      <c r="X98">
        <v>-56606</v>
      </c>
      <c r="Y98">
        <v>-2979</v>
      </c>
      <c r="Z98">
        <v>-0.17</v>
      </c>
      <c r="AA98">
        <v>19</v>
      </c>
      <c r="AB98">
        <v>7</v>
      </c>
      <c r="AC98">
        <v>12</v>
      </c>
      <c r="AD98">
        <v>36.840000000000003</v>
      </c>
      <c r="AE98">
        <v>12</v>
      </c>
    </row>
    <row r="99" spans="1:31" hidden="1">
      <c r="A99">
        <v>220</v>
      </c>
      <c r="B99">
        <v>4062</v>
      </c>
      <c r="C99" t="s">
        <v>271</v>
      </c>
      <c r="D99" t="s">
        <v>231</v>
      </c>
      <c r="E99">
        <v>2289</v>
      </c>
      <c r="F99">
        <v>2278</v>
      </c>
      <c r="G99">
        <v>400</v>
      </c>
      <c r="H99" t="s">
        <v>220</v>
      </c>
      <c r="I99">
        <v>6857</v>
      </c>
      <c r="J99" t="s">
        <v>159</v>
      </c>
      <c r="K99" t="s">
        <v>231</v>
      </c>
      <c r="L99">
        <v>4870</v>
      </c>
      <c r="M99">
        <v>5060</v>
      </c>
      <c r="N99">
        <v>200</v>
      </c>
      <c r="O99" t="s">
        <v>222</v>
      </c>
      <c r="P99">
        <v>0.91677598955596595</v>
      </c>
      <c r="Q99">
        <v>0.93094757291342101</v>
      </c>
      <c r="R99">
        <v>3.25246419952719E-3</v>
      </c>
      <c r="S99">
        <v>1.03004981676201E-2</v>
      </c>
      <c r="T99">
        <v>-0.98791293955903703</v>
      </c>
      <c r="U99">
        <v>0.98791293955903703</v>
      </c>
      <c r="V99">
        <v>-15.25</v>
      </c>
      <c r="W99">
        <v>9.9600000000000009</v>
      </c>
      <c r="X99">
        <v>251473</v>
      </c>
      <c r="Y99">
        <v>16765</v>
      </c>
      <c r="Z99">
        <v>0.73</v>
      </c>
      <c r="AA99">
        <v>15</v>
      </c>
      <c r="AB99">
        <v>10</v>
      </c>
      <c r="AC99">
        <v>5</v>
      </c>
      <c r="AD99">
        <v>66.67</v>
      </c>
      <c r="AE99">
        <v>10</v>
      </c>
    </row>
    <row r="100" spans="1:31" hidden="1">
      <c r="A100">
        <v>99</v>
      </c>
      <c r="B100">
        <v>4208</v>
      </c>
      <c r="C100" t="s">
        <v>126</v>
      </c>
      <c r="D100" t="s">
        <v>221</v>
      </c>
      <c r="E100">
        <v>2158</v>
      </c>
      <c r="F100">
        <v>2171</v>
      </c>
      <c r="G100">
        <v>500</v>
      </c>
      <c r="H100" t="s">
        <v>220</v>
      </c>
      <c r="I100">
        <v>6472</v>
      </c>
      <c r="J100" t="s">
        <v>127</v>
      </c>
      <c r="K100" t="s">
        <v>230</v>
      </c>
      <c r="L100">
        <v>313</v>
      </c>
      <c r="M100">
        <v>315</v>
      </c>
      <c r="N100">
        <v>3400</v>
      </c>
      <c r="O100" t="s">
        <v>222</v>
      </c>
      <c r="P100">
        <v>0.94388855646087</v>
      </c>
      <c r="Q100">
        <v>0.90705032746166403</v>
      </c>
      <c r="R100">
        <v>8.5909371862554207E-2</v>
      </c>
      <c r="S100">
        <v>0.113872523710021</v>
      </c>
      <c r="T100">
        <v>-0.98062262462119398</v>
      </c>
      <c r="U100">
        <v>0.98062262462119398</v>
      </c>
      <c r="V100">
        <v>-2.99</v>
      </c>
      <c r="W100">
        <v>1.34</v>
      </c>
      <c r="X100">
        <v>123947</v>
      </c>
      <c r="Y100">
        <v>6197</v>
      </c>
      <c r="Z100">
        <v>0.33</v>
      </c>
      <c r="AA100">
        <v>20</v>
      </c>
      <c r="AB100">
        <v>13</v>
      </c>
      <c r="AC100">
        <v>7</v>
      </c>
      <c r="AD100">
        <v>65</v>
      </c>
      <c r="AE100">
        <v>13</v>
      </c>
    </row>
    <row r="101" spans="1:31" hidden="1">
      <c r="A101">
        <v>233</v>
      </c>
      <c r="B101">
        <v>4061</v>
      </c>
      <c r="C101" t="s">
        <v>240</v>
      </c>
      <c r="D101" t="s">
        <v>221</v>
      </c>
      <c r="E101">
        <v>2914</v>
      </c>
      <c r="F101">
        <v>2911</v>
      </c>
      <c r="G101">
        <v>300</v>
      </c>
      <c r="H101" t="s">
        <v>222</v>
      </c>
      <c r="I101">
        <v>5406</v>
      </c>
      <c r="J101" t="s">
        <v>140</v>
      </c>
      <c r="K101" t="s">
        <v>239</v>
      </c>
      <c r="L101">
        <v>566</v>
      </c>
      <c r="M101">
        <v>565</v>
      </c>
      <c r="N101">
        <v>1500</v>
      </c>
      <c r="O101" t="s">
        <v>220</v>
      </c>
      <c r="P101">
        <v>0.91410978884321203</v>
      </c>
      <c r="Q101">
        <v>0.90580240656621203</v>
      </c>
      <c r="R101">
        <v>0.12794910343286101</v>
      </c>
      <c r="S101">
        <v>3.9599547919609498E-2</v>
      </c>
      <c r="T101">
        <v>0.97663302833895504</v>
      </c>
      <c r="U101">
        <v>0.97663302833895504</v>
      </c>
      <c r="V101">
        <v>5.46</v>
      </c>
      <c r="W101">
        <v>2.95</v>
      </c>
      <c r="X101">
        <v>124244</v>
      </c>
      <c r="Y101">
        <v>7308</v>
      </c>
      <c r="Z101">
        <v>0.35</v>
      </c>
      <c r="AA101">
        <v>17</v>
      </c>
      <c r="AB101">
        <v>11</v>
      </c>
      <c r="AC101">
        <v>6</v>
      </c>
      <c r="AD101">
        <v>64.709999999999994</v>
      </c>
      <c r="AE101">
        <v>10</v>
      </c>
    </row>
    <row r="102" spans="1:31" hidden="1">
      <c r="A102">
        <v>123</v>
      </c>
      <c r="B102">
        <v>4061</v>
      </c>
      <c r="C102" t="s">
        <v>240</v>
      </c>
      <c r="D102" t="s">
        <v>221</v>
      </c>
      <c r="E102">
        <v>2914</v>
      </c>
      <c r="F102">
        <v>2911</v>
      </c>
      <c r="G102">
        <v>300</v>
      </c>
      <c r="H102" t="s">
        <v>220</v>
      </c>
      <c r="I102">
        <v>7278</v>
      </c>
      <c r="J102" t="s">
        <v>91</v>
      </c>
      <c r="K102" t="s">
        <v>228</v>
      </c>
      <c r="L102">
        <v>2095</v>
      </c>
      <c r="M102">
        <v>2100</v>
      </c>
      <c r="N102">
        <v>400</v>
      </c>
      <c r="O102" t="s">
        <v>222</v>
      </c>
      <c r="P102">
        <v>0.93847788415020506</v>
      </c>
      <c r="Q102">
        <v>0.91293043081970904</v>
      </c>
      <c r="R102">
        <v>0.13215265230057999</v>
      </c>
      <c r="S102">
        <v>1.21508153620772E-2</v>
      </c>
      <c r="T102">
        <v>-0.96626448062926096</v>
      </c>
      <c r="U102">
        <v>0.96626448062926096</v>
      </c>
      <c r="V102">
        <v>-2.34</v>
      </c>
      <c r="W102">
        <v>3.81</v>
      </c>
      <c r="X102">
        <v>74431</v>
      </c>
      <c r="Y102">
        <v>6766</v>
      </c>
      <c r="Z102">
        <v>0.28000000000000003</v>
      </c>
      <c r="AA102">
        <v>11</v>
      </c>
      <c r="AB102">
        <v>6</v>
      </c>
      <c r="AC102">
        <v>5</v>
      </c>
      <c r="AD102">
        <v>54.55</v>
      </c>
      <c r="AE102">
        <v>11</v>
      </c>
    </row>
    <row r="103" spans="1:31" hidden="1">
      <c r="A103">
        <v>300</v>
      </c>
      <c r="B103">
        <v>1860</v>
      </c>
      <c r="C103" t="s">
        <v>272</v>
      </c>
      <c r="D103" t="s">
        <v>246</v>
      </c>
      <c r="E103">
        <v>618</v>
      </c>
      <c r="F103">
        <v>621</v>
      </c>
      <c r="G103">
        <v>1700</v>
      </c>
      <c r="H103" t="s">
        <v>222</v>
      </c>
      <c r="I103">
        <v>8002</v>
      </c>
      <c r="J103" t="s">
        <v>114</v>
      </c>
      <c r="K103" t="s">
        <v>250</v>
      </c>
      <c r="L103">
        <v>710.4</v>
      </c>
      <c r="M103">
        <v>722.7</v>
      </c>
      <c r="N103">
        <v>1500</v>
      </c>
      <c r="O103" t="s">
        <v>220</v>
      </c>
      <c r="P103">
        <v>0.90018410421828399</v>
      </c>
      <c r="Q103">
        <v>0.94849185251693402</v>
      </c>
      <c r="R103">
        <v>0.14814591279616801</v>
      </c>
      <c r="S103">
        <v>0.302340683819459</v>
      </c>
      <c r="T103">
        <v>0.96083813461967704</v>
      </c>
      <c r="U103">
        <v>0.96083813461967704</v>
      </c>
      <c r="V103">
        <v>2.04</v>
      </c>
      <c r="W103">
        <v>2.62</v>
      </c>
      <c r="X103">
        <v>101571</v>
      </c>
      <c r="Y103">
        <v>5346</v>
      </c>
      <c r="Z103">
        <v>0.26</v>
      </c>
      <c r="AA103">
        <v>19</v>
      </c>
      <c r="AB103">
        <v>11</v>
      </c>
      <c r="AC103">
        <v>8</v>
      </c>
      <c r="AD103">
        <v>57.89</v>
      </c>
      <c r="AE103">
        <v>12</v>
      </c>
    </row>
    <row r="104" spans="1:31" hidden="1">
      <c r="A104">
        <v>262</v>
      </c>
      <c r="B104">
        <v>1942</v>
      </c>
      <c r="C104" t="s">
        <v>251</v>
      </c>
      <c r="D104" t="s">
        <v>246</v>
      </c>
      <c r="E104">
        <v>968</v>
      </c>
      <c r="F104">
        <v>972</v>
      </c>
      <c r="G104">
        <v>1100</v>
      </c>
      <c r="H104" t="s">
        <v>222</v>
      </c>
      <c r="I104">
        <v>8601</v>
      </c>
      <c r="J104" t="s">
        <v>100</v>
      </c>
      <c r="K104" t="s">
        <v>243</v>
      </c>
      <c r="L104">
        <v>484.4</v>
      </c>
      <c r="M104">
        <v>487.1</v>
      </c>
      <c r="N104">
        <v>2200</v>
      </c>
      <c r="O104" t="s">
        <v>220</v>
      </c>
      <c r="P104">
        <v>0.90755141309915799</v>
      </c>
      <c r="Q104">
        <v>0.92615641190859799</v>
      </c>
      <c r="R104">
        <v>0.13777738126314401</v>
      </c>
      <c r="S104">
        <v>3.1515844423410502E-2</v>
      </c>
      <c r="T104">
        <v>0.95326836735416598</v>
      </c>
      <c r="U104">
        <v>0.95326836735416598</v>
      </c>
      <c r="V104">
        <v>2.21</v>
      </c>
      <c r="W104">
        <v>0.23</v>
      </c>
      <c r="X104">
        <v>-5639</v>
      </c>
      <c r="Y104">
        <v>-282</v>
      </c>
      <c r="Z104">
        <v>0.01</v>
      </c>
      <c r="AA104">
        <v>20</v>
      </c>
      <c r="AB104">
        <v>12</v>
      </c>
      <c r="AC104">
        <v>8</v>
      </c>
      <c r="AD104">
        <v>60</v>
      </c>
      <c r="AE104">
        <v>14</v>
      </c>
    </row>
    <row r="105" spans="1:31" hidden="1">
      <c r="A105">
        <v>87</v>
      </c>
      <c r="B105">
        <v>1333</v>
      </c>
      <c r="C105" t="s">
        <v>263</v>
      </c>
      <c r="D105" t="s">
        <v>264</v>
      </c>
      <c r="E105">
        <v>2782</v>
      </c>
      <c r="F105">
        <v>2778</v>
      </c>
      <c r="G105">
        <v>300</v>
      </c>
      <c r="H105" t="s">
        <v>222</v>
      </c>
      <c r="I105">
        <v>5406</v>
      </c>
      <c r="J105" t="s">
        <v>140</v>
      </c>
      <c r="K105" t="s">
        <v>239</v>
      </c>
      <c r="L105">
        <v>566</v>
      </c>
      <c r="M105">
        <v>565</v>
      </c>
      <c r="N105">
        <v>1500</v>
      </c>
      <c r="O105" t="s">
        <v>220</v>
      </c>
      <c r="P105">
        <v>0.94726481893343695</v>
      </c>
      <c r="Q105">
        <v>0.94743565140996799</v>
      </c>
      <c r="R105">
        <v>0.25304613254907099</v>
      </c>
      <c r="S105">
        <v>5.3905608799512499E-3</v>
      </c>
      <c r="T105">
        <v>0.95240656585857897</v>
      </c>
      <c r="U105">
        <v>0.95240656585857897</v>
      </c>
      <c r="V105">
        <v>3.77</v>
      </c>
      <c r="W105">
        <v>1.69</v>
      </c>
      <c r="X105">
        <v>-71417</v>
      </c>
      <c r="Y105">
        <v>-3759</v>
      </c>
      <c r="Z105">
        <v>-0.26</v>
      </c>
      <c r="AA105">
        <v>19</v>
      </c>
      <c r="AB105">
        <v>11</v>
      </c>
      <c r="AC105">
        <v>8</v>
      </c>
      <c r="AD105">
        <v>57.89</v>
      </c>
      <c r="AE105">
        <v>8</v>
      </c>
    </row>
    <row r="106" spans="1:31" hidden="1">
      <c r="A106">
        <v>58</v>
      </c>
      <c r="B106">
        <v>5020</v>
      </c>
      <c r="C106" t="s">
        <v>167</v>
      </c>
      <c r="D106" t="s">
        <v>273</v>
      </c>
      <c r="E106">
        <v>487.9</v>
      </c>
      <c r="F106">
        <v>487.8</v>
      </c>
      <c r="G106">
        <v>2100</v>
      </c>
      <c r="H106" t="s">
        <v>220</v>
      </c>
      <c r="I106">
        <v>8795</v>
      </c>
      <c r="J106" t="s">
        <v>166</v>
      </c>
      <c r="K106" t="s">
        <v>253</v>
      </c>
      <c r="L106">
        <v>1156.5</v>
      </c>
      <c r="M106">
        <v>1162</v>
      </c>
      <c r="N106">
        <v>900</v>
      </c>
      <c r="O106" t="s">
        <v>222</v>
      </c>
      <c r="P106">
        <v>0.95333242107851801</v>
      </c>
      <c r="Q106">
        <v>0.96698090826168503</v>
      </c>
      <c r="R106">
        <v>0.16296213172274099</v>
      </c>
      <c r="S106">
        <v>1.7821430213287501E-2</v>
      </c>
      <c r="T106">
        <v>-0.95174937209099897</v>
      </c>
      <c r="U106">
        <v>0.95174937209099897</v>
      </c>
      <c r="V106">
        <v>-3.03</v>
      </c>
      <c r="W106">
        <v>2.0499999999999998</v>
      </c>
      <c r="X106">
        <v>13332</v>
      </c>
      <c r="Y106">
        <v>702</v>
      </c>
      <c r="Z106">
        <v>0.02</v>
      </c>
      <c r="AA106">
        <v>19</v>
      </c>
      <c r="AB106">
        <v>10</v>
      </c>
      <c r="AC106">
        <v>9</v>
      </c>
      <c r="AD106">
        <v>52.63</v>
      </c>
      <c r="AE106">
        <v>10</v>
      </c>
    </row>
    <row r="107" spans="1:31" hidden="1">
      <c r="A107">
        <v>107</v>
      </c>
      <c r="B107">
        <v>5019</v>
      </c>
      <c r="C107" t="s">
        <v>168</v>
      </c>
      <c r="D107" t="s">
        <v>273</v>
      </c>
      <c r="E107">
        <v>3085</v>
      </c>
      <c r="F107">
        <v>3120</v>
      </c>
      <c r="G107">
        <v>300</v>
      </c>
      <c r="H107" t="s">
        <v>222</v>
      </c>
      <c r="I107">
        <v>5393</v>
      </c>
      <c r="J107" t="s">
        <v>131</v>
      </c>
      <c r="K107" t="s">
        <v>229</v>
      </c>
      <c r="L107">
        <v>1829</v>
      </c>
      <c r="M107">
        <v>1875</v>
      </c>
      <c r="N107">
        <v>500</v>
      </c>
      <c r="O107" t="s">
        <v>220</v>
      </c>
      <c r="P107">
        <v>0.94118107372714499</v>
      </c>
      <c r="Q107">
        <v>0.90517082348789402</v>
      </c>
      <c r="R107">
        <v>4.3899533836763698E-2</v>
      </c>
      <c r="S107">
        <v>0.33615968509027799</v>
      </c>
      <c r="T107">
        <v>0.935787146339354</v>
      </c>
      <c r="U107">
        <v>0.935787146339354</v>
      </c>
      <c r="V107">
        <v>2.2000000000000002</v>
      </c>
      <c r="W107">
        <v>0.16</v>
      </c>
      <c r="X107">
        <v>-35563</v>
      </c>
      <c r="Y107">
        <v>-2092</v>
      </c>
      <c r="Z107">
        <v>-0.17</v>
      </c>
      <c r="AA107">
        <v>17</v>
      </c>
      <c r="AB107">
        <v>6</v>
      </c>
      <c r="AC107">
        <v>11</v>
      </c>
      <c r="AD107">
        <v>35.29</v>
      </c>
      <c r="AE107">
        <v>10</v>
      </c>
    </row>
    <row r="108" spans="1:31" hidden="1">
      <c r="A108">
        <v>98</v>
      </c>
      <c r="B108">
        <v>8242</v>
      </c>
      <c r="C108" t="s">
        <v>151</v>
      </c>
      <c r="D108" t="s">
        <v>224</v>
      </c>
      <c r="E108">
        <v>1204</v>
      </c>
      <c r="F108">
        <v>1219</v>
      </c>
      <c r="G108">
        <v>800</v>
      </c>
      <c r="H108" t="s">
        <v>222</v>
      </c>
      <c r="I108">
        <v>9072</v>
      </c>
      <c r="J108" t="s">
        <v>146</v>
      </c>
      <c r="K108" t="s">
        <v>265</v>
      </c>
      <c r="L108">
        <v>2468</v>
      </c>
      <c r="M108">
        <v>2461</v>
      </c>
      <c r="N108">
        <v>400</v>
      </c>
      <c r="O108" t="s">
        <v>220</v>
      </c>
      <c r="P108">
        <v>0.94421327820568302</v>
      </c>
      <c r="Q108">
        <v>0.90636689186135999</v>
      </c>
      <c r="R108">
        <v>2.3892806158016099E-2</v>
      </c>
      <c r="S108">
        <v>0.163215940811096</v>
      </c>
      <c r="T108">
        <v>0.93492710309157101</v>
      </c>
      <c r="U108">
        <v>0.93492710309157101</v>
      </c>
      <c r="V108">
        <v>2.39</v>
      </c>
      <c r="W108">
        <v>0.93</v>
      </c>
      <c r="X108">
        <v>31160</v>
      </c>
      <c r="Y108">
        <v>1948</v>
      </c>
      <c r="Z108">
        <v>0.13</v>
      </c>
      <c r="AA108">
        <v>16</v>
      </c>
      <c r="AB108">
        <v>9</v>
      </c>
      <c r="AC108">
        <v>7</v>
      </c>
      <c r="AD108">
        <v>56.25</v>
      </c>
      <c r="AE108">
        <v>14</v>
      </c>
    </row>
    <row r="109" spans="1:31" hidden="1">
      <c r="A109">
        <v>7</v>
      </c>
      <c r="B109">
        <v>4208</v>
      </c>
      <c r="C109" t="s">
        <v>126</v>
      </c>
      <c r="D109" t="s">
        <v>221</v>
      </c>
      <c r="E109">
        <v>2158</v>
      </c>
      <c r="F109">
        <v>2171</v>
      </c>
      <c r="G109">
        <v>500</v>
      </c>
      <c r="H109" t="s">
        <v>222</v>
      </c>
      <c r="I109">
        <v>6473</v>
      </c>
      <c r="J109" t="s">
        <v>157</v>
      </c>
      <c r="K109" t="s">
        <v>230</v>
      </c>
      <c r="L109">
        <v>1225</v>
      </c>
      <c r="M109">
        <v>1231</v>
      </c>
      <c r="N109">
        <v>900</v>
      </c>
      <c r="O109" t="s">
        <v>220</v>
      </c>
      <c r="P109">
        <v>0.97311538625364202</v>
      </c>
      <c r="Q109">
        <v>0.90588683475366705</v>
      </c>
      <c r="R109">
        <v>1.46316458528679E-2</v>
      </c>
      <c r="S109">
        <v>9.5398200644786393E-2</v>
      </c>
      <c r="T109">
        <v>0.93097035637141701</v>
      </c>
      <c r="U109">
        <v>0.93097035637141701</v>
      </c>
      <c r="V109">
        <v>1.72</v>
      </c>
      <c r="W109">
        <v>2.06</v>
      </c>
      <c r="X109">
        <v>6725</v>
      </c>
      <c r="Y109">
        <v>396</v>
      </c>
      <c r="Z109">
        <v>-0.01</v>
      </c>
      <c r="AA109">
        <v>17</v>
      </c>
      <c r="AB109">
        <v>8</v>
      </c>
      <c r="AC109">
        <v>9</v>
      </c>
      <c r="AD109">
        <v>47.06</v>
      </c>
      <c r="AE109">
        <v>11</v>
      </c>
    </row>
    <row r="110" spans="1:31" hidden="1">
      <c r="A110">
        <v>276</v>
      </c>
      <c r="B110">
        <v>1333</v>
      </c>
      <c r="C110" t="s">
        <v>263</v>
      </c>
      <c r="D110" t="s">
        <v>264</v>
      </c>
      <c r="E110">
        <v>2782</v>
      </c>
      <c r="F110">
        <v>2778</v>
      </c>
      <c r="G110">
        <v>300</v>
      </c>
      <c r="H110" t="s">
        <v>220</v>
      </c>
      <c r="I110">
        <v>8377</v>
      </c>
      <c r="J110" t="s">
        <v>103</v>
      </c>
      <c r="K110" t="s">
        <v>225</v>
      </c>
      <c r="L110">
        <v>1028</v>
      </c>
      <c r="M110">
        <v>1031</v>
      </c>
      <c r="N110">
        <v>800</v>
      </c>
      <c r="O110" t="s">
        <v>222</v>
      </c>
      <c r="P110">
        <v>0.90540749473765003</v>
      </c>
      <c r="Q110">
        <v>0.91564021813492302</v>
      </c>
      <c r="R110">
        <v>0.28747977421135801</v>
      </c>
      <c r="S110">
        <v>0.21746454772205101</v>
      </c>
      <c r="T110">
        <v>-0.92754681256340699</v>
      </c>
      <c r="U110">
        <v>0.92754681256340699</v>
      </c>
      <c r="V110">
        <v>-2.97</v>
      </c>
      <c r="W110">
        <v>1.03</v>
      </c>
      <c r="X110">
        <v>224010</v>
      </c>
      <c r="Y110">
        <v>9740</v>
      </c>
      <c r="Z110">
        <v>0.52</v>
      </c>
      <c r="AA110">
        <v>23</v>
      </c>
      <c r="AB110">
        <v>14</v>
      </c>
      <c r="AC110">
        <v>9</v>
      </c>
      <c r="AD110">
        <v>60.87</v>
      </c>
      <c r="AE110">
        <v>12</v>
      </c>
    </row>
    <row r="111" spans="1:31" hidden="1">
      <c r="A111">
        <v>133</v>
      </c>
      <c r="B111">
        <v>7205</v>
      </c>
      <c r="C111" t="s">
        <v>177</v>
      </c>
      <c r="D111" t="s">
        <v>228</v>
      </c>
      <c r="E111">
        <v>879</v>
      </c>
      <c r="F111">
        <v>877</v>
      </c>
      <c r="G111">
        <v>1200</v>
      </c>
      <c r="H111" t="s">
        <v>220</v>
      </c>
      <c r="I111">
        <v>8601</v>
      </c>
      <c r="J111" t="s">
        <v>100</v>
      </c>
      <c r="K111" t="s">
        <v>243</v>
      </c>
      <c r="L111">
        <v>484.4</v>
      </c>
      <c r="M111">
        <v>487.1</v>
      </c>
      <c r="N111">
        <v>2200</v>
      </c>
      <c r="O111" t="s">
        <v>222</v>
      </c>
      <c r="P111">
        <v>0.93604704636316605</v>
      </c>
      <c r="Q111">
        <v>0.93079527380152305</v>
      </c>
      <c r="R111">
        <v>6.6977420116716493E-2</v>
      </c>
      <c r="S111">
        <v>0.112962605387729</v>
      </c>
      <c r="T111">
        <v>-0.92637873100153501</v>
      </c>
      <c r="U111">
        <v>0.92637873100153501</v>
      </c>
      <c r="V111">
        <v>-1.85</v>
      </c>
      <c r="W111">
        <v>1.83</v>
      </c>
      <c r="X111">
        <v>275928</v>
      </c>
      <c r="Y111">
        <v>18395</v>
      </c>
      <c r="Z111">
        <v>0.88</v>
      </c>
      <c r="AA111">
        <v>15</v>
      </c>
      <c r="AB111">
        <v>12</v>
      </c>
      <c r="AC111">
        <v>3</v>
      </c>
      <c r="AD111">
        <v>80</v>
      </c>
      <c r="AE111">
        <v>14</v>
      </c>
    </row>
    <row r="112" spans="1:31" hidden="1">
      <c r="A112">
        <v>239</v>
      </c>
      <c r="B112">
        <v>4182</v>
      </c>
      <c r="C112" t="s">
        <v>135</v>
      </c>
      <c r="D112" t="s">
        <v>221</v>
      </c>
      <c r="E112">
        <v>1414</v>
      </c>
      <c r="F112">
        <v>1426</v>
      </c>
      <c r="G112">
        <v>700</v>
      </c>
      <c r="H112" t="s">
        <v>222</v>
      </c>
      <c r="I112">
        <v>8308</v>
      </c>
      <c r="J112" t="s">
        <v>102</v>
      </c>
      <c r="K112" t="s">
        <v>225</v>
      </c>
      <c r="L112">
        <v>448.6</v>
      </c>
      <c r="M112">
        <v>446.6</v>
      </c>
      <c r="N112">
        <v>2200</v>
      </c>
      <c r="O112" t="s">
        <v>220</v>
      </c>
      <c r="P112">
        <v>0.91250720345598002</v>
      </c>
      <c r="Q112">
        <v>0.90643929380587895</v>
      </c>
      <c r="R112">
        <v>0.22492424086929799</v>
      </c>
      <c r="S112">
        <v>0.308424444251651</v>
      </c>
      <c r="T112">
        <v>0.91962637665533098</v>
      </c>
      <c r="U112">
        <v>0.91962637665533098</v>
      </c>
      <c r="V112">
        <v>3.17</v>
      </c>
      <c r="W112">
        <v>1.57</v>
      </c>
      <c r="X112">
        <v>-82780</v>
      </c>
      <c r="Y112">
        <v>-4599</v>
      </c>
      <c r="Z112">
        <v>-0.25</v>
      </c>
      <c r="AA112">
        <v>18</v>
      </c>
      <c r="AB112">
        <v>10</v>
      </c>
      <c r="AC112">
        <v>8</v>
      </c>
      <c r="AD112">
        <v>55.56</v>
      </c>
      <c r="AE112">
        <v>13</v>
      </c>
    </row>
    <row r="113" spans="1:31" hidden="1">
      <c r="A113">
        <v>270</v>
      </c>
      <c r="B113">
        <v>6371</v>
      </c>
      <c r="C113" t="s">
        <v>132</v>
      </c>
      <c r="D113" t="s">
        <v>230</v>
      </c>
      <c r="E113">
        <v>3400</v>
      </c>
      <c r="F113">
        <v>3420</v>
      </c>
      <c r="G113">
        <v>300</v>
      </c>
      <c r="H113" t="s">
        <v>222</v>
      </c>
      <c r="I113">
        <v>7327</v>
      </c>
      <c r="J113" t="s">
        <v>150</v>
      </c>
      <c r="K113" t="s">
        <v>225</v>
      </c>
      <c r="L113">
        <v>2630</v>
      </c>
      <c r="M113">
        <v>2635</v>
      </c>
      <c r="N113">
        <v>400</v>
      </c>
      <c r="O113" t="s">
        <v>220</v>
      </c>
      <c r="P113">
        <v>0.90629839271983204</v>
      </c>
      <c r="Q113">
        <v>0.93964556287005496</v>
      </c>
      <c r="R113">
        <v>8.4198964499984694E-2</v>
      </c>
      <c r="S113">
        <v>1.87765229239201E-2</v>
      </c>
      <c r="T113">
        <v>0.91583571533400898</v>
      </c>
      <c r="U113">
        <v>0.91583571533400898</v>
      </c>
      <c r="V113">
        <v>2.04</v>
      </c>
      <c r="W113">
        <v>2.73</v>
      </c>
      <c r="X113">
        <v>92235</v>
      </c>
      <c r="Y113">
        <v>46118</v>
      </c>
      <c r="Z113">
        <v>2.1</v>
      </c>
      <c r="AA113">
        <v>2</v>
      </c>
      <c r="AB113">
        <v>2</v>
      </c>
      <c r="AC113">
        <v>0</v>
      </c>
      <c r="AD113">
        <v>100</v>
      </c>
      <c r="AE113">
        <v>11</v>
      </c>
    </row>
    <row r="114" spans="1:31" hidden="1">
      <c r="A114">
        <v>76</v>
      </c>
      <c r="B114">
        <v>6995</v>
      </c>
      <c r="C114" t="s">
        <v>113</v>
      </c>
      <c r="D114" t="s">
        <v>228</v>
      </c>
      <c r="E114">
        <v>1813</v>
      </c>
      <c r="F114">
        <v>1818</v>
      </c>
      <c r="G114">
        <v>500</v>
      </c>
      <c r="H114" t="s">
        <v>222</v>
      </c>
      <c r="I114">
        <v>8078</v>
      </c>
      <c r="J114" t="s">
        <v>144</v>
      </c>
      <c r="K114" t="s">
        <v>250</v>
      </c>
      <c r="L114">
        <v>2901</v>
      </c>
      <c r="M114">
        <v>2931</v>
      </c>
      <c r="N114">
        <v>300</v>
      </c>
      <c r="O114" t="s">
        <v>220</v>
      </c>
      <c r="P114">
        <v>0.949348729830363</v>
      </c>
      <c r="Q114">
        <v>0.90470789782584304</v>
      </c>
      <c r="R114">
        <v>9.0061004309426401E-2</v>
      </c>
      <c r="S114">
        <v>2.4716893662262301E-2</v>
      </c>
      <c r="T114">
        <v>0.91486818914741197</v>
      </c>
      <c r="U114">
        <v>0.91486818914741197</v>
      </c>
      <c r="V114">
        <v>2.0299999999999998</v>
      </c>
      <c r="W114">
        <v>3.38</v>
      </c>
      <c r="X114">
        <v>-35728</v>
      </c>
      <c r="Y114">
        <v>-2233</v>
      </c>
      <c r="Z114">
        <v>-0.09</v>
      </c>
      <c r="AA114">
        <v>16</v>
      </c>
      <c r="AB114">
        <v>9</v>
      </c>
      <c r="AC114">
        <v>7</v>
      </c>
      <c r="AD114">
        <v>56.25</v>
      </c>
      <c r="AE114">
        <v>14</v>
      </c>
    </row>
    <row r="115" spans="1:31" hidden="1">
      <c r="A115">
        <v>150</v>
      </c>
      <c r="B115">
        <v>7167</v>
      </c>
      <c r="C115" t="s">
        <v>129</v>
      </c>
      <c r="D115" t="s">
        <v>225</v>
      </c>
      <c r="E115">
        <v>260</v>
      </c>
      <c r="F115">
        <v>261</v>
      </c>
      <c r="G115">
        <v>4000</v>
      </c>
      <c r="H115" t="s">
        <v>220</v>
      </c>
      <c r="I115">
        <v>8795</v>
      </c>
      <c r="J115" t="s">
        <v>166</v>
      </c>
      <c r="K115" t="s">
        <v>253</v>
      </c>
      <c r="L115">
        <v>1156.5</v>
      </c>
      <c r="M115">
        <v>1162</v>
      </c>
      <c r="N115">
        <v>900</v>
      </c>
      <c r="O115" t="s">
        <v>222</v>
      </c>
      <c r="P115">
        <v>0.93245732013665095</v>
      </c>
      <c r="Q115">
        <v>0.94864732538838004</v>
      </c>
      <c r="R115">
        <v>0.192085283769863</v>
      </c>
      <c r="S115">
        <v>0.29193430535863701</v>
      </c>
      <c r="T115">
        <v>-0.91402746214182296</v>
      </c>
      <c r="U115">
        <v>0.91402746214182296</v>
      </c>
      <c r="V115">
        <v>-2.7</v>
      </c>
      <c r="W115">
        <v>0.17</v>
      </c>
      <c r="X115">
        <v>101523</v>
      </c>
      <c r="Y115">
        <v>6345</v>
      </c>
      <c r="Z115">
        <v>0.27</v>
      </c>
      <c r="AA115">
        <v>16</v>
      </c>
      <c r="AB115">
        <v>9</v>
      </c>
      <c r="AC115">
        <v>7</v>
      </c>
      <c r="AD115">
        <v>56.25</v>
      </c>
      <c r="AE115">
        <v>15</v>
      </c>
    </row>
    <row r="116" spans="1:31" hidden="1">
      <c r="A116">
        <v>142</v>
      </c>
      <c r="B116">
        <v>7189</v>
      </c>
      <c r="C116" t="s">
        <v>155</v>
      </c>
      <c r="D116" t="s">
        <v>225</v>
      </c>
      <c r="E116">
        <v>744</v>
      </c>
      <c r="F116">
        <v>742</v>
      </c>
      <c r="G116">
        <v>1400</v>
      </c>
      <c r="H116" t="s">
        <v>222</v>
      </c>
      <c r="I116">
        <v>7278</v>
      </c>
      <c r="J116" t="s">
        <v>91</v>
      </c>
      <c r="K116" t="s">
        <v>228</v>
      </c>
      <c r="L116">
        <v>2095</v>
      </c>
      <c r="M116">
        <v>2100</v>
      </c>
      <c r="N116">
        <v>500</v>
      </c>
      <c r="O116" t="s">
        <v>220</v>
      </c>
      <c r="P116">
        <v>0.93315693603610095</v>
      </c>
      <c r="Q116">
        <v>0.94369023485414905</v>
      </c>
      <c r="R116">
        <v>0.34209965856628299</v>
      </c>
      <c r="S116">
        <v>8.1702031437671602E-2</v>
      </c>
      <c r="T116">
        <v>0.911960841462919</v>
      </c>
      <c r="U116">
        <v>0.911960841462919</v>
      </c>
      <c r="V116">
        <v>2.4300000000000002</v>
      </c>
      <c r="W116">
        <v>1.07</v>
      </c>
      <c r="X116">
        <v>575872</v>
      </c>
      <c r="Y116">
        <v>30309</v>
      </c>
      <c r="Z116">
        <v>1.56</v>
      </c>
      <c r="AA116">
        <v>19</v>
      </c>
      <c r="AB116">
        <v>12</v>
      </c>
      <c r="AC116">
        <v>7</v>
      </c>
      <c r="AD116">
        <v>63.16</v>
      </c>
      <c r="AE116">
        <v>12</v>
      </c>
    </row>
    <row r="117" spans="1:31" hidden="1">
      <c r="A117">
        <v>226</v>
      </c>
      <c r="B117">
        <v>2768</v>
      </c>
      <c r="C117" t="s">
        <v>274</v>
      </c>
      <c r="D117" t="s">
        <v>250</v>
      </c>
      <c r="E117">
        <v>324</v>
      </c>
      <c r="F117">
        <v>325</v>
      </c>
      <c r="G117">
        <v>3200</v>
      </c>
      <c r="H117" t="s">
        <v>220</v>
      </c>
      <c r="I117">
        <v>7202</v>
      </c>
      <c r="J117" t="s">
        <v>141</v>
      </c>
      <c r="K117" t="s">
        <v>228</v>
      </c>
      <c r="L117">
        <v>1161</v>
      </c>
      <c r="M117">
        <v>1159.5</v>
      </c>
      <c r="N117">
        <v>900</v>
      </c>
      <c r="O117" t="s">
        <v>222</v>
      </c>
      <c r="P117">
        <v>0.91542261551423199</v>
      </c>
      <c r="Q117">
        <v>0.94934440349446803</v>
      </c>
      <c r="R117">
        <v>5.7548448296715002E-2</v>
      </c>
      <c r="S117">
        <v>1.9769730843961198E-3</v>
      </c>
      <c r="T117">
        <v>-0.90510787477087495</v>
      </c>
      <c r="U117">
        <v>0.90510787477087495</v>
      </c>
      <c r="V117">
        <v>-1.87</v>
      </c>
      <c r="W117">
        <v>0.34</v>
      </c>
      <c r="X117">
        <v>159888</v>
      </c>
      <c r="Y117">
        <v>8883</v>
      </c>
      <c r="Z117">
        <v>0.4</v>
      </c>
      <c r="AA117">
        <v>18</v>
      </c>
      <c r="AB117">
        <v>12</v>
      </c>
      <c r="AC117">
        <v>6</v>
      </c>
      <c r="AD117">
        <v>66.67</v>
      </c>
      <c r="AE117">
        <v>13</v>
      </c>
    </row>
    <row r="118" spans="1:31" hidden="1">
      <c r="A118">
        <v>100</v>
      </c>
      <c r="B118">
        <v>6471</v>
      </c>
      <c r="C118" t="s">
        <v>248</v>
      </c>
      <c r="D118" t="s">
        <v>230</v>
      </c>
      <c r="E118">
        <v>921</v>
      </c>
      <c r="F118">
        <v>926</v>
      </c>
      <c r="G118">
        <v>1100</v>
      </c>
      <c r="H118" t="s">
        <v>222</v>
      </c>
      <c r="I118">
        <v>7259</v>
      </c>
      <c r="J118" t="s">
        <v>105</v>
      </c>
      <c r="K118" t="s">
        <v>228</v>
      </c>
      <c r="L118">
        <v>3390</v>
      </c>
      <c r="M118">
        <v>3390</v>
      </c>
      <c r="N118">
        <v>300</v>
      </c>
      <c r="O118" t="s">
        <v>220</v>
      </c>
      <c r="P118">
        <v>0.94337967253232402</v>
      </c>
      <c r="Q118">
        <v>0.92463618532175096</v>
      </c>
      <c r="R118">
        <v>0.233786548177392</v>
      </c>
      <c r="S118">
        <v>0.18181498260971701</v>
      </c>
      <c r="T118">
        <v>0.89846833011418403</v>
      </c>
      <c r="U118">
        <v>0.89846833011418403</v>
      </c>
      <c r="V118">
        <v>2.34</v>
      </c>
      <c r="W118">
        <v>0.16</v>
      </c>
      <c r="X118">
        <v>114507</v>
      </c>
      <c r="Y118">
        <v>5725</v>
      </c>
      <c r="Z118">
        <v>0.39</v>
      </c>
      <c r="AA118">
        <v>20</v>
      </c>
      <c r="AB118">
        <v>12</v>
      </c>
      <c r="AC118">
        <v>8</v>
      </c>
      <c r="AD118">
        <v>60</v>
      </c>
      <c r="AE118">
        <v>12</v>
      </c>
    </row>
    <row r="119" spans="1:31" hidden="1">
      <c r="A119">
        <v>60</v>
      </c>
      <c r="B119">
        <v>4061</v>
      </c>
      <c r="C119" t="s">
        <v>240</v>
      </c>
      <c r="D119" t="s">
        <v>221</v>
      </c>
      <c r="E119">
        <v>2914</v>
      </c>
      <c r="F119">
        <v>2911</v>
      </c>
      <c r="G119">
        <v>300</v>
      </c>
      <c r="H119" t="s">
        <v>220</v>
      </c>
      <c r="I119">
        <v>5020</v>
      </c>
      <c r="J119" t="s">
        <v>167</v>
      </c>
      <c r="K119" t="s">
        <v>273</v>
      </c>
      <c r="L119">
        <v>487.9</v>
      </c>
      <c r="M119">
        <v>487.8</v>
      </c>
      <c r="N119">
        <v>1800</v>
      </c>
      <c r="O119" t="s">
        <v>222</v>
      </c>
      <c r="P119">
        <v>0.95262211574272604</v>
      </c>
      <c r="Q119">
        <v>0.90692368111805399</v>
      </c>
      <c r="R119">
        <v>3.2099961318291701E-3</v>
      </c>
      <c r="S119">
        <v>1.29152015300952E-2</v>
      </c>
      <c r="T119">
        <v>-0.89835347439711499</v>
      </c>
      <c r="U119">
        <v>0.89835347439711499</v>
      </c>
      <c r="V119">
        <v>-2.9</v>
      </c>
      <c r="W119">
        <v>0.54</v>
      </c>
      <c r="X119">
        <v>136271</v>
      </c>
      <c r="Y119">
        <v>7172</v>
      </c>
      <c r="Z119">
        <v>0.37</v>
      </c>
      <c r="AA119">
        <v>19</v>
      </c>
      <c r="AB119">
        <v>10</v>
      </c>
      <c r="AC119">
        <v>9</v>
      </c>
      <c r="AD119">
        <v>52.63</v>
      </c>
      <c r="AE119">
        <v>11</v>
      </c>
    </row>
    <row r="120" spans="1:31" hidden="1">
      <c r="A120">
        <v>205</v>
      </c>
      <c r="B120">
        <v>2914</v>
      </c>
      <c r="C120" t="s">
        <v>275</v>
      </c>
      <c r="D120" t="s">
        <v>268</v>
      </c>
      <c r="E120">
        <v>2334</v>
      </c>
      <c r="F120">
        <v>2346</v>
      </c>
      <c r="G120">
        <v>300</v>
      </c>
      <c r="H120" t="s">
        <v>222</v>
      </c>
      <c r="I120">
        <v>4581</v>
      </c>
      <c r="J120" t="s">
        <v>108</v>
      </c>
      <c r="K120" t="s">
        <v>247</v>
      </c>
      <c r="L120">
        <v>7780</v>
      </c>
      <c r="M120">
        <v>7720</v>
      </c>
      <c r="N120">
        <v>100</v>
      </c>
      <c r="O120" t="s">
        <v>220</v>
      </c>
      <c r="P120">
        <v>0.92070229495198896</v>
      </c>
      <c r="Q120">
        <v>0.953755725268988</v>
      </c>
      <c r="R120">
        <v>0.13864097561849201</v>
      </c>
      <c r="S120">
        <v>8.3935219758757895E-2</v>
      </c>
      <c r="T120">
        <v>0.894532510454913</v>
      </c>
      <c r="U120">
        <v>0.894532510454913</v>
      </c>
      <c r="V120">
        <v>2.0699999999999998</v>
      </c>
      <c r="W120">
        <v>8.83</v>
      </c>
      <c r="X120">
        <v>-85924</v>
      </c>
      <c r="Y120">
        <v>-9547</v>
      </c>
      <c r="Z120">
        <v>-0.52</v>
      </c>
      <c r="AA120">
        <v>9</v>
      </c>
      <c r="AB120">
        <v>4</v>
      </c>
      <c r="AC120">
        <v>5</v>
      </c>
      <c r="AD120">
        <v>44.44</v>
      </c>
      <c r="AE120">
        <v>12</v>
      </c>
    </row>
    <row r="121" spans="1:31" hidden="1">
      <c r="A121">
        <v>240</v>
      </c>
      <c r="B121">
        <v>3105</v>
      </c>
      <c r="C121" t="s">
        <v>254</v>
      </c>
      <c r="D121" t="s">
        <v>231</v>
      </c>
      <c r="E121">
        <v>830</v>
      </c>
      <c r="F121">
        <v>830</v>
      </c>
      <c r="G121">
        <v>1300</v>
      </c>
      <c r="H121" t="s">
        <v>220</v>
      </c>
      <c r="I121">
        <v>6995</v>
      </c>
      <c r="J121" t="s">
        <v>113</v>
      </c>
      <c r="K121" t="s">
        <v>228</v>
      </c>
      <c r="L121">
        <v>1813</v>
      </c>
      <c r="M121">
        <v>1818</v>
      </c>
      <c r="N121">
        <v>600</v>
      </c>
      <c r="O121" t="s">
        <v>222</v>
      </c>
      <c r="P121">
        <v>0.91220273406764996</v>
      </c>
      <c r="Q121">
        <v>0.91627602233130001</v>
      </c>
      <c r="R121">
        <v>9.6910507554813896E-2</v>
      </c>
      <c r="S121">
        <v>8.2739729858280306E-2</v>
      </c>
      <c r="T121">
        <v>-0.87999816553305898</v>
      </c>
      <c r="U121">
        <v>0.87999816553305898</v>
      </c>
      <c r="V121">
        <v>-2.5499999999999998</v>
      </c>
      <c r="W121">
        <v>1.08</v>
      </c>
      <c r="X121">
        <v>520544</v>
      </c>
      <c r="Y121">
        <v>30620</v>
      </c>
      <c r="Z121">
        <v>1.48</v>
      </c>
      <c r="AA121">
        <v>17</v>
      </c>
      <c r="AB121">
        <v>10</v>
      </c>
      <c r="AC121">
        <v>7</v>
      </c>
      <c r="AD121">
        <v>58.82</v>
      </c>
      <c r="AE121">
        <v>12</v>
      </c>
    </row>
    <row r="122" spans="1:31" hidden="1">
      <c r="A122">
        <v>26</v>
      </c>
      <c r="B122">
        <v>5214</v>
      </c>
      <c r="C122" t="s">
        <v>99</v>
      </c>
      <c r="D122" t="s">
        <v>229</v>
      </c>
      <c r="E122">
        <v>2345</v>
      </c>
      <c r="F122">
        <v>2369</v>
      </c>
      <c r="G122">
        <v>400</v>
      </c>
      <c r="H122" t="s">
        <v>222</v>
      </c>
      <c r="I122">
        <v>5411</v>
      </c>
      <c r="J122" t="s">
        <v>147</v>
      </c>
      <c r="K122" t="s">
        <v>239</v>
      </c>
      <c r="L122">
        <v>1293.5</v>
      </c>
      <c r="M122">
        <v>1296.5</v>
      </c>
      <c r="N122">
        <v>700</v>
      </c>
      <c r="O122" t="s">
        <v>220</v>
      </c>
      <c r="P122">
        <v>0.96050490384599096</v>
      </c>
      <c r="Q122">
        <v>0.91350346301389895</v>
      </c>
      <c r="R122">
        <v>5.9481959288856402E-3</v>
      </c>
      <c r="S122">
        <v>9.1253985433290094E-2</v>
      </c>
      <c r="T122">
        <v>0.87528774885484295</v>
      </c>
      <c r="U122">
        <v>0.87528774885484295</v>
      </c>
      <c r="V122">
        <v>2.06</v>
      </c>
      <c r="W122">
        <v>4.2300000000000004</v>
      </c>
      <c r="X122">
        <v>130863</v>
      </c>
      <c r="Y122">
        <v>8724</v>
      </c>
      <c r="Z122">
        <v>0.53</v>
      </c>
      <c r="AA122">
        <v>15</v>
      </c>
      <c r="AB122">
        <v>7</v>
      </c>
      <c r="AC122">
        <v>8</v>
      </c>
      <c r="AD122">
        <v>46.67</v>
      </c>
      <c r="AE122">
        <v>13</v>
      </c>
    </row>
    <row r="123" spans="1:31" hidden="1">
      <c r="A123">
        <v>157</v>
      </c>
      <c r="B123">
        <v>1333</v>
      </c>
      <c r="C123" t="s">
        <v>263</v>
      </c>
      <c r="D123" t="s">
        <v>264</v>
      </c>
      <c r="E123">
        <v>2782</v>
      </c>
      <c r="F123">
        <v>2778</v>
      </c>
      <c r="G123">
        <v>300</v>
      </c>
      <c r="H123" t="s">
        <v>222</v>
      </c>
      <c r="I123">
        <v>9404</v>
      </c>
      <c r="J123" t="s">
        <v>116</v>
      </c>
      <c r="K123" t="s">
        <v>219</v>
      </c>
      <c r="L123">
        <v>1380</v>
      </c>
      <c r="M123">
        <v>1382</v>
      </c>
      <c r="N123">
        <v>600</v>
      </c>
      <c r="O123" t="s">
        <v>220</v>
      </c>
      <c r="P123">
        <v>0.93128110099531702</v>
      </c>
      <c r="Q123">
        <v>0.92124030195986994</v>
      </c>
      <c r="R123">
        <v>5.8985670335577204E-3</v>
      </c>
      <c r="S123">
        <v>7.7510386168255299E-2</v>
      </c>
      <c r="T123">
        <v>0.86666206862957196</v>
      </c>
      <c r="U123">
        <v>0.86666206862957196</v>
      </c>
      <c r="V123">
        <v>2.21</v>
      </c>
      <c r="W123">
        <v>0.5</v>
      </c>
      <c r="X123">
        <v>107843</v>
      </c>
      <c r="Y123">
        <v>7190</v>
      </c>
      <c r="Z123">
        <v>0.43</v>
      </c>
      <c r="AA123">
        <v>15</v>
      </c>
      <c r="AB123">
        <v>10</v>
      </c>
      <c r="AC123">
        <v>5</v>
      </c>
      <c r="AD123">
        <v>66.67</v>
      </c>
      <c r="AE123">
        <v>14</v>
      </c>
    </row>
    <row r="124" spans="1:31" hidden="1">
      <c r="A124">
        <v>224</v>
      </c>
      <c r="B124">
        <v>6178</v>
      </c>
      <c r="C124" t="s">
        <v>163</v>
      </c>
      <c r="D124" t="s">
        <v>276</v>
      </c>
      <c r="E124">
        <v>987</v>
      </c>
      <c r="F124">
        <v>996</v>
      </c>
      <c r="G124">
        <v>1000</v>
      </c>
      <c r="H124" t="s">
        <v>220</v>
      </c>
      <c r="I124">
        <v>7181</v>
      </c>
      <c r="J124" t="s">
        <v>164</v>
      </c>
      <c r="K124" t="s">
        <v>253</v>
      </c>
      <c r="L124">
        <v>1630</v>
      </c>
      <c r="M124">
        <v>1648</v>
      </c>
      <c r="N124">
        <v>600</v>
      </c>
      <c r="O124" t="s">
        <v>222</v>
      </c>
      <c r="P124">
        <v>0.91585480136558595</v>
      </c>
      <c r="Q124">
        <v>0.94411831156264403</v>
      </c>
      <c r="R124">
        <v>0.24397950555985801</v>
      </c>
      <c r="S124">
        <v>0.26227656651199399</v>
      </c>
      <c r="T124">
        <v>-0.86078276190402303</v>
      </c>
      <c r="U124">
        <v>0.86078276190402303</v>
      </c>
      <c r="V124">
        <v>-2.34</v>
      </c>
      <c r="W124">
        <v>0.73</v>
      </c>
      <c r="X124">
        <v>24132</v>
      </c>
      <c r="Y124">
        <v>1097</v>
      </c>
      <c r="Z124">
        <v>0.05</v>
      </c>
      <c r="AA124">
        <v>22</v>
      </c>
      <c r="AB124">
        <v>10</v>
      </c>
      <c r="AC124">
        <v>12</v>
      </c>
      <c r="AD124">
        <v>45.45</v>
      </c>
      <c r="AE124">
        <v>14</v>
      </c>
    </row>
    <row r="125" spans="1:31" hidden="1">
      <c r="A125">
        <v>255</v>
      </c>
      <c r="B125">
        <v>1963</v>
      </c>
      <c r="C125" t="s">
        <v>252</v>
      </c>
      <c r="D125" t="s">
        <v>246</v>
      </c>
      <c r="E125">
        <v>1383</v>
      </c>
      <c r="F125">
        <v>1395</v>
      </c>
      <c r="G125">
        <v>800</v>
      </c>
      <c r="H125" t="s">
        <v>222</v>
      </c>
      <c r="I125">
        <v>7278</v>
      </c>
      <c r="J125" t="s">
        <v>91</v>
      </c>
      <c r="K125" t="s">
        <v>228</v>
      </c>
      <c r="L125">
        <v>2095</v>
      </c>
      <c r="M125">
        <v>2100</v>
      </c>
      <c r="N125">
        <v>500</v>
      </c>
      <c r="O125" t="s">
        <v>220</v>
      </c>
      <c r="P125">
        <v>0.90849843201759595</v>
      </c>
      <c r="Q125">
        <v>0.91093428393092302</v>
      </c>
      <c r="R125">
        <v>0.15538635397061301</v>
      </c>
      <c r="S125" s="41">
        <v>0.33354572966006502</v>
      </c>
      <c r="T125">
        <v>0.85915643696895605</v>
      </c>
      <c r="U125">
        <v>0.85915643696895605</v>
      </c>
      <c r="V125">
        <v>2.5</v>
      </c>
      <c r="W125">
        <v>6.29</v>
      </c>
      <c r="X125">
        <v>-11036</v>
      </c>
      <c r="Y125">
        <v>-613</v>
      </c>
      <c r="Z125">
        <v>-0.04</v>
      </c>
      <c r="AA125">
        <v>18</v>
      </c>
      <c r="AB125">
        <v>9</v>
      </c>
      <c r="AC125">
        <v>9</v>
      </c>
      <c r="AD125">
        <v>50</v>
      </c>
      <c r="AE125">
        <v>13</v>
      </c>
    </row>
    <row r="126" spans="1:31" hidden="1">
      <c r="A126">
        <v>252</v>
      </c>
      <c r="B126">
        <v>7846</v>
      </c>
      <c r="C126" t="s">
        <v>152</v>
      </c>
      <c r="D126" t="s">
        <v>260</v>
      </c>
      <c r="E126">
        <v>3940</v>
      </c>
      <c r="F126">
        <v>3965</v>
      </c>
      <c r="G126">
        <v>200</v>
      </c>
      <c r="H126" t="s">
        <v>220</v>
      </c>
      <c r="I126">
        <v>8341</v>
      </c>
      <c r="J126" t="s">
        <v>134</v>
      </c>
      <c r="K126" t="s">
        <v>225</v>
      </c>
      <c r="L126">
        <v>1575</v>
      </c>
      <c r="M126">
        <v>1580</v>
      </c>
      <c r="N126">
        <v>500</v>
      </c>
      <c r="O126" t="s">
        <v>222</v>
      </c>
      <c r="P126">
        <v>0.90906094192295095</v>
      </c>
      <c r="Q126">
        <v>0.94264649146888901</v>
      </c>
      <c r="R126">
        <v>0.32140740783888599</v>
      </c>
      <c r="S126">
        <v>0.181095658756701</v>
      </c>
      <c r="T126">
        <v>-0.852216802860157</v>
      </c>
      <c r="U126">
        <v>0.852216802860157</v>
      </c>
      <c r="V126">
        <v>-3.14</v>
      </c>
      <c r="W126">
        <v>0.38</v>
      </c>
      <c r="X126">
        <v>-2424</v>
      </c>
      <c r="Y126">
        <v>-173</v>
      </c>
      <c r="Z126">
        <v>-0.02</v>
      </c>
      <c r="AA126">
        <v>14</v>
      </c>
      <c r="AB126">
        <v>7</v>
      </c>
      <c r="AC126">
        <v>7</v>
      </c>
      <c r="AD126">
        <v>50</v>
      </c>
      <c r="AE126">
        <v>13</v>
      </c>
    </row>
    <row r="127" spans="1:31" hidden="1">
      <c r="A127">
        <v>116</v>
      </c>
      <c r="B127">
        <v>4118</v>
      </c>
      <c r="C127" t="s">
        <v>258</v>
      </c>
      <c r="D127" t="s">
        <v>221</v>
      </c>
      <c r="E127">
        <v>3385</v>
      </c>
      <c r="F127">
        <v>3395</v>
      </c>
      <c r="G127">
        <v>300</v>
      </c>
      <c r="H127" t="s">
        <v>222</v>
      </c>
      <c r="I127">
        <v>5406</v>
      </c>
      <c r="J127" t="s">
        <v>140</v>
      </c>
      <c r="K127" t="s">
        <v>239</v>
      </c>
      <c r="L127">
        <v>566</v>
      </c>
      <c r="M127">
        <v>565</v>
      </c>
      <c r="N127">
        <v>1800</v>
      </c>
      <c r="O127" t="s">
        <v>220</v>
      </c>
      <c r="P127">
        <v>0.94019236490047098</v>
      </c>
      <c r="Q127">
        <v>0.93486120784107596</v>
      </c>
      <c r="R127">
        <v>8.1208184625631702E-2</v>
      </c>
      <c r="S127">
        <v>0.16847445426414201</v>
      </c>
      <c r="T127">
        <v>0.85008115407609997</v>
      </c>
      <c r="U127">
        <v>0.85008115407609997</v>
      </c>
      <c r="V127">
        <v>2.87</v>
      </c>
      <c r="W127">
        <v>0.15</v>
      </c>
      <c r="X127">
        <v>204492</v>
      </c>
      <c r="Y127">
        <v>12029</v>
      </c>
      <c r="Z127">
        <v>0.56999999999999995</v>
      </c>
      <c r="AA127">
        <v>17</v>
      </c>
      <c r="AB127">
        <v>10</v>
      </c>
      <c r="AC127">
        <v>7</v>
      </c>
      <c r="AD127">
        <v>58.82</v>
      </c>
      <c r="AE127">
        <v>11</v>
      </c>
    </row>
    <row r="128" spans="1:31" hidden="1">
      <c r="A128">
        <v>89</v>
      </c>
      <c r="B128">
        <v>6752</v>
      </c>
      <c r="C128" t="s">
        <v>137</v>
      </c>
      <c r="D128" t="s">
        <v>231</v>
      </c>
      <c r="E128">
        <v>877.2</v>
      </c>
      <c r="F128">
        <v>874.4</v>
      </c>
      <c r="G128">
        <v>1200</v>
      </c>
      <c r="H128" t="s">
        <v>222</v>
      </c>
      <c r="I128">
        <v>8316</v>
      </c>
      <c r="J128" t="s">
        <v>154</v>
      </c>
      <c r="K128" t="s">
        <v>225</v>
      </c>
      <c r="L128">
        <v>3636</v>
      </c>
      <c r="M128">
        <v>3628</v>
      </c>
      <c r="N128">
        <v>300</v>
      </c>
      <c r="O128" t="s">
        <v>220</v>
      </c>
      <c r="P128">
        <v>0.94612746117539603</v>
      </c>
      <c r="Q128">
        <v>0.90742015786687702</v>
      </c>
      <c r="R128">
        <v>0.38368260054394099</v>
      </c>
      <c r="S128">
        <v>0.153158337286914</v>
      </c>
      <c r="T128">
        <v>0.83382099764614703</v>
      </c>
      <c r="U128">
        <v>0.83382099764614703</v>
      </c>
      <c r="V128">
        <v>1.44</v>
      </c>
      <c r="W128">
        <v>3.59</v>
      </c>
      <c r="X128">
        <v>-194979</v>
      </c>
      <c r="Y128">
        <v>-12186</v>
      </c>
      <c r="Z128">
        <v>-0.71</v>
      </c>
      <c r="AA128">
        <v>16</v>
      </c>
      <c r="AB128">
        <v>6</v>
      </c>
      <c r="AC128">
        <v>10</v>
      </c>
      <c r="AD128">
        <v>37.5</v>
      </c>
      <c r="AE128">
        <v>16</v>
      </c>
    </row>
    <row r="129" spans="1:31" hidden="1">
      <c r="A129">
        <v>153</v>
      </c>
      <c r="B129">
        <v>5703</v>
      </c>
      <c r="C129" t="s">
        <v>277</v>
      </c>
      <c r="D129" t="s">
        <v>227</v>
      </c>
      <c r="E129">
        <v>199</v>
      </c>
      <c r="F129">
        <v>199</v>
      </c>
      <c r="G129">
        <v>5300</v>
      </c>
      <c r="H129" t="s">
        <v>222</v>
      </c>
      <c r="I129">
        <v>7261</v>
      </c>
      <c r="J129" t="s">
        <v>174</v>
      </c>
      <c r="K129" t="s">
        <v>228</v>
      </c>
      <c r="L129">
        <v>950</v>
      </c>
      <c r="M129">
        <v>951.9</v>
      </c>
      <c r="N129">
        <v>1100</v>
      </c>
      <c r="O129" t="s">
        <v>220</v>
      </c>
      <c r="P129">
        <v>0.93215582442633804</v>
      </c>
      <c r="Q129">
        <v>0.91067123174234099</v>
      </c>
      <c r="R129">
        <v>0.343668400752839</v>
      </c>
      <c r="S129">
        <v>4.2454007262280699E-2</v>
      </c>
      <c r="T129">
        <v>0.82716351120117904</v>
      </c>
      <c r="U129">
        <v>0.82716351120117904</v>
      </c>
      <c r="V129">
        <v>2.46</v>
      </c>
      <c r="W129">
        <v>0.73</v>
      </c>
      <c r="X129">
        <v>73461</v>
      </c>
      <c r="Y129">
        <v>5247</v>
      </c>
      <c r="Z129">
        <v>0.3</v>
      </c>
      <c r="AA129">
        <v>14</v>
      </c>
      <c r="AB129">
        <v>9</v>
      </c>
      <c r="AC129">
        <v>5</v>
      </c>
      <c r="AD129">
        <v>64.290000000000006</v>
      </c>
      <c r="AE129">
        <v>14</v>
      </c>
    </row>
    <row r="130" spans="1:31" hidden="1">
      <c r="A130">
        <v>173</v>
      </c>
      <c r="B130">
        <v>4188</v>
      </c>
      <c r="C130" t="s">
        <v>278</v>
      </c>
      <c r="D130" t="s">
        <v>221</v>
      </c>
      <c r="E130">
        <v>765</v>
      </c>
      <c r="F130">
        <v>764.6</v>
      </c>
      <c r="G130">
        <v>1400</v>
      </c>
      <c r="H130" t="s">
        <v>220</v>
      </c>
      <c r="I130">
        <v>8601</v>
      </c>
      <c r="J130" t="s">
        <v>100</v>
      </c>
      <c r="K130" t="s">
        <v>243</v>
      </c>
      <c r="L130">
        <v>484.4</v>
      </c>
      <c r="M130">
        <v>487.1</v>
      </c>
      <c r="N130">
        <v>2200</v>
      </c>
      <c r="O130" t="s">
        <v>222</v>
      </c>
      <c r="P130">
        <v>0.92804222942286096</v>
      </c>
      <c r="Q130">
        <v>0.91123804286290699</v>
      </c>
      <c r="R130">
        <v>3.5821618080584303E-2</v>
      </c>
      <c r="S130">
        <v>4.02842897191055E-3</v>
      </c>
      <c r="T130">
        <v>-0.82572680037795099</v>
      </c>
      <c r="U130">
        <v>0.82572680037795099</v>
      </c>
      <c r="V130">
        <v>-1.48</v>
      </c>
      <c r="W130">
        <v>0.11</v>
      </c>
      <c r="X130">
        <v>135863</v>
      </c>
      <c r="Y130">
        <v>7151</v>
      </c>
      <c r="Z130">
        <v>0.37</v>
      </c>
      <c r="AA130">
        <v>19</v>
      </c>
      <c r="AB130">
        <v>11</v>
      </c>
      <c r="AC130">
        <v>8</v>
      </c>
      <c r="AD130">
        <v>57.89</v>
      </c>
      <c r="AE130">
        <v>13</v>
      </c>
    </row>
    <row r="131" spans="1:31" hidden="1">
      <c r="A131">
        <v>203</v>
      </c>
      <c r="B131">
        <v>7211</v>
      </c>
      <c r="C131" t="s">
        <v>110</v>
      </c>
      <c r="D131" t="s">
        <v>228</v>
      </c>
      <c r="E131">
        <v>470</v>
      </c>
      <c r="F131">
        <v>470</v>
      </c>
      <c r="G131">
        <v>1800</v>
      </c>
      <c r="H131" t="s">
        <v>220</v>
      </c>
      <c r="I131">
        <v>9810</v>
      </c>
      <c r="J131" t="s">
        <v>145</v>
      </c>
      <c r="K131" t="s">
        <v>250</v>
      </c>
      <c r="L131">
        <v>4280</v>
      </c>
      <c r="M131">
        <v>4330</v>
      </c>
      <c r="N131">
        <v>200</v>
      </c>
      <c r="O131" t="s">
        <v>222</v>
      </c>
      <c r="P131">
        <v>0.92115888949171298</v>
      </c>
      <c r="Q131">
        <v>0.91561487832334298</v>
      </c>
      <c r="R131">
        <v>0.38979404059529699</v>
      </c>
      <c r="S131">
        <v>3.0359194518844598E-2</v>
      </c>
      <c r="T131">
        <v>-0.81372816558012795</v>
      </c>
      <c r="U131">
        <v>0.81372816558012795</v>
      </c>
      <c r="V131">
        <v>-2.75</v>
      </c>
      <c r="W131">
        <v>2.31</v>
      </c>
      <c r="X131">
        <v>385359</v>
      </c>
      <c r="Y131">
        <v>21409</v>
      </c>
      <c r="Z131">
        <v>1.18</v>
      </c>
      <c r="AA131">
        <v>18</v>
      </c>
      <c r="AB131">
        <v>13</v>
      </c>
      <c r="AC131">
        <v>5</v>
      </c>
      <c r="AD131">
        <v>72.22</v>
      </c>
      <c r="AE131">
        <v>12</v>
      </c>
    </row>
    <row r="132" spans="1:31" hidden="1">
      <c r="A132">
        <v>213</v>
      </c>
      <c r="B132">
        <v>1963</v>
      </c>
      <c r="C132" t="s">
        <v>252</v>
      </c>
      <c r="D132" t="s">
        <v>246</v>
      </c>
      <c r="E132">
        <v>1383</v>
      </c>
      <c r="F132">
        <v>1395</v>
      </c>
      <c r="G132">
        <v>700</v>
      </c>
      <c r="H132" t="s">
        <v>220</v>
      </c>
      <c r="I132">
        <v>6472</v>
      </c>
      <c r="J132" t="s">
        <v>127</v>
      </c>
      <c r="K132" t="s">
        <v>230</v>
      </c>
      <c r="L132">
        <v>313</v>
      </c>
      <c r="M132">
        <v>315</v>
      </c>
      <c r="N132">
        <v>3100</v>
      </c>
      <c r="O132" t="s">
        <v>222</v>
      </c>
      <c r="P132">
        <v>0.91900675013901101</v>
      </c>
      <c r="Q132">
        <v>0.92474676927441102</v>
      </c>
      <c r="R132">
        <v>0.17449281305523301</v>
      </c>
      <c r="S132">
        <v>9.9015010072328796E-2</v>
      </c>
      <c r="T132">
        <v>-0.78749002917656197</v>
      </c>
      <c r="U132">
        <v>0.78749002917656197</v>
      </c>
      <c r="V132">
        <v>-2.23</v>
      </c>
      <c r="W132">
        <v>0</v>
      </c>
      <c r="X132">
        <v>39025</v>
      </c>
      <c r="Y132">
        <v>2054</v>
      </c>
      <c r="Z132">
        <v>0.09</v>
      </c>
      <c r="AA132">
        <v>19</v>
      </c>
      <c r="AB132">
        <v>10</v>
      </c>
      <c r="AC132">
        <v>9</v>
      </c>
      <c r="AD132">
        <v>52.63</v>
      </c>
      <c r="AE132">
        <v>11</v>
      </c>
    </row>
    <row r="133" spans="1:31" hidden="1">
      <c r="A133">
        <v>12</v>
      </c>
      <c r="B133">
        <v>6287</v>
      </c>
      <c r="C133" t="s">
        <v>279</v>
      </c>
      <c r="D133" t="s">
        <v>230</v>
      </c>
      <c r="E133">
        <v>2900</v>
      </c>
      <c r="F133">
        <v>2897</v>
      </c>
      <c r="G133">
        <v>300</v>
      </c>
      <c r="H133" t="s">
        <v>220</v>
      </c>
      <c r="I133">
        <v>6465</v>
      </c>
      <c r="J133" t="s">
        <v>187</v>
      </c>
      <c r="K133" t="s">
        <v>230</v>
      </c>
      <c r="L133">
        <v>8440</v>
      </c>
      <c r="M133">
        <v>8490</v>
      </c>
      <c r="N133">
        <v>100</v>
      </c>
      <c r="O133" t="s">
        <v>222</v>
      </c>
      <c r="P133">
        <v>0.96676871552816501</v>
      </c>
      <c r="Q133">
        <v>0.91760654012642995</v>
      </c>
      <c r="R133">
        <v>5.7978953653370499E-4</v>
      </c>
      <c r="S133">
        <v>2.60424003224687E-3</v>
      </c>
      <c r="T133">
        <v>-0.78526520206619999</v>
      </c>
      <c r="U133">
        <v>0.78526520206619999</v>
      </c>
      <c r="V133">
        <v>-1.27</v>
      </c>
      <c r="W133">
        <v>2.37</v>
      </c>
      <c r="X133">
        <v>129297</v>
      </c>
      <c r="Y133">
        <v>12930</v>
      </c>
      <c r="Z133">
        <v>1.08</v>
      </c>
      <c r="AA133">
        <v>10</v>
      </c>
      <c r="AB133">
        <v>5</v>
      </c>
      <c r="AC133">
        <v>5</v>
      </c>
      <c r="AD133">
        <v>50</v>
      </c>
      <c r="AE133">
        <v>12</v>
      </c>
    </row>
    <row r="134" spans="1:31" hidden="1">
      <c r="A134">
        <v>145</v>
      </c>
      <c r="B134">
        <v>8242</v>
      </c>
      <c r="C134" t="s">
        <v>151</v>
      </c>
      <c r="D134" t="s">
        <v>224</v>
      </c>
      <c r="E134">
        <v>1204</v>
      </c>
      <c r="F134">
        <v>1219</v>
      </c>
      <c r="G134">
        <v>900</v>
      </c>
      <c r="H134" t="s">
        <v>222</v>
      </c>
      <c r="I134">
        <v>9505</v>
      </c>
      <c r="J134" t="s">
        <v>160</v>
      </c>
      <c r="K134" t="s">
        <v>242</v>
      </c>
      <c r="L134">
        <v>716</v>
      </c>
      <c r="M134">
        <v>715</v>
      </c>
      <c r="N134">
        <v>1500</v>
      </c>
      <c r="O134" t="s">
        <v>220</v>
      </c>
      <c r="P134">
        <v>0.93300329220505596</v>
      </c>
      <c r="Q134">
        <v>0.92042855222341802</v>
      </c>
      <c r="R134">
        <v>2.0097185546283598E-2</v>
      </c>
      <c r="S134">
        <v>0.213441587787146</v>
      </c>
      <c r="T134">
        <v>0.776250397731992</v>
      </c>
      <c r="U134">
        <v>0.776250397731992</v>
      </c>
      <c r="V134">
        <v>2.52</v>
      </c>
      <c r="W134">
        <v>2.2400000000000002</v>
      </c>
      <c r="X134">
        <v>-279590</v>
      </c>
      <c r="Y134">
        <v>-17474</v>
      </c>
      <c r="Z134">
        <v>-0.88</v>
      </c>
      <c r="AA134">
        <v>16</v>
      </c>
      <c r="AB134">
        <v>5</v>
      </c>
      <c r="AC134">
        <v>11</v>
      </c>
      <c r="AD134">
        <v>31.25</v>
      </c>
      <c r="AE134">
        <v>13</v>
      </c>
    </row>
    <row r="135" spans="1:31" hidden="1">
      <c r="A135">
        <v>69</v>
      </c>
      <c r="B135">
        <v>4061</v>
      </c>
      <c r="C135" t="s">
        <v>240</v>
      </c>
      <c r="D135" t="s">
        <v>221</v>
      </c>
      <c r="E135">
        <v>2914</v>
      </c>
      <c r="F135">
        <v>2911</v>
      </c>
      <c r="G135">
        <v>300</v>
      </c>
      <c r="H135" t="s">
        <v>220</v>
      </c>
      <c r="I135">
        <v>7327</v>
      </c>
      <c r="J135" t="s">
        <v>150</v>
      </c>
      <c r="K135" t="s">
        <v>225</v>
      </c>
      <c r="L135">
        <v>2630</v>
      </c>
      <c r="M135">
        <v>2635</v>
      </c>
      <c r="N135">
        <v>300</v>
      </c>
      <c r="O135" t="s">
        <v>222</v>
      </c>
      <c r="P135">
        <v>0.95131664991687004</v>
      </c>
      <c r="Q135">
        <v>0.91819251453546402</v>
      </c>
      <c r="R135">
        <v>3.2589288568064499E-2</v>
      </c>
      <c r="S135">
        <v>6.7598131136815598E-3</v>
      </c>
      <c r="T135">
        <v>-0.76180177132811</v>
      </c>
      <c r="U135">
        <v>0.76180177132811</v>
      </c>
      <c r="V135">
        <v>-1.6</v>
      </c>
      <c r="W135">
        <v>9.48</v>
      </c>
      <c r="X135">
        <v>77039</v>
      </c>
      <c r="Y135">
        <v>77039</v>
      </c>
      <c r="Z135">
        <v>3.92</v>
      </c>
      <c r="AA135">
        <v>1</v>
      </c>
      <c r="AB135">
        <v>1</v>
      </c>
      <c r="AC135">
        <v>0</v>
      </c>
      <c r="AD135">
        <v>100</v>
      </c>
      <c r="AE135">
        <v>15</v>
      </c>
    </row>
    <row r="136" spans="1:31" hidden="1">
      <c r="A136">
        <v>275</v>
      </c>
      <c r="B136">
        <v>3105</v>
      </c>
      <c r="C136" t="s">
        <v>254</v>
      </c>
      <c r="D136" t="s">
        <v>231</v>
      </c>
      <c r="E136">
        <v>830</v>
      </c>
      <c r="F136">
        <v>830</v>
      </c>
      <c r="G136">
        <v>1200</v>
      </c>
      <c r="H136" t="s">
        <v>220</v>
      </c>
      <c r="I136">
        <v>5334</v>
      </c>
      <c r="J136" t="s">
        <v>170</v>
      </c>
      <c r="K136" t="s">
        <v>229</v>
      </c>
      <c r="L136">
        <v>2010</v>
      </c>
      <c r="M136">
        <v>2014</v>
      </c>
      <c r="N136">
        <v>500</v>
      </c>
      <c r="O136" t="s">
        <v>222</v>
      </c>
      <c r="P136">
        <v>0.90562165450842202</v>
      </c>
      <c r="Q136">
        <v>0.91897424813432105</v>
      </c>
      <c r="R136">
        <v>3.59936879994978E-2</v>
      </c>
      <c r="S136">
        <v>6.3700801338874402E-2</v>
      </c>
      <c r="T136">
        <v>-0.76151298842022697</v>
      </c>
      <c r="U136">
        <v>0.76151298842022697</v>
      </c>
      <c r="V136">
        <v>-2</v>
      </c>
      <c r="W136">
        <v>1.0900000000000001</v>
      </c>
      <c r="X136">
        <v>65459</v>
      </c>
      <c r="Y136">
        <v>3851</v>
      </c>
      <c r="Z136">
        <v>7.0000000000000007E-2</v>
      </c>
      <c r="AA136">
        <v>17</v>
      </c>
      <c r="AB136">
        <v>8</v>
      </c>
      <c r="AC136">
        <v>9</v>
      </c>
      <c r="AD136">
        <v>47.06</v>
      </c>
      <c r="AE136">
        <v>11</v>
      </c>
    </row>
    <row r="137" spans="1:31" hidden="1">
      <c r="A137">
        <v>206</v>
      </c>
      <c r="B137">
        <v>1944</v>
      </c>
      <c r="C137" t="s">
        <v>280</v>
      </c>
      <c r="D137" t="s">
        <v>246</v>
      </c>
      <c r="E137">
        <v>1592</v>
      </c>
      <c r="F137">
        <v>1599</v>
      </c>
      <c r="G137">
        <v>600</v>
      </c>
      <c r="H137" t="s">
        <v>220</v>
      </c>
      <c r="I137">
        <v>4202</v>
      </c>
      <c r="J137" t="s">
        <v>149</v>
      </c>
      <c r="K137" t="s">
        <v>221</v>
      </c>
      <c r="L137">
        <v>912</v>
      </c>
      <c r="M137">
        <v>916</v>
      </c>
      <c r="N137">
        <v>1000</v>
      </c>
      <c r="O137" t="s">
        <v>222</v>
      </c>
      <c r="P137">
        <v>0.92036949947599</v>
      </c>
      <c r="Q137">
        <v>0.90784171419706206</v>
      </c>
      <c r="R137">
        <v>1.4923792138054099E-2</v>
      </c>
      <c r="S137">
        <v>1.80544979685364E-2</v>
      </c>
      <c r="T137">
        <v>-0.75953108867739105</v>
      </c>
      <c r="U137">
        <v>0.75953108867739105</v>
      </c>
      <c r="V137">
        <v>-3.07</v>
      </c>
      <c r="W137">
        <v>4.5199999999999996</v>
      </c>
      <c r="X137">
        <v>611603</v>
      </c>
      <c r="Y137">
        <v>35977</v>
      </c>
      <c r="Z137">
        <v>1.7</v>
      </c>
      <c r="AA137">
        <v>17</v>
      </c>
      <c r="AB137">
        <v>11</v>
      </c>
      <c r="AC137">
        <v>6</v>
      </c>
      <c r="AD137">
        <v>64.709999999999994</v>
      </c>
      <c r="AE137">
        <v>14</v>
      </c>
    </row>
    <row r="138" spans="1:31" hidden="1">
      <c r="A138">
        <v>78</v>
      </c>
      <c r="B138">
        <v>1963</v>
      </c>
      <c r="C138" t="s">
        <v>252</v>
      </c>
      <c r="D138" t="s">
        <v>246</v>
      </c>
      <c r="E138">
        <v>1383</v>
      </c>
      <c r="F138">
        <v>1395</v>
      </c>
      <c r="G138">
        <v>700</v>
      </c>
      <c r="H138" t="s">
        <v>222</v>
      </c>
      <c r="I138">
        <v>7167</v>
      </c>
      <c r="J138" t="s">
        <v>129</v>
      </c>
      <c r="K138" t="s">
        <v>225</v>
      </c>
      <c r="L138">
        <v>260</v>
      </c>
      <c r="M138">
        <v>261</v>
      </c>
      <c r="N138">
        <v>3700</v>
      </c>
      <c r="O138" t="s">
        <v>220</v>
      </c>
      <c r="P138">
        <v>0.94876484328407995</v>
      </c>
      <c r="Q138">
        <v>0.90565532296333995</v>
      </c>
      <c r="R138">
        <v>5.8503097600899202E-2</v>
      </c>
      <c r="S138">
        <v>1.0657146113181E-2</v>
      </c>
      <c r="T138">
        <v>0.75820593603125497</v>
      </c>
      <c r="U138">
        <v>0.75820593603125497</v>
      </c>
      <c r="V138">
        <v>1.69</v>
      </c>
      <c r="W138">
        <v>1.1100000000000001</v>
      </c>
      <c r="X138">
        <v>38700</v>
      </c>
      <c r="Y138">
        <v>1759</v>
      </c>
      <c r="Z138">
        <v>0.04</v>
      </c>
      <c r="AA138">
        <v>22</v>
      </c>
      <c r="AB138">
        <v>10</v>
      </c>
      <c r="AC138">
        <v>12</v>
      </c>
      <c r="AD138">
        <v>45.45</v>
      </c>
      <c r="AE138">
        <v>12</v>
      </c>
    </row>
    <row r="139" spans="1:31" hidden="1">
      <c r="A139">
        <v>260</v>
      </c>
      <c r="B139">
        <v>4581</v>
      </c>
      <c r="C139" t="s">
        <v>108</v>
      </c>
      <c r="D139" t="s">
        <v>247</v>
      </c>
      <c r="E139">
        <v>7780</v>
      </c>
      <c r="F139">
        <v>7720</v>
      </c>
      <c r="G139">
        <v>100</v>
      </c>
      <c r="H139" t="s">
        <v>220</v>
      </c>
      <c r="I139">
        <v>7182</v>
      </c>
      <c r="J139" t="s">
        <v>106</v>
      </c>
      <c r="K139" t="s">
        <v>225</v>
      </c>
      <c r="L139">
        <v>1028</v>
      </c>
      <c r="M139">
        <v>1036</v>
      </c>
      <c r="N139">
        <v>700</v>
      </c>
      <c r="O139" t="s">
        <v>222</v>
      </c>
      <c r="P139">
        <v>0.90778285171735296</v>
      </c>
      <c r="Q139">
        <v>0.96321153101764201</v>
      </c>
      <c r="R139">
        <v>0.10943846897435</v>
      </c>
      <c r="S139">
        <v>7.1675096540299799E-2</v>
      </c>
      <c r="T139">
        <v>-0.75453152467552898</v>
      </c>
      <c r="U139">
        <v>0.75453152467552898</v>
      </c>
      <c r="V139">
        <v>-1.51</v>
      </c>
      <c r="W139">
        <v>6.06</v>
      </c>
      <c r="X139">
        <v>-16339</v>
      </c>
      <c r="Y139">
        <v>-1362</v>
      </c>
      <c r="Z139">
        <v>-0.02</v>
      </c>
      <c r="AA139">
        <v>12</v>
      </c>
      <c r="AB139">
        <v>6</v>
      </c>
      <c r="AC139">
        <v>6</v>
      </c>
      <c r="AD139">
        <v>50</v>
      </c>
      <c r="AE139">
        <v>16</v>
      </c>
    </row>
    <row r="140" spans="1:31" hidden="1">
      <c r="A140">
        <v>132</v>
      </c>
      <c r="B140">
        <v>7846</v>
      </c>
      <c r="C140" t="s">
        <v>152</v>
      </c>
      <c r="D140" t="s">
        <v>260</v>
      </c>
      <c r="E140">
        <v>3940</v>
      </c>
      <c r="F140">
        <v>3965</v>
      </c>
      <c r="G140">
        <v>200</v>
      </c>
      <c r="H140" t="s">
        <v>222</v>
      </c>
      <c r="I140">
        <v>9505</v>
      </c>
      <c r="J140" t="s">
        <v>160</v>
      </c>
      <c r="K140" t="s">
        <v>242</v>
      </c>
      <c r="L140">
        <v>716</v>
      </c>
      <c r="M140">
        <v>715</v>
      </c>
      <c r="N140">
        <v>1100</v>
      </c>
      <c r="O140" t="s">
        <v>220</v>
      </c>
      <c r="P140">
        <v>0.93607629026345096</v>
      </c>
      <c r="Q140">
        <v>0.95418964166784404</v>
      </c>
      <c r="R140">
        <v>4.5308866802695399E-4</v>
      </c>
      <c r="S140">
        <v>4.8509904759185402E-2</v>
      </c>
      <c r="T140">
        <v>0.73933850877862595</v>
      </c>
      <c r="U140">
        <v>0.73933850877862595</v>
      </c>
      <c r="V140">
        <v>1.95</v>
      </c>
      <c r="W140">
        <v>0.82</v>
      </c>
      <c r="X140">
        <v>77444</v>
      </c>
      <c r="Y140">
        <v>3520</v>
      </c>
      <c r="Z140">
        <v>0.21</v>
      </c>
      <c r="AA140">
        <v>22</v>
      </c>
      <c r="AB140">
        <v>10</v>
      </c>
      <c r="AC140">
        <v>12</v>
      </c>
      <c r="AD140">
        <v>45.45</v>
      </c>
      <c r="AE140">
        <v>12</v>
      </c>
    </row>
    <row r="141" spans="1:31" hidden="1">
      <c r="A141">
        <v>160</v>
      </c>
      <c r="B141">
        <v>2768</v>
      </c>
      <c r="C141" t="s">
        <v>274</v>
      </c>
      <c r="D141" t="s">
        <v>250</v>
      </c>
      <c r="E141">
        <v>324</v>
      </c>
      <c r="F141">
        <v>325</v>
      </c>
      <c r="G141">
        <v>3300</v>
      </c>
      <c r="H141" t="s">
        <v>220</v>
      </c>
      <c r="I141">
        <v>7211</v>
      </c>
      <c r="J141" t="s">
        <v>110</v>
      </c>
      <c r="K141" t="s">
        <v>228</v>
      </c>
      <c r="L141">
        <v>470</v>
      </c>
      <c r="M141">
        <v>470</v>
      </c>
      <c r="N141">
        <v>2300</v>
      </c>
      <c r="O141" t="s">
        <v>222</v>
      </c>
      <c r="P141">
        <v>0.93073569866060202</v>
      </c>
      <c r="Q141">
        <v>0.906129054304464</v>
      </c>
      <c r="R141">
        <v>8.4218553304894299E-3</v>
      </c>
      <c r="S141">
        <v>0.38639140430405799</v>
      </c>
      <c r="T141">
        <v>-0.73764215238190101</v>
      </c>
      <c r="U141">
        <v>0.73764215238190101</v>
      </c>
      <c r="V141">
        <v>-2.78</v>
      </c>
      <c r="W141">
        <v>0.79</v>
      </c>
      <c r="X141">
        <v>-77101</v>
      </c>
      <c r="Y141">
        <v>-3671</v>
      </c>
      <c r="Z141">
        <v>-0.18</v>
      </c>
      <c r="AA141">
        <v>21</v>
      </c>
      <c r="AB141">
        <v>9</v>
      </c>
      <c r="AC141">
        <v>12</v>
      </c>
      <c r="AD141">
        <v>42.86</v>
      </c>
      <c r="AE141">
        <v>13</v>
      </c>
    </row>
    <row r="142" spans="1:31" hidden="1">
      <c r="A142">
        <v>21</v>
      </c>
      <c r="B142">
        <v>5411</v>
      </c>
      <c r="C142" t="s">
        <v>147</v>
      </c>
      <c r="D142" t="s">
        <v>239</v>
      </c>
      <c r="E142">
        <v>1293.5</v>
      </c>
      <c r="F142">
        <v>1296.5</v>
      </c>
      <c r="G142">
        <v>700</v>
      </c>
      <c r="H142" t="s">
        <v>222</v>
      </c>
      <c r="I142">
        <v>6586</v>
      </c>
      <c r="J142" t="s">
        <v>90</v>
      </c>
      <c r="K142" t="s">
        <v>230</v>
      </c>
      <c r="L142">
        <v>3060</v>
      </c>
      <c r="M142">
        <v>3070</v>
      </c>
      <c r="N142">
        <v>300</v>
      </c>
      <c r="O142" t="s">
        <v>220</v>
      </c>
      <c r="P142">
        <v>0.96290660808608797</v>
      </c>
      <c r="Q142">
        <v>0.92936214642149295</v>
      </c>
      <c r="R142">
        <v>2.5689067473606301E-3</v>
      </c>
      <c r="S142">
        <v>7.9346079145979506E-2</v>
      </c>
      <c r="T142">
        <v>0.73697427694919804</v>
      </c>
      <c r="U142">
        <v>0.73697427694919804</v>
      </c>
      <c r="V142">
        <v>2.94</v>
      </c>
      <c r="W142">
        <v>1.46</v>
      </c>
      <c r="X142">
        <v>105655</v>
      </c>
      <c r="Y142">
        <v>10566</v>
      </c>
      <c r="Z142">
        <v>0.68</v>
      </c>
      <c r="AA142">
        <v>10</v>
      </c>
      <c r="AB142">
        <v>7</v>
      </c>
      <c r="AC142">
        <v>3</v>
      </c>
      <c r="AD142">
        <v>70</v>
      </c>
      <c r="AE142">
        <v>10</v>
      </c>
    </row>
    <row r="143" spans="1:31" hidden="1">
      <c r="A143">
        <v>208</v>
      </c>
      <c r="B143">
        <v>2001</v>
      </c>
      <c r="C143" t="s">
        <v>281</v>
      </c>
      <c r="D143" t="s">
        <v>268</v>
      </c>
      <c r="E143">
        <v>1694</v>
      </c>
      <c r="F143">
        <v>1702</v>
      </c>
      <c r="G143">
        <v>600</v>
      </c>
      <c r="H143" t="s">
        <v>222</v>
      </c>
      <c r="I143">
        <v>7261</v>
      </c>
      <c r="J143" t="s">
        <v>174</v>
      </c>
      <c r="K143" t="s">
        <v>228</v>
      </c>
      <c r="L143">
        <v>950</v>
      </c>
      <c r="M143">
        <v>951.9</v>
      </c>
      <c r="N143">
        <v>1100</v>
      </c>
      <c r="O143" t="s">
        <v>220</v>
      </c>
      <c r="P143">
        <v>0.91948582695278103</v>
      </c>
      <c r="Q143">
        <v>0.91266019716866098</v>
      </c>
      <c r="R143">
        <v>0.114106207336134</v>
      </c>
      <c r="S143">
        <v>3.5003520362408701E-3</v>
      </c>
      <c r="T143">
        <v>0.73270010701994304</v>
      </c>
      <c r="U143">
        <v>0.73270010701994304</v>
      </c>
      <c r="V143">
        <v>4.58</v>
      </c>
      <c r="W143">
        <v>2.54</v>
      </c>
      <c r="X143">
        <v>23527</v>
      </c>
      <c r="Y143">
        <v>1069</v>
      </c>
      <c r="Z143">
        <v>0.09</v>
      </c>
      <c r="AA143">
        <v>22</v>
      </c>
      <c r="AB143">
        <v>13</v>
      </c>
      <c r="AC143">
        <v>9</v>
      </c>
      <c r="AD143">
        <v>59.09</v>
      </c>
      <c r="AE143">
        <v>15</v>
      </c>
    </row>
    <row r="144" spans="1:31" hidden="1">
      <c r="A144">
        <v>176</v>
      </c>
      <c r="B144">
        <v>7167</v>
      </c>
      <c r="C144" t="s">
        <v>129</v>
      </c>
      <c r="D144" t="s">
        <v>225</v>
      </c>
      <c r="E144">
        <v>260</v>
      </c>
      <c r="F144">
        <v>261</v>
      </c>
      <c r="G144">
        <v>4000</v>
      </c>
      <c r="H144" t="s">
        <v>220</v>
      </c>
      <c r="I144">
        <v>7984</v>
      </c>
      <c r="J144" t="s">
        <v>179</v>
      </c>
      <c r="K144" t="s">
        <v>260</v>
      </c>
      <c r="L144">
        <v>1494</v>
      </c>
      <c r="M144">
        <v>1504</v>
      </c>
      <c r="N144">
        <v>700</v>
      </c>
      <c r="O144" t="s">
        <v>222</v>
      </c>
      <c r="P144">
        <v>0.92765242650040702</v>
      </c>
      <c r="Q144">
        <v>0.92920045729024503</v>
      </c>
      <c r="R144">
        <v>6.17038509197368E-3</v>
      </c>
      <c r="S144">
        <v>7.6719118330003701E-3</v>
      </c>
      <c r="T144">
        <v>-0.71520373275499804</v>
      </c>
      <c r="U144">
        <v>0.71520373275499804</v>
      </c>
      <c r="V144">
        <v>-3.04</v>
      </c>
      <c r="W144">
        <v>0.84</v>
      </c>
      <c r="X144">
        <v>94733</v>
      </c>
      <c r="Y144">
        <v>5263</v>
      </c>
      <c r="Z144">
        <v>0.3</v>
      </c>
      <c r="AA144">
        <v>18</v>
      </c>
      <c r="AB144">
        <v>9</v>
      </c>
      <c r="AC144">
        <v>9</v>
      </c>
      <c r="AD144">
        <v>50</v>
      </c>
      <c r="AE144">
        <v>12</v>
      </c>
    </row>
    <row r="145" spans="1:31" hidden="1">
      <c r="A145">
        <v>183</v>
      </c>
      <c r="B145">
        <v>4401</v>
      </c>
      <c r="C145" t="s">
        <v>184</v>
      </c>
      <c r="D145" t="s">
        <v>221</v>
      </c>
      <c r="E145">
        <v>1364</v>
      </c>
      <c r="F145">
        <v>1375</v>
      </c>
      <c r="G145">
        <v>700</v>
      </c>
      <c r="H145" t="s">
        <v>222</v>
      </c>
      <c r="I145">
        <v>9404</v>
      </c>
      <c r="J145" t="s">
        <v>116</v>
      </c>
      <c r="K145" t="s">
        <v>219</v>
      </c>
      <c r="L145">
        <v>1380</v>
      </c>
      <c r="M145">
        <v>1382</v>
      </c>
      <c r="N145">
        <v>700</v>
      </c>
      <c r="O145" t="s">
        <v>220</v>
      </c>
      <c r="P145">
        <v>0.92623398412222102</v>
      </c>
      <c r="Q145">
        <v>0.92834165986066597</v>
      </c>
      <c r="R145">
        <v>0.191034190776107</v>
      </c>
      <c r="S145">
        <v>9.6364212317869308E-3</v>
      </c>
      <c r="T145">
        <v>0.71349754926495601</v>
      </c>
      <c r="U145">
        <v>0.71349754926495601</v>
      </c>
      <c r="V145">
        <v>2.66</v>
      </c>
      <c r="W145">
        <v>0.51</v>
      </c>
      <c r="X145">
        <v>289996</v>
      </c>
      <c r="Y145">
        <v>19333</v>
      </c>
      <c r="Z145">
        <v>0.97</v>
      </c>
      <c r="AA145">
        <v>15</v>
      </c>
      <c r="AB145">
        <v>10</v>
      </c>
      <c r="AC145">
        <v>5</v>
      </c>
      <c r="AD145">
        <v>66.67</v>
      </c>
      <c r="AE145">
        <v>16</v>
      </c>
    </row>
    <row r="146" spans="1:31" hidden="1">
      <c r="A146">
        <v>77</v>
      </c>
      <c r="B146">
        <v>6752</v>
      </c>
      <c r="C146" t="s">
        <v>137</v>
      </c>
      <c r="D146" t="s">
        <v>231</v>
      </c>
      <c r="E146">
        <v>877.2</v>
      </c>
      <c r="F146">
        <v>874.4</v>
      </c>
      <c r="G146">
        <v>900</v>
      </c>
      <c r="H146" t="s">
        <v>220</v>
      </c>
      <c r="I146">
        <v>7846</v>
      </c>
      <c r="J146" t="s">
        <v>152</v>
      </c>
      <c r="K146" t="s">
        <v>260</v>
      </c>
      <c r="L146">
        <v>3940</v>
      </c>
      <c r="M146">
        <v>3965</v>
      </c>
      <c r="N146">
        <v>200</v>
      </c>
      <c r="O146" t="s">
        <v>222</v>
      </c>
      <c r="P146">
        <v>0.948991562340329</v>
      </c>
      <c r="Q146">
        <v>0.95780551582404305</v>
      </c>
      <c r="R146">
        <v>8.7362232050966302E-3</v>
      </c>
      <c r="S146">
        <v>0.19636575296170899</v>
      </c>
      <c r="T146">
        <v>-0.712455468012685</v>
      </c>
      <c r="U146">
        <v>0.712455468012685</v>
      </c>
      <c r="V146">
        <v>-1.68</v>
      </c>
      <c r="W146">
        <v>0.76</v>
      </c>
      <c r="X146">
        <v>128492</v>
      </c>
      <c r="Y146">
        <v>8031</v>
      </c>
      <c r="Z146">
        <v>0.28999999999999998</v>
      </c>
      <c r="AA146">
        <v>16</v>
      </c>
      <c r="AB146">
        <v>7</v>
      </c>
      <c r="AC146">
        <v>9</v>
      </c>
      <c r="AD146">
        <v>43.75</v>
      </c>
      <c r="AE146">
        <v>13</v>
      </c>
    </row>
    <row r="147" spans="1:31" hidden="1">
      <c r="A147">
        <v>45</v>
      </c>
      <c r="B147">
        <v>8341</v>
      </c>
      <c r="C147" t="s">
        <v>134</v>
      </c>
      <c r="D147" t="s">
        <v>225</v>
      </c>
      <c r="E147">
        <v>1575</v>
      </c>
      <c r="F147">
        <v>1580</v>
      </c>
      <c r="G147">
        <v>600</v>
      </c>
      <c r="H147" t="s">
        <v>220</v>
      </c>
      <c r="I147">
        <v>8750</v>
      </c>
      <c r="J147" t="s">
        <v>136</v>
      </c>
      <c r="K147" t="s">
        <v>253</v>
      </c>
      <c r="L147">
        <v>1651</v>
      </c>
      <c r="M147">
        <v>1655</v>
      </c>
      <c r="N147">
        <v>600</v>
      </c>
      <c r="O147" t="s">
        <v>222</v>
      </c>
      <c r="P147">
        <v>0.95708750377833596</v>
      </c>
      <c r="Q147">
        <v>0.96803193024392797</v>
      </c>
      <c r="R147">
        <v>3.8583162543245602E-3</v>
      </c>
      <c r="S147">
        <v>5.8785164184321601E-2</v>
      </c>
      <c r="T147">
        <v>-0.70920228277153496</v>
      </c>
      <c r="U147">
        <v>0.70920228277153496</v>
      </c>
      <c r="V147">
        <v>-1.82</v>
      </c>
      <c r="W147">
        <v>4.53</v>
      </c>
      <c r="X147">
        <v>-53235</v>
      </c>
      <c r="Y147">
        <v>-2958</v>
      </c>
      <c r="Z147">
        <v>-0.1</v>
      </c>
      <c r="AA147">
        <v>18</v>
      </c>
      <c r="AB147">
        <v>10</v>
      </c>
      <c r="AC147">
        <v>8</v>
      </c>
      <c r="AD147">
        <v>55.56</v>
      </c>
      <c r="AE147">
        <v>13</v>
      </c>
    </row>
    <row r="148" spans="1:31" hidden="1">
      <c r="A148">
        <v>204</v>
      </c>
      <c r="B148">
        <v>1963</v>
      </c>
      <c r="C148" t="s">
        <v>252</v>
      </c>
      <c r="D148" t="s">
        <v>246</v>
      </c>
      <c r="E148">
        <v>1383</v>
      </c>
      <c r="F148">
        <v>1395</v>
      </c>
      <c r="G148">
        <v>700</v>
      </c>
      <c r="H148" t="s">
        <v>222</v>
      </c>
      <c r="I148">
        <v>5020</v>
      </c>
      <c r="J148" t="s">
        <v>167</v>
      </c>
      <c r="K148" t="s">
        <v>273</v>
      </c>
      <c r="L148">
        <v>487.9</v>
      </c>
      <c r="M148">
        <v>487.8</v>
      </c>
      <c r="N148">
        <v>2000</v>
      </c>
      <c r="O148" t="s">
        <v>220</v>
      </c>
      <c r="P148">
        <v>0.92094737237142998</v>
      </c>
      <c r="Q148">
        <v>0.93589601443383796</v>
      </c>
      <c r="R148">
        <v>0.284019212773715</v>
      </c>
      <c r="S148">
        <v>0.14920152738393799</v>
      </c>
      <c r="T148">
        <v>0.70406133540511195</v>
      </c>
      <c r="U148">
        <v>0.70406133540511195</v>
      </c>
      <c r="V148">
        <v>1.99</v>
      </c>
      <c r="W148">
        <v>0.09</v>
      </c>
      <c r="X148">
        <v>200640</v>
      </c>
      <c r="Y148">
        <v>10560</v>
      </c>
      <c r="Z148">
        <v>0.5</v>
      </c>
      <c r="AA148">
        <v>19</v>
      </c>
      <c r="AB148">
        <v>10</v>
      </c>
      <c r="AC148">
        <v>9</v>
      </c>
      <c r="AD148">
        <v>52.63</v>
      </c>
      <c r="AE148">
        <v>12</v>
      </c>
    </row>
    <row r="149" spans="1:31" hidden="1">
      <c r="A149">
        <v>251</v>
      </c>
      <c r="B149">
        <v>7182</v>
      </c>
      <c r="C149" t="s">
        <v>106</v>
      </c>
      <c r="D149" t="s">
        <v>225</v>
      </c>
      <c r="E149">
        <v>1028</v>
      </c>
      <c r="F149">
        <v>1036</v>
      </c>
      <c r="G149">
        <v>800</v>
      </c>
      <c r="H149" t="s">
        <v>220</v>
      </c>
      <c r="I149">
        <v>9003</v>
      </c>
      <c r="J149" t="s">
        <v>153</v>
      </c>
      <c r="K149" t="s">
        <v>265</v>
      </c>
      <c r="L149">
        <v>2920</v>
      </c>
      <c r="M149">
        <v>2903</v>
      </c>
      <c r="N149">
        <v>300</v>
      </c>
      <c r="O149" t="s">
        <v>222</v>
      </c>
      <c r="P149">
        <v>0.90913436858857999</v>
      </c>
      <c r="Q149">
        <v>0.94989731018546997</v>
      </c>
      <c r="R149">
        <v>5.0192097691095998E-2</v>
      </c>
      <c r="S149">
        <v>4.1301592975315198E-3</v>
      </c>
      <c r="T149">
        <v>-0.70377641662427703</v>
      </c>
      <c r="U149">
        <v>0.70377641662427703</v>
      </c>
      <c r="V149">
        <v>-1.71</v>
      </c>
      <c r="W149">
        <v>4.83</v>
      </c>
      <c r="X149">
        <v>-19422</v>
      </c>
      <c r="Y149">
        <v>-1079</v>
      </c>
      <c r="Z149">
        <v>0.02</v>
      </c>
      <c r="AA149">
        <v>18</v>
      </c>
      <c r="AB149">
        <v>10</v>
      </c>
      <c r="AC149">
        <v>8</v>
      </c>
      <c r="AD149">
        <v>55.56</v>
      </c>
      <c r="AE149">
        <v>13</v>
      </c>
    </row>
    <row r="150" spans="1:31" hidden="1">
      <c r="A150">
        <v>135</v>
      </c>
      <c r="B150">
        <v>7013</v>
      </c>
      <c r="C150" t="s">
        <v>165</v>
      </c>
      <c r="D150" t="s">
        <v>230</v>
      </c>
      <c r="E150">
        <v>2300</v>
      </c>
      <c r="F150">
        <v>2407</v>
      </c>
      <c r="G150">
        <v>400</v>
      </c>
      <c r="H150" t="s">
        <v>222</v>
      </c>
      <c r="I150">
        <v>7278</v>
      </c>
      <c r="J150" t="s">
        <v>91</v>
      </c>
      <c r="K150" t="s">
        <v>228</v>
      </c>
      <c r="L150">
        <v>2095</v>
      </c>
      <c r="M150">
        <v>2100</v>
      </c>
      <c r="N150">
        <v>500</v>
      </c>
      <c r="O150" t="s">
        <v>220</v>
      </c>
      <c r="P150">
        <v>0.93487297063054697</v>
      </c>
      <c r="Q150">
        <v>0.92910436311764599</v>
      </c>
      <c r="R150">
        <v>8.0777171659996205E-2</v>
      </c>
      <c r="S150">
        <v>0.163405471597451</v>
      </c>
      <c r="T150">
        <v>0.69560236643203799</v>
      </c>
      <c r="U150">
        <v>0.69560236643203799</v>
      </c>
      <c r="V150">
        <v>3.11</v>
      </c>
      <c r="W150">
        <v>9.06</v>
      </c>
      <c r="X150">
        <v>398432</v>
      </c>
      <c r="Y150">
        <v>49804</v>
      </c>
      <c r="Z150">
        <v>2.58</v>
      </c>
      <c r="AA150">
        <v>8</v>
      </c>
      <c r="AB150">
        <v>8</v>
      </c>
      <c r="AC150">
        <v>0</v>
      </c>
      <c r="AD150">
        <v>100</v>
      </c>
      <c r="AE150">
        <v>8</v>
      </c>
    </row>
    <row r="151" spans="1:31" hidden="1">
      <c r="A151">
        <v>185</v>
      </c>
      <c r="B151">
        <v>2914</v>
      </c>
      <c r="C151" t="s">
        <v>275</v>
      </c>
      <c r="D151" t="s">
        <v>268</v>
      </c>
      <c r="E151">
        <v>2334</v>
      </c>
      <c r="F151">
        <v>2346</v>
      </c>
      <c r="G151">
        <v>300</v>
      </c>
      <c r="H151" t="s">
        <v>220</v>
      </c>
      <c r="I151">
        <v>4507</v>
      </c>
      <c r="J151" t="s">
        <v>139</v>
      </c>
      <c r="K151" t="s">
        <v>247</v>
      </c>
      <c r="L151">
        <v>6018</v>
      </c>
      <c r="M151">
        <v>6020</v>
      </c>
      <c r="N151">
        <v>100</v>
      </c>
      <c r="O151" t="s">
        <v>222</v>
      </c>
      <c r="P151">
        <v>0.92537829859892395</v>
      </c>
      <c r="Q151">
        <v>0.92452178018208397</v>
      </c>
      <c r="R151">
        <v>1.30565769627653E-2</v>
      </c>
      <c r="S151">
        <v>2.6751419286947201E-2</v>
      </c>
      <c r="T151">
        <v>-0.69228860950565696</v>
      </c>
      <c r="U151">
        <v>0.69228860950565696</v>
      </c>
      <c r="V151">
        <v>-1.1399999999999999</v>
      </c>
      <c r="W151">
        <v>16.91</v>
      </c>
      <c r="X151">
        <v>-30523</v>
      </c>
      <c r="Y151">
        <v>-5087</v>
      </c>
      <c r="Z151">
        <v>-0.76</v>
      </c>
      <c r="AA151">
        <v>6</v>
      </c>
      <c r="AB151">
        <v>3</v>
      </c>
      <c r="AC151">
        <v>3</v>
      </c>
      <c r="AD151">
        <v>50</v>
      </c>
      <c r="AE151">
        <v>11</v>
      </c>
    </row>
    <row r="152" spans="1:31" hidden="1">
      <c r="A152">
        <v>164</v>
      </c>
      <c r="B152">
        <v>4507</v>
      </c>
      <c r="C152" t="s">
        <v>139</v>
      </c>
      <c r="D152" t="s">
        <v>247</v>
      </c>
      <c r="E152">
        <v>6018</v>
      </c>
      <c r="F152">
        <v>6020</v>
      </c>
      <c r="G152">
        <v>100</v>
      </c>
      <c r="H152" t="s">
        <v>222</v>
      </c>
      <c r="I152">
        <v>8377</v>
      </c>
      <c r="J152" t="s">
        <v>103</v>
      </c>
      <c r="K152" t="s">
        <v>225</v>
      </c>
      <c r="L152">
        <v>1028</v>
      </c>
      <c r="M152">
        <v>1031</v>
      </c>
      <c r="N152">
        <v>600</v>
      </c>
      <c r="O152" t="s">
        <v>220</v>
      </c>
      <c r="P152">
        <v>0.92964141534338596</v>
      </c>
      <c r="Q152">
        <v>0.91326640023748196</v>
      </c>
      <c r="R152">
        <v>5.8784535176768698E-3</v>
      </c>
      <c r="S152">
        <v>1.3594685203225199E-2</v>
      </c>
      <c r="T152">
        <v>0.68948226334018003</v>
      </c>
      <c r="U152">
        <v>0.68948226334018003</v>
      </c>
      <c r="V152">
        <v>2.69</v>
      </c>
      <c r="W152">
        <v>2.76</v>
      </c>
      <c r="X152">
        <v>56732</v>
      </c>
      <c r="Y152">
        <v>3337</v>
      </c>
      <c r="Z152">
        <v>0</v>
      </c>
      <c r="AA152">
        <v>17</v>
      </c>
      <c r="AB152">
        <v>9</v>
      </c>
      <c r="AC152">
        <v>8</v>
      </c>
      <c r="AD152">
        <v>52.94</v>
      </c>
      <c r="AE152">
        <v>11</v>
      </c>
    </row>
    <row r="153" spans="1:31" hidden="1">
      <c r="A153">
        <v>19</v>
      </c>
      <c r="B153">
        <v>6371</v>
      </c>
      <c r="C153" t="s">
        <v>132</v>
      </c>
      <c r="D153" t="s">
        <v>230</v>
      </c>
      <c r="E153">
        <v>3400</v>
      </c>
      <c r="F153">
        <v>3420</v>
      </c>
      <c r="G153">
        <v>300</v>
      </c>
      <c r="H153" t="s">
        <v>222</v>
      </c>
      <c r="I153">
        <v>7278</v>
      </c>
      <c r="J153" t="s">
        <v>91</v>
      </c>
      <c r="K153" t="s">
        <v>228</v>
      </c>
      <c r="L153">
        <v>2095</v>
      </c>
      <c r="M153">
        <v>2100</v>
      </c>
      <c r="N153">
        <v>500</v>
      </c>
      <c r="O153" t="s">
        <v>220</v>
      </c>
      <c r="P153">
        <v>0.96451611528086401</v>
      </c>
      <c r="Q153">
        <v>0.94576448229031795</v>
      </c>
      <c r="R153">
        <v>4.38203840577144E-2</v>
      </c>
      <c r="S153">
        <v>1.65257067121302E-2</v>
      </c>
      <c r="T153">
        <v>0.68828893260191404</v>
      </c>
      <c r="U153">
        <v>0.68828893260191404</v>
      </c>
      <c r="V153">
        <v>1.35</v>
      </c>
      <c r="W153">
        <v>2.34</v>
      </c>
      <c r="X153">
        <v>367982</v>
      </c>
      <c r="Y153">
        <v>36798</v>
      </c>
      <c r="Z153">
        <v>2.11</v>
      </c>
      <c r="AA153">
        <v>10</v>
      </c>
      <c r="AB153">
        <v>7</v>
      </c>
      <c r="AC153">
        <v>3</v>
      </c>
      <c r="AD153">
        <v>70</v>
      </c>
      <c r="AE153">
        <v>10</v>
      </c>
    </row>
    <row r="154" spans="1:31" hidden="1">
      <c r="A154">
        <v>200</v>
      </c>
      <c r="B154">
        <v>3099</v>
      </c>
      <c r="C154" t="s">
        <v>234</v>
      </c>
      <c r="D154" t="s">
        <v>224</v>
      </c>
      <c r="E154">
        <v>867</v>
      </c>
      <c r="F154">
        <v>878</v>
      </c>
      <c r="G154">
        <v>1200</v>
      </c>
      <c r="H154" t="s">
        <v>222</v>
      </c>
      <c r="I154">
        <v>7189</v>
      </c>
      <c r="J154" t="s">
        <v>155</v>
      </c>
      <c r="K154" t="s">
        <v>225</v>
      </c>
      <c r="L154">
        <v>744</v>
      </c>
      <c r="M154">
        <v>742</v>
      </c>
      <c r="N154">
        <v>1400</v>
      </c>
      <c r="O154" t="s">
        <v>220</v>
      </c>
      <c r="P154">
        <v>0.92155319721305295</v>
      </c>
      <c r="Q154">
        <v>0.95641015523817996</v>
      </c>
      <c r="R154">
        <v>0.28471295276167202</v>
      </c>
      <c r="S154">
        <v>3.5991657657745701E-2</v>
      </c>
      <c r="T154">
        <v>0.67531828952746298</v>
      </c>
      <c r="U154">
        <v>0.67531828952746298</v>
      </c>
      <c r="V154">
        <v>2.02</v>
      </c>
      <c r="W154">
        <v>1.4</v>
      </c>
      <c r="X154">
        <v>474842</v>
      </c>
      <c r="Y154">
        <v>31656</v>
      </c>
      <c r="Z154">
        <v>1.55</v>
      </c>
      <c r="AA154">
        <v>15</v>
      </c>
      <c r="AB154">
        <v>10</v>
      </c>
      <c r="AC154">
        <v>5</v>
      </c>
      <c r="AD154">
        <v>66.67</v>
      </c>
      <c r="AE154">
        <v>12</v>
      </c>
    </row>
    <row r="155" spans="1:31" hidden="1">
      <c r="A155">
        <v>264</v>
      </c>
      <c r="B155">
        <v>1820</v>
      </c>
      <c r="C155" t="s">
        <v>270</v>
      </c>
      <c r="D155" t="s">
        <v>246</v>
      </c>
      <c r="E155">
        <v>1967</v>
      </c>
      <c r="F155">
        <v>1974</v>
      </c>
      <c r="G155">
        <v>500</v>
      </c>
      <c r="H155" t="s">
        <v>220</v>
      </c>
      <c r="I155">
        <v>7189</v>
      </c>
      <c r="J155" t="s">
        <v>155</v>
      </c>
      <c r="K155" t="s">
        <v>225</v>
      </c>
      <c r="L155">
        <v>744</v>
      </c>
      <c r="M155">
        <v>742</v>
      </c>
      <c r="N155">
        <v>1300</v>
      </c>
      <c r="O155" t="s">
        <v>222</v>
      </c>
      <c r="P155">
        <v>0.90730699248150903</v>
      </c>
      <c r="Q155">
        <v>0.94906603757494001</v>
      </c>
      <c r="R155">
        <v>0.35062925275975898</v>
      </c>
      <c r="S155">
        <v>4.7294176341170002E-2</v>
      </c>
      <c r="T155">
        <v>-0.66773123285907399</v>
      </c>
      <c r="U155">
        <v>0.66773123285907399</v>
      </c>
      <c r="V155">
        <v>-2.2599999999999998</v>
      </c>
      <c r="W155">
        <v>2.27</v>
      </c>
      <c r="X155">
        <v>341373</v>
      </c>
      <c r="Y155">
        <v>18965</v>
      </c>
      <c r="Z155">
        <v>0.99</v>
      </c>
      <c r="AA155">
        <v>18</v>
      </c>
      <c r="AB155">
        <v>11</v>
      </c>
      <c r="AC155">
        <v>7</v>
      </c>
      <c r="AD155">
        <v>61.11</v>
      </c>
      <c r="AE155">
        <v>14</v>
      </c>
    </row>
    <row r="156" spans="1:31" hidden="1">
      <c r="A156">
        <v>256</v>
      </c>
      <c r="B156">
        <v>5463</v>
      </c>
      <c r="C156" t="s">
        <v>282</v>
      </c>
      <c r="D156" t="s">
        <v>239</v>
      </c>
      <c r="E156">
        <v>2808</v>
      </c>
      <c r="F156">
        <v>2794</v>
      </c>
      <c r="G156">
        <v>300</v>
      </c>
      <c r="H156" t="s">
        <v>220</v>
      </c>
      <c r="I156">
        <v>8086</v>
      </c>
      <c r="J156" t="s">
        <v>176</v>
      </c>
      <c r="K156" t="s">
        <v>244</v>
      </c>
      <c r="L156">
        <v>1212</v>
      </c>
      <c r="M156">
        <v>1211</v>
      </c>
      <c r="N156">
        <v>700</v>
      </c>
      <c r="O156" t="s">
        <v>222</v>
      </c>
      <c r="P156">
        <v>0.90847205183156599</v>
      </c>
      <c r="Q156">
        <v>0.90670195222983196</v>
      </c>
      <c r="R156">
        <v>0.30547800267310099</v>
      </c>
      <c r="S156" s="41">
        <v>5.88199111474682E-2</v>
      </c>
      <c r="T156">
        <v>-0.66198683642422496</v>
      </c>
      <c r="U156">
        <v>0.66198683642422496</v>
      </c>
      <c r="V156">
        <v>-1.95</v>
      </c>
      <c r="W156">
        <v>1.1299999999999999</v>
      </c>
      <c r="X156">
        <v>-349522</v>
      </c>
      <c r="Y156">
        <v>-18396</v>
      </c>
      <c r="Z156">
        <v>-0.91</v>
      </c>
      <c r="AA156">
        <v>19</v>
      </c>
      <c r="AB156">
        <v>6</v>
      </c>
      <c r="AC156">
        <v>13</v>
      </c>
      <c r="AD156">
        <v>31.58</v>
      </c>
      <c r="AE156">
        <v>10</v>
      </c>
    </row>
    <row r="157" spans="1:31" hidden="1">
      <c r="A157">
        <v>215</v>
      </c>
      <c r="B157">
        <v>4188</v>
      </c>
      <c r="C157" t="s">
        <v>278</v>
      </c>
      <c r="D157" t="s">
        <v>221</v>
      </c>
      <c r="E157">
        <v>765</v>
      </c>
      <c r="F157">
        <v>764.6</v>
      </c>
      <c r="G157">
        <v>1400</v>
      </c>
      <c r="H157" t="s">
        <v>220</v>
      </c>
      <c r="I157">
        <v>8411</v>
      </c>
      <c r="J157" t="s">
        <v>158</v>
      </c>
      <c r="K157" t="s">
        <v>225</v>
      </c>
      <c r="L157">
        <v>162.6</v>
      </c>
      <c r="M157">
        <v>162.9</v>
      </c>
      <c r="N157">
        <v>6600</v>
      </c>
      <c r="O157" t="s">
        <v>222</v>
      </c>
      <c r="P157">
        <v>0.91823614398650499</v>
      </c>
      <c r="Q157">
        <v>0.91504771179306998</v>
      </c>
      <c r="R157">
        <v>2.22769895294604E-2</v>
      </c>
      <c r="S157">
        <v>0.23103617340058499</v>
      </c>
      <c r="T157">
        <v>-0.65813877285772304</v>
      </c>
      <c r="U157">
        <v>0.65813877285772304</v>
      </c>
      <c r="V157">
        <v>-1.3</v>
      </c>
      <c r="W157">
        <v>0.44</v>
      </c>
      <c r="X157">
        <v>-8799</v>
      </c>
      <c r="Y157">
        <v>-463</v>
      </c>
      <c r="Z157">
        <v>-0.01</v>
      </c>
      <c r="AA157">
        <v>19</v>
      </c>
      <c r="AB157">
        <v>8</v>
      </c>
      <c r="AC157">
        <v>11</v>
      </c>
      <c r="AD157">
        <v>42.11</v>
      </c>
      <c r="AE157">
        <v>12</v>
      </c>
    </row>
    <row r="158" spans="1:31" hidden="1">
      <c r="A158">
        <v>254</v>
      </c>
      <c r="B158">
        <v>7186</v>
      </c>
      <c r="C158" t="s">
        <v>95</v>
      </c>
      <c r="D158" t="s">
        <v>225</v>
      </c>
      <c r="E158">
        <v>414</v>
      </c>
      <c r="F158">
        <v>409</v>
      </c>
      <c r="G158">
        <v>2700</v>
      </c>
      <c r="H158" t="s">
        <v>222</v>
      </c>
      <c r="I158">
        <v>8002</v>
      </c>
      <c r="J158" t="s">
        <v>114</v>
      </c>
      <c r="K158" t="s">
        <v>250</v>
      </c>
      <c r="L158">
        <v>710.4</v>
      </c>
      <c r="M158">
        <v>722.7</v>
      </c>
      <c r="N158">
        <v>1500</v>
      </c>
      <c r="O158" t="s">
        <v>220</v>
      </c>
      <c r="P158">
        <v>0.90853712658243502</v>
      </c>
      <c r="Q158">
        <v>0.92562693230239401</v>
      </c>
      <c r="R158">
        <v>0.360909226083997</v>
      </c>
      <c r="S158">
        <v>0.29215370160834397</v>
      </c>
      <c r="T158">
        <v>0.657107101116989</v>
      </c>
      <c r="U158">
        <v>0.657107101116989</v>
      </c>
      <c r="V158">
        <v>1.99</v>
      </c>
      <c r="W158">
        <v>1.87</v>
      </c>
      <c r="X158">
        <v>-46992</v>
      </c>
      <c r="Y158">
        <v>-2764</v>
      </c>
      <c r="Z158">
        <v>-0.1</v>
      </c>
      <c r="AA158">
        <v>17</v>
      </c>
      <c r="AB158">
        <v>9</v>
      </c>
      <c r="AC158">
        <v>8</v>
      </c>
      <c r="AD158">
        <v>52.94</v>
      </c>
      <c r="AE158">
        <v>13</v>
      </c>
    </row>
    <row r="159" spans="1:31" hidden="1">
      <c r="A159">
        <v>271</v>
      </c>
      <c r="B159">
        <v>4581</v>
      </c>
      <c r="C159" t="s">
        <v>108</v>
      </c>
      <c r="D159" t="s">
        <v>247</v>
      </c>
      <c r="E159">
        <v>7780</v>
      </c>
      <c r="F159">
        <v>7720</v>
      </c>
      <c r="G159">
        <v>100</v>
      </c>
      <c r="H159" t="s">
        <v>220</v>
      </c>
      <c r="I159">
        <v>7278</v>
      </c>
      <c r="J159" t="s">
        <v>91</v>
      </c>
      <c r="K159" t="s">
        <v>228</v>
      </c>
      <c r="L159">
        <v>2095</v>
      </c>
      <c r="M159">
        <v>2100</v>
      </c>
      <c r="N159">
        <v>400</v>
      </c>
      <c r="O159" t="s">
        <v>222</v>
      </c>
      <c r="P159">
        <v>0.90621504455781898</v>
      </c>
      <c r="Q159">
        <v>0.91829859866042896</v>
      </c>
      <c r="R159">
        <v>0.215087878068251</v>
      </c>
      <c r="S159">
        <v>0.38006725029238703</v>
      </c>
      <c r="T159">
        <v>-0.65533341644853704</v>
      </c>
      <c r="U159">
        <v>0.65533341644853704</v>
      </c>
      <c r="V159">
        <v>-1.74</v>
      </c>
      <c r="W159">
        <v>8.81</v>
      </c>
      <c r="X159">
        <v>127211</v>
      </c>
      <c r="Y159">
        <v>25442</v>
      </c>
      <c r="Z159">
        <v>1.22</v>
      </c>
      <c r="AA159">
        <v>5</v>
      </c>
      <c r="AB159">
        <v>4</v>
      </c>
      <c r="AC159">
        <v>1</v>
      </c>
      <c r="AD159">
        <v>80</v>
      </c>
      <c r="AE159">
        <v>13</v>
      </c>
    </row>
    <row r="160" spans="1:31" hidden="1">
      <c r="A160">
        <v>97</v>
      </c>
      <c r="B160">
        <v>6995</v>
      </c>
      <c r="C160" t="s">
        <v>113</v>
      </c>
      <c r="D160" t="s">
        <v>228</v>
      </c>
      <c r="E160">
        <v>1813</v>
      </c>
      <c r="F160">
        <v>1818</v>
      </c>
      <c r="G160">
        <v>500</v>
      </c>
      <c r="H160" t="s">
        <v>220</v>
      </c>
      <c r="I160">
        <v>7272</v>
      </c>
      <c r="J160" t="s">
        <v>122</v>
      </c>
      <c r="K160" t="s">
        <v>228</v>
      </c>
      <c r="L160">
        <v>1946</v>
      </c>
      <c r="M160">
        <v>1951</v>
      </c>
      <c r="N160">
        <v>500</v>
      </c>
      <c r="O160" t="s">
        <v>222</v>
      </c>
      <c r="P160">
        <v>0.94445402966819803</v>
      </c>
      <c r="Q160">
        <v>0.91271110336552097</v>
      </c>
      <c r="R160">
        <v>0.25167219721829298</v>
      </c>
      <c r="S160">
        <v>6.3773304576796197E-2</v>
      </c>
      <c r="T160">
        <v>-0.64959226221821897</v>
      </c>
      <c r="U160">
        <v>0.64959226221821897</v>
      </c>
      <c r="V160">
        <v>-1.41</v>
      </c>
      <c r="W160">
        <v>6.82</v>
      </c>
      <c r="X160">
        <v>-83773</v>
      </c>
      <c r="Y160">
        <v>-5585</v>
      </c>
      <c r="Z160">
        <v>-0.34</v>
      </c>
      <c r="AA160">
        <v>15</v>
      </c>
      <c r="AB160">
        <v>8</v>
      </c>
      <c r="AC160">
        <v>7</v>
      </c>
      <c r="AD160">
        <v>53.33</v>
      </c>
      <c r="AE160">
        <v>13</v>
      </c>
    </row>
    <row r="161" spans="1:31" hidden="1">
      <c r="A161">
        <v>244</v>
      </c>
      <c r="B161">
        <v>5471</v>
      </c>
      <c r="C161" t="s">
        <v>111</v>
      </c>
      <c r="D161" t="s">
        <v>239</v>
      </c>
      <c r="E161">
        <v>4350</v>
      </c>
      <c r="F161">
        <v>4330</v>
      </c>
      <c r="G161">
        <v>200</v>
      </c>
      <c r="H161" t="s">
        <v>222</v>
      </c>
      <c r="I161">
        <v>6923</v>
      </c>
      <c r="J161" t="s">
        <v>121</v>
      </c>
      <c r="K161" t="s">
        <v>231</v>
      </c>
      <c r="L161">
        <v>2804</v>
      </c>
      <c r="M161">
        <v>2829</v>
      </c>
      <c r="N161">
        <v>300</v>
      </c>
      <c r="O161" t="s">
        <v>220</v>
      </c>
      <c r="P161">
        <v>0.91045846933320596</v>
      </c>
      <c r="Q161">
        <v>0.92097886410368701</v>
      </c>
      <c r="R161">
        <v>2.06548157169219E-2</v>
      </c>
      <c r="S161">
        <v>2.9196332099039601E-3</v>
      </c>
      <c r="T161">
        <v>0.64883864056186502</v>
      </c>
      <c r="U161">
        <v>0.64883864056186502</v>
      </c>
      <c r="V161">
        <v>1.43</v>
      </c>
      <c r="W161">
        <v>2</v>
      </c>
      <c r="X161">
        <v>57851</v>
      </c>
      <c r="Y161">
        <v>8264</v>
      </c>
      <c r="Z161">
        <v>0.43</v>
      </c>
      <c r="AA161">
        <v>7</v>
      </c>
      <c r="AB161">
        <v>3</v>
      </c>
      <c r="AC161">
        <v>4</v>
      </c>
      <c r="AD161">
        <v>42.86</v>
      </c>
      <c r="AE161">
        <v>17</v>
      </c>
    </row>
    <row r="162" spans="1:31" hidden="1">
      <c r="A162">
        <v>88</v>
      </c>
      <c r="B162">
        <v>1963</v>
      </c>
      <c r="C162" t="s">
        <v>252</v>
      </c>
      <c r="D162" t="s">
        <v>246</v>
      </c>
      <c r="E162">
        <v>1383</v>
      </c>
      <c r="F162">
        <v>1395</v>
      </c>
      <c r="G162">
        <v>700</v>
      </c>
      <c r="H162" t="s">
        <v>222</v>
      </c>
      <c r="I162">
        <v>6752</v>
      </c>
      <c r="J162" t="s">
        <v>137</v>
      </c>
      <c r="K162" t="s">
        <v>231</v>
      </c>
      <c r="L162">
        <v>877.2</v>
      </c>
      <c r="M162">
        <v>874.4</v>
      </c>
      <c r="N162">
        <v>1100</v>
      </c>
      <c r="O162" t="s">
        <v>220</v>
      </c>
      <c r="P162">
        <v>0.94704000244713205</v>
      </c>
      <c r="Q162">
        <v>0.92123866447944802</v>
      </c>
      <c r="R162">
        <v>4.5090870245051802E-3</v>
      </c>
      <c r="S162">
        <v>0.32220823633254397</v>
      </c>
      <c r="T162">
        <v>0.64455567121538404</v>
      </c>
      <c r="U162">
        <v>0.64455567121538404</v>
      </c>
      <c r="V162">
        <v>2.04</v>
      </c>
      <c r="W162">
        <v>1.5</v>
      </c>
      <c r="X162">
        <v>-294651</v>
      </c>
      <c r="Y162">
        <v>-12811</v>
      </c>
      <c r="Z162">
        <v>-0.66</v>
      </c>
      <c r="AA162">
        <v>23</v>
      </c>
      <c r="AB162">
        <v>8</v>
      </c>
      <c r="AC162">
        <v>15</v>
      </c>
      <c r="AD162">
        <v>34.78</v>
      </c>
      <c r="AE162">
        <v>11</v>
      </c>
    </row>
    <row r="163" spans="1:31" hidden="1">
      <c r="A163">
        <v>129</v>
      </c>
      <c r="B163">
        <v>7167</v>
      </c>
      <c r="C163" t="s">
        <v>129</v>
      </c>
      <c r="D163" t="s">
        <v>225</v>
      </c>
      <c r="E163">
        <v>260</v>
      </c>
      <c r="F163">
        <v>261</v>
      </c>
      <c r="G163">
        <v>4000</v>
      </c>
      <c r="H163" t="s">
        <v>222</v>
      </c>
      <c r="I163">
        <v>7327</v>
      </c>
      <c r="J163" t="s">
        <v>150</v>
      </c>
      <c r="K163" t="s">
        <v>225</v>
      </c>
      <c r="L163">
        <v>2630</v>
      </c>
      <c r="M163">
        <v>2635</v>
      </c>
      <c r="N163">
        <v>400</v>
      </c>
      <c r="O163" t="s">
        <v>220</v>
      </c>
      <c r="P163">
        <v>0.93742010374778195</v>
      </c>
      <c r="Q163">
        <v>0.95084983283414004</v>
      </c>
      <c r="R163">
        <v>0.39555055393859201</v>
      </c>
      <c r="S163">
        <v>0.289223908484182</v>
      </c>
      <c r="T163">
        <v>0.64267984257986199</v>
      </c>
      <c r="U163">
        <v>0.64267984257986199</v>
      </c>
      <c r="V163">
        <v>1.53</v>
      </c>
      <c r="W163">
        <v>0.95</v>
      </c>
      <c r="X163">
        <v>64321</v>
      </c>
      <c r="Y163">
        <v>32160</v>
      </c>
      <c r="Z163">
        <v>2.1</v>
      </c>
      <c r="AA163">
        <v>2</v>
      </c>
      <c r="AB163">
        <v>2</v>
      </c>
      <c r="AC163">
        <v>0</v>
      </c>
      <c r="AD163">
        <v>100</v>
      </c>
      <c r="AE163">
        <v>10</v>
      </c>
    </row>
    <row r="164" spans="1:31" hidden="1">
      <c r="A164">
        <v>223</v>
      </c>
      <c r="B164">
        <v>5406</v>
      </c>
      <c r="C164" t="s">
        <v>140</v>
      </c>
      <c r="D164" t="s">
        <v>239</v>
      </c>
      <c r="E164">
        <v>566</v>
      </c>
      <c r="F164">
        <v>565</v>
      </c>
      <c r="G164">
        <v>1600</v>
      </c>
      <c r="H164" t="s">
        <v>220</v>
      </c>
      <c r="I164">
        <v>6674</v>
      </c>
      <c r="J164" t="s">
        <v>133</v>
      </c>
      <c r="K164" t="s">
        <v>231</v>
      </c>
      <c r="L164">
        <v>1843</v>
      </c>
      <c r="M164">
        <v>1840</v>
      </c>
      <c r="N164">
        <v>500</v>
      </c>
      <c r="O164" t="s">
        <v>222</v>
      </c>
      <c r="P164">
        <v>0.916057158521978</v>
      </c>
      <c r="Q164">
        <v>0.90574254657214204</v>
      </c>
      <c r="R164">
        <v>0.221479255680812</v>
      </c>
      <c r="S164">
        <v>0.33271247642190299</v>
      </c>
      <c r="T164">
        <v>-0.63648381556892497</v>
      </c>
      <c r="U164">
        <v>0.63648381556892497</v>
      </c>
      <c r="V164">
        <v>-3.64</v>
      </c>
      <c r="W164">
        <v>1.74</v>
      </c>
      <c r="X164">
        <v>-86613</v>
      </c>
      <c r="Y164">
        <v>-5413</v>
      </c>
      <c r="Z164">
        <v>-0.36</v>
      </c>
      <c r="AA164">
        <v>16</v>
      </c>
      <c r="AB164">
        <v>6</v>
      </c>
      <c r="AC164">
        <v>10</v>
      </c>
      <c r="AD164">
        <v>37.5</v>
      </c>
      <c r="AE164">
        <v>11</v>
      </c>
    </row>
    <row r="165" spans="1:31" hidden="1">
      <c r="A165">
        <v>28</v>
      </c>
      <c r="B165">
        <v>6371</v>
      </c>
      <c r="C165" t="s">
        <v>132</v>
      </c>
      <c r="D165" t="s">
        <v>230</v>
      </c>
      <c r="E165">
        <v>3400</v>
      </c>
      <c r="F165">
        <v>3420</v>
      </c>
      <c r="G165">
        <v>300</v>
      </c>
      <c r="H165" t="s">
        <v>222</v>
      </c>
      <c r="I165">
        <v>6473</v>
      </c>
      <c r="J165" t="s">
        <v>157</v>
      </c>
      <c r="K165" t="s">
        <v>230</v>
      </c>
      <c r="L165">
        <v>1225</v>
      </c>
      <c r="M165">
        <v>1231</v>
      </c>
      <c r="N165">
        <v>800</v>
      </c>
      <c r="O165" t="s">
        <v>220</v>
      </c>
      <c r="P165">
        <v>0.960280821388936</v>
      </c>
      <c r="Q165">
        <v>0.91915333363114105</v>
      </c>
      <c r="R165">
        <v>5.2042585366949704E-3</v>
      </c>
      <c r="S165">
        <v>0.19120088060669299</v>
      </c>
      <c r="T165">
        <v>0.63067986551666599</v>
      </c>
      <c r="U165">
        <v>0.63067986551666599</v>
      </c>
      <c r="V165">
        <v>1.25</v>
      </c>
      <c r="W165">
        <v>4.0199999999999996</v>
      </c>
      <c r="X165">
        <v>-143311</v>
      </c>
      <c r="Y165">
        <v>-7962</v>
      </c>
      <c r="Z165">
        <v>-0.47</v>
      </c>
      <c r="AA165">
        <v>18</v>
      </c>
      <c r="AB165">
        <v>7</v>
      </c>
      <c r="AC165">
        <v>11</v>
      </c>
      <c r="AD165">
        <v>38.89</v>
      </c>
      <c r="AE165">
        <v>15</v>
      </c>
    </row>
    <row r="166" spans="1:31" hidden="1">
      <c r="A166">
        <v>39</v>
      </c>
      <c r="B166">
        <v>7167</v>
      </c>
      <c r="C166" t="s">
        <v>129</v>
      </c>
      <c r="D166" t="s">
        <v>225</v>
      </c>
      <c r="E166">
        <v>260</v>
      </c>
      <c r="F166">
        <v>261</v>
      </c>
      <c r="G166">
        <v>3000</v>
      </c>
      <c r="H166" t="s">
        <v>220</v>
      </c>
      <c r="I166">
        <v>7846</v>
      </c>
      <c r="J166" t="s">
        <v>152</v>
      </c>
      <c r="K166" t="s">
        <v>260</v>
      </c>
      <c r="L166">
        <v>3940</v>
      </c>
      <c r="M166">
        <v>3965</v>
      </c>
      <c r="N166">
        <v>200</v>
      </c>
      <c r="O166" t="s">
        <v>222</v>
      </c>
      <c r="P166">
        <v>0.95853144288442005</v>
      </c>
      <c r="Q166">
        <v>0.94156864718996303</v>
      </c>
      <c r="R166">
        <v>3.35603741353866E-3</v>
      </c>
      <c r="S166">
        <v>0.157842068056504</v>
      </c>
      <c r="T166">
        <v>-0.61466485857614706</v>
      </c>
      <c r="U166">
        <v>0.61466485857614706</v>
      </c>
      <c r="V166">
        <v>-1.28</v>
      </c>
      <c r="W166">
        <v>1.26</v>
      </c>
      <c r="X166">
        <v>13921</v>
      </c>
      <c r="Y166">
        <v>696</v>
      </c>
      <c r="Z166">
        <v>0.05</v>
      </c>
      <c r="AA166">
        <v>20</v>
      </c>
      <c r="AB166">
        <v>9</v>
      </c>
      <c r="AC166">
        <v>11</v>
      </c>
      <c r="AD166">
        <v>45</v>
      </c>
      <c r="AE166">
        <v>14</v>
      </c>
    </row>
    <row r="167" spans="1:31" hidden="1">
      <c r="A167">
        <v>165</v>
      </c>
      <c r="B167">
        <v>4061</v>
      </c>
      <c r="C167" t="s">
        <v>240</v>
      </c>
      <c r="D167" t="s">
        <v>221</v>
      </c>
      <c r="E167">
        <v>2914</v>
      </c>
      <c r="F167">
        <v>2911</v>
      </c>
      <c r="G167">
        <v>300</v>
      </c>
      <c r="H167" t="s">
        <v>222</v>
      </c>
      <c r="I167">
        <v>5411</v>
      </c>
      <c r="J167" t="s">
        <v>147</v>
      </c>
      <c r="K167" t="s">
        <v>239</v>
      </c>
      <c r="L167">
        <v>1293.5</v>
      </c>
      <c r="M167">
        <v>1296.5</v>
      </c>
      <c r="N167">
        <v>700</v>
      </c>
      <c r="O167" t="s">
        <v>220</v>
      </c>
      <c r="P167">
        <v>0.92962843841770004</v>
      </c>
      <c r="Q167">
        <v>0.91018265539464205</v>
      </c>
      <c r="R167">
        <v>0.157879639735751</v>
      </c>
      <c r="S167">
        <v>3.3349425673669299E-3</v>
      </c>
      <c r="T167">
        <v>0.61339459147604103</v>
      </c>
      <c r="U167">
        <v>0.61339459147604103</v>
      </c>
      <c r="V167">
        <v>2.69</v>
      </c>
      <c r="W167">
        <v>3.92</v>
      </c>
      <c r="X167">
        <v>144743</v>
      </c>
      <c r="Y167">
        <v>9650</v>
      </c>
      <c r="Z167">
        <v>0.42</v>
      </c>
      <c r="AA167">
        <v>15</v>
      </c>
      <c r="AB167">
        <v>10</v>
      </c>
      <c r="AC167">
        <v>5</v>
      </c>
      <c r="AD167">
        <v>66.67</v>
      </c>
      <c r="AE167">
        <v>12</v>
      </c>
    </row>
    <row r="168" spans="1:31" hidden="1">
      <c r="A168">
        <v>51</v>
      </c>
      <c r="B168">
        <v>1963</v>
      </c>
      <c r="C168" t="s">
        <v>252</v>
      </c>
      <c r="D168" t="s">
        <v>246</v>
      </c>
      <c r="E168">
        <v>1383</v>
      </c>
      <c r="F168">
        <v>1395</v>
      </c>
      <c r="G168">
        <v>600</v>
      </c>
      <c r="H168" t="s">
        <v>220</v>
      </c>
      <c r="I168">
        <v>5021</v>
      </c>
      <c r="J168" t="s">
        <v>183</v>
      </c>
      <c r="K168" t="s">
        <v>273</v>
      </c>
      <c r="L168">
        <v>2220</v>
      </c>
      <c r="M168">
        <v>2255</v>
      </c>
      <c r="N168">
        <v>400</v>
      </c>
      <c r="O168" t="s">
        <v>222</v>
      </c>
      <c r="P168">
        <v>0.95482525893114101</v>
      </c>
      <c r="Q168">
        <v>0.92712506357758395</v>
      </c>
      <c r="R168">
        <v>1.4849625496802601E-2</v>
      </c>
      <c r="S168">
        <v>1.46575926170548E-2</v>
      </c>
      <c r="T168">
        <v>-0.609170395344097</v>
      </c>
      <c r="U168">
        <v>0.609170395344097</v>
      </c>
      <c r="V168">
        <v>-2.44</v>
      </c>
      <c r="W168">
        <v>7.21</v>
      </c>
      <c r="X168">
        <v>188639</v>
      </c>
      <c r="Y168">
        <v>11096</v>
      </c>
      <c r="Z168">
        <v>0.59</v>
      </c>
      <c r="AA168">
        <v>17</v>
      </c>
      <c r="AB168">
        <v>8</v>
      </c>
      <c r="AC168">
        <v>9</v>
      </c>
      <c r="AD168">
        <v>47.06</v>
      </c>
      <c r="AE168">
        <v>9</v>
      </c>
    </row>
    <row r="169" spans="1:31" hidden="1">
      <c r="A169">
        <v>190</v>
      </c>
      <c r="B169">
        <v>4005</v>
      </c>
      <c r="C169" t="s">
        <v>161</v>
      </c>
      <c r="D169" t="s">
        <v>221</v>
      </c>
      <c r="E169">
        <v>487</v>
      </c>
      <c r="F169">
        <v>494</v>
      </c>
      <c r="G169">
        <v>2000</v>
      </c>
      <c r="H169" t="s">
        <v>220</v>
      </c>
      <c r="I169">
        <v>4182</v>
      </c>
      <c r="J169" t="s">
        <v>135</v>
      </c>
      <c r="K169" t="s">
        <v>221</v>
      </c>
      <c r="L169">
        <v>1414</v>
      </c>
      <c r="M169">
        <v>1426</v>
      </c>
      <c r="N169">
        <v>700</v>
      </c>
      <c r="O169" t="s">
        <v>222</v>
      </c>
      <c r="P169">
        <v>0.92458660745354504</v>
      </c>
      <c r="Q169">
        <v>0.93066191204751902</v>
      </c>
      <c r="R169">
        <v>0.21855379664993799</v>
      </c>
      <c r="S169">
        <v>8.4771966898714093E-2</v>
      </c>
      <c r="T169">
        <v>-0.60451839351583103</v>
      </c>
      <c r="U169">
        <v>0.60451839351583103</v>
      </c>
      <c r="V169">
        <v>-2.5499999999999998</v>
      </c>
      <c r="W169">
        <v>1.02</v>
      </c>
      <c r="X169">
        <v>71264</v>
      </c>
      <c r="Y169">
        <v>4454</v>
      </c>
      <c r="Z169">
        <v>0.26</v>
      </c>
      <c r="AA169">
        <v>16</v>
      </c>
      <c r="AB169">
        <v>11</v>
      </c>
      <c r="AC169">
        <v>5</v>
      </c>
      <c r="AD169">
        <v>68.75</v>
      </c>
      <c r="AE169">
        <v>14</v>
      </c>
    </row>
    <row r="170" spans="1:31" hidden="1">
      <c r="A170">
        <v>127</v>
      </c>
      <c r="B170">
        <v>1942</v>
      </c>
      <c r="C170" t="s">
        <v>251</v>
      </c>
      <c r="D170" t="s">
        <v>246</v>
      </c>
      <c r="E170">
        <v>968</v>
      </c>
      <c r="F170">
        <v>972</v>
      </c>
      <c r="G170">
        <v>1100</v>
      </c>
      <c r="H170" t="s">
        <v>222</v>
      </c>
      <c r="I170">
        <v>9412</v>
      </c>
      <c r="J170" t="s">
        <v>162</v>
      </c>
      <c r="K170" t="s">
        <v>219</v>
      </c>
      <c r="L170">
        <v>437</v>
      </c>
      <c r="M170">
        <v>446</v>
      </c>
      <c r="N170">
        <v>2400</v>
      </c>
      <c r="O170" t="s">
        <v>220</v>
      </c>
      <c r="P170">
        <v>0.93766617821720999</v>
      </c>
      <c r="Q170">
        <v>0.95128549707748999</v>
      </c>
      <c r="R170">
        <v>6.0758150419299795E-4</v>
      </c>
      <c r="S170">
        <v>8.3323037054904405E-4</v>
      </c>
      <c r="T170">
        <v>0.59348551829842999</v>
      </c>
      <c r="U170">
        <v>0.59348551829842999</v>
      </c>
      <c r="V170">
        <v>1.1499999999999999</v>
      </c>
      <c r="W170">
        <v>0.11</v>
      </c>
      <c r="X170">
        <v>647020</v>
      </c>
      <c r="Y170">
        <v>34054</v>
      </c>
      <c r="Z170">
        <v>1.64</v>
      </c>
      <c r="AA170">
        <v>19</v>
      </c>
      <c r="AB170">
        <v>17</v>
      </c>
      <c r="AC170">
        <v>2</v>
      </c>
      <c r="AD170">
        <v>89.47</v>
      </c>
      <c r="AE170">
        <v>12</v>
      </c>
    </row>
    <row r="171" spans="1:31" hidden="1">
      <c r="A171">
        <v>103</v>
      </c>
      <c r="B171">
        <v>7180</v>
      </c>
      <c r="C171" t="s">
        <v>262</v>
      </c>
      <c r="D171" t="s">
        <v>225</v>
      </c>
      <c r="E171">
        <v>430</v>
      </c>
      <c r="F171">
        <v>432</v>
      </c>
      <c r="G171">
        <v>2500</v>
      </c>
      <c r="H171" t="s">
        <v>220</v>
      </c>
      <c r="I171">
        <v>7186</v>
      </c>
      <c r="J171" t="s">
        <v>95</v>
      </c>
      <c r="K171" t="s">
        <v>225</v>
      </c>
      <c r="L171">
        <v>414</v>
      </c>
      <c r="M171">
        <v>409</v>
      </c>
      <c r="N171">
        <v>2600</v>
      </c>
      <c r="O171" t="s">
        <v>222</v>
      </c>
      <c r="P171">
        <v>0.94203443591033897</v>
      </c>
      <c r="Q171">
        <v>0.92720187312500502</v>
      </c>
      <c r="R171">
        <v>6.9968846670783097E-2</v>
      </c>
      <c r="S171">
        <v>3.5230994039563E-2</v>
      </c>
      <c r="T171">
        <v>-0.59248151115499204</v>
      </c>
      <c r="U171">
        <v>0.59248151115499204</v>
      </c>
      <c r="V171">
        <v>-1.73</v>
      </c>
      <c r="W171">
        <v>1.54</v>
      </c>
      <c r="X171">
        <v>63577</v>
      </c>
      <c r="Y171">
        <v>3179</v>
      </c>
      <c r="Z171">
        <v>0.16</v>
      </c>
      <c r="AA171">
        <v>20</v>
      </c>
      <c r="AB171">
        <v>10</v>
      </c>
      <c r="AC171">
        <v>10</v>
      </c>
      <c r="AD171">
        <v>50</v>
      </c>
      <c r="AE171">
        <v>14</v>
      </c>
    </row>
    <row r="172" spans="1:31" hidden="1">
      <c r="A172">
        <v>266</v>
      </c>
      <c r="B172">
        <v>6586</v>
      </c>
      <c r="C172" t="s">
        <v>90</v>
      </c>
      <c r="D172" t="s">
        <v>230</v>
      </c>
      <c r="E172">
        <v>3060</v>
      </c>
      <c r="F172">
        <v>3070</v>
      </c>
      <c r="G172">
        <v>300</v>
      </c>
      <c r="H172" t="s">
        <v>220</v>
      </c>
      <c r="I172">
        <v>9404</v>
      </c>
      <c r="J172" t="s">
        <v>116</v>
      </c>
      <c r="K172" t="s">
        <v>219</v>
      </c>
      <c r="L172">
        <v>1380</v>
      </c>
      <c r="M172">
        <v>1382</v>
      </c>
      <c r="N172">
        <v>700</v>
      </c>
      <c r="O172" t="s">
        <v>222</v>
      </c>
      <c r="P172">
        <v>0.90723532940450202</v>
      </c>
      <c r="Q172">
        <v>0.90582672237255901</v>
      </c>
      <c r="R172">
        <v>0.11510115315788801</v>
      </c>
      <c r="S172">
        <v>0.289120753443951</v>
      </c>
      <c r="T172">
        <v>-0.58706926781603597</v>
      </c>
      <c r="U172">
        <v>0.58706926781603597</v>
      </c>
      <c r="V172">
        <v>-1.83</v>
      </c>
      <c r="W172">
        <v>5.04</v>
      </c>
      <c r="X172">
        <v>134059</v>
      </c>
      <c r="Y172">
        <v>7886</v>
      </c>
      <c r="Z172">
        <v>0.37</v>
      </c>
      <c r="AA172">
        <v>17</v>
      </c>
      <c r="AB172">
        <v>10</v>
      </c>
      <c r="AC172">
        <v>7</v>
      </c>
      <c r="AD172">
        <v>58.82</v>
      </c>
      <c r="AE172">
        <v>13</v>
      </c>
    </row>
    <row r="173" spans="1:31" hidden="1">
      <c r="A173">
        <v>202</v>
      </c>
      <c r="B173">
        <v>7205</v>
      </c>
      <c r="C173" t="s">
        <v>177</v>
      </c>
      <c r="D173" t="s">
        <v>228</v>
      </c>
      <c r="E173">
        <v>879</v>
      </c>
      <c r="F173">
        <v>877</v>
      </c>
      <c r="G173">
        <v>1200</v>
      </c>
      <c r="H173" t="s">
        <v>220</v>
      </c>
      <c r="I173">
        <v>8411</v>
      </c>
      <c r="J173" t="s">
        <v>158</v>
      </c>
      <c r="K173" t="s">
        <v>225</v>
      </c>
      <c r="L173">
        <v>162.6</v>
      </c>
      <c r="M173">
        <v>162.9</v>
      </c>
      <c r="N173">
        <v>6500</v>
      </c>
      <c r="O173" t="s">
        <v>222</v>
      </c>
      <c r="P173">
        <v>0.92121405302920301</v>
      </c>
      <c r="Q173">
        <v>0.90427462628411404</v>
      </c>
      <c r="R173">
        <v>1.5840924078085399E-2</v>
      </c>
      <c r="S173">
        <v>0.24625771709372499</v>
      </c>
      <c r="T173">
        <v>-0.57737622375853004</v>
      </c>
      <c r="U173">
        <v>0.57737622375853004</v>
      </c>
      <c r="V173">
        <v>-1.68</v>
      </c>
      <c r="W173">
        <v>0.61</v>
      </c>
      <c r="X173">
        <v>195916</v>
      </c>
      <c r="Y173">
        <v>13061</v>
      </c>
      <c r="Z173">
        <v>0.63</v>
      </c>
      <c r="AA173">
        <v>15</v>
      </c>
      <c r="AB173">
        <v>9</v>
      </c>
      <c r="AC173">
        <v>6</v>
      </c>
      <c r="AD173">
        <v>60</v>
      </c>
      <c r="AE173">
        <v>15</v>
      </c>
    </row>
    <row r="174" spans="1:31" hidden="1">
      <c r="A174">
        <v>171</v>
      </c>
      <c r="B174">
        <v>5201</v>
      </c>
      <c r="C174" t="s">
        <v>237</v>
      </c>
      <c r="D174" t="s">
        <v>229</v>
      </c>
      <c r="E174">
        <v>3340</v>
      </c>
      <c r="F174">
        <v>3325</v>
      </c>
      <c r="G174">
        <v>300</v>
      </c>
      <c r="H174" t="s">
        <v>222</v>
      </c>
      <c r="I174">
        <v>7751</v>
      </c>
      <c r="J174" t="s">
        <v>171</v>
      </c>
      <c r="K174" t="s">
        <v>231</v>
      </c>
      <c r="L174">
        <v>2832</v>
      </c>
      <c r="M174">
        <v>2850</v>
      </c>
      <c r="N174">
        <v>300</v>
      </c>
      <c r="O174" t="s">
        <v>220</v>
      </c>
      <c r="P174">
        <v>0.92815284759960004</v>
      </c>
      <c r="Q174">
        <v>0.95758402751252103</v>
      </c>
      <c r="R174">
        <v>0.26241559954924099</v>
      </c>
      <c r="S174" s="41">
        <v>9.2241016562641595E-6</v>
      </c>
      <c r="T174">
        <v>0.57000639473173498</v>
      </c>
      <c r="U174">
        <v>0.57000639473173498</v>
      </c>
      <c r="V174">
        <v>2.12</v>
      </c>
      <c r="W174">
        <v>14.29</v>
      </c>
      <c r="X174">
        <v>-15991</v>
      </c>
      <c r="Y174">
        <v>-5330</v>
      </c>
      <c r="Z174">
        <v>-0.26</v>
      </c>
      <c r="AA174">
        <v>3</v>
      </c>
      <c r="AB174">
        <v>1</v>
      </c>
      <c r="AC174">
        <v>2</v>
      </c>
      <c r="AD174">
        <v>33.33</v>
      </c>
      <c r="AE174">
        <v>17</v>
      </c>
    </row>
    <row r="175" spans="1:31" hidden="1">
      <c r="A175">
        <v>216</v>
      </c>
      <c r="B175">
        <v>3105</v>
      </c>
      <c r="C175" t="s">
        <v>254</v>
      </c>
      <c r="D175" t="s">
        <v>231</v>
      </c>
      <c r="E175">
        <v>830</v>
      </c>
      <c r="F175">
        <v>830</v>
      </c>
      <c r="G175">
        <v>1300</v>
      </c>
      <c r="H175" t="s">
        <v>220</v>
      </c>
      <c r="I175">
        <v>6988</v>
      </c>
      <c r="J175" t="s">
        <v>175</v>
      </c>
      <c r="K175" t="s">
        <v>221</v>
      </c>
      <c r="L175">
        <v>5260</v>
      </c>
      <c r="M175">
        <v>5265</v>
      </c>
      <c r="N175">
        <v>200</v>
      </c>
      <c r="O175" t="s">
        <v>222</v>
      </c>
      <c r="P175">
        <v>0.91792649997905795</v>
      </c>
      <c r="Q175">
        <v>0.963077634704398</v>
      </c>
      <c r="R175">
        <v>4.7483021372181501E-2</v>
      </c>
      <c r="S175" s="41">
        <v>0.224762348215573</v>
      </c>
      <c r="T175">
        <v>-0.56866560333181604</v>
      </c>
      <c r="U175">
        <v>0.56866560333181604</v>
      </c>
      <c r="V175">
        <v>-1.1200000000000001</v>
      </c>
      <c r="W175">
        <v>2.4700000000000002</v>
      </c>
      <c r="X175">
        <v>67968</v>
      </c>
      <c r="Y175">
        <v>3776</v>
      </c>
      <c r="Z175">
        <v>0.02</v>
      </c>
      <c r="AA175">
        <v>18</v>
      </c>
      <c r="AB175">
        <v>10</v>
      </c>
      <c r="AC175">
        <v>8</v>
      </c>
      <c r="AD175">
        <v>55.56</v>
      </c>
      <c r="AE175">
        <v>12</v>
      </c>
    </row>
    <row r="176" spans="1:31" hidden="1">
      <c r="A176">
        <v>34</v>
      </c>
      <c r="B176">
        <v>5406</v>
      </c>
      <c r="C176" t="s">
        <v>140</v>
      </c>
      <c r="D176" t="s">
        <v>239</v>
      </c>
      <c r="E176">
        <v>566</v>
      </c>
      <c r="F176">
        <v>565</v>
      </c>
      <c r="G176">
        <v>1900</v>
      </c>
      <c r="H176" t="s">
        <v>220</v>
      </c>
      <c r="I176">
        <v>7731</v>
      </c>
      <c r="J176" t="s">
        <v>120</v>
      </c>
      <c r="K176" t="s">
        <v>244</v>
      </c>
      <c r="L176">
        <v>1320</v>
      </c>
      <c r="M176">
        <v>1335</v>
      </c>
      <c r="N176">
        <v>800</v>
      </c>
      <c r="O176" t="s">
        <v>222</v>
      </c>
      <c r="P176">
        <v>0.95934332500820696</v>
      </c>
      <c r="Q176">
        <v>0.91343261863009295</v>
      </c>
      <c r="R176">
        <v>6.34046187096298E-3</v>
      </c>
      <c r="S176">
        <v>0.39464187689088398</v>
      </c>
      <c r="T176">
        <v>-0.56828104386765799</v>
      </c>
      <c r="U176">
        <v>0.56828104386765799</v>
      </c>
      <c r="V176">
        <v>-2.58</v>
      </c>
      <c r="W176">
        <v>0.51</v>
      </c>
      <c r="X176">
        <v>-3059</v>
      </c>
      <c r="Y176">
        <v>-170</v>
      </c>
      <c r="Z176">
        <v>-0.01</v>
      </c>
      <c r="AA176">
        <v>18</v>
      </c>
      <c r="AB176">
        <v>9</v>
      </c>
      <c r="AC176">
        <v>9</v>
      </c>
      <c r="AD176">
        <v>50</v>
      </c>
      <c r="AE176">
        <v>14</v>
      </c>
    </row>
    <row r="177" spans="1:31" hidden="1">
      <c r="A177">
        <v>174</v>
      </c>
      <c r="B177">
        <v>6752</v>
      </c>
      <c r="C177" t="s">
        <v>137</v>
      </c>
      <c r="D177" t="s">
        <v>231</v>
      </c>
      <c r="E177">
        <v>877.2</v>
      </c>
      <c r="F177">
        <v>874.4</v>
      </c>
      <c r="G177">
        <v>1200</v>
      </c>
      <c r="H177" t="s">
        <v>222</v>
      </c>
      <c r="I177">
        <v>7327</v>
      </c>
      <c r="J177" t="s">
        <v>150</v>
      </c>
      <c r="K177" t="s">
        <v>225</v>
      </c>
      <c r="L177">
        <v>2630</v>
      </c>
      <c r="M177">
        <v>2635</v>
      </c>
      <c r="N177">
        <v>400</v>
      </c>
      <c r="O177" t="s">
        <v>220</v>
      </c>
      <c r="P177">
        <v>0.92777394812101699</v>
      </c>
      <c r="Q177">
        <v>0.94916722778587204</v>
      </c>
      <c r="R177">
        <v>0.256922674342834</v>
      </c>
      <c r="S177">
        <v>0.215159809483042</v>
      </c>
      <c r="T177">
        <v>0.56761021855396498</v>
      </c>
      <c r="U177">
        <v>0.56761021855396498</v>
      </c>
      <c r="V177">
        <v>1.1599999999999999</v>
      </c>
      <c r="W177">
        <v>0.45</v>
      </c>
      <c r="X177">
        <v>61534</v>
      </c>
      <c r="Y177">
        <v>61534</v>
      </c>
      <c r="Z177">
        <v>3.06</v>
      </c>
      <c r="AA177">
        <v>1</v>
      </c>
      <c r="AB177">
        <v>1</v>
      </c>
      <c r="AC177">
        <v>0</v>
      </c>
      <c r="AD177">
        <v>100</v>
      </c>
      <c r="AE177">
        <v>16</v>
      </c>
    </row>
    <row r="178" spans="1:31" hidden="1">
      <c r="A178">
        <v>227</v>
      </c>
      <c r="B178">
        <v>6471</v>
      </c>
      <c r="C178" t="s">
        <v>248</v>
      </c>
      <c r="D178" t="s">
        <v>230</v>
      </c>
      <c r="E178">
        <v>921</v>
      </c>
      <c r="F178">
        <v>926</v>
      </c>
      <c r="G178">
        <v>1100</v>
      </c>
      <c r="H178" t="s">
        <v>220</v>
      </c>
      <c r="I178">
        <v>7762</v>
      </c>
      <c r="J178" t="s">
        <v>181</v>
      </c>
      <c r="K178" t="s">
        <v>244</v>
      </c>
      <c r="L178">
        <v>543</v>
      </c>
      <c r="M178">
        <v>545</v>
      </c>
      <c r="N178">
        <v>1900</v>
      </c>
      <c r="O178" t="s">
        <v>222</v>
      </c>
      <c r="P178">
        <v>0.91542060396924296</v>
      </c>
      <c r="Q178">
        <v>0.90267658716259203</v>
      </c>
      <c r="R178">
        <v>0.21331533549589399</v>
      </c>
      <c r="S178">
        <v>0.182191836509456</v>
      </c>
      <c r="T178">
        <v>-0.56091836017815899</v>
      </c>
      <c r="U178">
        <v>0.56091836017815899</v>
      </c>
      <c r="V178">
        <v>-1.33</v>
      </c>
      <c r="W178">
        <v>1.66</v>
      </c>
      <c r="X178">
        <v>57995</v>
      </c>
      <c r="Y178">
        <v>2900</v>
      </c>
      <c r="Z178">
        <v>0.16</v>
      </c>
      <c r="AA178">
        <v>20</v>
      </c>
      <c r="AB178">
        <v>11</v>
      </c>
      <c r="AC178">
        <v>9</v>
      </c>
      <c r="AD178">
        <v>55</v>
      </c>
      <c r="AE178">
        <v>14</v>
      </c>
    </row>
    <row r="179" spans="1:31" hidden="1">
      <c r="A179">
        <v>229</v>
      </c>
      <c r="B179">
        <v>5110</v>
      </c>
      <c r="C179" t="s">
        <v>130</v>
      </c>
      <c r="D179" t="s">
        <v>266</v>
      </c>
      <c r="E179">
        <v>1274</v>
      </c>
      <c r="F179">
        <v>1272</v>
      </c>
      <c r="G179">
        <v>700</v>
      </c>
      <c r="H179" t="s">
        <v>220</v>
      </c>
      <c r="I179">
        <v>6923</v>
      </c>
      <c r="J179" t="s">
        <v>121</v>
      </c>
      <c r="K179" t="s">
        <v>231</v>
      </c>
      <c r="L179">
        <v>2804</v>
      </c>
      <c r="M179">
        <v>2829</v>
      </c>
      <c r="N179">
        <v>300</v>
      </c>
      <c r="O179" t="s">
        <v>222</v>
      </c>
      <c r="P179">
        <v>0.91492102918775098</v>
      </c>
      <c r="Q179">
        <v>0.93571479019027304</v>
      </c>
      <c r="R179">
        <v>0.35966639146423601</v>
      </c>
      <c r="S179">
        <v>8.4702141747297496E-2</v>
      </c>
      <c r="T179">
        <v>-0.55982771575731705</v>
      </c>
      <c r="U179">
        <v>0.55982771575731705</v>
      </c>
      <c r="V179">
        <v>-1.44</v>
      </c>
      <c r="W179">
        <v>4.91</v>
      </c>
      <c r="X179">
        <v>391488</v>
      </c>
      <c r="Y179">
        <v>18642</v>
      </c>
      <c r="Z179">
        <v>1.0900000000000001</v>
      </c>
      <c r="AA179">
        <v>21</v>
      </c>
      <c r="AB179">
        <v>13</v>
      </c>
      <c r="AC179">
        <v>8</v>
      </c>
      <c r="AD179">
        <v>61.9</v>
      </c>
      <c r="AE179">
        <v>14</v>
      </c>
    </row>
    <row r="180" spans="1:31" hidden="1">
      <c r="A180">
        <v>137</v>
      </c>
      <c r="B180">
        <v>6371</v>
      </c>
      <c r="C180" t="s">
        <v>132</v>
      </c>
      <c r="D180" t="s">
        <v>230</v>
      </c>
      <c r="E180">
        <v>3400</v>
      </c>
      <c r="F180">
        <v>3420</v>
      </c>
      <c r="G180">
        <v>300</v>
      </c>
      <c r="H180" t="s">
        <v>222</v>
      </c>
      <c r="I180">
        <v>6752</v>
      </c>
      <c r="J180" t="s">
        <v>137</v>
      </c>
      <c r="K180" t="s">
        <v>231</v>
      </c>
      <c r="L180">
        <v>877.2</v>
      </c>
      <c r="M180">
        <v>874.4</v>
      </c>
      <c r="N180">
        <v>1200</v>
      </c>
      <c r="O180" t="s">
        <v>220</v>
      </c>
      <c r="P180">
        <v>0.93406676693996704</v>
      </c>
      <c r="Q180">
        <v>0.93937729057750896</v>
      </c>
      <c r="R180">
        <v>1.6486883079247099E-2</v>
      </c>
      <c r="S180">
        <v>0.100951105032952</v>
      </c>
      <c r="T180">
        <v>0.53119680074116504</v>
      </c>
      <c r="U180">
        <v>0.53119680074116504</v>
      </c>
      <c r="V180">
        <v>0.89</v>
      </c>
      <c r="W180">
        <v>2.27</v>
      </c>
      <c r="X180">
        <v>31718</v>
      </c>
      <c r="Y180">
        <v>1586</v>
      </c>
      <c r="Z180">
        <v>0.08</v>
      </c>
      <c r="AA180">
        <v>20</v>
      </c>
      <c r="AB180">
        <v>9</v>
      </c>
      <c r="AC180">
        <v>11</v>
      </c>
      <c r="AD180">
        <v>45</v>
      </c>
      <c r="AE180">
        <v>14</v>
      </c>
    </row>
    <row r="181" spans="1:31" hidden="1">
      <c r="A181">
        <v>201</v>
      </c>
      <c r="B181">
        <v>7846</v>
      </c>
      <c r="C181" t="s">
        <v>152</v>
      </c>
      <c r="D181" t="s">
        <v>260</v>
      </c>
      <c r="E181">
        <v>3940</v>
      </c>
      <c r="F181">
        <v>3965</v>
      </c>
      <c r="G181">
        <v>200</v>
      </c>
      <c r="H181" t="s">
        <v>220</v>
      </c>
      <c r="I181">
        <v>7984</v>
      </c>
      <c r="J181" t="s">
        <v>179</v>
      </c>
      <c r="K181" t="s">
        <v>260</v>
      </c>
      <c r="L181">
        <v>1494</v>
      </c>
      <c r="M181">
        <v>1504</v>
      </c>
      <c r="N181">
        <v>500</v>
      </c>
      <c r="O181" t="s">
        <v>222</v>
      </c>
      <c r="P181">
        <v>0.92136031236736105</v>
      </c>
      <c r="Q181">
        <v>0.903271610645483</v>
      </c>
      <c r="R181">
        <v>3.64640145362643E-2</v>
      </c>
      <c r="S181">
        <v>5.61596784759485E-2</v>
      </c>
      <c r="T181">
        <v>-0.52918897838724999</v>
      </c>
      <c r="U181">
        <v>0.52918897838724999</v>
      </c>
      <c r="V181">
        <v>-1.72</v>
      </c>
      <c r="W181">
        <v>5.17</v>
      </c>
      <c r="X181">
        <v>51723</v>
      </c>
      <c r="Y181">
        <v>2874</v>
      </c>
      <c r="Z181">
        <v>0.2</v>
      </c>
      <c r="AA181">
        <v>18</v>
      </c>
      <c r="AB181">
        <v>9</v>
      </c>
      <c r="AC181">
        <v>9</v>
      </c>
      <c r="AD181">
        <v>50</v>
      </c>
      <c r="AE181">
        <v>12</v>
      </c>
    </row>
    <row r="182" spans="1:31" hidden="1">
      <c r="A182">
        <v>70</v>
      </c>
      <c r="B182">
        <v>6995</v>
      </c>
      <c r="C182" t="s">
        <v>113</v>
      </c>
      <c r="D182" t="s">
        <v>228</v>
      </c>
      <c r="E182">
        <v>1813</v>
      </c>
      <c r="F182">
        <v>1818</v>
      </c>
      <c r="G182">
        <v>600</v>
      </c>
      <c r="H182" t="s">
        <v>222</v>
      </c>
      <c r="I182">
        <v>8002</v>
      </c>
      <c r="J182" t="s">
        <v>114</v>
      </c>
      <c r="K182" t="s">
        <v>250</v>
      </c>
      <c r="L182">
        <v>710.4</v>
      </c>
      <c r="M182">
        <v>722.7</v>
      </c>
      <c r="N182">
        <v>1500</v>
      </c>
      <c r="O182" t="s">
        <v>220</v>
      </c>
      <c r="P182">
        <v>0.95057144579317798</v>
      </c>
      <c r="Q182">
        <v>0.92844558990274095</v>
      </c>
      <c r="R182">
        <v>0.15345782005032299</v>
      </c>
      <c r="S182">
        <v>2.6518293720835199E-2</v>
      </c>
      <c r="T182">
        <v>0.52763767867150801</v>
      </c>
      <c r="U182">
        <v>0.52763767867150801</v>
      </c>
      <c r="V182">
        <v>1.2</v>
      </c>
      <c r="W182">
        <v>0.62</v>
      </c>
      <c r="X182">
        <v>96806</v>
      </c>
      <c r="Y182">
        <v>6454</v>
      </c>
      <c r="Z182">
        <v>0.28000000000000003</v>
      </c>
      <c r="AA182">
        <v>15</v>
      </c>
      <c r="AB182">
        <v>9</v>
      </c>
      <c r="AC182">
        <v>6</v>
      </c>
      <c r="AD182">
        <v>60</v>
      </c>
      <c r="AE182">
        <v>13</v>
      </c>
    </row>
    <row r="183" spans="1:31" hidden="1">
      <c r="A183">
        <v>106</v>
      </c>
      <c r="B183">
        <v>4005</v>
      </c>
      <c r="C183" t="s">
        <v>161</v>
      </c>
      <c r="D183" t="s">
        <v>221</v>
      </c>
      <c r="E183">
        <v>487</v>
      </c>
      <c r="F183">
        <v>494</v>
      </c>
      <c r="G183">
        <v>2200</v>
      </c>
      <c r="H183" t="s">
        <v>222</v>
      </c>
      <c r="I183">
        <v>7267</v>
      </c>
      <c r="J183" t="s">
        <v>142</v>
      </c>
      <c r="K183" t="s">
        <v>228</v>
      </c>
      <c r="L183">
        <v>2726.5</v>
      </c>
      <c r="M183">
        <v>2724</v>
      </c>
      <c r="N183">
        <v>400</v>
      </c>
      <c r="O183" t="s">
        <v>220</v>
      </c>
      <c r="P183">
        <v>0.941469387229244</v>
      </c>
      <c r="Q183">
        <v>0.90370430569816596</v>
      </c>
      <c r="R183">
        <v>3.6092117698892199E-4</v>
      </c>
      <c r="S183">
        <v>0.37927557716944799</v>
      </c>
      <c r="T183">
        <v>0.52696031714005098</v>
      </c>
      <c r="U183">
        <v>0.52696031714005098</v>
      </c>
      <c r="V183">
        <v>1.4</v>
      </c>
      <c r="W183">
        <v>0.26</v>
      </c>
      <c r="X183">
        <v>269666</v>
      </c>
      <c r="Y183">
        <v>14193</v>
      </c>
      <c r="Z183">
        <v>0.7</v>
      </c>
      <c r="AA183">
        <v>19</v>
      </c>
      <c r="AB183">
        <v>13</v>
      </c>
      <c r="AC183">
        <v>6</v>
      </c>
      <c r="AD183">
        <v>68.42</v>
      </c>
      <c r="AE183">
        <v>14</v>
      </c>
    </row>
    <row r="184" spans="1:31" hidden="1">
      <c r="A184">
        <v>75</v>
      </c>
      <c r="B184">
        <v>7846</v>
      </c>
      <c r="C184" t="s">
        <v>152</v>
      </c>
      <c r="D184" t="s">
        <v>260</v>
      </c>
      <c r="E184">
        <v>3940</v>
      </c>
      <c r="F184">
        <v>3965</v>
      </c>
      <c r="G184">
        <v>200</v>
      </c>
      <c r="H184" t="s">
        <v>220</v>
      </c>
      <c r="I184">
        <v>8795</v>
      </c>
      <c r="J184" t="s">
        <v>166</v>
      </c>
      <c r="K184" t="s">
        <v>253</v>
      </c>
      <c r="L184">
        <v>1156.5</v>
      </c>
      <c r="M184">
        <v>1162</v>
      </c>
      <c r="N184">
        <v>700</v>
      </c>
      <c r="O184" t="s">
        <v>222</v>
      </c>
      <c r="P184">
        <v>0.94951174525541804</v>
      </c>
      <c r="Q184">
        <v>0.92204497769653204</v>
      </c>
      <c r="R184">
        <v>2.21964166612879E-2</v>
      </c>
      <c r="S184">
        <v>0.35508923433102701</v>
      </c>
      <c r="T184">
        <v>-0.52191456461655505</v>
      </c>
      <c r="U184">
        <v>0.52191456461655505</v>
      </c>
      <c r="V184">
        <v>-1.41</v>
      </c>
      <c r="W184">
        <v>2.57</v>
      </c>
      <c r="X184">
        <v>-41728</v>
      </c>
      <c r="Y184">
        <v>-2196</v>
      </c>
      <c r="Z184">
        <v>-0.01</v>
      </c>
      <c r="AA184">
        <v>19</v>
      </c>
      <c r="AB184">
        <v>9</v>
      </c>
      <c r="AC184">
        <v>10</v>
      </c>
      <c r="AD184">
        <v>47.37</v>
      </c>
      <c r="AE184">
        <v>12</v>
      </c>
    </row>
    <row r="185" spans="1:31" hidden="1">
      <c r="A185">
        <v>232</v>
      </c>
      <c r="B185">
        <v>6752</v>
      </c>
      <c r="C185" t="s">
        <v>137</v>
      </c>
      <c r="D185" t="s">
        <v>231</v>
      </c>
      <c r="E185">
        <v>877.2</v>
      </c>
      <c r="F185">
        <v>874.4</v>
      </c>
      <c r="G185">
        <v>1100</v>
      </c>
      <c r="H185" t="s">
        <v>220</v>
      </c>
      <c r="I185">
        <v>7013</v>
      </c>
      <c r="J185" t="s">
        <v>165</v>
      </c>
      <c r="K185" t="s">
        <v>230</v>
      </c>
      <c r="L185">
        <v>2300</v>
      </c>
      <c r="M185">
        <v>2407</v>
      </c>
      <c r="N185">
        <v>400</v>
      </c>
      <c r="O185" t="s">
        <v>222</v>
      </c>
      <c r="P185">
        <v>0.91415157578411999</v>
      </c>
      <c r="Q185">
        <v>0.95679898626524695</v>
      </c>
      <c r="R185">
        <v>0.17611396756535</v>
      </c>
      <c r="S185">
        <v>3.5182040052383602E-2</v>
      </c>
      <c r="T185">
        <v>-0.52066606301186702</v>
      </c>
      <c r="U185">
        <v>0.52066606301186702</v>
      </c>
      <c r="V185">
        <v>-3</v>
      </c>
      <c r="W185">
        <v>0.1</v>
      </c>
      <c r="X185">
        <v>93627</v>
      </c>
      <c r="Y185">
        <v>4458</v>
      </c>
      <c r="Z185">
        <v>0.13</v>
      </c>
      <c r="AA185">
        <v>21</v>
      </c>
      <c r="AB185">
        <v>12</v>
      </c>
      <c r="AC185">
        <v>9</v>
      </c>
      <c r="AD185">
        <v>57.14</v>
      </c>
      <c r="AE185">
        <v>13</v>
      </c>
    </row>
    <row r="186" spans="1:31" hidden="1">
      <c r="A186">
        <v>117</v>
      </c>
      <c r="B186">
        <v>4208</v>
      </c>
      <c r="C186" t="s">
        <v>126</v>
      </c>
      <c r="D186" t="s">
        <v>221</v>
      </c>
      <c r="E186">
        <v>2158</v>
      </c>
      <c r="F186">
        <v>2171</v>
      </c>
      <c r="G186">
        <v>500</v>
      </c>
      <c r="H186" t="s">
        <v>222</v>
      </c>
      <c r="I186">
        <v>7259</v>
      </c>
      <c r="J186" t="s">
        <v>105</v>
      </c>
      <c r="K186" t="s">
        <v>228</v>
      </c>
      <c r="L186">
        <v>3390</v>
      </c>
      <c r="M186">
        <v>3390</v>
      </c>
      <c r="N186">
        <v>300</v>
      </c>
      <c r="O186" t="s">
        <v>220</v>
      </c>
      <c r="P186">
        <v>0.94012105113162003</v>
      </c>
      <c r="Q186">
        <v>0.92860349188021696</v>
      </c>
      <c r="R186">
        <v>0.165042180612328</v>
      </c>
      <c r="S186">
        <v>1.0936096615708501E-2</v>
      </c>
      <c r="T186">
        <v>0.51979416746900298</v>
      </c>
      <c r="U186">
        <v>0.51979416746900298</v>
      </c>
      <c r="V186">
        <v>1.82</v>
      </c>
      <c r="W186">
        <v>6.74</v>
      </c>
      <c r="X186">
        <v>114827</v>
      </c>
      <c r="Y186">
        <v>9569</v>
      </c>
      <c r="Z186">
        <v>0.74</v>
      </c>
      <c r="AA186">
        <v>12</v>
      </c>
      <c r="AB186">
        <v>7</v>
      </c>
      <c r="AC186">
        <v>5</v>
      </c>
      <c r="AD186">
        <v>58.33</v>
      </c>
      <c r="AE186">
        <v>13</v>
      </c>
    </row>
    <row r="187" spans="1:31" hidden="1">
      <c r="A187">
        <v>263</v>
      </c>
      <c r="B187">
        <v>2914</v>
      </c>
      <c r="C187" t="s">
        <v>275</v>
      </c>
      <c r="D187" t="s">
        <v>268</v>
      </c>
      <c r="E187">
        <v>2334</v>
      </c>
      <c r="F187">
        <v>2346</v>
      </c>
      <c r="G187">
        <v>400</v>
      </c>
      <c r="H187" t="s">
        <v>222</v>
      </c>
      <c r="I187">
        <v>7181</v>
      </c>
      <c r="J187" t="s">
        <v>164</v>
      </c>
      <c r="K187" t="s">
        <v>253</v>
      </c>
      <c r="L187">
        <v>1630</v>
      </c>
      <c r="M187">
        <v>1648</v>
      </c>
      <c r="N187">
        <v>600</v>
      </c>
      <c r="O187" t="s">
        <v>220</v>
      </c>
      <c r="P187">
        <v>0.90738504488030702</v>
      </c>
      <c r="Q187">
        <v>0.94400311576715501</v>
      </c>
      <c r="R187">
        <v>0.222416540231307</v>
      </c>
      <c r="S187">
        <v>3.1689484093805399E-3</v>
      </c>
      <c r="T187">
        <v>0.51659930559700096</v>
      </c>
      <c r="U187">
        <v>0.51659930559700096</v>
      </c>
      <c r="V187">
        <v>3.27</v>
      </c>
      <c r="W187">
        <v>5.37</v>
      </c>
      <c r="X187">
        <v>-170160</v>
      </c>
      <c r="Y187">
        <v>-10635</v>
      </c>
      <c r="Z187">
        <v>-0.56999999999999995</v>
      </c>
      <c r="AA187">
        <v>16</v>
      </c>
      <c r="AB187">
        <v>5</v>
      </c>
      <c r="AC187">
        <v>11</v>
      </c>
      <c r="AD187">
        <v>31.25</v>
      </c>
      <c r="AE187">
        <v>11</v>
      </c>
    </row>
    <row r="188" spans="1:31" hidden="1">
      <c r="A188">
        <v>197</v>
      </c>
      <c r="B188">
        <v>3405</v>
      </c>
      <c r="C188" t="s">
        <v>238</v>
      </c>
      <c r="D188" t="s">
        <v>221</v>
      </c>
      <c r="E188">
        <v>1297</v>
      </c>
      <c r="F188">
        <v>1286</v>
      </c>
      <c r="G188">
        <v>800</v>
      </c>
      <c r="H188" t="s">
        <v>220</v>
      </c>
      <c r="I188">
        <v>4005</v>
      </c>
      <c r="J188" t="s">
        <v>161</v>
      </c>
      <c r="K188" t="s">
        <v>221</v>
      </c>
      <c r="L188">
        <v>487</v>
      </c>
      <c r="M188">
        <v>494</v>
      </c>
      <c r="N188">
        <v>2100</v>
      </c>
      <c r="O188" t="s">
        <v>222</v>
      </c>
      <c r="P188">
        <v>0.92245772018734196</v>
      </c>
      <c r="Q188">
        <v>0.92705204618621495</v>
      </c>
      <c r="R188">
        <v>0.107508918753576</v>
      </c>
      <c r="S188">
        <v>0.121441417300185</v>
      </c>
      <c r="T188">
        <v>-0.513736795291869</v>
      </c>
      <c r="U188">
        <v>0.513736795291869</v>
      </c>
      <c r="V188">
        <v>-0.99</v>
      </c>
      <c r="W188">
        <v>0.84</v>
      </c>
      <c r="X188">
        <v>-141421</v>
      </c>
      <c r="Y188">
        <v>-9428</v>
      </c>
      <c r="Z188">
        <v>-0.49</v>
      </c>
      <c r="AA188">
        <v>15</v>
      </c>
      <c r="AB188">
        <v>6</v>
      </c>
      <c r="AC188">
        <v>9</v>
      </c>
      <c r="AD188">
        <v>40</v>
      </c>
      <c r="AE188">
        <v>15</v>
      </c>
    </row>
    <row r="189" spans="1:31" hidden="1">
      <c r="A189">
        <v>247</v>
      </c>
      <c r="B189">
        <v>6472</v>
      </c>
      <c r="C189" t="s">
        <v>127</v>
      </c>
      <c r="D189" t="s">
        <v>230</v>
      </c>
      <c r="E189">
        <v>313</v>
      </c>
      <c r="F189">
        <v>315</v>
      </c>
      <c r="G189">
        <v>3300</v>
      </c>
      <c r="H189" t="s">
        <v>222</v>
      </c>
      <c r="I189">
        <v>6988</v>
      </c>
      <c r="J189" t="s">
        <v>175</v>
      </c>
      <c r="K189" t="s">
        <v>221</v>
      </c>
      <c r="L189">
        <v>5260</v>
      </c>
      <c r="M189">
        <v>5265</v>
      </c>
      <c r="N189">
        <v>200</v>
      </c>
      <c r="O189" t="s">
        <v>220</v>
      </c>
      <c r="P189">
        <v>0.909520894634952</v>
      </c>
      <c r="Q189">
        <v>0.94420629146743196</v>
      </c>
      <c r="R189">
        <v>0.38746287888055903</v>
      </c>
      <c r="S189">
        <v>6.75680187797537E-2</v>
      </c>
      <c r="T189">
        <v>0.50794767147417696</v>
      </c>
      <c r="U189">
        <v>0.50794767147417696</v>
      </c>
      <c r="V189">
        <v>1.9</v>
      </c>
      <c r="W189">
        <v>1.28</v>
      </c>
      <c r="X189">
        <v>111707</v>
      </c>
      <c r="Y189">
        <v>7447</v>
      </c>
      <c r="Z189">
        <v>0.46</v>
      </c>
      <c r="AA189">
        <v>15</v>
      </c>
      <c r="AB189">
        <v>7</v>
      </c>
      <c r="AC189">
        <v>8</v>
      </c>
      <c r="AD189">
        <v>46.67</v>
      </c>
      <c r="AE189">
        <v>14</v>
      </c>
    </row>
    <row r="190" spans="1:31" hidden="1">
      <c r="A190">
        <v>83</v>
      </c>
      <c r="B190">
        <v>6301</v>
      </c>
      <c r="C190" t="s">
        <v>119</v>
      </c>
      <c r="D190" t="s">
        <v>230</v>
      </c>
      <c r="E190">
        <v>2382</v>
      </c>
      <c r="F190">
        <v>2391.5</v>
      </c>
      <c r="G190">
        <v>400</v>
      </c>
      <c r="H190" t="s">
        <v>220</v>
      </c>
      <c r="I190">
        <v>7167</v>
      </c>
      <c r="J190" t="s">
        <v>129</v>
      </c>
      <c r="K190" t="s">
        <v>225</v>
      </c>
      <c r="L190">
        <v>260</v>
      </c>
      <c r="M190">
        <v>261</v>
      </c>
      <c r="N190">
        <v>3700</v>
      </c>
      <c r="O190" t="s">
        <v>222</v>
      </c>
      <c r="P190">
        <v>0.94762672891345201</v>
      </c>
      <c r="Q190">
        <v>0.90147787467360296</v>
      </c>
      <c r="R190">
        <v>0.30831056844174398</v>
      </c>
      <c r="S190">
        <v>9.2448459507254693E-2</v>
      </c>
      <c r="T190">
        <v>-0.50307216643554298</v>
      </c>
      <c r="U190">
        <v>0.50307216643554298</v>
      </c>
      <c r="V190">
        <v>-1.35</v>
      </c>
      <c r="W190">
        <v>0.95</v>
      </c>
      <c r="X190">
        <v>170774</v>
      </c>
      <c r="Y190">
        <v>9487</v>
      </c>
      <c r="Z190">
        <v>0.51</v>
      </c>
      <c r="AA190">
        <v>18</v>
      </c>
      <c r="AB190">
        <v>9</v>
      </c>
      <c r="AC190">
        <v>9</v>
      </c>
      <c r="AD190">
        <v>50</v>
      </c>
      <c r="AE190">
        <v>14</v>
      </c>
    </row>
    <row r="191" spans="1:31" hidden="1">
      <c r="A191">
        <v>167</v>
      </c>
      <c r="B191">
        <v>1893</v>
      </c>
      <c r="C191" t="s">
        <v>283</v>
      </c>
      <c r="D191" t="s">
        <v>246</v>
      </c>
      <c r="E191">
        <v>580</v>
      </c>
      <c r="F191">
        <v>583</v>
      </c>
      <c r="G191">
        <v>1800</v>
      </c>
      <c r="H191" t="s">
        <v>220</v>
      </c>
      <c r="I191">
        <v>9989</v>
      </c>
      <c r="J191" t="s">
        <v>169</v>
      </c>
      <c r="K191" t="s">
        <v>224</v>
      </c>
      <c r="L191">
        <v>3465</v>
      </c>
      <c r="M191">
        <v>3410</v>
      </c>
      <c r="N191">
        <v>300</v>
      </c>
      <c r="O191" t="s">
        <v>222</v>
      </c>
      <c r="P191">
        <v>0.929521103651888</v>
      </c>
      <c r="Q191">
        <v>0.928350349482154</v>
      </c>
      <c r="R191">
        <v>6.9641029687259298E-4</v>
      </c>
      <c r="S191">
        <v>9.5774916869063295E-2</v>
      </c>
      <c r="T191">
        <v>-0.49572790448777698</v>
      </c>
      <c r="U191">
        <v>0.49572790448777698</v>
      </c>
      <c r="V191">
        <v>-1.55</v>
      </c>
      <c r="W191">
        <v>2.58</v>
      </c>
      <c r="X191">
        <v>311622</v>
      </c>
      <c r="Y191">
        <v>19476</v>
      </c>
      <c r="Z191">
        <v>1.1399999999999999</v>
      </c>
      <c r="AA191">
        <v>16</v>
      </c>
      <c r="AB191">
        <v>12</v>
      </c>
      <c r="AC191">
        <v>4</v>
      </c>
      <c r="AD191">
        <v>75</v>
      </c>
      <c r="AE191">
        <v>14</v>
      </c>
    </row>
    <row r="192" spans="1:31" hidden="1">
      <c r="A192">
        <v>79</v>
      </c>
      <c r="B192">
        <v>4061</v>
      </c>
      <c r="C192" t="s">
        <v>240</v>
      </c>
      <c r="D192" t="s">
        <v>221</v>
      </c>
      <c r="E192">
        <v>2914</v>
      </c>
      <c r="F192">
        <v>2911</v>
      </c>
      <c r="G192">
        <v>400</v>
      </c>
      <c r="H192" t="s">
        <v>220</v>
      </c>
      <c r="I192">
        <v>8316</v>
      </c>
      <c r="J192" t="s">
        <v>154</v>
      </c>
      <c r="K192" t="s">
        <v>225</v>
      </c>
      <c r="L192">
        <v>3636</v>
      </c>
      <c r="M192">
        <v>3628</v>
      </c>
      <c r="N192">
        <v>300</v>
      </c>
      <c r="O192" t="s">
        <v>222</v>
      </c>
      <c r="P192">
        <v>0.94848128676607002</v>
      </c>
      <c r="Q192">
        <v>0.92857578081686898</v>
      </c>
      <c r="R192">
        <v>0.16641811136314799</v>
      </c>
      <c r="S192">
        <v>1.6551433509907499E-3</v>
      </c>
      <c r="T192">
        <v>-0.49155459379916699</v>
      </c>
      <c r="U192">
        <v>0.49155459379916699</v>
      </c>
      <c r="V192">
        <v>-1.32</v>
      </c>
      <c r="W192">
        <v>6.98</v>
      </c>
      <c r="X192">
        <v>133292</v>
      </c>
      <c r="Y192">
        <v>16662</v>
      </c>
      <c r="Z192">
        <v>0.99</v>
      </c>
      <c r="AA192">
        <v>8</v>
      </c>
      <c r="AB192">
        <v>6</v>
      </c>
      <c r="AC192">
        <v>2</v>
      </c>
      <c r="AD192">
        <v>75</v>
      </c>
      <c r="AE192">
        <v>14</v>
      </c>
    </row>
    <row r="193" spans="1:31" hidden="1">
      <c r="A193">
        <v>282</v>
      </c>
      <c r="B193">
        <v>7189</v>
      </c>
      <c r="C193" t="s">
        <v>155</v>
      </c>
      <c r="D193" t="s">
        <v>225</v>
      </c>
      <c r="E193">
        <v>744</v>
      </c>
      <c r="F193">
        <v>742</v>
      </c>
      <c r="G193">
        <v>1300</v>
      </c>
      <c r="H193" t="s">
        <v>222</v>
      </c>
      <c r="I193">
        <v>9072</v>
      </c>
      <c r="J193" t="s">
        <v>146</v>
      </c>
      <c r="K193" t="s">
        <v>265</v>
      </c>
      <c r="L193">
        <v>2468</v>
      </c>
      <c r="M193">
        <v>2461</v>
      </c>
      <c r="N193">
        <v>400</v>
      </c>
      <c r="O193" t="s">
        <v>220</v>
      </c>
      <c r="P193">
        <v>0.90349715708955702</v>
      </c>
      <c r="Q193">
        <v>0.90823810638545099</v>
      </c>
      <c r="R193">
        <v>0.17696699946986</v>
      </c>
      <c r="S193">
        <v>4.1768348783985297E-2</v>
      </c>
      <c r="T193">
        <v>0.48609782161794401</v>
      </c>
      <c r="U193">
        <v>0.48609782161794401</v>
      </c>
      <c r="V193">
        <v>2.11</v>
      </c>
      <c r="W193">
        <v>2.0099999999999998</v>
      </c>
      <c r="X193">
        <v>376093</v>
      </c>
      <c r="Y193">
        <v>22123</v>
      </c>
      <c r="Z193">
        <v>1.2</v>
      </c>
      <c r="AA193">
        <v>17</v>
      </c>
      <c r="AB193">
        <v>14</v>
      </c>
      <c r="AC193">
        <v>3</v>
      </c>
      <c r="AD193">
        <v>82.35</v>
      </c>
      <c r="AE193">
        <v>13</v>
      </c>
    </row>
    <row r="194" spans="1:31" hidden="1">
      <c r="A194">
        <v>217</v>
      </c>
      <c r="B194">
        <v>3116</v>
      </c>
      <c r="C194" t="s">
        <v>233</v>
      </c>
      <c r="D194" t="s">
        <v>228</v>
      </c>
      <c r="E194">
        <v>1480</v>
      </c>
      <c r="F194">
        <v>1470</v>
      </c>
      <c r="G194">
        <v>700</v>
      </c>
      <c r="H194" t="s">
        <v>220</v>
      </c>
      <c r="I194">
        <v>8601</v>
      </c>
      <c r="J194" t="s">
        <v>100</v>
      </c>
      <c r="K194" t="s">
        <v>243</v>
      </c>
      <c r="L194">
        <v>484.4</v>
      </c>
      <c r="M194">
        <v>487.1</v>
      </c>
      <c r="N194">
        <v>2100</v>
      </c>
      <c r="O194" t="s">
        <v>222</v>
      </c>
      <c r="P194">
        <v>0.91765245674780904</v>
      </c>
      <c r="Q194">
        <v>0.92707826329516896</v>
      </c>
      <c r="R194">
        <v>1.27654828415422E-2</v>
      </c>
      <c r="S194">
        <v>0.20443687914200001</v>
      </c>
      <c r="T194">
        <v>-0.48299380174589601</v>
      </c>
      <c r="U194">
        <v>0.48299380174589601</v>
      </c>
      <c r="V194">
        <v>-1.17</v>
      </c>
      <c r="W194">
        <v>0.59</v>
      </c>
      <c r="X194">
        <v>200214</v>
      </c>
      <c r="Y194">
        <v>15401</v>
      </c>
      <c r="Z194">
        <v>0.71</v>
      </c>
      <c r="AA194">
        <v>13</v>
      </c>
      <c r="AB194">
        <v>9</v>
      </c>
      <c r="AC194">
        <v>4</v>
      </c>
      <c r="AD194">
        <v>69.23</v>
      </c>
      <c r="AE194">
        <v>13</v>
      </c>
    </row>
    <row r="195" spans="1:31" hidden="1">
      <c r="A195">
        <v>292</v>
      </c>
      <c r="B195">
        <v>8377</v>
      </c>
      <c r="C195" t="s">
        <v>103</v>
      </c>
      <c r="D195" t="s">
        <v>225</v>
      </c>
      <c r="E195">
        <v>1028</v>
      </c>
      <c r="F195">
        <v>1031</v>
      </c>
      <c r="G195">
        <v>1000</v>
      </c>
      <c r="H195" t="s">
        <v>220</v>
      </c>
      <c r="I195">
        <v>9505</v>
      </c>
      <c r="J195" t="s">
        <v>160</v>
      </c>
      <c r="K195" t="s">
        <v>242</v>
      </c>
      <c r="L195">
        <v>716</v>
      </c>
      <c r="M195">
        <v>715</v>
      </c>
      <c r="N195">
        <v>1400</v>
      </c>
      <c r="O195" t="s">
        <v>222</v>
      </c>
      <c r="P195">
        <v>0.90149627373597896</v>
      </c>
      <c r="Q195">
        <v>0.92969624882625002</v>
      </c>
      <c r="R195">
        <v>0.244561160906066</v>
      </c>
      <c r="S195">
        <v>9.2173785591304194E-2</v>
      </c>
      <c r="T195">
        <v>-0.48223520455709201</v>
      </c>
      <c r="U195">
        <v>0.48223520455709201</v>
      </c>
      <c r="V195">
        <v>-1.42</v>
      </c>
      <c r="W195">
        <v>2.91</v>
      </c>
      <c r="X195">
        <v>244990</v>
      </c>
      <c r="Y195">
        <v>16333</v>
      </c>
      <c r="Z195">
        <v>0.8</v>
      </c>
      <c r="AA195">
        <v>15</v>
      </c>
      <c r="AB195">
        <v>7</v>
      </c>
      <c r="AC195">
        <v>8</v>
      </c>
      <c r="AD195">
        <v>46.67</v>
      </c>
      <c r="AE195">
        <v>15</v>
      </c>
    </row>
    <row r="196" spans="1:31" hidden="1">
      <c r="A196">
        <v>52</v>
      </c>
      <c r="B196">
        <v>2914</v>
      </c>
      <c r="C196" t="s">
        <v>275</v>
      </c>
      <c r="D196" t="s">
        <v>268</v>
      </c>
      <c r="E196">
        <v>2334</v>
      </c>
      <c r="F196">
        <v>2346</v>
      </c>
      <c r="G196">
        <v>400</v>
      </c>
      <c r="H196" t="s">
        <v>220</v>
      </c>
      <c r="I196">
        <v>7189</v>
      </c>
      <c r="J196" t="s">
        <v>155</v>
      </c>
      <c r="K196" t="s">
        <v>225</v>
      </c>
      <c r="L196">
        <v>744</v>
      </c>
      <c r="M196">
        <v>742</v>
      </c>
      <c r="N196">
        <v>1300</v>
      </c>
      <c r="O196" t="s">
        <v>222</v>
      </c>
      <c r="P196">
        <v>0.95481239386317796</v>
      </c>
      <c r="Q196">
        <v>0.93191148908298804</v>
      </c>
      <c r="R196">
        <v>3.06382682167093E-2</v>
      </c>
      <c r="S196">
        <v>5.5260471119830297E-2</v>
      </c>
      <c r="T196">
        <v>-0.47785054439999097</v>
      </c>
      <c r="U196">
        <v>0.47785054439999097</v>
      </c>
      <c r="V196">
        <v>-2.2000000000000002</v>
      </c>
      <c r="W196">
        <v>2.79</v>
      </c>
      <c r="X196">
        <v>472123</v>
      </c>
      <c r="Y196">
        <v>22482</v>
      </c>
      <c r="Z196">
        <v>1.1299999999999999</v>
      </c>
      <c r="AA196">
        <v>21</v>
      </c>
      <c r="AB196">
        <v>15</v>
      </c>
      <c r="AC196">
        <v>6</v>
      </c>
      <c r="AD196">
        <v>71.430000000000007</v>
      </c>
      <c r="AE196">
        <v>13</v>
      </c>
    </row>
    <row r="197" spans="1:31" hidden="1">
      <c r="A197">
        <v>184</v>
      </c>
      <c r="B197">
        <v>8316</v>
      </c>
      <c r="C197" t="s">
        <v>154</v>
      </c>
      <c r="D197" t="s">
        <v>225</v>
      </c>
      <c r="E197">
        <v>3636</v>
      </c>
      <c r="F197">
        <v>3628</v>
      </c>
      <c r="G197">
        <v>300</v>
      </c>
      <c r="H197" t="s">
        <v>220</v>
      </c>
      <c r="I197">
        <v>8586</v>
      </c>
      <c r="J197" t="s">
        <v>178</v>
      </c>
      <c r="K197" t="s">
        <v>226</v>
      </c>
      <c r="L197">
        <v>2221</v>
      </c>
      <c r="M197">
        <v>2217</v>
      </c>
      <c r="N197">
        <v>500</v>
      </c>
      <c r="O197" t="s">
        <v>222</v>
      </c>
      <c r="P197">
        <v>0.92585493632348803</v>
      </c>
      <c r="Q197">
        <v>0.94693446677128701</v>
      </c>
      <c r="R197">
        <v>5.6078525555349201E-2</v>
      </c>
      <c r="S197">
        <v>1.17014748590188E-2</v>
      </c>
      <c r="T197">
        <v>-0.46198338584370702</v>
      </c>
      <c r="U197">
        <v>0.46198338584370702</v>
      </c>
      <c r="V197">
        <v>-1</v>
      </c>
      <c r="W197">
        <v>1.85</v>
      </c>
      <c r="X197">
        <v>88093</v>
      </c>
      <c r="Y197">
        <v>11012</v>
      </c>
      <c r="Z197">
        <v>0.69</v>
      </c>
      <c r="AA197">
        <v>8</v>
      </c>
      <c r="AB197">
        <v>5</v>
      </c>
      <c r="AC197">
        <v>3</v>
      </c>
      <c r="AD197">
        <v>62.5</v>
      </c>
      <c r="AE197">
        <v>16</v>
      </c>
    </row>
    <row r="198" spans="1:31" hidden="1">
      <c r="A198">
        <v>236</v>
      </c>
      <c r="B198">
        <v>4118</v>
      </c>
      <c r="C198" t="s">
        <v>258</v>
      </c>
      <c r="D198" t="s">
        <v>221</v>
      </c>
      <c r="E198">
        <v>3385</v>
      </c>
      <c r="F198">
        <v>3395</v>
      </c>
      <c r="G198">
        <v>300</v>
      </c>
      <c r="H198" t="s">
        <v>220</v>
      </c>
      <c r="I198">
        <v>7751</v>
      </c>
      <c r="J198" t="s">
        <v>171</v>
      </c>
      <c r="K198" t="s">
        <v>231</v>
      </c>
      <c r="L198">
        <v>2832</v>
      </c>
      <c r="M198">
        <v>2850</v>
      </c>
      <c r="N198">
        <v>400</v>
      </c>
      <c r="O198" t="s">
        <v>222</v>
      </c>
      <c r="P198">
        <v>0.91304375047123598</v>
      </c>
      <c r="Q198">
        <v>0.91978537734627897</v>
      </c>
      <c r="R198">
        <v>0.30221270775568698</v>
      </c>
      <c r="S198">
        <v>1.3478500469265299E-2</v>
      </c>
      <c r="T198">
        <v>-0.45827898507392201</v>
      </c>
      <c r="U198">
        <v>0.45827898507392201</v>
      </c>
      <c r="V198">
        <v>-2.57</v>
      </c>
      <c r="W198">
        <v>11.93</v>
      </c>
      <c r="X198">
        <v>129977</v>
      </c>
      <c r="Y198">
        <v>43326</v>
      </c>
      <c r="Z198">
        <v>1.93</v>
      </c>
      <c r="AA198">
        <v>3</v>
      </c>
      <c r="AB198">
        <v>3</v>
      </c>
      <c r="AC198">
        <v>0</v>
      </c>
      <c r="AD198">
        <v>100</v>
      </c>
      <c r="AE198">
        <v>11</v>
      </c>
    </row>
    <row r="199" spans="1:31" hidden="1">
      <c r="A199">
        <v>96</v>
      </c>
      <c r="B199">
        <v>1942</v>
      </c>
      <c r="C199" t="s">
        <v>251</v>
      </c>
      <c r="D199" t="s">
        <v>246</v>
      </c>
      <c r="E199">
        <v>968</v>
      </c>
      <c r="F199">
        <v>972</v>
      </c>
      <c r="G199">
        <v>1100</v>
      </c>
      <c r="H199" t="s">
        <v>222</v>
      </c>
      <c r="I199">
        <v>1959</v>
      </c>
      <c r="J199" t="s">
        <v>173</v>
      </c>
      <c r="K199" t="s">
        <v>246</v>
      </c>
      <c r="L199">
        <v>3420</v>
      </c>
      <c r="M199">
        <v>3475</v>
      </c>
      <c r="N199">
        <v>300</v>
      </c>
      <c r="O199" t="s">
        <v>220</v>
      </c>
      <c r="P199">
        <v>0.944629645316725</v>
      </c>
      <c r="Q199">
        <v>0.96346657328214202</v>
      </c>
      <c r="R199">
        <v>4.7808412851040698E-2</v>
      </c>
      <c r="S199">
        <v>5.1710508228983696E-4</v>
      </c>
      <c r="T199">
        <v>0.44078868612358202</v>
      </c>
      <c r="U199">
        <v>0.44078868612358202</v>
      </c>
      <c r="V199">
        <v>0.66</v>
      </c>
      <c r="W199">
        <v>2.56</v>
      </c>
      <c r="X199">
        <v>-84594</v>
      </c>
      <c r="Y199">
        <v>-7050</v>
      </c>
      <c r="Z199">
        <v>-0.32</v>
      </c>
      <c r="AA199">
        <v>12</v>
      </c>
      <c r="AB199">
        <v>4</v>
      </c>
      <c r="AC199">
        <v>8</v>
      </c>
      <c r="AD199">
        <v>33.33</v>
      </c>
      <c r="AE199">
        <v>15</v>
      </c>
    </row>
    <row r="200" spans="1:31" hidden="1">
      <c r="A200">
        <v>274</v>
      </c>
      <c r="B200">
        <v>5901</v>
      </c>
      <c r="C200" t="s">
        <v>284</v>
      </c>
      <c r="D200" t="s">
        <v>232</v>
      </c>
      <c r="E200">
        <v>1687</v>
      </c>
      <c r="F200">
        <v>1686</v>
      </c>
      <c r="G200">
        <v>600</v>
      </c>
      <c r="H200" t="s">
        <v>220</v>
      </c>
      <c r="I200">
        <v>7181</v>
      </c>
      <c r="J200" t="s">
        <v>164</v>
      </c>
      <c r="K200" t="s">
        <v>253</v>
      </c>
      <c r="L200">
        <v>1630</v>
      </c>
      <c r="M200">
        <v>1648</v>
      </c>
      <c r="N200">
        <v>600</v>
      </c>
      <c r="O200" t="s">
        <v>222</v>
      </c>
      <c r="P200">
        <v>0.90584737050123898</v>
      </c>
      <c r="Q200">
        <v>0.91006035703288002</v>
      </c>
      <c r="R200">
        <v>5.6833035642166199E-2</v>
      </c>
      <c r="S200">
        <v>0.227032901226841</v>
      </c>
      <c r="T200">
        <v>-0.43505272773555698</v>
      </c>
      <c r="U200">
        <v>0.43505272773555698</v>
      </c>
      <c r="V200">
        <v>-1.87</v>
      </c>
      <c r="W200">
        <v>2.25</v>
      </c>
      <c r="X200">
        <v>-222859</v>
      </c>
      <c r="Y200">
        <v>-12381</v>
      </c>
      <c r="Z200">
        <v>-0.73</v>
      </c>
      <c r="AA200">
        <v>18</v>
      </c>
      <c r="AB200">
        <v>4</v>
      </c>
      <c r="AC200">
        <v>14</v>
      </c>
      <c r="AD200">
        <v>22.22</v>
      </c>
      <c r="AE200">
        <v>13</v>
      </c>
    </row>
    <row r="201" spans="1:31" hidden="1">
      <c r="A201">
        <v>44</v>
      </c>
      <c r="B201">
        <v>4061</v>
      </c>
      <c r="C201" t="s">
        <v>240</v>
      </c>
      <c r="D201" t="s">
        <v>221</v>
      </c>
      <c r="E201">
        <v>2914</v>
      </c>
      <c r="F201">
        <v>2911</v>
      </c>
      <c r="G201">
        <v>300</v>
      </c>
      <c r="H201" t="s">
        <v>220</v>
      </c>
      <c r="I201">
        <v>8377</v>
      </c>
      <c r="J201" t="s">
        <v>103</v>
      </c>
      <c r="K201" t="s">
        <v>225</v>
      </c>
      <c r="L201">
        <v>1028</v>
      </c>
      <c r="M201">
        <v>1031</v>
      </c>
      <c r="N201">
        <v>800</v>
      </c>
      <c r="O201" t="s">
        <v>222</v>
      </c>
      <c r="P201">
        <v>0.95721082386634404</v>
      </c>
      <c r="Q201">
        <v>0.91257794452102003</v>
      </c>
      <c r="R201">
        <v>4.2526811520312999E-2</v>
      </c>
      <c r="S201">
        <v>2.23830022296032E-2</v>
      </c>
      <c r="T201">
        <v>-0.42477884474659899</v>
      </c>
      <c r="U201">
        <v>0.42477884474659899</v>
      </c>
      <c r="V201">
        <v>-1.05</v>
      </c>
      <c r="W201">
        <v>5.55</v>
      </c>
      <c r="X201">
        <v>-85011</v>
      </c>
      <c r="Y201">
        <v>-4474</v>
      </c>
      <c r="Z201">
        <v>-0.17</v>
      </c>
      <c r="AA201">
        <v>19</v>
      </c>
      <c r="AB201">
        <v>10</v>
      </c>
      <c r="AC201">
        <v>9</v>
      </c>
      <c r="AD201">
        <v>52.63</v>
      </c>
      <c r="AE201">
        <v>11</v>
      </c>
    </row>
    <row r="202" spans="1:31" hidden="1">
      <c r="A202">
        <v>47</v>
      </c>
      <c r="B202">
        <v>5019</v>
      </c>
      <c r="C202" t="s">
        <v>168</v>
      </c>
      <c r="D202" t="s">
        <v>273</v>
      </c>
      <c r="E202">
        <v>3085</v>
      </c>
      <c r="F202">
        <v>3120</v>
      </c>
      <c r="G202">
        <v>300</v>
      </c>
      <c r="H202" t="s">
        <v>222</v>
      </c>
      <c r="I202">
        <v>8002</v>
      </c>
      <c r="J202" t="s">
        <v>114</v>
      </c>
      <c r="K202" t="s">
        <v>250</v>
      </c>
      <c r="L202">
        <v>710.4</v>
      </c>
      <c r="M202">
        <v>722.7</v>
      </c>
      <c r="N202">
        <v>1300</v>
      </c>
      <c r="O202" t="s">
        <v>220</v>
      </c>
      <c r="P202">
        <v>0.95665138099513702</v>
      </c>
      <c r="Q202">
        <v>0.94997648137664303</v>
      </c>
      <c r="R202">
        <v>2.7439619396767399E-2</v>
      </c>
      <c r="S202">
        <v>1.6777544051750699E-2</v>
      </c>
      <c r="T202">
        <v>0.41696868658346797</v>
      </c>
      <c r="U202">
        <v>0.41696868658346797</v>
      </c>
      <c r="V202">
        <v>1.23</v>
      </c>
      <c r="W202">
        <v>0.38</v>
      </c>
      <c r="X202">
        <v>-240945</v>
      </c>
      <c r="Y202">
        <v>-11474</v>
      </c>
      <c r="Z202">
        <v>-0.65</v>
      </c>
      <c r="AA202">
        <v>21</v>
      </c>
      <c r="AB202">
        <v>8</v>
      </c>
      <c r="AC202">
        <v>13</v>
      </c>
      <c r="AD202">
        <v>38.1</v>
      </c>
      <c r="AE202">
        <v>11</v>
      </c>
    </row>
    <row r="203" spans="1:31" hidden="1">
      <c r="A203">
        <v>66</v>
      </c>
      <c r="B203">
        <v>7167</v>
      </c>
      <c r="C203" t="s">
        <v>129</v>
      </c>
      <c r="D203" t="s">
        <v>225</v>
      </c>
      <c r="E203">
        <v>260</v>
      </c>
      <c r="F203">
        <v>261</v>
      </c>
      <c r="G203">
        <v>4000</v>
      </c>
      <c r="H203" t="s">
        <v>222</v>
      </c>
      <c r="I203">
        <v>7278</v>
      </c>
      <c r="J203" t="s">
        <v>91</v>
      </c>
      <c r="K203" t="s">
        <v>228</v>
      </c>
      <c r="L203">
        <v>2095</v>
      </c>
      <c r="M203">
        <v>2100</v>
      </c>
      <c r="N203">
        <v>500</v>
      </c>
      <c r="O203" t="s">
        <v>220</v>
      </c>
      <c r="P203">
        <v>0.95192856124617797</v>
      </c>
      <c r="Q203">
        <v>0.94185825618963603</v>
      </c>
      <c r="R203">
        <v>0.31153009177110302</v>
      </c>
      <c r="S203">
        <v>5.8419551738075802E-2</v>
      </c>
      <c r="T203">
        <v>0.411363371402303</v>
      </c>
      <c r="U203">
        <v>0.411363371402303</v>
      </c>
      <c r="V203">
        <v>0.83</v>
      </c>
      <c r="W203">
        <v>0.56999999999999995</v>
      </c>
      <c r="X203">
        <v>391489</v>
      </c>
      <c r="Y203">
        <v>23029</v>
      </c>
      <c r="Z203">
        <v>1.04</v>
      </c>
      <c r="AA203">
        <v>17</v>
      </c>
      <c r="AB203">
        <v>10</v>
      </c>
      <c r="AC203">
        <v>7</v>
      </c>
      <c r="AD203">
        <v>58.82</v>
      </c>
      <c r="AE203">
        <v>14</v>
      </c>
    </row>
    <row r="204" spans="1:31" hidden="1">
      <c r="A204">
        <v>285</v>
      </c>
      <c r="B204">
        <v>4401</v>
      </c>
      <c r="C204" t="s">
        <v>184</v>
      </c>
      <c r="D204" t="s">
        <v>221</v>
      </c>
      <c r="E204">
        <v>1364</v>
      </c>
      <c r="F204">
        <v>1375</v>
      </c>
      <c r="G204">
        <v>800</v>
      </c>
      <c r="H204" t="s">
        <v>222</v>
      </c>
      <c r="I204">
        <v>6178</v>
      </c>
      <c r="J204" t="s">
        <v>163</v>
      </c>
      <c r="K204" t="s">
        <v>276</v>
      </c>
      <c r="L204">
        <v>987</v>
      </c>
      <c r="M204">
        <v>996</v>
      </c>
      <c r="N204">
        <v>1100</v>
      </c>
      <c r="O204" t="s">
        <v>220</v>
      </c>
      <c r="P204">
        <v>0.90258183687863602</v>
      </c>
      <c r="Q204">
        <v>0.90279328151051697</v>
      </c>
      <c r="R204">
        <v>0.17728307054978201</v>
      </c>
      <c r="S204">
        <v>0.18643193164364999</v>
      </c>
      <c r="T204">
        <v>0.40397762487570399</v>
      </c>
      <c r="U204">
        <v>0.40397762487570399</v>
      </c>
      <c r="V204">
        <v>1.66</v>
      </c>
      <c r="W204">
        <v>0.4</v>
      </c>
      <c r="X204">
        <v>76490</v>
      </c>
      <c r="Y204">
        <v>4249</v>
      </c>
      <c r="Z204">
        <v>0.21</v>
      </c>
      <c r="AA204">
        <v>18</v>
      </c>
      <c r="AB204">
        <v>10</v>
      </c>
      <c r="AC204">
        <v>8</v>
      </c>
      <c r="AD204">
        <v>55.56</v>
      </c>
      <c r="AE204">
        <v>12</v>
      </c>
    </row>
    <row r="205" spans="1:31" hidden="1">
      <c r="A205">
        <v>20</v>
      </c>
      <c r="B205">
        <v>5401</v>
      </c>
      <c r="C205" t="s">
        <v>148</v>
      </c>
      <c r="D205" t="s">
        <v>239</v>
      </c>
      <c r="E205">
        <v>1481</v>
      </c>
      <c r="F205">
        <v>1484</v>
      </c>
      <c r="G205">
        <v>700</v>
      </c>
      <c r="H205" t="s">
        <v>220</v>
      </c>
      <c r="I205">
        <v>9404</v>
      </c>
      <c r="J205" t="s">
        <v>116</v>
      </c>
      <c r="K205" t="s">
        <v>219</v>
      </c>
      <c r="L205">
        <v>1380</v>
      </c>
      <c r="M205">
        <v>1382</v>
      </c>
      <c r="N205">
        <v>800</v>
      </c>
      <c r="O205" t="s">
        <v>222</v>
      </c>
      <c r="P205">
        <v>0.96407645886136994</v>
      </c>
      <c r="Q205">
        <v>0.95091051767712098</v>
      </c>
      <c r="R205">
        <v>0.347529699270964</v>
      </c>
      <c r="S205">
        <v>2.3951824364450001E-2</v>
      </c>
      <c r="T205">
        <v>-0.39349985468576298</v>
      </c>
      <c r="U205">
        <v>0.39349985468576298</v>
      </c>
      <c r="V205">
        <v>-1.38</v>
      </c>
      <c r="W205">
        <v>6.43</v>
      </c>
      <c r="X205">
        <v>293779</v>
      </c>
      <c r="Y205">
        <v>17281</v>
      </c>
      <c r="Z205">
        <v>0.84</v>
      </c>
      <c r="AA205">
        <v>17</v>
      </c>
      <c r="AB205">
        <v>11</v>
      </c>
      <c r="AC205">
        <v>6</v>
      </c>
      <c r="AD205">
        <v>64.709999999999994</v>
      </c>
      <c r="AE205">
        <v>12</v>
      </c>
    </row>
    <row r="206" spans="1:31" hidden="1">
      <c r="A206">
        <v>72</v>
      </c>
      <c r="B206">
        <v>6995</v>
      </c>
      <c r="C206" t="s">
        <v>113</v>
      </c>
      <c r="D206" t="s">
        <v>228</v>
      </c>
      <c r="E206">
        <v>1813</v>
      </c>
      <c r="F206">
        <v>1818</v>
      </c>
      <c r="G206">
        <v>600</v>
      </c>
      <c r="H206" t="s">
        <v>220</v>
      </c>
      <c r="I206">
        <v>7186</v>
      </c>
      <c r="J206" t="s">
        <v>95</v>
      </c>
      <c r="K206" t="s">
        <v>225</v>
      </c>
      <c r="L206">
        <v>414</v>
      </c>
      <c r="M206">
        <v>409</v>
      </c>
      <c r="N206">
        <v>2700</v>
      </c>
      <c r="O206" t="s">
        <v>222</v>
      </c>
      <c r="P206">
        <v>0.95025406318954098</v>
      </c>
      <c r="Q206">
        <v>0.90251105332074599</v>
      </c>
      <c r="R206">
        <v>0.16058329019068401</v>
      </c>
      <c r="S206">
        <v>0.23616985210034899</v>
      </c>
      <c r="T206">
        <v>-0.38437344156896103</v>
      </c>
      <c r="U206">
        <v>0.38437344156896103</v>
      </c>
      <c r="V206">
        <v>-0.84</v>
      </c>
      <c r="W206">
        <v>1.24</v>
      </c>
      <c r="X206">
        <v>267471</v>
      </c>
      <c r="Y206">
        <v>15734</v>
      </c>
      <c r="Z206">
        <v>0.75</v>
      </c>
      <c r="AA206">
        <v>17</v>
      </c>
      <c r="AB206">
        <v>12</v>
      </c>
      <c r="AC206">
        <v>5</v>
      </c>
      <c r="AD206">
        <v>70.59</v>
      </c>
      <c r="AE206">
        <v>12</v>
      </c>
    </row>
    <row r="207" spans="1:31" hidden="1">
      <c r="A207">
        <v>124</v>
      </c>
      <c r="B207">
        <v>5020</v>
      </c>
      <c r="C207" t="s">
        <v>167</v>
      </c>
      <c r="D207" t="s">
        <v>273</v>
      </c>
      <c r="E207">
        <v>487.9</v>
      </c>
      <c r="F207">
        <v>487.8</v>
      </c>
      <c r="G207">
        <v>2200</v>
      </c>
      <c r="H207" t="s">
        <v>222</v>
      </c>
      <c r="I207">
        <v>7327</v>
      </c>
      <c r="J207" t="s">
        <v>150</v>
      </c>
      <c r="K207" t="s">
        <v>225</v>
      </c>
      <c r="L207">
        <v>2630</v>
      </c>
      <c r="M207">
        <v>2635</v>
      </c>
      <c r="N207">
        <v>400</v>
      </c>
      <c r="O207" t="s">
        <v>220</v>
      </c>
      <c r="P207">
        <v>0.93829608503966799</v>
      </c>
      <c r="Q207">
        <v>0.92249046709295301</v>
      </c>
      <c r="R207">
        <v>5.6292620787441301E-2</v>
      </c>
      <c r="S207">
        <v>0.34744624081881798</v>
      </c>
      <c r="T207">
        <v>0.37336976550413098</v>
      </c>
      <c r="U207">
        <v>0.37336976550413098</v>
      </c>
      <c r="V207">
        <v>1.19</v>
      </c>
      <c r="W207">
        <v>1.82</v>
      </c>
      <c r="X207">
        <v>19907</v>
      </c>
      <c r="Y207">
        <v>6636</v>
      </c>
      <c r="Z207">
        <v>0.39</v>
      </c>
      <c r="AA207">
        <v>3</v>
      </c>
      <c r="AB207">
        <v>2</v>
      </c>
      <c r="AC207">
        <v>1</v>
      </c>
      <c r="AD207">
        <v>66.67</v>
      </c>
      <c r="AE207">
        <v>12</v>
      </c>
    </row>
    <row r="208" spans="1:31" hidden="1">
      <c r="A208">
        <v>196</v>
      </c>
      <c r="B208">
        <v>6371</v>
      </c>
      <c r="C208" t="s">
        <v>132</v>
      </c>
      <c r="D208" t="s">
        <v>230</v>
      </c>
      <c r="E208">
        <v>3400</v>
      </c>
      <c r="F208">
        <v>3420</v>
      </c>
      <c r="G208">
        <v>300</v>
      </c>
      <c r="H208" t="s">
        <v>220</v>
      </c>
      <c r="I208">
        <v>9810</v>
      </c>
      <c r="J208" t="s">
        <v>145</v>
      </c>
      <c r="K208" t="s">
        <v>250</v>
      </c>
      <c r="L208">
        <v>4280</v>
      </c>
      <c r="M208">
        <v>4330</v>
      </c>
      <c r="N208">
        <v>200</v>
      </c>
      <c r="O208" t="s">
        <v>222</v>
      </c>
      <c r="P208">
        <v>0.92269046818275802</v>
      </c>
      <c r="Q208">
        <v>0.91400621920945002</v>
      </c>
      <c r="R208">
        <v>8.4183621459869504E-3</v>
      </c>
      <c r="S208">
        <v>0.18565589073939101</v>
      </c>
      <c r="T208">
        <v>-0.36924519973026698</v>
      </c>
      <c r="U208">
        <v>0.36924519973026698</v>
      </c>
      <c r="V208">
        <v>-0.69</v>
      </c>
      <c r="W208">
        <v>18.48</v>
      </c>
      <c r="X208">
        <v>17964</v>
      </c>
      <c r="Y208">
        <v>3593</v>
      </c>
      <c r="Z208">
        <v>0.5</v>
      </c>
      <c r="AA208">
        <v>5</v>
      </c>
      <c r="AB208">
        <v>3</v>
      </c>
      <c r="AC208">
        <v>2</v>
      </c>
      <c r="AD208">
        <v>60</v>
      </c>
      <c r="AE208">
        <v>11</v>
      </c>
    </row>
    <row r="209" spans="1:31" hidden="1">
      <c r="A209">
        <v>114</v>
      </c>
      <c r="B209">
        <v>4188</v>
      </c>
      <c r="C209" t="s">
        <v>278</v>
      </c>
      <c r="D209" t="s">
        <v>221</v>
      </c>
      <c r="E209">
        <v>765</v>
      </c>
      <c r="F209">
        <v>764.6</v>
      </c>
      <c r="G209">
        <v>1400</v>
      </c>
      <c r="H209" t="s">
        <v>220</v>
      </c>
      <c r="I209">
        <v>8306</v>
      </c>
      <c r="J209" t="s">
        <v>93</v>
      </c>
      <c r="K209" t="s">
        <v>225</v>
      </c>
      <c r="L209">
        <v>536.1</v>
      </c>
      <c r="M209">
        <v>535.4</v>
      </c>
      <c r="N209">
        <v>2000</v>
      </c>
      <c r="O209" t="s">
        <v>222</v>
      </c>
      <c r="P209">
        <v>0.940250071539531</v>
      </c>
      <c r="Q209">
        <v>0.90486803733754495</v>
      </c>
      <c r="R209">
        <v>4.5066982332188496E-3</v>
      </c>
      <c r="S209">
        <v>0.13925262924323001</v>
      </c>
      <c r="T209">
        <v>-0.36653344074045002</v>
      </c>
      <c r="U209">
        <v>0.36653344074045002</v>
      </c>
      <c r="V209">
        <v>-0.65</v>
      </c>
      <c r="W209">
        <v>0.03</v>
      </c>
      <c r="X209">
        <v>326963</v>
      </c>
      <c r="Y209">
        <v>18165</v>
      </c>
      <c r="Z209">
        <v>0.85</v>
      </c>
      <c r="AA209">
        <v>18</v>
      </c>
      <c r="AB209">
        <v>13</v>
      </c>
      <c r="AC209">
        <v>5</v>
      </c>
      <c r="AD209">
        <v>72.22</v>
      </c>
      <c r="AE209">
        <v>13</v>
      </c>
    </row>
    <row r="210" spans="1:31" hidden="1">
      <c r="A210">
        <v>293</v>
      </c>
      <c r="B210">
        <v>5406</v>
      </c>
      <c r="C210" t="s">
        <v>140</v>
      </c>
      <c r="D210" t="s">
        <v>239</v>
      </c>
      <c r="E210">
        <v>566</v>
      </c>
      <c r="F210">
        <v>565</v>
      </c>
      <c r="G210">
        <v>1900</v>
      </c>
      <c r="H210" t="s">
        <v>220</v>
      </c>
      <c r="I210">
        <v>7201</v>
      </c>
      <c r="J210" t="s">
        <v>109</v>
      </c>
      <c r="K210" t="s">
        <v>228</v>
      </c>
      <c r="L210">
        <v>661</v>
      </c>
      <c r="M210">
        <v>660.8</v>
      </c>
      <c r="N210">
        <v>1600</v>
      </c>
      <c r="O210" t="s">
        <v>222</v>
      </c>
      <c r="P210">
        <v>0.90148438200622105</v>
      </c>
      <c r="Q210">
        <v>0.97993628985508097</v>
      </c>
      <c r="R210">
        <v>8.0367935532550699E-2</v>
      </c>
      <c r="S210">
        <v>6.4380515840023001E-4</v>
      </c>
      <c r="T210">
        <v>-0.36570269832937002</v>
      </c>
      <c r="U210">
        <v>0.36570269832937002</v>
      </c>
      <c r="V210">
        <v>-1.97</v>
      </c>
      <c r="W210">
        <v>1.53</v>
      </c>
      <c r="X210">
        <v>332653</v>
      </c>
      <c r="Y210">
        <v>22177</v>
      </c>
      <c r="Z210">
        <v>1.04</v>
      </c>
      <c r="AA210">
        <v>15</v>
      </c>
      <c r="AB210">
        <v>11</v>
      </c>
      <c r="AC210">
        <v>4</v>
      </c>
      <c r="AD210">
        <v>73.33</v>
      </c>
      <c r="AE210">
        <v>11</v>
      </c>
    </row>
    <row r="211" spans="1:31" hidden="1">
      <c r="A211">
        <v>259</v>
      </c>
      <c r="B211">
        <v>5301</v>
      </c>
      <c r="C211" t="s">
        <v>97</v>
      </c>
      <c r="D211" t="s">
        <v>229</v>
      </c>
      <c r="E211">
        <v>1068</v>
      </c>
      <c r="F211">
        <v>1088</v>
      </c>
      <c r="G211">
        <v>1000</v>
      </c>
      <c r="H211" t="s">
        <v>220</v>
      </c>
      <c r="I211">
        <v>6995</v>
      </c>
      <c r="J211" t="s">
        <v>113</v>
      </c>
      <c r="K211" t="s">
        <v>228</v>
      </c>
      <c r="L211">
        <v>1813</v>
      </c>
      <c r="M211">
        <v>1818</v>
      </c>
      <c r="N211">
        <v>600</v>
      </c>
      <c r="O211" t="s">
        <v>222</v>
      </c>
      <c r="P211">
        <v>0.90795389351177502</v>
      </c>
      <c r="Q211">
        <v>0.90967675878841803</v>
      </c>
      <c r="R211">
        <v>7.2189073010385393E-2</v>
      </c>
      <c r="S211">
        <v>4.15412806865137E-2</v>
      </c>
      <c r="T211">
        <v>-0.36509939763782301</v>
      </c>
      <c r="U211">
        <v>0.36509939763782301</v>
      </c>
      <c r="V211">
        <v>-1.1599999999999999</v>
      </c>
      <c r="W211">
        <v>0.26</v>
      </c>
      <c r="X211">
        <v>76353</v>
      </c>
      <c r="Y211">
        <v>3181</v>
      </c>
      <c r="Z211">
        <v>0.11</v>
      </c>
      <c r="AA211">
        <v>24</v>
      </c>
      <c r="AB211">
        <v>12</v>
      </c>
      <c r="AC211">
        <v>12</v>
      </c>
      <c r="AD211">
        <v>50</v>
      </c>
      <c r="AE211">
        <v>10</v>
      </c>
    </row>
    <row r="212" spans="1:31" hidden="1">
      <c r="A212">
        <v>281</v>
      </c>
      <c r="B212">
        <v>5406</v>
      </c>
      <c r="C212" t="s">
        <v>140</v>
      </c>
      <c r="D212" t="s">
        <v>239</v>
      </c>
      <c r="E212">
        <v>566</v>
      </c>
      <c r="F212">
        <v>565</v>
      </c>
      <c r="G212">
        <v>1700</v>
      </c>
      <c r="H212" t="s">
        <v>220</v>
      </c>
      <c r="I212">
        <v>9404</v>
      </c>
      <c r="J212" t="s">
        <v>116</v>
      </c>
      <c r="K212" t="s">
        <v>219</v>
      </c>
      <c r="L212">
        <v>1380</v>
      </c>
      <c r="M212">
        <v>1382</v>
      </c>
      <c r="N212">
        <v>700</v>
      </c>
      <c r="O212" t="s">
        <v>222</v>
      </c>
      <c r="P212">
        <v>0.90356641829298501</v>
      </c>
      <c r="Q212">
        <v>0.93910951952336097</v>
      </c>
      <c r="R212">
        <v>2.39559086895192E-2</v>
      </c>
      <c r="S212">
        <v>2.30879559148193E-2</v>
      </c>
      <c r="T212">
        <v>-0.35666112634012997</v>
      </c>
      <c r="U212">
        <v>0.35666112634012997</v>
      </c>
      <c r="V212">
        <v>-1.8</v>
      </c>
      <c r="W212">
        <v>0.71</v>
      </c>
      <c r="X212">
        <v>-21705</v>
      </c>
      <c r="Y212">
        <v>-1357</v>
      </c>
      <c r="Z212">
        <v>-0.05</v>
      </c>
      <c r="AA212">
        <v>16</v>
      </c>
      <c r="AB212">
        <v>9</v>
      </c>
      <c r="AC212">
        <v>7</v>
      </c>
      <c r="AD212">
        <v>56.25</v>
      </c>
      <c r="AE212">
        <v>10</v>
      </c>
    </row>
    <row r="213" spans="1:31" hidden="1">
      <c r="A213">
        <v>154</v>
      </c>
      <c r="B213">
        <v>6674</v>
      </c>
      <c r="C213" t="s">
        <v>133</v>
      </c>
      <c r="D213" t="s">
        <v>231</v>
      </c>
      <c r="E213">
        <v>1843</v>
      </c>
      <c r="F213">
        <v>1840</v>
      </c>
      <c r="G213">
        <v>500</v>
      </c>
      <c r="H213" t="s">
        <v>220</v>
      </c>
      <c r="I213">
        <v>7181</v>
      </c>
      <c r="J213" t="s">
        <v>164</v>
      </c>
      <c r="K213" t="s">
        <v>253</v>
      </c>
      <c r="L213">
        <v>1630</v>
      </c>
      <c r="M213">
        <v>1648</v>
      </c>
      <c r="N213">
        <v>600</v>
      </c>
      <c r="O213" t="s">
        <v>222</v>
      </c>
      <c r="P213">
        <v>0.93172835763995299</v>
      </c>
      <c r="Q213">
        <v>0.92647360887918095</v>
      </c>
      <c r="R213">
        <v>1.75399998087746E-2</v>
      </c>
      <c r="S213">
        <v>0.103430264920544</v>
      </c>
      <c r="T213">
        <v>-0.356301685128316</v>
      </c>
      <c r="U213">
        <v>0.356301685128316</v>
      </c>
      <c r="V213">
        <v>-1.65</v>
      </c>
      <c r="W213">
        <v>7.48</v>
      </c>
      <c r="X213">
        <v>-56743</v>
      </c>
      <c r="Y213">
        <v>-3338</v>
      </c>
      <c r="Z213">
        <v>-0.14000000000000001</v>
      </c>
      <c r="AA213">
        <v>17</v>
      </c>
      <c r="AB213">
        <v>9</v>
      </c>
      <c r="AC213">
        <v>8</v>
      </c>
      <c r="AD213">
        <v>52.94</v>
      </c>
      <c r="AE213">
        <v>13</v>
      </c>
    </row>
    <row r="214" spans="1:31" hidden="1">
      <c r="A214">
        <v>32</v>
      </c>
      <c r="B214">
        <v>4208</v>
      </c>
      <c r="C214" t="s">
        <v>126</v>
      </c>
      <c r="D214" t="s">
        <v>221</v>
      </c>
      <c r="E214">
        <v>2158</v>
      </c>
      <c r="F214">
        <v>2171</v>
      </c>
      <c r="G214">
        <v>500</v>
      </c>
      <c r="H214" t="s">
        <v>222</v>
      </c>
      <c r="I214">
        <v>6371</v>
      </c>
      <c r="J214" t="s">
        <v>132</v>
      </c>
      <c r="K214" t="s">
        <v>230</v>
      </c>
      <c r="L214">
        <v>3400</v>
      </c>
      <c r="M214">
        <v>3420</v>
      </c>
      <c r="N214">
        <v>300</v>
      </c>
      <c r="O214" t="s">
        <v>220</v>
      </c>
      <c r="P214">
        <v>0.95962359256431495</v>
      </c>
      <c r="Q214">
        <v>0.94568777732648301</v>
      </c>
      <c r="R214">
        <v>9.9806138736169194E-4</v>
      </c>
      <c r="S214">
        <v>3.5299758712133899E-3</v>
      </c>
      <c r="T214">
        <v>0.35589495780272201</v>
      </c>
      <c r="U214">
        <v>0.35589495780272201</v>
      </c>
      <c r="V214">
        <v>0.46</v>
      </c>
      <c r="W214">
        <v>5.8</v>
      </c>
      <c r="X214">
        <v>73866</v>
      </c>
      <c r="Y214">
        <v>5682</v>
      </c>
      <c r="Z214">
        <v>0.23</v>
      </c>
      <c r="AA214">
        <v>13</v>
      </c>
      <c r="AB214">
        <v>8</v>
      </c>
      <c r="AC214">
        <v>5</v>
      </c>
      <c r="AD214">
        <v>61.54</v>
      </c>
      <c r="AE214">
        <v>13</v>
      </c>
    </row>
    <row r="215" spans="1:31" hidden="1">
      <c r="A215">
        <v>179</v>
      </c>
      <c r="B215">
        <v>3291</v>
      </c>
      <c r="C215" t="s">
        <v>285</v>
      </c>
      <c r="D215" t="s">
        <v>286</v>
      </c>
      <c r="E215">
        <v>1730</v>
      </c>
      <c r="F215">
        <v>1736</v>
      </c>
      <c r="G215">
        <v>600</v>
      </c>
      <c r="H215" t="s">
        <v>220</v>
      </c>
      <c r="I215">
        <v>5802</v>
      </c>
      <c r="J215" t="s">
        <v>124</v>
      </c>
      <c r="K215" t="s">
        <v>227</v>
      </c>
      <c r="L215">
        <v>1347</v>
      </c>
      <c r="M215">
        <v>1349</v>
      </c>
      <c r="N215">
        <v>800</v>
      </c>
      <c r="O215" t="s">
        <v>222</v>
      </c>
      <c r="P215">
        <v>0.92693370272046804</v>
      </c>
      <c r="Q215">
        <v>0.925987385115283</v>
      </c>
      <c r="R215">
        <v>6.3743402058894505E-2</v>
      </c>
      <c r="S215">
        <v>0.33339102157573502</v>
      </c>
      <c r="T215">
        <v>-0.35332873863682301</v>
      </c>
      <c r="U215">
        <v>0.35332873863682301</v>
      </c>
      <c r="V215">
        <v>-0.94</v>
      </c>
      <c r="W215">
        <v>3.61</v>
      </c>
      <c r="X215">
        <v>189515</v>
      </c>
      <c r="Y215">
        <v>9476</v>
      </c>
      <c r="Z215">
        <v>0.48</v>
      </c>
      <c r="AA215">
        <v>20</v>
      </c>
      <c r="AB215">
        <v>13</v>
      </c>
      <c r="AC215">
        <v>7</v>
      </c>
      <c r="AD215">
        <v>65</v>
      </c>
      <c r="AE215">
        <v>15</v>
      </c>
    </row>
    <row r="216" spans="1:31" hidden="1">
      <c r="A216">
        <v>29</v>
      </c>
      <c r="B216">
        <v>7167</v>
      </c>
      <c r="C216" t="s">
        <v>129</v>
      </c>
      <c r="D216" t="s">
        <v>225</v>
      </c>
      <c r="E216">
        <v>260</v>
      </c>
      <c r="F216">
        <v>261</v>
      </c>
      <c r="G216">
        <v>4100</v>
      </c>
      <c r="H216" t="s">
        <v>222</v>
      </c>
      <c r="I216">
        <v>9505</v>
      </c>
      <c r="J216" t="s">
        <v>160</v>
      </c>
      <c r="K216" t="s">
        <v>242</v>
      </c>
      <c r="L216">
        <v>716</v>
      </c>
      <c r="M216">
        <v>715</v>
      </c>
      <c r="N216">
        <v>1500</v>
      </c>
      <c r="O216" t="s">
        <v>220</v>
      </c>
      <c r="P216">
        <v>0.96028023620921898</v>
      </c>
      <c r="Q216">
        <v>0.93236673488752198</v>
      </c>
      <c r="R216">
        <v>1.0634714319769499E-3</v>
      </c>
      <c r="S216">
        <v>0.21822711436218301</v>
      </c>
      <c r="T216">
        <v>0.35270392233886999</v>
      </c>
      <c r="U216">
        <v>0.35270392233886999</v>
      </c>
      <c r="V216">
        <v>0.73</v>
      </c>
      <c r="W216">
        <v>0.22</v>
      </c>
      <c r="X216">
        <v>-15960</v>
      </c>
      <c r="Y216">
        <v>-798</v>
      </c>
      <c r="Z216">
        <v>-0.06</v>
      </c>
      <c r="AA216">
        <v>20</v>
      </c>
      <c r="AB216">
        <v>8</v>
      </c>
      <c r="AC216">
        <v>12</v>
      </c>
      <c r="AD216">
        <v>40</v>
      </c>
      <c r="AE216">
        <v>13</v>
      </c>
    </row>
    <row r="217" spans="1:31" hidden="1">
      <c r="A217">
        <v>279</v>
      </c>
      <c r="B217">
        <v>6371</v>
      </c>
      <c r="C217" t="s">
        <v>132</v>
      </c>
      <c r="D217" t="s">
        <v>230</v>
      </c>
      <c r="E217">
        <v>3400</v>
      </c>
      <c r="F217">
        <v>3420</v>
      </c>
      <c r="G217">
        <v>300</v>
      </c>
      <c r="H217" t="s">
        <v>222</v>
      </c>
      <c r="I217">
        <v>7259</v>
      </c>
      <c r="J217" t="s">
        <v>105</v>
      </c>
      <c r="K217" t="s">
        <v>228</v>
      </c>
      <c r="L217">
        <v>3390</v>
      </c>
      <c r="M217">
        <v>3390</v>
      </c>
      <c r="N217">
        <v>300</v>
      </c>
      <c r="O217" t="s">
        <v>220</v>
      </c>
      <c r="P217">
        <v>0.90478757962604095</v>
      </c>
      <c r="Q217">
        <v>0.93413691894830198</v>
      </c>
      <c r="R217">
        <v>0.19902173659355399</v>
      </c>
      <c r="S217">
        <v>4.5550072183430199E-2</v>
      </c>
      <c r="T217">
        <v>0.35048845249192701</v>
      </c>
      <c r="U217">
        <v>0.35048845249192701</v>
      </c>
      <c r="V217">
        <v>1.35</v>
      </c>
      <c r="W217">
        <v>0.88</v>
      </c>
      <c r="X217">
        <v>305033</v>
      </c>
      <c r="Y217">
        <v>38129</v>
      </c>
      <c r="Z217">
        <v>2.17</v>
      </c>
      <c r="AA217">
        <v>8</v>
      </c>
      <c r="AB217">
        <v>6</v>
      </c>
      <c r="AC217">
        <v>2</v>
      </c>
      <c r="AD217">
        <v>75</v>
      </c>
      <c r="AE217">
        <v>10</v>
      </c>
    </row>
    <row r="218" spans="1:31" hidden="1">
      <c r="A218">
        <v>23</v>
      </c>
      <c r="B218">
        <v>5020</v>
      </c>
      <c r="C218" t="s">
        <v>167</v>
      </c>
      <c r="D218" t="s">
        <v>273</v>
      </c>
      <c r="E218">
        <v>487.9</v>
      </c>
      <c r="F218">
        <v>487.8</v>
      </c>
      <c r="G218">
        <v>2200</v>
      </c>
      <c r="H218" t="s">
        <v>222</v>
      </c>
      <c r="I218">
        <v>8316</v>
      </c>
      <c r="J218" t="s">
        <v>154</v>
      </c>
      <c r="K218" t="s">
        <v>225</v>
      </c>
      <c r="L218">
        <v>3636</v>
      </c>
      <c r="M218">
        <v>3628</v>
      </c>
      <c r="N218">
        <v>300</v>
      </c>
      <c r="O218" t="s">
        <v>220</v>
      </c>
      <c r="P218">
        <v>0.96202032474365595</v>
      </c>
      <c r="Q218">
        <v>0.905462862378002</v>
      </c>
      <c r="R218">
        <v>0.11817493007669901</v>
      </c>
      <c r="S218">
        <v>0.246526061467507</v>
      </c>
      <c r="T218">
        <v>0.34838687319842299</v>
      </c>
      <c r="U218">
        <v>0.34838687319842299</v>
      </c>
      <c r="V218">
        <v>1.43</v>
      </c>
      <c r="W218">
        <v>1.4</v>
      </c>
      <c r="X218">
        <v>-63170</v>
      </c>
      <c r="Y218">
        <v>-3158</v>
      </c>
      <c r="Z218">
        <v>-0.22</v>
      </c>
      <c r="AA218">
        <v>20</v>
      </c>
      <c r="AB218">
        <v>10</v>
      </c>
      <c r="AC218">
        <v>10</v>
      </c>
      <c r="AD218">
        <v>50</v>
      </c>
      <c r="AE218">
        <v>14</v>
      </c>
    </row>
    <row r="219" spans="1:31" hidden="1">
      <c r="A219">
        <v>162</v>
      </c>
      <c r="B219">
        <v>7278</v>
      </c>
      <c r="C219" t="s">
        <v>91</v>
      </c>
      <c r="D219" t="s">
        <v>228</v>
      </c>
      <c r="E219">
        <v>2095</v>
      </c>
      <c r="F219">
        <v>2100</v>
      </c>
      <c r="G219">
        <v>500</v>
      </c>
      <c r="H219" t="s">
        <v>222</v>
      </c>
      <c r="I219">
        <v>7327</v>
      </c>
      <c r="J219" t="s">
        <v>150</v>
      </c>
      <c r="K219" t="s">
        <v>225</v>
      </c>
      <c r="L219">
        <v>2630</v>
      </c>
      <c r="M219">
        <v>2635</v>
      </c>
      <c r="N219">
        <v>400</v>
      </c>
      <c r="O219" t="s">
        <v>220</v>
      </c>
      <c r="P219">
        <v>0.93023192993960802</v>
      </c>
      <c r="Q219">
        <v>0.94161178830235504</v>
      </c>
      <c r="R219">
        <v>0.199361182779658</v>
      </c>
      <c r="S219">
        <v>3.78384074689651E-2</v>
      </c>
      <c r="T219">
        <v>0.336205416152911</v>
      </c>
      <c r="U219">
        <v>0.336205416152911</v>
      </c>
      <c r="V219">
        <v>0.69</v>
      </c>
      <c r="W219">
        <v>0.38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 hidden="1">
      <c r="A220">
        <v>248</v>
      </c>
      <c r="B220">
        <v>1820</v>
      </c>
      <c r="C220" t="s">
        <v>270</v>
      </c>
      <c r="D220" t="s">
        <v>246</v>
      </c>
      <c r="E220">
        <v>1967</v>
      </c>
      <c r="F220">
        <v>1974</v>
      </c>
      <c r="G220">
        <v>500</v>
      </c>
      <c r="H220" t="s">
        <v>222</v>
      </c>
      <c r="I220">
        <v>7211</v>
      </c>
      <c r="J220" t="s">
        <v>110</v>
      </c>
      <c r="K220" t="s">
        <v>228</v>
      </c>
      <c r="L220">
        <v>470</v>
      </c>
      <c r="M220">
        <v>470</v>
      </c>
      <c r="N220">
        <v>2100</v>
      </c>
      <c r="O220" t="s">
        <v>220</v>
      </c>
      <c r="P220">
        <v>0.90946910095854405</v>
      </c>
      <c r="Q220">
        <v>0.95186599680008899</v>
      </c>
      <c r="R220">
        <v>0.28144824969786703</v>
      </c>
      <c r="S220">
        <v>5.78396234397365E-3</v>
      </c>
      <c r="T220">
        <v>0.334017962169674</v>
      </c>
      <c r="U220">
        <v>0.334017962169674</v>
      </c>
      <c r="V220">
        <v>0.88</v>
      </c>
      <c r="W220">
        <v>0</v>
      </c>
      <c r="X220">
        <v>469869</v>
      </c>
      <c r="Y220">
        <v>31325</v>
      </c>
      <c r="Z220">
        <v>1.6</v>
      </c>
      <c r="AA220">
        <v>15</v>
      </c>
      <c r="AB220">
        <v>11</v>
      </c>
      <c r="AC220">
        <v>4</v>
      </c>
      <c r="AD220">
        <v>73.33</v>
      </c>
      <c r="AE220">
        <v>11</v>
      </c>
    </row>
    <row r="221" spans="1:31" hidden="1">
      <c r="A221">
        <v>9</v>
      </c>
      <c r="B221">
        <v>7211</v>
      </c>
      <c r="C221" t="s">
        <v>110</v>
      </c>
      <c r="D221" t="s">
        <v>228</v>
      </c>
      <c r="E221">
        <v>470</v>
      </c>
      <c r="F221">
        <v>470</v>
      </c>
      <c r="G221">
        <v>2200</v>
      </c>
      <c r="H221" t="s">
        <v>220</v>
      </c>
      <c r="I221">
        <v>7259</v>
      </c>
      <c r="J221" t="s">
        <v>105</v>
      </c>
      <c r="K221" t="s">
        <v>228</v>
      </c>
      <c r="L221">
        <v>3390</v>
      </c>
      <c r="M221">
        <v>3390</v>
      </c>
      <c r="N221">
        <v>300</v>
      </c>
      <c r="O221" t="s">
        <v>222</v>
      </c>
      <c r="P221">
        <v>0.97119816973384399</v>
      </c>
      <c r="Q221">
        <v>0.92437373283669899</v>
      </c>
      <c r="R221">
        <v>3.9802291678634097E-2</v>
      </c>
      <c r="S221">
        <v>0.235321450054778</v>
      </c>
      <c r="T221">
        <v>-0.325981596080759</v>
      </c>
      <c r="U221">
        <v>0.325981596080759</v>
      </c>
      <c r="V221">
        <v>-0.56999999999999995</v>
      </c>
      <c r="W221">
        <v>1.67</v>
      </c>
      <c r="X221">
        <v>198687</v>
      </c>
      <c r="Y221">
        <v>11038</v>
      </c>
      <c r="Z221">
        <v>0.56000000000000005</v>
      </c>
      <c r="AA221">
        <v>18</v>
      </c>
      <c r="AB221">
        <v>10</v>
      </c>
      <c r="AC221">
        <v>8</v>
      </c>
      <c r="AD221">
        <v>55.56</v>
      </c>
      <c r="AE221">
        <v>12</v>
      </c>
    </row>
    <row r="222" spans="1:31" hidden="1">
      <c r="A222">
        <v>222</v>
      </c>
      <c r="B222">
        <v>1860</v>
      </c>
      <c r="C222" t="s">
        <v>272</v>
      </c>
      <c r="D222" t="s">
        <v>246</v>
      </c>
      <c r="E222">
        <v>618</v>
      </c>
      <c r="F222">
        <v>621</v>
      </c>
      <c r="G222">
        <v>1800</v>
      </c>
      <c r="H222" t="s">
        <v>222</v>
      </c>
      <c r="I222">
        <v>6995</v>
      </c>
      <c r="J222" t="s">
        <v>113</v>
      </c>
      <c r="K222" t="s">
        <v>228</v>
      </c>
      <c r="L222">
        <v>1813</v>
      </c>
      <c r="M222">
        <v>1818</v>
      </c>
      <c r="N222">
        <v>600</v>
      </c>
      <c r="O222" t="s">
        <v>220</v>
      </c>
      <c r="P222">
        <v>0.916154090716503</v>
      </c>
      <c r="Q222">
        <v>0.91251300363465404</v>
      </c>
      <c r="R222">
        <v>0.22368550980329099</v>
      </c>
      <c r="S222">
        <v>1.5960957253273001E-2</v>
      </c>
      <c r="T222">
        <v>0.32552470874933997</v>
      </c>
      <c r="U222">
        <v>0.32552470874933997</v>
      </c>
      <c r="V222">
        <v>0.81</v>
      </c>
      <c r="W222">
        <v>2.48</v>
      </c>
      <c r="X222">
        <v>54744</v>
      </c>
      <c r="Y222">
        <v>2737</v>
      </c>
      <c r="Z222">
        <v>0.11</v>
      </c>
      <c r="AA222">
        <v>20</v>
      </c>
      <c r="AB222">
        <v>12</v>
      </c>
      <c r="AC222">
        <v>8</v>
      </c>
      <c r="AD222">
        <v>60</v>
      </c>
      <c r="AE222">
        <v>14</v>
      </c>
    </row>
    <row r="223" spans="1:31" hidden="1">
      <c r="A223">
        <v>46</v>
      </c>
      <c r="B223">
        <v>8359</v>
      </c>
      <c r="C223" t="s">
        <v>287</v>
      </c>
      <c r="D223" t="s">
        <v>225</v>
      </c>
      <c r="E223">
        <v>442</v>
      </c>
      <c r="F223">
        <v>444</v>
      </c>
      <c r="G223">
        <v>2400</v>
      </c>
      <c r="H223" t="s">
        <v>222</v>
      </c>
      <c r="I223">
        <v>8385</v>
      </c>
      <c r="J223" t="s">
        <v>115</v>
      </c>
      <c r="K223" t="s">
        <v>225</v>
      </c>
      <c r="L223">
        <v>566</v>
      </c>
      <c r="M223">
        <v>565</v>
      </c>
      <c r="N223">
        <v>1900</v>
      </c>
      <c r="O223" t="s">
        <v>220</v>
      </c>
      <c r="P223">
        <v>0.95666517662471695</v>
      </c>
      <c r="Q223">
        <v>0.93618193730195498</v>
      </c>
      <c r="R223">
        <v>0.38525073008780297</v>
      </c>
      <c r="S223">
        <v>0.155859818366407</v>
      </c>
      <c r="T223">
        <v>0.320340686306332</v>
      </c>
      <c r="U223">
        <v>0.320340686306332</v>
      </c>
      <c r="V223">
        <v>0.73</v>
      </c>
      <c r="W223">
        <v>0.74</v>
      </c>
      <c r="X223">
        <v>262660</v>
      </c>
      <c r="Y223">
        <v>16416</v>
      </c>
      <c r="Z223">
        <v>0.76</v>
      </c>
      <c r="AA223">
        <v>16</v>
      </c>
      <c r="AB223">
        <v>10</v>
      </c>
      <c r="AC223">
        <v>6</v>
      </c>
      <c r="AD223">
        <v>62.5</v>
      </c>
      <c r="AE223">
        <v>14</v>
      </c>
    </row>
    <row r="224" spans="1:31" hidden="1">
      <c r="A224">
        <v>168</v>
      </c>
      <c r="B224">
        <v>5411</v>
      </c>
      <c r="C224" t="s">
        <v>147</v>
      </c>
      <c r="D224" t="s">
        <v>239</v>
      </c>
      <c r="E224">
        <v>1293.5</v>
      </c>
      <c r="F224">
        <v>1296.5</v>
      </c>
      <c r="G224">
        <v>700</v>
      </c>
      <c r="H224" t="s">
        <v>222</v>
      </c>
      <c r="I224">
        <v>9404</v>
      </c>
      <c r="J224" t="s">
        <v>116</v>
      </c>
      <c r="K224" t="s">
        <v>219</v>
      </c>
      <c r="L224">
        <v>1380</v>
      </c>
      <c r="M224">
        <v>1382</v>
      </c>
      <c r="N224">
        <v>700</v>
      </c>
      <c r="O224" t="s">
        <v>220</v>
      </c>
      <c r="P224">
        <v>0.92882753275906804</v>
      </c>
      <c r="Q224">
        <v>0.92265428834857899</v>
      </c>
      <c r="R224">
        <v>0.12703494055956399</v>
      </c>
      <c r="S224">
        <v>0.19053941723451701</v>
      </c>
      <c r="T224">
        <v>0.31264436577083199</v>
      </c>
      <c r="U224">
        <v>0.31264436577083199</v>
      </c>
      <c r="V224">
        <v>1.21</v>
      </c>
      <c r="W224">
        <v>6.19</v>
      </c>
      <c r="X224">
        <v>-303420</v>
      </c>
      <c r="Y224">
        <v>-15171</v>
      </c>
      <c r="Z224">
        <v>-0.72</v>
      </c>
      <c r="AA224">
        <v>20</v>
      </c>
      <c r="AB224">
        <v>8</v>
      </c>
      <c r="AC224">
        <v>12</v>
      </c>
      <c r="AD224">
        <v>40</v>
      </c>
      <c r="AE224">
        <v>13</v>
      </c>
    </row>
    <row r="225" spans="1:31" hidden="1">
      <c r="A225">
        <v>128</v>
      </c>
      <c r="B225">
        <v>4182</v>
      </c>
      <c r="C225" t="s">
        <v>135</v>
      </c>
      <c r="D225" t="s">
        <v>221</v>
      </c>
      <c r="E225">
        <v>1414</v>
      </c>
      <c r="F225">
        <v>1426</v>
      </c>
      <c r="G225">
        <v>700</v>
      </c>
      <c r="H225" t="s">
        <v>222</v>
      </c>
      <c r="I225">
        <v>5019</v>
      </c>
      <c r="J225" t="s">
        <v>168</v>
      </c>
      <c r="K225" t="s">
        <v>273</v>
      </c>
      <c r="L225">
        <v>3085</v>
      </c>
      <c r="M225">
        <v>3120</v>
      </c>
      <c r="N225">
        <v>300</v>
      </c>
      <c r="O225" t="s">
        <v>220</v>
      </c>
      <c r="P225">
        <v>0.93759025337110802</v>
      </c>
      <c r="Q225">
        <v>0.91873192106366397</v>
      </c>
      <c r="R225">
        <v>0.10626024567806799</v>
      </c>
      <c r="S225">
        <v>9.6066996562138393E-2</v>
      </c>
      <c r="T225">
        <v>0.30412405320784902</v>
      </c>
      <c r="U225">
        <v>0.30412405320784902</v>
      </c>
      <c r="V225">
        <v>0.75</v>
      </c>
      <c r="W225">
        <v>6.65</v>
      </c>
      <c r="X225">
        <v>42210</v>
      </c>
      <c r="Y225">
        <v>3518</v>
      </c>
      <c r="Z225">
        <v>0.28999999999999998</v>
      </c>
      <c r="AA225">
        <v>12</v>
      </c>
      <c r="AB225">
        <v>7</v>
      </c>
      <c r="AC225">
        <v>5</v>
      </c>
      <c r="AD225">
        <v>58.33</v>
      </c>
      <c r="AE225">
        <v>11</v>
      </c>
    </row>
    <row r="226" spans="1:31" hidden="1">
      <c r="A226">
        <v>126</v>
      </c>
      <c r="B226">
        <v>7731</v>
      </c>
      <c r="C226" t="s">
        <v>120</v>
      </c>
      <c r="D226" t="s">
        <v>244</v>
      </c>
      <c r="E226">
        <v>1320</v>
      </c>
      <c r="F226">
        <v>1335</v>
      </c>
      <c r="G226">
        <v>700</v>
      </c>
      <c r="H226" t="s">
        <v>222</v>
      </c>
      <c r="I226">
        <v>9404</v>
      </c>
      <c r="J226" t="s">
        <v>116</v>
      </c>
      <c r="K226" t="s">
        <v>219</v>
      </c>
      <c r="L226">
        <v>1380</v>
      </c>
      <c r="M226">
        <v>1382</v>
      </c>
      <c r="N226">
        <v>700</v>
      </c>
      <c r="O226" t="s">
        <v>220</v>
      </c>
      <c r="P226">
        <v>0.93807418344246496</v>
      </c>
      <c r="Q226">
        <v>0.90923006978382503</v>
      </c>
      <c r="R226">
        <v>2.0128806739848199E-2</v>
      </c>
      <c r="S226">
        <v>3.0392388163127899E-2</v>
      </c>
      <c r="T226">
        <v>0.30113215047397501</v>
      </c>
      <c r="U226">
        <v>0.30113215047397501</v>
      </c>
      <c r="V226">
        <v>0.75</v>
      </c>
      <c r="W226">
        <v>3.4</v>
      </c>
      <c r="X226">
        <v>405195</v>
      </c>
      <c r="Y226">
        <v>22511</v>
      </c>
      <c r="Z226">
        <v>1.1399999999999999</v>
      </c>
      <c r="AA226">
        <v>18</v>
      </c>
      <c r="AB226">
        <v>13</v>
      </c>
      <c r="AC226">
        <v>5</v>
      </c>
      <c r="AD226">
        <v>72.22</v>
      </c>
      <c r="AE226">
        <v>13</v>
      </c>
    </row>
    <row r="227" spans="1:31" hidden="1">
      <c r="A227">
        <v>284</v>
      </c>
      <c r="B227">
        <v>1963</v>
      </c>
      <c r="C227" t="s">
        <v>252</v>
      </c>
      <c r="D227" t="s">
        <v>246</v>
      </c>
      <c r="E227">
        <v>1383</v>
      </c>
      <c r="F227">
        <v>1395</v>
      </c>
      <c r="G227">
        <v>700</v>
      </c>
      <c r="H227" t="s">
        <v>220</v>
      </c>
      <c r="I227">
        <v>8795</v>
      </c>
      <c r="J227" t="s">
        <v>166</v>
      </c>
      <c r="K227" t="s">
        <v>253</v>
      </c>
      <c r="L227">
        <v>1156.5</v>
      </c>
      <c r="M227">
        <v>1162</v>
      </c>
      <c r="N227">
        <v>800</v>
      </c>
      <c r="O227" t="s">
        <v>222</v>
      </c>
      <c r="P227">
        <v>0.90262295796154102</v>
      </c>
      <c r="Q227">
        <v>0.91168870226596699</v>
      </c>
      <c r="R227">
        <v>0.27223023445059802</v>
      </c>
      <c r="S227">
        <v>0.35912095384533099</v>
      </c>
      <c r="T227">
        <v>-0.29197686929987599</v>
      </c>
      <c r="U227">
        <v>0.29197686929987599</v>
      </c>
      <c r="V227">
        <v>-0.95</v>
      </c>
      <c r="W227">
        <v>4.8</v>
      </c>
      <c r="X227">
        <v>-133738</v>
      </c>
      <c r="Y227">
        <v>-7430</v>
      </c>
      <c r="Z227">
        <v>-0.4</v>
      </c>
      <c r="AA227">
        <v>18</v>
      </c>
      <c r="AB227">
        <v>11</v>
      </c>
      <c r="AC227">
        <v>7</v>
      </c>
      <c r="AD227">
        <v>61.11</v>
      </c>
      <c r="AE227">
        <v>11</v>
      </c>
    </row>
    <row r="228" spans="1:31" hidden="1">
      <c r="A228">
        <v>50</v>
      </c>
      <c r="B228">
        <v>7186</v>
      </c>
      <c r="C228" t="s">
        <v>95</v>
      </c>
      <c r="D228" t="s">
        <v>225</v>
      </c>
      <c r="E228">
        <v>414</v>
      </c>
      <c r="F228">
        <v>409</v>
      </c>
      <c r="G228">
        <v>2100</v>
      </c>
      <c r="H228" t="s">
        <v>222</v>
      </c>
      <c r="I228">
        <v>8273</v>
      </c>
      <c r="J228" t="s">
        <v>123</v>
      </c>
      <c r="K228" t="s">
        <v>224</v>
      </c>
      <c r="L228">
        <v>4200</v>
      </c>
      <c r="M228">
        <v>4315</v>
      </c>
      <c r="N228">
        <v>200</v>
      </c>
      <c r="O228" t="s">
        <v>220</v>
      </c>
      <c r="P228">
        <v>0.95504754090411803</v>
      </c>
      <c r="Q228">
        <v>0.93745185621614802</v>
      </c>
      <c r="R228">
        <v>1.5028301470925201E-2</v>
      </c>
      <c r="S228">
        <v>2.74162721301872E-2</v>
      </c>
      <c r="T228">
        <v>0.28643302692786399</v>
      </c>
      <c r="U228">
        <v>0.28643302692786399</v>
      </c>
      <c r="V228">
        <v>0.87</v>
      </c>
      <c r="W228">
        <v>0.48</v>
      </c>
      <c r="X228">
        <v>394867</v>
      </c>
      <c r="Y228">
        <v>24679</v>
      </c>
      <c r="Z228">
        <v>1.71</v>
      </c>
      <c r="AA228">
        <v>16</v>
      </c>
      <c r="AB228">
        <v>12</v>
      </c>
      <c r="AC228">
        <v>4</v>
      </c>
      <c r="AD228">
        <v>75</v>
      </c>
      <c r="AE228">
        <v>12</v>
      </c>
    </row>
    <row r="229" spans="1:31" hidden="1">
      <c r="A229">
        <v>27</v>
      </c>
      <c r="B229">
        <v>4182</v>
      </c>
      <c r="C229" t="s">
        <v>135</v>
      </c>
      <c r="D229" t="s">
        <v>221</v>
      </c>
      <c r="E229">
        <v>1414</v>
      </c>
      <c r="F229">
        <v>1426</v>
      </c>
      <c r="G229">
        <v>800</v>
      </c>
      <c r="H229" t="s">
        <v>222</v>
      </c>
      <c r="I229">
        <v>6995</v>
      </c>
      <c r="J229" t="s">
        <v>113</v>
      </c>
      <c r="K229" t="s">
        <v>228</v>
      </c>
      <c r="L229">
        <v>1813</v>
      </c>
      <c r="M229">
        <v>1818</v>
      </c>
      <c r="N229">
        <v>600</v>
      </c>
      <c r="O229" t="s">
        <v>220</v>
      </c>
      <c r="P229">
        <v>0.96033396714429797</v>
      </c>
      <c r="Q229">
        <v>0.92403939355553399</v>
      </c>
      <c r="R229">
        <v>0.149485527139751</v>
      </c>
      <c r="S229">
        <v>6.9073738584331301E-2</v>
      </c>
      <c r="T229">
        <v>0.282090183572269</v>
      </c>
      <c r="U229">
        <v>0.282090183572269</v>
      </c>
      <c r="V229">
        <v>0.78</v>
      </c>
      <c r="W229">
        <v>4.58</v>
      </c>
      <c r="X229">
        <v>18187</v>
      </c>
      <c r="Y229">
        <v>1516</v>
      </c>
      <c r="Z229">
        <v>0.06</v>
      </c>
      <c r="AA229">
        <v>12</v>
      </c>
      <c r="AB229">
        <v>8</v>
      </c>
      <c r="AC229">
        <v>4</v>
      </c>
      <c r="AD229">
        <v>66.67</v>
      </c>
      <c r="AE229">
        <v>15</v>
      </c>
    </row>
    <row r="230" spans="1:31" hidden="1">
      <c r="A230">
        <v>109</v>
      </c>
      <c r="B230">
        <v>3861</v>
      </c>
      <c r="C230" t="s">
        <v>288</v>
      </c>
      <c r="D230" t="s">
        <v>289</v>
      </c>
      <c r="E230">
        <v>514</v>
      </c>
      <c r="F230">
        <v>521</v>
      </c>
      <c r="G230">
        <v>2000</v>
      </c>
      <c r="H230" t="s">
        <v>220</v>
      </c>
      <c r="I230">
        <v>9401</v>
      </c>
      <c r="J230" t="s">
        <v>172</v>
      </c>
      <c r="K230" t="s">
        <v>219</v>
      </c>
      <c r="L230">
        <v>1757</v>
      </c>
      <c r="M230">
        <v>1749</v>
      </c>
      <c r="N230">
        <v>600</v>
      </c>
      <c r="O230" t="s">
        <v>222</v>
      </c>
      <c r="P230">
        <v>0.94100731450341402</v>
      </c>
      <c r="Q230">
        <v>0.90788897100379595</v>
      </c>
      <c r="R230">
        <v>0.14245788193445399</v>
      </c>
      <c r="S230">
        <v>8.3113907669600598E-3</v>
      </c>
      <c r="T230">
        <v>-0.28106560114386198</v>
      </c>
      <c r="U230">
        <v>0.28106560114386198</v>
      </c>
      <c r="V230">
        <v>-1.53</v>
      </c>
      <c r="W230">
        <v>0.71</v>
      </c>
      <c r="X230">
        <v>616285</v>
      </c>
      <c r="Y230">
        <v>30814</v>
      </c>
      <c r="Z230">
        <v>1.65</v>
      </c>
      <c r="AA230">
        <v>20</v>
      </c>
      <c r="AB230">
        <v>14</v>
      </c>
      <c r="AC230">
        <v>6</v>
      </c>
      <c r="AD230">
        <v>70</v>
      </c>
      <c r="AE230">
        <v>11</v>
      </c>
    </row>
    <row r="231" spans="1:31" hidden="1">
      <c r="A231">
        <v>122</v>
      </c>
      <c r="B231">
        <v>8273</v>
      </c>
      <c r="C231" t="s">
        <v>123</v>
      </c>
      <c r="D231" t="s">
        <v>224</v>
      </c>
      <c r="E231">
        <v>4200</v>
      </c>
      <c r="F231">
        <v>4315</v>
      </c>
      <c r="G231">
        <v>200</v>
      </c>
      <c r="H231" t="s">
        <v>220</v>
      </c>
      <c r="I231">
        <v>8341</v>
      </c>
      <c r="J231" t="s">
        <v>134</v>
      </c>
      <c r="K231" t="s">
        <v>225</v>
      </c>
      <c r="L231">
        <v>1575</v>
      </c>
      <c r="M231">
        <v>1580</v>
      </c>
      <c r="N231">
        <v>500</v>
      </c>
      <c r="O231" t="s">
        <v>222</v>
      </c>
      <c r="P231">
        <v>0.93888656895966305</v>
      </c>
      <c r="Q231">
        <v>0.93352834157763498</v>
      </c>
      <c r="R231">
        <v>1.19334144186449E-2</v>
      </c>
      <c r="S231">
        <v>0.26399280039433398</v>
      </c>
      <c r="T231">
        <v>-0.28094038030378699</v>
      </c>
      <c r="U231">
        <v>0.28094038030378699</v>
      </c>
      <c r="V231">
        <v>-1.19</v>
      </c>
      <c r="W231">
        <v>8.4600000000000009</v>
      </c>
      <c r="X231">
        <v>-40504</v>
      </c>
      <c r="Y231">
        <v>-3116</v>
      </c>
      <c r="Z231">
        <v>-0.01</v>
      </c>
      <c r="AA231">
        <v>13</v>
      </c>
      <c r="AB231">
        <v>7</v>
      </c>
      <c r="AC231">
        <v>6</v>
      </c>
      <c r="AD231">
        <v>53.85</v>
      </c>
      <c r="AE231">
        <v>12</v>
      </c>
    </row>
    <row r="232" spans="1:31" hidden="1">
      <c r="A232">
        <v>130</v>
      </c>
      <c r="B232">
        <v>5471</v>
      </c>
      <c r="C232" t="s">
        <v>111</v>
      </c>
      <c r="D232" t="s">
        <v>239</v>
      </c>
      <c r="E232">
        <v>4350</v>
      </c>
      <c r="F232">
        <v>4330</v>
      </c>
      <c r="G232">
        <v>200</v>
      </c>
      <c r="H232" t="s">
        <v>220</v>
      </c>
      <c r="I232">
        <v>7251</v>
      </c>
      <c r="J232" t="s">
        <v>98</v>
      </c>
      <c r="K232" t="s">
        <v>228</v>
      </c>
      <c r="L232">
        <v>1643</v>
      </c>
      <c r="M232">
        <v>1627</v>
      </c>
      <c r="N232">
        <v>500</v>
      </c>
      <c r="O232" t="s">
        <v>222</v>
      </c>
      <c r="P232">
        <v>0.93645750862381205</v>
      </c>
      <c r="Q232">
        <v>0.91720509969027897</v>
      </c>
      <c r="R232">
        <v>3.42758411161577E-3</v>
      </c>
      <c r="S232">
        <v>7.6754797107968196E-3</v>
      </c>
      <c r="T232">
        <v>-0.279411020988314</v>
      </c>
      <c r="U232">
        <v>0.279411020988314</v>
      </c>
      <c r="V232">
        <v>-0.81</v>
      </c>
      <c r="W232">
        <v>6.06</v>
      </c>
      <c r="X232">
        <v>141001</v>
      </c>
      <c r="Y232">
        <v>9400</v>
      </c>
      <c r="Z232">
        <v>0.46</v>
      </c>
      <c r="AA232">
        <v>15</v>
      </c>
      <c r="AB232">
        <v>10</v>
      </c>
      <c r="AC232">
        <v>5</v>
      </c>
      <c r="AD232">
        <v>66.67</v>
      </c>
      <c r="AE232">
        <v>14</v>
      </c>
    </row>
    <row r="233" spans="1:31" hidden="1">
      <c r="A233">
        <v>43</v>
      </c>
      <c r="B233">
        <v>8242</v>
      </c>
      <c r="C233" t="s">
        <v>151</v>
      </c>
      <c r="D233" t="s">
        <v>224</v>
      </c>
      <c r="E233">
        <v>1204</v>
      </c>
      <c r="F233">
        <v>1219</v>
      </c>
      <c r="G233">
        <v>700</v>
      </c>
      <c r="H233" t="s">
        <v>222</v>
      </c>
      <c r="I233">
        <v>9810</v>
      </c>
      <c r="J233" t="s">
        <v>145</v>
      </c>
      <c r="K233" t="s">
        <v>250</v>
      </c>
      <c r="L233">
        <v>4280</v>
      </c>
      <c r="M233">
        <v>4330</v>
      </c>
      <c r="N233">
        <v>200</v>
      </c>
      <c r="O233" t="s">
        <v>220</v>
      </c>
      <c r="P233">
        <v>0.95730649022718595</v>
      </c>
      <c r="Q233">
        <v>0.91730811307952098</v>
      </c>
      <c r="R233">
        <v>5.6015186089199403E-3</v>
      </c>
      <c r="S233">
        <v>8.2166678598877205E-2</v>
      </c>
      <c r="T233">
        <v>0.27879041015074901</v>
      </c>
      <c r="U233">
        <v>0.27879041015074901</v>
      </c>
      <c r="V233">
        <v>0.64</v>
      </c>
      <c r="W233">
        <v>1.47</v>
      </c>
      <c r="X233">
        <v>56182</v>
      </c>
      <c r="Y233">
        <v>3511</v>
      </c>
      <c r="Z233">
        <v>0.13</v>
      </c>
      <c r="AA233">
        <v>16</v>
      </c>
      <c r="AB233">
        <v>7</v>
      </c>
      <c r="AC233">
        <v>9</v>
      </c>
      <c r="AD233">
        <v>43.75</v>
      </c>
      <c r="AE233">
        <v>14</v>
      </c>
    </row>
    <row r="234" spans="1:31" hidden="1">
      <c r="A234">
        <v>289</v>
      </c>
      <c r="B234">
        <v>4118</v>
      </c>
      <c r="C234" t="s">
        <v>258</v>
      </c>
      <c r="D234" t="s">
        <v>221</v>
      </c>
      <c r="E234">
        <v>3385</v>
      </c>
      <c r="F234">
        <v>3395</v>
      </c>
      <c r="G234">
        <v>300</v>
      </c>
      <c r="H234" t="s">
        <v>222</v>
      </c>
      <c r="I234">
        <v>9404</v>
      </c>
      <c r="J234" t="s">
        <v>116</v>
      </c>
      <c r="K234" t="s">
        <v>219</v>
      </c>
      <c r="L234">
        <v>1380</v>
      </c>
      <c r="M234">
        <v>1382</v>
      </c>
      <c r="N234">
        <v>700</v>
      </c>
      <c r="O234" t="s">
        <v>220</v>
      </c>
      <c r="P234">
        <v>0.90189786314776499</v>
      </c>
      <c r="Q234">
        <v>0.91622274278097005</v>
      </c>
      <c r="R234">
        <v>0.38859935029067399</v>
      </c>
      <c r="S234">
        <v>2.9879418663161302E-2</v>
      </c>
      <c r="T234">
        <v>0.27318941813423397</v>
      </c>
      <c r="U234">
        <v>0.27318941813423397</v>
      </c>
      <c r="V234">
        <v>1.2</v>
      </c>
      <c r="W234">
        <v>5.0199999999999996</v>
      </c>
      <c r="X234">
        <v>216797</v>
      </c>
      <c r="Y234">
        <v>11410</v>
      </c>
      <c r="Z234">
        <v>0.68</v>
      </c>
      <c r="AA234">
        <v>19</v>
      </c>
      <c r="AB234">
        <v>12</v>
      </c>
      <c r="AC234">
        <v>7</v>
      </c>
      <c r="AD234">
        <v>63.16</v>
      </c>
      <c r="AE234">
        <v>13</v>
      </c>
    </row>
    <row r="235" spans="1:31" hidden="1">
      <c r="A235">
        <v>182</v>
      </c>
      <c r="B235">
        <v>6301</v>
      </c>
      <c r="C235" t="s">
        <v>119</v>
      </c>
      <c r="D235" t="s">
        <v>230</v>
      </c>
      <c r="E235">
        <v>2382</v>
      </c>
      <c r="F235">
        <v>2391.5</v>
      </c>
      <c r="G235">
        <v>400</v>
      </c>
      <c r="H235" t="s">
        <v>220</v>
      </c>
      <c r="I235">
        <v>8586</v>
      </c>
      <c r="J235" t="s">
        <v>178</v>
      </c>
      <c r="K235" t="s">
        <v>226</v>
      </c>
      <c r="L235">
        <v>2221</v>
      </c>
      <c r="M235">
        <v>2217</v>
      </c>
      <c r="N235">
        <v>400</v>
      </c>
      <c r="O235" t="s">
        <v>222</v>
      </c>
      <c r="P235">
        <v>0.926248790731386</v>
      </c>
      <c r="Q235">
        <v>0.92447094338768498</v>
      </c>
      <c r="R235">
        <v>3.0042716442324202E-3</v>
      </c>
      <c r="S235">
        <v>1.82604405249701E-3</v>
      </c>
      <c r="T235">
        <v>-0.26925135244619802</v>
      </c>
      <c r="U235">
        <v>0.26925135244619802</v>
      </c>
      <c r="V235">
        <v>-0.44</v>
      </c>
      <c r="W235">
        <v>7.3</v>
      </c>
      <c r="X235">
        <v>297467</v>
      </c>
      <c r="Y235">
        <v>22882</v>
      </c>
      <c r="Z235">
        <v>1.25</v>
      </c>
      <c r="AA235">
        <v>13</v>
      </c>
      <c r="AB235">
        <v>9</v>
      </c>
      <c r="AC235">
        <v>4</v>
      </c>
      <c r="AD235">
        <v>69.23</v>
      </c>
      <c r="AE235">
        <v>10</v>
      </c>
    </row>
    <row r="236" spans="1:31" hidden="1">
      <c r="A236">
        <v>48</v>
      </c>
      <c r="B236">
        <v>7211</v>
      </c>
      <c r="C236" t="s">
        <v>110</v>
      </c>
      <c r="D236" t="s">
        <v>228</v>
      </c>
      <c r="E236">
        <v>470</v>
      </c>
      <c r="F236">
        <v>470</v>
      </c>
      <c r="G236">
        <v>1600</v>
      </c>
      <c r="H236" t="s">
        <v>220</v>
      </c>
      <c r="I236">
        <v>8309</v>
      </c>
      <c r="J236" t="s">
        <v>96</v>
      </c>
      <c r="K236" t="s">
        <v>225</v>
      </c>
      <c r="L236">
        <v>3725</v>
      </c>
      <c r="M236">
        <v>3722</v>
      </c>
      <c r="N236">
        <v>200</v>
      </c>
      <c r="O236" t="s">
        <v>222</v>
      </c>
      <c r="P236">
        <v>0.95661724206447296</v>
      </c>
      <c r="Q236">
        <v>0.90731968664544904</v>
      </c>
      <c r="R236">
        <v>0.27973965618524999</v>
      </c>
      <c r="S236">
        <v>0.15773435616909301</v>
      </c>
      <c r="T236">
        <v>-0.26624816317838201</v>
      </c>
      <c r="U236">
        <v>0.26624816317838201</v>
      </c>
      <c r="V236">
        <v>-0.63</v>
      </c>
      <c r="W236">
        <v>1.02</v>
      </c>
      <c r="X236">
        <v>21888</v>
      </c>
      <c r="Y236">
        <v>1288</v>
      </c>
      <c r="Z236">
        <v>7.0000000000000007E-2</v>
      </c>
      <c r="AA236">
        <v>17</v>
      </c>
      <c r="AB236">
        <v>9</v>
      </c>
      <c r="AC236">
        <v>8</v>
      </c>
      <c r="AD236">
        <v>52.94</v>
      </c>
      <c r="AE236">
        <v>14</v>
      </c>
    </row>
    <row r="237" spans="1:31" hidden="1">
      <c r="A237">
        <v>14</v>
      </c>
      <c r="B237">
        <v>5233</v>
      </c>
      <c r="C237" t="s">
        <v>290</v>
      </c>
      <c r="D237" t="s">
        <v>229</v>
      </c>
      <c r="E237">
        <v>2829</v>
      </c>
      <c r="F237">
        <v>2821</v>
      </c>
      <c r="G237">
        <v>300</v>
      </c>
      <c r="H237" t="s">
        <v>222</v>
      </c>
      <c r="I237">
        <v>7261</v>
      </c>
      <c r="J237" t="s">
        <v>174</v>
      </c>
      <c r="K237" t="s">
        <v>228</v>
      </c>
      <c r="L237">
        <v>950</v>
      </c>
      <c r="M237">
        <v>951.9</v>
      </c>
      <c r="N237">
        <v>900</v>
      </c>
      <c r="O237" t="s">
        <v>220</v>
      </c>
      <c r="P237">
        <v>0.96619178915882498</v>
      </c>
      <c r="Q237">
        <v>0.90234737398176501</v>
      </c>
      <c r="R237">
        <v>2.0364050213448901E-3</v>
      </c>
      <c r="S237">
        <v>0.24111431724568599</v>
      </c>
      <c r="T237">
        <v>0.26513054065660902</v>
      </c>
      <c r="U237">
        <v>0.26513054065660902</v>
      </c>
      <c r="V237">
        <v>0.68</v>
      </c>
      <c r="W237">
        <v>1.23</v>
      </c>
      <c r="X237">
        <v>-105010</v>
      </c>
      <c r="Y237">
        <v>-4773</v>
      </c>
      <c r="Z237">
        <v>-0.17</v>
      </c>
      <c r="AA237">
        <v>22</v>
      </c>
      <c r="AB237">
        <v>12</v>
      </c>
      <c r="AC237">
        <v>10</v>
      </c>
      <c r="AD237">
        <v>54.55</v>
      </c>
      <c r="AE237">
        <v>12</v>
      </c>
    </row>
    <row r="238" spans="1:31" hidden="1">
      <c r="A238">
        <v>55</v>
      </c>
      <c r="B238">
        <v>4202</v>
      </c>
      <c r="C238" t="s">
        <v>149</v>
      </c>
      <c r="D238" t="s">
        <v>221</v>
      </c>
      <c r="E238">
        <v>912</v>
      </c>
      <c r="F238">
        <v>916</v>
      </c>
      <c r="G238">
        <v>1200</v>
      </c>
      <c r="H238" t="s">
        <v>222</v>
      </c>
      <c r="I238">
        <v>7189</v>
      </c>
      <c r="J238" t="s">
        <v>155</v>
      </c>
      <c r="K238" t="s">
        <v>225</v>
      </c>
      <c r="L238">
        <v>744</v>
      </c>
      <c r="M238">
        <v>742</v>
      </c>
      <c r="N238">
        <v>1500</v>
      </c>
      <c r="O238" t="s">
        <v>220</v>
      </c>
      <c r="P238">
        <v>0.95395394435835401</v>
      </c>
      <c r="Q238">
        <v>0.935884417610792</v>
      </c>
      <c r="R238">
        <v>0.16345577032429201</v>
      </c>
      <c r="S238">
        <v>0.38114250565986302</v>
      </c>
      <c r="T238">
        <v>0.26490201727491403</v>
      </c>
      <c r="U238">
        <v>0.26490201727491403</v>
      </c>
      <c r="V238">
        <v>0.68</v>
      </c>
      <c r="W238">
        <v>1.26</v>
      </c>
      <c r="X238">
        <v>527044</v>
      </c>
      <c r="Y238">
        <v>25097</v>
      </c>
      <c r="Z238">
        <v>1.18</v>
      </c>
      <c r="AA238">
        <v>21</v>
      </c>
      <c r="AB238">
        <v>14</v>
      </c>
      <c r="AC238">
        <v>7</v>
      </c>
      <c r="AD238">
        <v>66.67</v>
      </c>
      <c r="AE238">
        <v>14</v>
      </c>
    </row>
    <row r="239" spans="1:31" hidden="1">
      <c r="A239">
        <v>151</v>
      </c>
      <c r="B239">
        <v>4061</v>
      </c>
      <c r="C239" t="s">
        <v>240</v>
      </c>
      <c r="D239" t="s">
        <v>221</v>
      </c>
      <c r="E239">
        <v>2914</v>
      </c>
      <c r="F239">
        <v>2911</v>
      </c>
      <c r="G239">
        <v>300</v>
      </c>
      <c r="H239" t="s">
        <v>222</v>
      </c>
      <c r="I239">
        <v>4401</v>
      </c>
      <c r="J239" t="s">
        <v>184</v>
      </c>
      <c r="K239" t="s">
        <v>221</v>
      </c>
      <c r="L239">
        <v>1364</v>
      </c>
      <c r="M239">
        <v>1375</v>
      </c>
      <c r="N239">
        <v>600</v>
      </c>
      <c r="O239" t="s">
        <v>220</v>
      </c>
      <c r="P239">
        <v>0.93230102045465701</v>
      </c>
      <c r="Q239">
        <v>0.90393076495022795</v>
      </c>
      <c r="R239">
        <v>0.30089179048144299</v>
      </c>
      <c r="S239">
        <v>4.6819309494443601E-2</v>
      </c>
      <c r="T239">
        <v>0.260641314392699</v>
      </c>
      <c r="U239">
        <v>0.260641314392699</v>
      </c>
      <c r="V239">
        <v>1.23</v>
      </c>
      <c r="W239">
        <v>5.53</v>
      </c>
      <c r="X239">
        <v>197483</v>
      </c>
      <c r="Y239">
        <v>12343</v>
      </c>
      <c r="Z239">
        <v>0.68</v>
      </c>
      <c r="AA239">
        <v>16</v>
      </c>
      <c r="AB239">
        <v>9</v>
      </c>
      <c r="AC239">
        <v>7</v>
      </c>
      <c r="AD239">
        <v>56.25</v>
      </c>
      <c r="AE239">
        <v>12</v>
      </c>
    </row>
    <row r="240" spans="1:31" hidden="1">
      <c r="A240">
        <v>294</v>
      </c>
      <c r="B240">
        <v>4182</v>
      </c>
      <c r="C240" t="s">
        <v>135</v>
      </c>
      <c r="D240" t="s">
        <v>221</v>
      </c>
      <c r="E240">
        <v>1414</v>
      </c>
      <c r="F240">
        <v>1426</v>
      </c>
      <c r="G240">
        <v>700</v>
      </c>
      <c r="H240" t="s">
        <v>222</v>
      </c>
      <c r="I240">
        <v>7984</v>
      </c>
      <c r="J240" t="s">
        <v>179</v>
      </c>
      <c r="K240" t="s">
        <v>260</v>
      </c>
      <c r="L240">
        <v>1494</v>
      </c>
      <c r="M240">
        <v>1504</v>
      </c>
      <c r="N240">
        <v>700</v>
      </c>
      <c r="O240" t="s">
        <v>220</v>
      </c>
      <c r="P240">
        <v>0.90136531807825004</v>
      </c>
      <c r="Q240">
        <v>0.92827983753063303</v>
      </c>
      <c r="R240">
        <v>0.303135986338327</v>
      </c>
      <c r="S240">
        <v>1.8598108741585599E-3</v>
      </c>
      <c r="T240">
        <v>0.25859153053177097</v>
      </c>
      <c r="U240">
        <v>0.25859153053177097</v>
      </c>
      <c r="V240">
        <v>1.1000000000000001</v>
      </c>
      <c r="W240">
        <v>5.19</v>
      </c>
      <c r="X240">
        <v>534332</v>
      </c>
      <c r="Y240">
        <v>26717</v>
      </c>
      <c r="Z240">
        <v>1.31</v>
      </c>
      <c r="AA240">
        <v>20</v>
      </c>
      <c r="AB240">
        <v>14</v>
      </c>
      <c r="AC240">
        <v>6</v>
      </c>
      <c r="AD240">
        <v>70</v>
      </c>
      <c r="AE240">
        <v>9</v>
      </c>
    </row>
    <row r="241" spans="1:31" hidden="1">
      <c r="A241">
        <v>86</v>
      </c>
      <c r="B241">
        <v>5019</v>
      </c>
      <c r="C241" t="s">
        <v>168</v>
      </c>
      <c r="D241" t="s">
        <v>273</v>
      </c>
      <c r="E241">
        <v>3085</v>
      </c>
      <c r="F241">
        <v>3120</v>
      </c>
      <c r="G241">
        <v>300</v>
      </c>
      <c r="H241" t="s">
        <v>220</v>
      </c>
      <c r="I241">
        <v>6472</v>
      </c>
      <c r="J241" t="s">
        <v>127</v>
      </c>
      <c r="K241" t="s">
        <v>230</v>
      </c>
      <c r="L241">
        <v>313</v>
      </c>
      <c r="M241">
        <v>315</v>
      </c>
      <c r="N241">
        <v>3000</v>
      </c>
      <c r="O241" t="s">
        <v>222</v>
      </c>
      <c r="P241">
        <v>0.947352860169829</v>
      </c>
      <c r="Q241">
        <v>0.90561256608161</v>
      </c>
      <c r="R241">
        <v>4.1305057695819998E-2</v>
      </c>
      <c r="S241">
        <v>2.5394245649877498E-2</v>
      </c>
      <c r="T241">
        <v>-0.25857129258281097</v>
      </c>
      <c r="U241">
        <v>0.25857129258281097</v>
      </c>
      <c r="V241">
        <v>-0.61</v>
      </c>
      <c r="W241">
        <v>0.96</v>
      </c>
      <c r="X241">
        <v>-126808</v>
      </c>
      <c r="Y241">
        <v>-5284</v>
      </c>
      <c r="Z241">
        <v>-0.32</v>
      </c>
      <c r="AA241">
        <v>24</v>
      </c>
      <c r="AB241">
        <v>11</v>
      </c>
      <c r="AC241">
        <v>13</v>
      </c>
      <c r="AD241">
        <v>45.83</v>
      </c>
      <c r="AE241">
        <v>9</v>
      </c>
    </row>
    <row r="242" spans="1:31" hidden="1">
      <c r="A242">
        <v>147</v>
      </c>
      <c r="B242">
        <v>1911</v>
      </c>
      <c r="C242" t="s">
        <v>245</v>
      </c>
      <c r="D242" t="s">
        <v>246</v>
      </c>
      <c r="E242">
        <v>1437</v>
      </c>
      <c r="F242">
        <v>1455</v>
      </c>
      <c r="G242">
        <v>700</v>
      </c>
      <c r="H242" t="s">
        <v>222</v>
      </c>
      <c r="I242">
        <v>6770</v>
      </c>
      <c r="J242" t="s">
        <v>92</v>
      </c>
      <c r="K242" t="s">
        <v>231</v>
      </c>
      <c r="L242">
        <v>2040</v>
      </c>
      <c r="M242">
        <v>2046</v>
      </c>
      <c r="N242">
        <v>500</v>
      </c>
      <c r="O242" t="s">
        <v>220</v>
      </c>
      <c r="P242">
        <v>0.93291139279785795</v>
      </c>
      <c r="Q242">
        <v>0.95539806452659104</v>
      </c>
      <c r="R242">
        <v>5.8616425167008303E-2</v>
      </c>
      <c r="S242">
        <v>0.28299799253561397</v>
      </c>
      <c r="T242">
        <v>0.25789672103834999</v>
      </c>
      <c r="U242">
        <v>0.25789672103834999</v>
      </c>
      <c r="V242">
        <v>0.54</v>
      </c>
      <c r="W242">
        <v>0.44</v>
      </c>
      <c r="X242">
        <v>390260</v>
      </c>
      <c r="Y242">
        <v>22956</v>
      </c>
      <c r="Z242">
        <v>1.21</v>
      </c>
      <c r="AA242">
        <v>17</v>
      </c>
      <c r="AB242">
        <v>13</v>
      </c>
      <c r="AC242">
        <v>4</v>
      </c>
      <c r="AD242">
        <v>76.47</v>
      </c>
      <c r="AE242">
        <v>11</v>
      </c>
    </row>
    <row r="243" spans="1:31" hidden="1">
      <c r="A243">
        <v>125</v>
      </c>
      <c r="B243">
        <v>4527</v>
      </c>
      <c r="C243" t="s">
        <v>291</v>
      </c>
      <c r="D243" t="s">
        <v>247</v>
      </c>
      <c r="E243">
        <v>2894</v>
      </c>
      <c r="F243">
        <v>2894</v>
      </c>
      <c r="G243">
        <v>300</v>
      </c>
      <c r="H243" t="s">
        <v>222</v>
      </c>
      <c r="I243">
        <v>5020</v>
      </c>
      <c r="J243" t="s">
        <v>167</v>
      </c>
      <c r="K243" t="s">
        <v>273</v>
      </c>
      <c r="L243">
        <v>487.9</v>
      </c>
      <c r="M243">
        <v>487.8</v>
      </c>
      <c r="N243">
        <v>1800</v>
      </c>
      <c r="O243" t="s">
        <v>220</v>
      </c>
      <c r="P243">
        <v>0.93817064100941405</v>
      </c>
      <c r="Q243">
        <v>0.90562509416328996</v>
      </c>
      <c r="R243">
        <v>0.30609762218325598</v>
      </c>
      <c r="S243">
        <v>2.2495226148465799E-2</v>
      </c>
      <c r="T243">
        <v>0.254409566498499</v>
      </c>
      <c r="U243">
        <v>0.254409566498499</v>
      </c>
      <c r="V243">
        <v>0.74</v>
      </c>
      <c r="W243">
        <v>1.1299999999999999</v>
      </c>
      <c r="X243">
        <v>524202</v>
      </c>
      <c r="Y243">
        <v>26210</v>
      </c>
      <c r="Z243">
        <v>1.33</v>
      </c>
      <c r="AA243">
        <v>20</v>
      </c>
      <c r="AB243">
        <v>13</v>
      </c>
      <c r="AC243">
        <v>7</v>
      </c>
      <c r="AD243">
        <v>65</v>
      </c>
      <c r="AE243">
        <v>10</v>
      </c>
    </row>
    <row r="244" spans="1:31" hidden="1">
      <c r="A244">
        <v>231</v>
      </c>
      <c r="B244">
        <v>4581</v>
      </c>
      <c r="C244" t="s">
        <v>108</v>
      </c>
      <c r="D244" t="s">
        <v>247</v>
      </c>
      <c r="E244">
        <v>7780</v>
      </c>
      <c r="F244">
        <v>7720</v>
      </c>
      <c r="G244">
        <v>100</v>
      </c>
      <c r="H244" t="s">
        <v>222</v>
      </c>
      <c r="I244">
        <v>7181</v>
      </c>
      <c r="J244" t="s">
        <v>164</v>
      </c>
      <c r="K244" t="s">
        <v>253</v>
      </c>
      <c r="L244">
        <v>1630</v>
      </c>
      <c r="M244">
        <v>1648</v>
      </c>
      <c r="N244">
        <v>500</v>
      </c>
      <c r="O244" t="s">
        <v>220</v>
      </c>
      <c r="P244">
        <v>0.91454464368244504</v>
      </c>
      <c r="Q244">
        <v>0.96547717448358095</v>
      </c>
      <c r="R244">
        <v>9.8974624945706594E-2</v>
      </c>
      <c r="S244">
        <v>0.106674341637558</v>
      </c>
      <c r="T244">
        <v>0.248095609538102</v>
      </c>
      <c r="U244">
        <v>0.248095609538102</v>
      </c>
      <c r="V244">
        <v>1.28</v>
      </c>
      <c r="W244">
        <v>6.74</v>
      </c>
      <c r="X244">
        <v>127968</v>
      </c>
      <c r="Y244">
        <v>12797</v>
      </c>
      <c r="Z244">
        <v>0.84</v>
      </c>
      <c r="AA244">
        <v>10</v>
      </c>
      <c r="AB244">
        <v>6</v>
      </c>
      <c r="AC244">
        <v>4</v>
      </c>
      <c r="AD244">
        <v>60</v>
      </c>
      <c r="AE244">
        <v>12</v>
      </c>
    </row>
    <row r="245" spans="1:31" hidden="1">
      <c r="A245">
        <v>188</v>
      </c>
      <c r="B245">
        <v>1333</v>
      </c>
      <c r="C245" t="s">
        <v>263</v>
      </c>
      <c r="D245" t="s">
        <v>264</v>
      </c>
      <c r="E245">
        <v>2782</v>
      </c>
      <c r="F245">
        <v>2778</v>
      </c>
      <c r="G245">
        <v>300</v>
      </c>
      <c r="H245" t="s">
        <v>222</v>
      </c>
      <c r="I245">
        <v>5411</v>
      </c>
      <c r="J245" t="s">
        <v>147</v>
      </c>
      <c r="K245" t="s">
        <v>239</v>
      </c>
      <c r="L245">
        <v>1293.5</v>
      </c>
      <c r="M245">
        <v>1296.5</v>
      </c>
      <c r="N245">
        <v>600</v>
      </c>
      <c r="O245" t="s">
        <v>220</v>
      </c>
      <c r="P245">
        <v>0.92465125113236801</v>
      </c>
      <c r="Q245">
        <v>0.92450449513056399</v>
      </c>
      <c r="R245">
        <v>0.21249904703620801</v>
      </c>
      <c r="S245">
        <v>8.8679087278141097E-2</v>
      </c>
      <c r="T245">
        <v>0.246286553898068</v>
      </c>
      <c r="U245">
        <v>0.246286553898068</v>
      </c>
      <c r="V245">
        <v>0.9</v>
      </c>
      <c r="W245">
        <v>6.66</v>
      </c>
      <c r="X245">
        <v>-106750</v>
      </c>
      <c r="Y245">
        <v>-6279</v>
      </c>
      <c r="Z245">
        <v>-0.35</v>
      </c>
      <c r="AA245">
        <v>17</v>
      </c>
      <c r="AB245">
        <v>7</v>
      </c>
      <c r="AC245">
        <v>10</v>
      </c>
      <c r="AD245">
        <v>41.18</v>
      </c>
      <c r="AE245">
        <v>10</v>
      </c>
    </row>
    <row r="246" spans="1:31" hidden="1">
      <c r="A246">
        <v>16</v>
      </c>
      <c r="B246">
        <v>6301</v>
      </c>
      <c r="C246" t="s">
        <v>119</v>
      </c>
      <c r="D246" t="s">
        <v>230</v>
      </c>
      <c r="E246">
        <v>2382</v>
      </c>
      <c r="F246">
        <v>2391.5</v>
      </c>
      <c r="G246">
        <v>400</v>
      </c>
      <c r="H246" t="s">
        <v>222</v>
      </c>
      <c r="I246">
        <v>6305</v>
      </c>
      <c r="J246" t="s">
        <v>180</v>
      </c>
      <c r="K246" t="s">
        <v>230</v>
      </c>
      <c r="L246">
        <v>2443</v>
      </c>
      <c r="M246">
        <v>2481</v>
      </c>
      <c r="N246">
        <v>400</v>
      </c>
      <c r="O246" t="s">
        <v>220</v>
      </c>
      <c r="P246">
        <v>0.965898792469707</v>
      </c>
      <c r="Q246">
        <v>0.92504312381243503</v>
      </c>
      <c r="R246">
        <v>0.361437309360779</v>
      </c>
      <c r="S246">
        <v>1.6539003289016599E-2</v>
      </c>
      <c r="T246">
        <v>0.24533493196811301</v>
      </c>
      <c r="U246">
        <v>0.24533493196811301</v>
      </c>
      <c r="V246">
        <v>0.93</v>
      </c>
      <c r="W246">
        <v>3.61</v>
      </c>
      <c r="X246">
        <v>165768</v>
      </c>
      <c r="Y246">
        <v>11841</v>
      </c>
      <c r="Z246">
        <v>0.64</v>
      </c>
      <c r="AA246">
        <v>14</v>
      </c>
      <c r="AB246">
        <v>10</v>
      </c>
      <c r="AC246">
        <v>4</v>
      </c>
      <c r="AD246">
        <v>71.430000000000007</v>
      </c>
      <c r="AE246">
        <v>16</v>
      </c>
    </row>
    <row r="247" spans="1:31" hidden="1">
      <c r="A247">
        <v>108</v>
      </c>
      <c r="B247">
        <v>3116</v>
      </c>
      <c r="C247" t="s">
        <v>233</v>
      </c>
      <c r="D247" t="s">
        <v>228</v>
      </c>
      <c r="E247">
        <v>1480</v>
      </c>
      <c r="F247">
        <v>1470</v>
      </c>
      <c r="G247">
        <v>700</v>
      </c>
      <c r="H247" t="s">
        <v>220</v>
      </c>
      <c r="I247">
        <v>8306</v>
      </c>
      <c r="J247" t="s">
        <v>93</v>
      </c>
      <c r="K247" t="s">
        <v>225</v>
      </c>
      <c r="L247">
        <v>536.1</v>
      </c>
      <c r="M247">
        <v>535.4</v>
      </c>
      <c r="N247">
        <v>1900</v>
      </c>
      <c r="O247" t="s">
        <v>222</v>
      </c>
      <c r="P247">
        <v>0.94109455284894095</v>
      </c>
      <c r="Q247">
        <v>0.90656329436415695</v>
      </c>
      <c r="R247">
        <v>7.7526897148411003E-4</v>
      </c>
      <c r="S247">
        <v>0.37351902204452597</v>
      </c>
      <c r="T247">
        <v>-0.24030609810766901</v>
      </c>
      <c r="U247">
        <v>0.24030609810766901</v>
      </c>
      <c r="V247">
        <v>-0.32</v>
      </c>
      <c r="W247">
        <v>1.1399999999999999</v>
      </c>
      <c r="X247">
        <v>-118133</v>
      </c>
      <c r="Y247">
        <v>-9087</v>
      </c>
      <c r="Z247">
        <v>-0.37</v>
      </c>
      <c r="AA247">
        <v>13</v>
      </c>
      <c r="AB247">
        <v>7</v>
      </c>
      <c r="AC247">
        <v>6</v>
      </c>
      <c r="AD247">
        <v>53.85</v>
      </c>
      <c r="AE247">
        <v>16</v>
      </c>
    </row>
    <row r="248" spans="1:31" hidden="1">
      <c r="A248">
        <v>18</v>
      </c>
      <c r="B248">
        <v>6752</v>
      </c>
      <c r="C248" t="s">
        <v>137</v>
      </c>
      <c r="D248" t="s">
        <v>231</v>
      </c>
      <c r="E248">
        <v>877.2</v>
      </c>
      <c r="F248">
        <v>874.4</v>
      </c>
      <c r="G248">
        <v>1200</v>
      </c>
      <c r="H248" t="s">
        <v>222</v>
      </c>
      <c r="I248">
        <v>7278</v>
      </c>
      <c r="J248" t="s">
        <v>91</v>
      </c>
      <c r="K248" t="s">
        <v>228</v>
      </c>
      <c r="L248">
        <v>2095</v>
      </c>
      <c r="M248">
        <v>2100</v>
      </c>
      <c r="N248">
        <v>500</v>
      </c>
      <c r="O248" t="s">
        <v>220</v>
      </c>
      <c r="P248">
        <v>0.96513488712510398</v>
      </c>
      <c r="Q248">
        <v>0.96578928094788696</v>
      </c>
      <c r="R248">
        <v>3.2754839571142502E-2</v>
      </c>
      <c r="S248">
        <v>6.7136511564838504E-3</v>
      </c>
      <c r="T248">
        <v>0.23961818601836599</v>
      </c>
      <c r="U248">
        <v>0.23961818601836599</v>
      </c>
      <c r="V248">
        <v>0.45</v>
      </c>
      <c r="W248">
        <v>7.0000000000000007E-2</v>
      </c>
      <c r="X248">
        <v>178895</v>
      </c>
      <c r="Y248">
        <v>10523</v>
      </c>
      <c r="Z248">
        <v>0.53</v>
      </c>
      <c r="AA248">
        <v>17</v>
      </c>
      <c r="AB248">
        <v>9</v>
      </c>
      <c r="AC248">
        <v>8</v>
      </c>
      <c r="AD248">
        <v>52.94</v>
      </c>
      <c r="AE248">
        <v>12</v>
      </c>
    </row>
    <row r="249" spans="1:31" hidden="1">
      <c r="A249">
        <v>24</v>
      </c>
      <c r="B249">
        <v>3861</v>
      </c>
      <c r="C249" t="s">
        <v>288</v>
      </c>
      <c r="D249" t="s">
        <v>289</v>
      </c>
      <c r="E249">
        <v>514</v>
      </c>
      <c r="F249">
        <v>521</v>
      </c>
      <c r="G249">
        <v>1800</v>
      </c>
      <c r="H249" t="s">
        <v>222</v>
      </c>
      <c r="I249">
        <v>5214</v>
      </c>
      <c r="J249" t="s">
        <v>99</v>
      </c>
      <c r="K249" t="s">
        <v>229</v>
      </c>
      <c r="L249">
        <v>2345</v>
      </c>
      <c r="M249">
        <v>2369</v>
      </c>
      <c r="N249">
        <v>400</v>
      </c>
      <c r="O249" t="s">
        <v>220</v>
      </c>
      <c r="P249">
        <v>0.96201104988420705</v>
      </c>
      <c r="Q249">
        <v>0.903528141617021</v>
      </c>
      <c r="R249">
        <v>0.17836360400922899</v>
      </c>
      <c r="S249">
        <v>9.1634460274770194E-2</v>
      </c>
      <c r="T249">
        <v>0.23805340023823901</v>
      </c>
      <c r="U249">
        <v>0.23805340023823901</v>
      </c>
      <c r="V249">
        <v>0.62</v>
      </c>
      <c r="W249">
        <v>1.03</v>
      </c>
      <c r="X249">
        <v>-135591</v>
      </c>
      <c r="Y249">
        <v>-6457</v>
      </c>
      <c r="Z249">
        <v>-0.35</v>
      </c>
      <c r="AA249">
        <v>21</v>
      </c>
      <c r="AB249">
        <v>11</v>
      </c>
      <c r="AC249">
        <v>10</v>
      </c>
      <c r="AD249">
        <v>52.38</v>
      </c>
      <c r="AE249">
        <v>10</v>
      </c>
    </row>
    <row r="250" spans="1:31" hidden="1">
      <c r="A250">
        <v>30</v>
      </c>
      <c r="B250">
        <v>6506</v>
      </c>
      <c r="C250" t="s">
        <v>292</v>
      </c>
      <c r="D250" t="s">
        <v>231</v>
      </c>
      <c r="E250">
        <v>3950</v>
      </c>
      <c r="F250">
        <v>3940</v>
      </c>
      <c r="G250">
        <v>200</v>
      </c>
      <c r="H250" t="s">
        <v>220</v>
      </c>
      <c r="I250">
        <v>6645</v>
      </c>
      <c r="J250" t="s">
        <v>182</v>
      </c>
      <c r="K250" t="s">
        <v>231</v>
      </c>
      <c r="L250">
        <v>5900</v>
      </c>
      <c r="M250">
        <v>5950</v>
      </c>
      <c r="N250">
        <v>100</v>
      </c>
      <c r="O250" t="s">
        <v>222</v>
      </c>
      <c r="P250">
        <v>0.959965849620391</v>
      </c>
      <c r="Q250">
        <v>0.90612730529459196</v>
      </c>
      <c r="R250">
        <v>2.58506129489675E-2</v>
      </c>
      <c r="S250">
        <v>2.3521136251699298E-2</v>
      </c>
      <c r="T250">
        <v>-0.23685959936529999</v>
      </c>
      <c r="U250">
        <v>0.23685959936529999</v>
      </c>
      <c r="V250">
        <v>-0.61</v>
      </c>
      <c r="W250">
        <v>32.44</v>
      </c>
      <c r="X250">
        <v>249448</v>
      </c>
      <c r="Y250">
        <v>19188</v>
      </c>
      <c r="Z250">
        <v>0.86</v>
      </c>
      <c r="AA250">
        <v>13</v>
      </c>
      <c r="AB250">
        <v>8</v>
      </c>
      <c r="AC250">
        <v>5</v>
      </c>
      <c r="AD250">
        <v>61.54</v>
      </c>
      <c r="AE250">
        <v>13</v>
      </c>
    </row>
    <row r="251" spans="1:31" hidden="1">
      <c r="A251">
        <v>295</v>
      </c>
      <c r="B251">
        <v>4182</v>
      </c>
      <c r="C251" t="s">
        <v>135</v>
      </c>
      <c r="D251" t="s">
        <v>221</v>
      </c>
      <c r="E251">
        <v>1414</v>
      </c>
      <c r="F251">
        <v>1426</v>
      </c>
      <c r="G251">
        <v>600</v>
      </c>
      <c r="H251" t="s">
        <v>222</v>
      </c>
      <c r="I251">
        <v>8273</v>
      </c>
      <c r="J251" t="s">
        <v>123</v>
      </c>
      <c r="K251" t="s">
        <v>224</v>
      </c>
      <c r="L251">
        <v>4200</v>
      </c>
      <c r="M251">
        <v>4315</v>
      </c>
      <c r="N251">
        <v>200</v>
      </c>
      <c r="O251" t="s">
        <v>220</v>
      </c>
      <c r="P251">
        <v>0.90124548696946505</v>
      </c>
      <c r="Q251">
        <v>0.90448018346930903</v>
      </c>
      <c r="R251">
        <v>0.14380262051662199</v>
      </c>
      <c r="S251">
        <v>2.6300219042748499E-2</v>
      </c>
      <c r="T251">
        <v>0.23544596928907099</v>
      </c>
      <c r="U251">
        <v>0.23544596928907099</v>
      </c>
      <c r="V251">
        <v>0.86</v>
      </c>
      <c r="W251">
        <v>0.86</v>
      </c>
      <c r="X251">
        <v>55257</v>
      </c>
      <c r="Y251">
        <v>5023</v>
      </c>
      <c r="Z251">
        <v>0.38</v>
      </c>
      <c r="AA251">
        <v>11</v>
      </c>
      <c r="AB251">
        <v>5</v>
      </c>
      <c r="AC251">
        <v>6</v>
      </c>
      <c r="AD251">
        <v>45.45</v>
      </c>
      <c r="AE251">
        <v>13</v>
      </c>
    </row>
    <row r="252" spans="1:31" hidden="1">
      <c r="A252">
        <v>199</v>
      </c>
      <c r="B252">
        <v>4507</v>
      </c>
      <c r="C252" t="s">
        <v>139</v>
      </c>
      <c r="D252" t="s">
        <v>247</v>
      </c>
      <c r="E252">
        <v>6018</v>
      </c>
      <c r="F252">
        <v>6020</v>
      </c>
      <c r="G252">
        <v>100</v>
      </c>
      <c r="H252" t="s">
        <v>220</v>
      </c>
      <c r="I252">
        <v>7189</v>
      </c>
      <c r="J252" t="s">
        <v>155</v>
      </c>
      <c r="K252" t="s">
        <v>225</v>
      </c>
      <c r="L252">
        <v>744</v>
      </c>
      <c r="M252">
        <v>742</v>
      </c>
      <c r="N252">
        <v>800</v>
      </c>
      <c r="O252" t="s">
        <v>222</v>
      </c>
      <c r="P252">
        <v>0.92155432222355504</v>
      </c>
      <c r="Q252">
        <v>0.93793180775148299</v>
      </c>
      <c r="R252">
        <v>2.0024692011384099E-2</v>
      </c>
      <c r="S252">
        <v>1.86867132263354E-3</v>
      </c>
      <c r="T252">
        <v>-0.23009540887364199</v>
      </c>
      <c r="U252">
        <v>0.23009540887364199</v>
      </c>
      <c r="V252">
        <v>-1.06</v>
      </c>
      <c r="W252">
        <v>1.4</v>
      </c>
      <c r="X252">
        <v>-154756</v>
      </c>
      <c r="Y252">
        <v>-6190</v>
      </c>
      <c r="Z252">
        <v>-0.6</v>
      </c>
      <c r="AA252">
        <v>25</v>
      </c>
      <c r="AB252">
        <v>9</v>
      </c>
      <c r="AC252">
        <v>16</v>
      </c>
      <c r="AD252">
        <v>36</v>
      </c>
      <c r="AE252">
        <v>12</v>
      </c>
    </row>
    <row r="253" spans="1:31" hidden="1">
      <c r="A253">
        <v>95</v>
      </c>
      <c r="B253">
        <v>4005</v>
      </c>
      <c r="C253" t="s">
        <v>161</v>
      </c>
      <c r="D253" t="s">
        <v>221</v>
      </c>
      <c r="E253">
        <v>487</v>
      </c>
      <c r="F253">
        <v>494</v>
      </c>
      <c r="G253">
        <v>2200</v>
      </c>
      <c r="H253" t="s">
        <v>220</v>
      </c>
      <c r="I253">
        <v>8002</v>
      </c>
      <c r="J253" t="s">
        <v>114</v>
      </c>
      <c r="K253" t="s">
        <v>250</v>
      </c>
      <c r="L253">
        <v>710.4</v>
      </c>
      <c r="M253">
        <v>722.7</v>
      </c>
      <c r="N253">
        <v>1500</v>
      </c>
      <c r="O253" t="s">
        <v>222</v>
      </c>
      <c r="P253">
        <v>0.94517690535641097</v>
      </c>
      <c r="Q253">
        <v>0.91441431429820996</v>
      </c>
      <c r="R253">
        <v>2.3654658395748599E-3</v>
      </c>
      <c r="S253">
        <v>0.34612470591580502</v>
      </c>
      <c r="T253">
        <v>-0.229940079633116</v>
      </c>
      <c r="U253">
        <v>0.229940079633116</v>
      </c>
      <c r="V253">
        <v>-0.38</v>
      </c>
      <c r="W253">
        <v>0.25</v>
      </c>
      <c r="X253">
        <v>-151457</v>
      </c>
      <c r="Y253">
        <v>-9466</v>
      </c>
      <c r="Z253">
        <v>-0.43</v>
      </c>
      <c r="AA253">
        <v>16</v>
      </c>
      <c r="AB253">
        <v>8</v>
      </c>
      <c r="AC253">
        <v>8</v>
      </c>
      <c r="AD253">
        <v>50</v>
      </c>
      <c r="AE253">
        <v>15</v>
      </c>
    </row>
    <row r="254" spans="1:31" hidden="1">
      <c r="A254">
        <v>268</v>
      </c>
      <c r="B254">
        <v>7013</v>
      </c>
      <c r="C254" t="s">
        <v>165</v>
      </c>
      <c r="D254" t="s">
        <v>230</v>
      </c>
      <c r="E254">
        <v>2300</v>
      </c>
      <c r="F254">
        <v>2407</v>
      </c>
      <c r="G254">
        <v>300</v>
      </c>
      <c r="H254" t="s">
        <v>222</v>
      </c>
      <c r="I254">
        <v>7846</v>
      </c>
      <c r="J254" t="s">
        <v>152</v>
      </c>
      <c r="K254" t="s">
        <v>260</v>
      </c>
      <c r="L254">
        <v>3940</v>
      </c>
      <c r="M254">
        <v>3965</v>
      </c>
      <c r="N254">
        <v>200</v>
      </c>
      <c r="O254" t="s">
        <v>220</v>
      </c>
      <c r="P254">
        <v>0.90662651691268203</v>
      </c>
      <c r="Q254">
        <v>0.96776854183569105</v>
      </c>
      <c r="R254">
        <v>7.0158168291719197E-2</v>
      </c>
      <c r="S254">
        <v>6.4575407121797199E-2</v>
      </c>
      <c r="T254">
        <v>0.225509607378024</v>
      </c>
      <c r="U254">
        <v>0.225509607378024</v>
      </c>
      <c r="V254">
        <v>1.05</v>
      </c>
      <c r="W254">
        <v>8.94</v>
      </c>
      <c r="X254">
        <v>212602</v>
      </c>
      <c r="Y254">
        <v>23622</v>
      </c>
      <c r="Z254">
        <v>1.45</v>
      </c>
      <c r="AA254">
        <v>9</v>
      </c>
      <c r="AB254">
        <v>7</v>
      </c>
      <c r="AC254">
        <v>2</v>
      </c>
      <c r="AD254">
        <v>77.78</v>
      </c>
      <c r="AE254">
        <v>9</v>
      </c>
    </row>
    <row r="255" spans="1:31" hidden="1">
      <c r="A255">
        <v>94</v>
      </c>
      <c r="B255">
        <v>4208</v>
      </c>
      <c r="C255" t="s">
        <v>126</v>
      </c>
      <c r="D255" t="s">
        <v>221</v>
      </c>
      <c r="E255">
        <v>2158</v>
      </c>
      <c r="F255">
        <v>2171</v>
      </c>
      <c r="G255">
        <v>500</v>
      </c>
      <c r="H255" t="s">
        <v>222</v>
      </c>
      <c r="I255">
        <v>5991</v>
      </c>
      <c r="J255" t="s">
        <v>117</v>
      </c>
      <c r="K255" t="s">
        <v>232</v>
      </c>
      <c r="L255">
        <v>809</v>
      </c>
      <c r="M255">
        <v>810</v>
      </c>
      <c r="N255">
        <v>1300</v>
      </c>
      <c r="O255" t="s">
        <v>220</v>
      </c>
      <c r="P255">
        <v>0.94544268048898505</v>
      </c>
      <c r="Q255">
        <v>0.91074786892328496</v>
      </c>
      <c r="R255">
        <v>2.2658178763015801E-2</v>
      </c>
      <c r="S255">
        <v>0.124101362716625</v>
      </c>
      <c r="T255">
        <v>0.221362287453157</v>
      </c>
      <c r="U255">
        <v>0.221362287453157</v>
      </c>
      <c r="V255">
        <v>0.54</v>
      </c>
      <c r="W255">
        <v>2.99</v>
      </c>
      <c r="X255">
        <v>118186</v>
      </c>
      <c r="Y255">
        <v>7879</v>
      </c>
      <c r="Z255">
        <v>0.34</v>
      </c>
      <c r="AA255">
        <v>15</v>
      </c>
      <c r="AB255">
        <v>9</v>
      </c>
      <c r="AC255">
        <v>6</v>
      </c>
      <c r="AD255">
        <v>60</v>
      </c>
      <c r="AE255">
        <v>11</v>
      </c>
    </row>
    <row r="256" spans="1:31" hidden="1">
      <c r="A256">
        <v>299</v>
      </c>
      <c r="B256">
        <v>3105</v>
      </c>
      <c r="C256" t="s">
        <v>254</v>
      </c>
      <c r="D256" t="s">
        <v>231</v>
      </c>
      <c r="E256">
        <v>830</v>
      </c>
      <c r="F256">
        <v>830</v>
      </c>
      <c r="G256">
        <v>1100</v>
      </c>
      <c r="H256" t="s">
        <v>220</v>
      </c>
      <c r="I256">
        <v>8078</v>
      </c>
      <c r="J256" t="s">
        <v>144</v>
      </c>
      <c r="K256" t="s">
        <v>250</v>
      </c>
      <c r="L256">
        <v>2901</v>
      </c>
      <c r="M256">
        <v>2931</v>
      </c>
      <c r="N256">
        <v>300</v>
      </c>
      <c r="O256" t="s">
        <v>222</v>
      </c>
      <c r="P256">
        <v>0.90034929755929904</v>
      </c>
      <c r="Q256">
        <v>0.91896066814010302</v>
      </c>
      <c r="R256">
        <v>0.108505305691165</v>
      </c>
      <c r="S256">
        <v>4.0132786196148802E-2</v>
      </c>
      <c r="T256">
        <v>-0.213720509181869</v>
      </c>
      <c r="U256">
        <v>0.213720509181869</v>
      </c>
      <c r="V256">
        <v>-0.41</v>
      </c>
      <c r="W256">
        <v>3.83</v>
      </c>
      <c r="X256">
        <v>150170</v>
      </c>
      <c r="Y256">
        <v>11552</v>
      </c>
      <c r="Z256">
        <v>0.67</v>
      </c>
      <c r="AA256">
        <v>13</v>
      </c>
      <c r="AB256">
        <v>8</v>
      </c>
      <c r="AC256">
        <v>5</v>
      </c>
      <c r="AD256">
        <v>61.54</v>
      </c>
      <c r="AE256">
        <v>13</v>
      </c>
    </row>
    <row r="257" spans="1:31" hidden="1">
      <c r="A257">
        <v>54</v>
      </c>
      <c r="B257">
        <v>6472</v>
      </c>
      <c r="C257" t="s">
        <v>127</v>
      </c>
      <c r="D257" t="s">
        <v>230</v>
      </c>
      <c r="E257">
        <v>313</v>
      </c>
      <c r="F257">
        <v>315</v>
      </c>
      <c r="G257">
        <v>3500</v>
      </c>
      <c r="H257" t="s">
        <v>222</v>
      </c>
      <c r="I257">
        <v>6995</v>
      </c>
      <c r="J257" t="s">
        <v>113</v>
      </c>
      <c r="K257" t="s">
        <v>228</v>
      </c>
      <c r="L257">
        <v>1813</v>
      </c>
      <c r="M257">
        <v>1818</v>
      </c>
      <c r="N257">
        <v>600</v>
      </c>
      <c r="O257" t="s">
        <v>220</v>
      </c>
      <c r="P257">
        <v>0.95418167030294099</v>
      </c>
      <c r="Q257">
        <v>0.95265689417606203</v>
      </c>
      <c r="R257">
        <v>0.30634586492868399</v>
      </c>
      <c r="S257">
        <v>3.8639758380449002E-2</v>
      </c>
      <c r="T257">
        <v>0.21320385736195799</v>
      </c>
      <c r="U257">
        <v>0.21320385736195799</v>
      </c>
      <c r="V257">
        <v>0.57999999999999996</v>
      </c>
      <c r="W257">
        <v>1.07</v>
      </c>
      <c r="X257">
        <v>-1035</v>
      </c>
      <c r="Y257">
        <v>-74</v>
      </c>
      <c r="Z257">
        <v>-0.02</v>
      </c>
      <c r="AA257">
        <v>14</v>
      </c>
      <c r="AB257">
        <v>8</v>
      </c>
      <c r="AC257">
        <v>6</v>
      </c>
      <c r="AD257">
        <v>57.14</v>
      </c>
      <c r="AE257">
        <v>14</v>
      </c>
    </row>
    <row r="258" spans="1:31" hidden="1">
      <c r="A258">
        <v>207</v>
      </c>
      <c r="B258">
        <v>4005</v>
      </c>
      <c r="C258" t="s">
        <v>161</v>
      </c>
      <c r="D258" t="s">
        <v>221</v>
      </c>
      <c r="E258">
        <v>487</v>
      </c>
      <c r="F258">
        <v>494</v>
      </c>
      <c r="G258">
        <v>2200</v>
      </c>
      <c r="H258" t="s">
        <v>220</v>
      </c>
      <c r="I258">
        <v>5301</v>
      </c>
      <c r="J258" t="s">
        <v>97</v>
      </c>
      <c r="K258" t="s">
        <v>229</v>
      </c>
      <c r="L258">
        <v>1068</v>
      </c>
      <c r="M258">
        <v>1088</v>
      </c>
      <c r="N258">
        <v>1000</v>
      </c>
      <c r="O258" t="s">
        <v>222</v>
      </c>
      <c r="P258">
        <v>0.91975405051566805</v>
      </c>
      <c r="Q258">
        <v>0.90728649478609202</v>
      </c>
      <c r="R258">
        <v>2.38487157106014E-2</v>
      </c>
      <c r="S258">
        <v>3.9589802416825401E-2</v>
      </c>
      <c r="T258">
        <v>-0.208707113737441</v>
      </c>
      <c r="U258">
        <v>0.208707113737441</v>
      </c>
      <c r="V258">
        <v>-0.54</v>
      </c>
      <c r="W258">
        <v>0.11</v>
      </c>
      <c r="X258">
        <v>195678</v>
      </c>
      <c r="Y258">
        <v>8508</v>
      </c>
      <c r="Z258">
        <v>0.42</v>
      </c>
      <c r="AA258">
        <v>23</v>
      </c>
      <c r="AB258">
        <v>14</v>
      </c>
      <c r="AC258">
        <v>9</v>
      </c>
      <c r="AD258">
        <v>60.87</v>
      </c>
      <c r="AE258">
        <v>9</v>
      </c>
    </row>
    <row r="259" spans="1:31" hidden="1">
      <c r="A259">
        <v>225</v>
      </c>
      <c r="B259">
        <v>4005</v>
      </c>
      <c r="C259" t="s">
        <v>161</v>
      </c>
      <c r="D259" t="s">
        <v>221</v>
      </c>
      <c r="E259">
        <v>487</v>
      </c>
      <c r="F259">
        <v>494</v>
      </c>
      <c r="G259">
        <v>2200</v>
      </c>
      <c r="H259" t="s">
        <v>222</v>
      </c>
      <c r="I259">
        <v>5802</v>
      </c>
      <c r="J259" t="s">
        <v>124</v>
      </c>
      <c r="K259" t="s">
        <v>227</v>
      </c>
      <c r="L259">
        <v>1347</v>
      </c>
      <c r="M259">
        <v>1349</v>
      </c>
      <c r="N259">
        <v>800</v>
      </c>
      <c r="O259" t="s">
        <v>220</v>
      </c>
      <c r="P259">
        <v>0.91565729003271701</v>
      </c>
      <c r="Q259">
        <v>0.936230613972035</v>
      </c>
      <c r="R259">
        <v>3.7290228053328801E-2</v>
      </c>
      <c r="S259">
        <v>0.10960596500332601</v>
      </c>
      <c r="T259">
        <v>0.19455048581732801</v>
      </c>
      <c r="U259">
        <v>0.19455048581732801</v>
      </c>
      <c r="V259">
        <v>0.56999999999999995</v>
      </c>
      <c r="W259">
        <v>0.7</v>
      </c>
      <c r="X259">
        <v>106941</v>
      </c>
      <c r="Y259">
        <v>6684</v>
      </c>
      <c r="Z259">
        <v>0.35</v>
      </c>
      <c r="AA259">
        <v>16</v>
      </c>
      <c r="AB259">
        <v>9</v>
      </c>
      <c r="AC259">
        <v>7</v>
      </c>
      <c r="AD259">
        <v>56.25</v>
      </c>
      <c r="AE259">
        <v>14</v>
      </c>
    </row>
    <row r="260" spans="1:31" hidden="1">
      <c r="A260">
        <v>85</v>
      </c>
      <c r="B260">
        <v>4188</v>
      </c>
      <c r="C260" t="s">
        <v>278</v>
      </c>
      <c r="D260" t="s">
        <v>221</v>
      </c>
      <c r="E260">
        <v>765</v>
      </c>
      <c r="F260">
        <v>764.6</v>
      </c>
      <c r="G260">
        <v>1400</v>
      </c>
      <c r="H260" t="s">
        <v>222</v>
      </c>
      <c r="I260">
        <v>7205</v>
      </c>
      <c r="J260" t="s">
        <v>177</v>
      </c>
      <c r="K260" t="s">
        <v>228</v>
      </c>
      <c r="L260">
        <v>879</v>
      </c>
      <c r="M260">
        <v>877</v>
      </c>
      <c r="N260">
        <v>1200</v>
      </c>
      <c r="O260" t="s">
        <v>220</v>
      </c>
      <c r="P260">
        <v>0.94753975870237805</v>
      </c>
      <c r="Q260">
        <v>0.90052197866551598</v>
      </c>
      <c r="R260">
        <v>2.9723246224351201E-3</v>
      </c>
      <c r="S260">
        <v>0.14210639792659799</v>
      </c>
      <c r="T260">
        <v>0.16394032730432501</v>
      </c>
      <c r="U260">
        <v>0.16394032730432501</v>
      </c>
      <c r="V260">
        <v>0.34</v>
      </c>
      <c r="W260">
        <v>1.71</v>
      </c>
      <c r="X260">
        <v>316508</v>
      </c>
      <c r="Y260">
        <v>16658</v>
      </c>
      <c r="Z260">
        <v>0.79</v>
      </c>
      <c r="AA260">
        <v>19</v>
      </c>
      <c r="AB260">
        <v>12</v>
      </c>
      <c r="AC260">
        <v>7</v>
      </c>
      <c r="AD260">
        <v>63.16</v>
      </c>
      <c r="AE260">
        <v>12</v>
      </c>
    </row>
    <row r="261" spans="1:31" hidden="1">
      <c r="A261">
        <v>120</v>
      </c>
      <c r="B261">
        <v>5020</v>
      </c>
      <c r="C261" t="s">
        <v>167</v>
      </c>
      <c r="D261" t="s">
        <v>273</v>
      </c>
      <c r="E261">
        <v>487.9</v>
      </c>
      <c r="F261">
        <v>487.8</v>
      </c>
      <c r="G261">
        <v>2200</v>
      </c>
      <c r="H261" t="s">
        <v>222</v>
      </c>
      <c r="I261">
        <v>7278</v>
      </c>
      <c r="J261" t="s">
        <v>91</v>
      </c>
      <c r="K261" t="s">
        <v>228</v>
      </c>
      <c r="L261">
        <v>2095</v>
      </c>
      <c r="M261">
        <v>2100</v>
      </c>
      <c r="N261">
        <v>500</v>
      </c>
      <c r="O261" t="s">
        <v>220</v>
      </c>
      <c r="P261">
        <v>0.93906982182165899</v>
      </c>
      <c r="Q261">
        <v>0.90535626707483596</v>
      </c>
      <c r="R261">
        <v>1.7518824481065599E-2</v>
      </c>
      <c r="S261">
        <v>0.20702416394690301</v>
      </c>
      <c r="T261">
        <v>0.15848322616913099</v>
      </c>
      <c r="U261">
        <v>0.15848322616913099</v>
      </c>
      <c r="V261">
        <v>0.48</v>
      </c>
      <c r="W261">
        <v>2.21</v>
      </c>
      <c r="X261">
        <v>-33731</v>
      </c>
      <c r="Y261">
        <v>-1533</v>
      </c>
      <c r="Z261">
        <v>0.01</v>
      </c>
      <c r="AA261">
        <v>22</v>
      </c>
      <c r="AB261">
        <v>11</v>
      </c>
      <c r="AC261">
        <v>11</v>
      </c>
      <c r="AD261">
        <v>50</v>
      </c>
      <c r="AE261">
        <v>11</v>
      </c>
    </row>
    <row r="262" spans="1:31" hidden="1">
      <c r="A262">
        <v>10</v>
      </c>
      <c r="B262">
        <v>6752</v>
      </c>
      <c r="C262" t="s">
        <v>137</v>
      </c>
      <c r="D262" t="s">
        <v>231</v>
      </c>
      <c r="E262">
        <v>877.2</v>
      </c>
      <c r="F262">
        <v>874.4</v>
      </c>
      <c r="G262">
        <v>1200</v>
      </c>
      <c r="H262" t="s">
        <v>220</v>
      </c>
      <c r="I262">
        <v>7167</v>
      </c>
      <c r="J262" t="s">
        <v>129</v>
      </c>
      <c r="K262" t="s">
        <v>225</v>
      </c>
      <c r="L262">
        <v>260</v>
      </c>
      <c r="M262">
        <v>261</v>
      </c>
      <c r="N262">
        <v>4000</v>
      </c>
      <c r="O262" t="s">
        <v>222</v>
      </c>
      <c r="P262">
        <v>0.96908827023069999</v>
      </c>
      <c r="Q262">
        <v>0.96124744716133703</v>
      </c>
      <c r="R262">
        <v>8.2661549506078597E-2</v>
      </c>
      <c r="S262">
        <v>4.6340247553911702E-2</v>
      </c>
      <c r="T262">
        <v>-0.15537944122970901</v>
      </c>
      <c r="U262">
        <v>0.15537944122970901</v>
      </c>
      <c r="V262">
        <v>-0.42</v>
      </c>
      <c r="W262">
        <v>0.5</v>
      </c>
      <c r="X262">
        <v>107959</v>
      </c>
      <c r="Y262">
        <v>5998</v>
      </c>
      <c r="Z262">
        <v>0.3</v>
      </c>
      <c r="AA262">
        <v>18</v>
      </c>
      <c r="AB262">
        <v>9</v>
      </c>
      <c r="AC262">
        <v>9</v>
      </c>
      <c r="AD262">
        <v>50</v>
      </c>
      <c r="AE262">
        <v>13</v>
      </c>
    </row>
    <row r="263" spans="1:31" hidden="1">
      <c r="A263">
        <v>31</v>
      </c>
      <c r="B263">
        <v>5020</v>
      </c>
      <c r="C263" t="s">
        <v>167</v>
      </c>
      <c r="D263" t="s">
        <v>273</v>
      </c>
      <c r="E263">
        <v>487.9</v>
      </c>
      <c r="F263">
        <v>487.8</v>
      </c>
      <c r="G263">
        <v>2200</v>
      </c>
      <c r="H263" t="s">
        <v>220</v>
      </c>
      <c r="I263">
        <v>7167</v>
      </c>
      <c r="J263" t="s">
        <v>129</v>
      </c>
      <c r="K263" t="s">
        <v>225</v>
      </c>
      <c r="L263">
        <v>260</v>
      </c>
      <c r="M263">
        <v>261</v>
      </c>
      <c r="N263">
        <v>4100</v>
      </c>
      <c r="O263" t="s">
        <v>222</v>
      </c>
      <c r="P263">
        <v>0.95987786079545401</v>
      </c>
      <c r="Q263">
        <v>0.95508935326635602</v>
      </c>
      <c r="R263">
        <v>7.4148300539394002E-2</v>
      </c>
      <c r="S263">
        <v>5.8689177999983098E-2</v>
      </c>
      <c r="T263">
        <v>-0.15335159015913399</v>
      </c>
      <c r="U263">
        <v>0.15335159015913399</v>
      </c>
      <c r="V263">
        <v>-0.35</v>
      </c>
      <c r="W263">
        <v>0.28999999999999998</v>
      </c>
      <c r="X263">
        <v>-139732</v>
      </c>
      <c r="Y263">
        <v>-8220</v>
      </c>
      <c r="Z263">
        <v>-0.4</v>
      </c>
      <c r="AA263">
        <v>17</v>
      </c>
      <c r="AB263">
        <v>7</v>
      </c>
      <c r="AC263">
        <v>10</v>
      </c>
      <c r="AD263">
        <v>41.18</v>
      </c>
      <c r="AE263">
        <v>14</v>
      </c>
    </row>
    <row r="264" spans="1:31" hidden="1">
      <c r="A264">
        <v>246</v>
      </c>
      <c r="B264">
        <v>6371</v>
      </c>
      <c r="C264" t="s">
        <v>132</v>
      </c>
      <c r="D264" t="s">
        <v>230</v>
      </c>
      <c r="E264">
        <v>3400</v>
      </c>
      <c r="F264">
        <v>3420</v>
      </c>
      <c r="G264">
        <v>300</v>
      </c>
      <c r="H264" t="s">
        <v>222</v>
      </c>
      <c r="I264">
        <v>7167</v>
      </c>
      <c r="J264" t="s">
        <v>129</v>
      </c>
      <c r="K264" t="s">
        <v>225</v>
      </c>
      <c r="L264">
        <v>260</v>
      </c>
      <c r="M264">
        <v>261</v>
      </c>
      <c r="N264">
        <v>3900</v>
      </c>
      <c r="O264" t="s">
        <v>220</v>
      </c>
      <c r="P264">
        <v>0.91018325927233501</v>
      </c>
      <c r="Q264">
        <v>0.90798939160859204</v>
      </c>
      <c r="R264">
        <v>8.9037668364754893E-2</v>
      </c>
      <c r="S264">
        <v>0.27571863967364502</v>
      </c>
      <c r="T264">
        <v>0.147274477615496</v>
      </c>
      <c r="U264">
        <v>0.147274477615496</v>
      </c>
      <c r="V264">
        <v>0.47</v>
      </c>
      <c r="W264">
        <v>0.79</v>
      </c>
      <c r="X264">
        <v>227375</v>
      </c>
      <c r="Y264">
        <v>12632</v>
      </c>
      <c r="Z264">
        <v>0.61</v>
      </c>
      <c r="AA264">
        <v>18</v>
      </c>
      <c r="AB264">
        <v>10</v>
      </c>
      <c r="AC264">
        <v>8</v>
      </c>
      <c r="AD264">
        <v>55.56</v>
      </c>
      <c r="AE264">
        <v>15</v>
      </c>
    </row>
    <row r="265" spans="1:31" hidden="1">
      <c r="A265">
        <v>136</v>
      </c>
      <c r="B265">
        <v>4114</v>
      </c>
      <c r="C265" t="s">
        <v>293</v>
      </c>
      <c r="D265" t="s">
        <v>221</v>
      </c>
      <c r="E265">
        <v>6200</v>
      </c>
      <c r="F265">
        <v>6260</v>
      </c>
      <c r="G265">
        <v>100</v>
      </c>
      <c r="H265" t="s">
        <v>220</v>
      </c>
      <c r="I265">
        <v>5214</v>
      </c>
      <c r="J265" t="s">
        <v>99</v>
      </c>
      <c r="K265" t="s">
        <v>229</v>
      </c>
      <c r="L265">
        <v>2345</v>
      </c>
      <c r="M265">
        <v>2369</v>
      </c>
      <c r="N265">
        <v>300</v>
      </c>
      <c r="O265" t="s">
        <v>222</v>
      </c>
      <c r="P265">
        <v>0.93410402867974995</v>
      </c>
      <c r="Q265">
        <v>0.93560234217345095</v>
      </c>
      <c r="R265">
        <v>1.3246859904882499E-3</v>
      </c>
      <c r="S265">
        <v>3.6997375763926697E-4</v>
      </c>
      <c r="T265">
        <v>-0.14452740338522799</v>
      </c>
      <c r="U265">
        <v>0.14452740338522799</v>
      </c>
      <c r="V265">
        <v>-0.44</v>
      </c>
      <c r="W265">
        <v>13.53</v>
      </c>
      <c r="X265">
        <v>14130</v>
      </c>
      <c r="Y265">
        <v>1570</v>
      </c>
      <c r="Z265">
        <v>0.05</v>
      </c>
      <c r="AA265">
        <v>9</v>
      </c>
      <c r="AB265">
        <v>4</v>
      </c>
      <c r="AC265">
        <v>5</v>
      </c>
      <c r="AD265">
        <v>44.44</v>
      </c>
      <c r="AE265">
        <v>11</v>
      </c>
    </row>
    <row r="266" spans="1:31" hidden="1">
      <c r="A266">
        <v>13</v>
      </c>
      <c r="B266">
        <v>5411</v>
      </c>
      <c r="C266" t="s">
        <v>147</v>
      </c>
      <c r="D266" t="s">
        <v>239</v>
      </c>
      <c r="E266">
        <v>1293.5</v>
      </c>
      <c r="F266">
        <v>1296.5</v>
      </c>
      <c r="G266">
        <v>800</v>
      </c>
      <c r="H266" t="s">
        <v>222</v>
      </c>
      <c r="I266">
        <v>7731</v>
      </c>
      <c r="J266" t="s">
        <v>120</v>
      </c>
      <c r="K266" t="s">
        <v>244</v>
      </c>
      <c r="L266">
        <v>1320</v>
      </c>
      <c r="M266">
        <v>1335</v>
      </c>
      <c r="N266">
        <v>800</v>
      </c>
      <c r="O266" t="s">
        <v>220</v>
      </c>
      <c r="P266">
        <v>0.96649053909300797</v>
      </c>
      <c r="Q266">
        <v>0.91110243712801198</v>
      </c>
      <c r="R266">
        <v>2.4933173952512099E-3</v>
      </c>
      <c r="S266">
        <v>0.13858658326681</v>
      </c>
      <c r="T266">
        <v>0.14145791824345799</v>
      </c>
      <c r="U266">
        <v>0.14145791824345799</v>
      </c>
      <c r="V266">
        <v>0.46</v>
      </c>
      <c r="W266">
        <v>2.88</v>
      </c>
      <c r="X266">
        <v>494382</v>
      </c>
      <c r="Y266">
        <v>27466</v>
      </c>
      <c r="Z266">
        <v>1.42</v>
      </c>
      <c r="AA266">
        <v>18</v>
      </c>
      <c r="AB266">
        <v>14</v>
      </c>
      <c r="AC266">
        <v>4</v>
      </c>
      <c r="AD266">
        <v>77.78</v>
      </c>
      <c r="AE266">
        <v>12</v>
      </c>
    </row>
    <row r="267" spans="1:31" hidden="1">
      <c r="A267">
        <v>267</v>
      </c>
      <c r="B267">
        <v>2784</v>
      </c>
      <c r="C267" t="s">
        <v>294</v>
      </c>
      <c r="D267" t="s">
        <v>250</v>
      </c>
      <c r="E267">
        <v>2384</v>
      </c>
      <c r="F267">
        <v>2391</v>
      </c>
      <c r="G267">
        <v>400</v>
      </c>
      <c r="H267" t="s">
        <v>222</v>
      </c>
      <c r="I267">
        <v>9956</v>
      </c>
      <c r="J267" t="s">
        <v>186</v>
      </c>
      <c r="K267" t="s">
        <v>224</v>
      </c>
      <c r="L267">
        <v>1850</v>
      </c>
      <c r="M267">
        <v>1861</v>
      </c>
      <c r="N267">
        <v>500</v>
      </c>
      <c r="O267" t="s">
        <v>220</v>
      </c>
      <c r="P267">
        <v>0.90681623231670405</v>
      </c>
      <c r="Q267">
        <v>0.91557231991350696</v>
      </c>
      <c r="R267">
        <v>0.167571365890097</v>
      </c>
      <c r="S267">
        <v>6.4595322089495602E-2</v>
      </c>
      <c r="T267">
        <v>0.139858417006019</v>
      </c>
      <c r="U267">
        <v>0.139858417006019</v>
      </c>
      <c r="V267">
        <v>0.98</v>
      </c>
      <c r="W267">
        <v>2.71</v>
      </c>
      <c r="X267">
        <v>-51041</v>
      </c>
      <c r="Y267">
        <v>-3403</v>
      </c>
      <c r="Z267">
        <v>-0.14000000000000001</v>
      </c>
      <c r="AA267">
        <v>15</v>
      </c>
      <c r="AB267">
        <v>8</v>
      </c>
      <c r="AC267">
        <v>7</v>
      </c>
      <c r="AD267">
        <v>53.33</v>
      </c>
      <c r="AE267">
        <v>15</v>
      </c>
    </row>
    <row r="268" spans="1:31" hidden="1">
      <c r="A268">
        <v>152</v>
      </c>
      <c r="B268">
        <v>1820</v>
      </c>
      <c r="C268" t="s">
        <v>270</v>
      </c>
      <c r="D268" t="s">
        <v>246</v>
      </c>
      <c r="E268">
        <v>1967</v>
      </c>
      <c r="F268">
        <v>1974</v>
      </c>
      <c r="G268">
        <v>500</v>
      </c>
      <c r="H268" t="s">
        <v>222</v>
      </c>
      <c r="I268">
        <v>7278</v>
      </c>
      <c r="J268" t="s">
        <v>91</v>
      </c>
      <c r="K268" t="s">
        <v>228</v>
      </c>
      <c r="L268">
        <v>2095</v>
      </c>
      <c r="M268">
        <v>2100</v>
      </c>
      <c r="N268">
        <v>500</v>
      </c>
      <c r="O268" t="s">
        <v>220</v>
      </c>
      <c r="P268">
        <v>0.93219315237577205</v>
      </c>
      <c r="Q268">
        <v>0.92533757872398104</v>
      </c>
      <c r="R268">
        <v>0.15006396731688701</v>
      </c>
      <c r="S268">
        <v>0.21285684872726199</v>
      </c>
      <c r="T268">
        <v>0.13643530883701199</v>
      </c>
      <c r="U268">
        <v>0.13643530883701199</v>
      </c>
      <c r="V268">
        <v>0.28999999999999998</v>
      </c>
      <c r="W268">
        <v>6</v>
      </c>
      <c r="X268">
        <v>254640</v>
      </c>
      <c r="Y268">
        <v>18189</v>
      </c>
      <c r="Z268">
        <v>0.91</v>
      </c>
      <c r="AA268">
        <v>14</v>
      </c>
      <c r="AB268">
        <v>9</v>
      </c>
      <c r="AC268">
        <v>5</v>
      </c>
      <c r="AD268">
        <v>64.290000000000006</v>
      </c>
      <c r="AE268">
        <v>12</v>
      </c>
    </row>
    <row r="269" spans="1:31" hidden="1">
      <c r="A269">
        <v>175</v>
      </c>
      <c r="B269">
        <v>5214</v>
      </c>
      <c r="C269" t="s">
        <v>99</v>
      </c>
      <c r="D269" t="s">
        <v>229</v>
      </c>
      <c r="E269">
        <v>2345</v>
      </c>
      <c r="F269">
        <v>2369</v>
      </c>
      <c r="G269">
        <v>400</v>
      </c>
      <c r="H269" t="s">
        <v>222</v>
      </c>
      <c r="I269">
        <v>8058</v>
      </c>
      <c r="J269" t="s">
        <v>188</v>
      </c>
      <c r="K269" t="s">
        <v>250</v>
      </c>
      <c r="L269">
        <v>2638</v>
      </c>
      <c r="M269">
        <v>2640</v>
      </c>
      <c r="N269">
        <v>400</v>
      </c>
      <c r="O269" t="s">
        <v>220</v>
      </c>
      <c r="P269">
        <v>0.92770433766244398</v>
      </c>
      <c r="Q269">
        <v>0.92455168091308704</v>
      </c>
      <c r="R269">
        <v>0.10509394645376199</v>
      </c>
      <c r="S269">
        <v>5.0106224027212501E-2</v>
      </c>
      <c r="T269">
        <v>0.134291988079763</v>
      </c>
      <c r="U269">
        <v>0.134291988079763</v>
      </c>
      <c r="V269">
        <v>0.63</v>
      </c>
      <c r="W269">
        <v>10.27</v>
      </c>
      <c r="X269">
        <v>-213117</v>
      </c>
      <c r="Y269">
        <v>-17760</v>
      </c>
      <c r="Z269">
        <v>-0.99</v>
      </c>
      <c r="AA269">
        <v>12</v>
      </c>
      <c r="AB269">
        <v>3</v>
      </c>
      <c r="AC269">
        <v>9</v>
      </c>
      <c r="AD269">
        <v>25</v>
      </c>
      <c r="AE269">
        <v>15</v>
      </c>
    </row>
    <row r="270" spans="1:31" hidden="1">
      <c r="A270">
        <v>101</v>
      </c>
      <c r="B270">
        <v>7189</v>
      </c>
      <c r="C270" t="s">
        <v>155</v>
      </c>
      <c r="D270" t="s">
        <v>225</v>
      </c>
      <c r="E270">
        <v>744</v>
      </c>
      <c r="F270">
        <v>742</v>
      </c>
      <c r="G270">
        <v>1100</v>
      </c>
      <c r="H270" t="s">
        <v>222</v>
      </c>
      <c r="I270">
        <v>7846</v>
      </c>
      <c r="J270" t="s">
        <v>152</v>
      </c>
      <c r="K270" t="s">
        <v>260</v>
      </c>
      <c r="L270">
        <v>3940</v>
      </c>
      <c r="M270">
        <v>3965</v>
      </c>
      <c r="N270">
        <v>200</v>
      </c>
      <c r="O270" t="s">
        <v>220</v>
      </c>
      <c r="P270">
        <v>0.942642119369969</v>
      </c>
      <c r="Q270">
        <v>0.92138540712292505</v>
      </c>
      <c r="R270">
        <v>3.4837684557181399E-2</v>
      </c>
      <c r="S270">
        <v>0.20937043156930801</v>
      </c>
      <c r="T270">
        <v>0.12875241059442399</v>
      </c>
      <c r="U270">
        <v>0.12875241059442399</v>
      </c>
      <c r="V270">
        <v>0.35</v>
      </c>
      <c r="W270">
        <v>2.93</v>
      </c>
      <c r="X270">
        <v>249335</v>
      </c>
      <c r="Y270">
        <v>16622</v>
      </c>
      <c r="Z270">
        <v>1.21</v>
      </c>
      <c r="AA270">
        <v>15</v>
      </c>
      <c r="AB270">
        <v>10</v>
      </c>
      <c r="AC270">
        <v>5</v>
      </c>
      <c r="AD270">
        <v>66.67</v>
      </c>
      <c r="AE270">
        <v>13</v>
      </c>
    </row>
    <row r="271" spans="1:31" hidden="1">
      <c r="A271">
        <v>119</v>
      </c>
      <c r="B271">
        <v>7182</v>
      </c>
      <c r="C271" t="s">
        <v>106</v>
      </c>
      <c r="D271" t="s">
        <v>225</v>
      </c>
      <c r="E271">
        <v>1028</v>
      </c>
      <c r="F271">
        <v>1036</v>
      </c>
      <c r="G271">
        <v>1000</v>
      </c>
      <c r="H271" t="s">
        <v>222</v>
      </c>
      <c r="I271">
        <v>7211</v>
      </c>
      <c r="J271" t="s">
        <v>110</v>
      </c>
      <c r="K271" t="s">
        <v>228</v>
      </c>
      <c r="L271">
        <v>470</v>
      </c>
      <c r="M271">
        <v>470</v>
      </c>
      <c r="N271">
        <v>2200</v>
      </c>
      <c r="O271" t="s">
        <v>220</v>
      </c>
      <c r="P271">
        <v>0.939314936833749</v>
      </c>
      <c r="Q271">
        <v>0.96330237394006801</v>
      </c>
      <c r="R271">
        <v>0.207186396437017</v>
      </c>
      <c r="S271">
        <v>8.4131304194083496E-3</v>
      </c>
      <c r="T271">
        <v>0.12647703994152501</v>
      </c>
      <c r="U271">
        <v>0.12647703994152501</v>
      </c>
      <c r="V271">
        <v>0.36</v>
      </c>
      <c r="W271">
        <v>0.19</v>
      </c>
      <c r="X271">
        <v>160408</v>
      </c>
      <c r="Y271">
        <v>10694</v>
      </c>
      <c r="Z271">
        <v>0.5</v>
      </c>
      <c r="AA271">
        <v>15</v>
      </c>
      <c r="AB271">
        <v>8</v>
      </c>
      <c r="AC271">
        <v>7</v>
      </c>
      <c r="AD271">
        <v>53.33</v>
      </c>
      <c r="AE271">
        <v>16</v>
      </c>
    </row>
    <row r="272" spans="1:31" hidden="1">
      <c r="A272">
        <v>249</v>
      </c>
      <c r="B272">
        <v>2531</v>
      </c>
      <c r="C272" t="s">
        <v>295</v>
      </c>
      <c r="D272" t="s">
        <v>268</v>
      </c>
      <c r="E272">
        <v>1061</v>
      </c>
      <c r="F272">
        <v>1079</v>
      </c>
      <c r="G272">
        <v>1000</v>
      </c>
      <c r="H272" t="s">
        <v>222</v>
      </c>
      <c r="I272">
        <v>6752</v>
      </c>
      <c r="J272" t="s">
        <v>137</v>
      </c>
      <c r="K272" t="s">
        <v>231</v>
      </c>
      <c r="L272">
        <v>877.2</v>
      </c>
      <c r="M272">
        <v>874.4</v>
      </c>
      <c r="N272">
        <v>1200</v>
      </c>
      <c r="O272" t="s">
        <v>220</v>
      </c>
      <c r="P272">
        <v>0.90942355489618798</v>
      </c>
      <c r="Q272">
        <v>0.91651946127676598</v>
      </c>
      <c r="R272">
        <v>4.8377356716474001E-3</v>
      </c>
      <c r="S272">
        <v>3.4796286575250197E-2</v>
      </c>
      <c r="T272">
        <v>0.12596514986571999</v>
      </c>
      <c r="U272">
        <v>0.12596514986571999</v>
      </c>
      <c r="V272">
        <v>0.28999999999999998</v>
      </c>
      <c r="W272">
        <v>2.75</v>
      </c>
      <c r="X272">
        <v>-219936</v>
      </c>
      <c r="Y272">
        <v>-12219</v>
      </c>
      <c r="Z272">
        <v>-0.6</v>
      </c>
      <c r="AA272">
        <v>18</v>
      </c>
      <c r="AB272">
        <v>9</v>
      </c>
      <c r="AC272">
        <v>9</v>
      </c>
      <c r="AD272">
        <v>50</v>
      </c>
      <c r="AE272">
        <v>11</v>
      </c>
    </row>
    <row r="273" spans="1:31" hidden="1">
      <c r="A273">
        <v>56</v>
      </c>
      <c r="B273">
        <v>3291</v>
      </c>
      <c r="C273" t="s">
        <v>285</v>
      </c>
      <c r="D273" t="s">
        <v>286</v>
      </c>
      <c r="E273">
        <v>1730</v>
      </c>
      <c r="F273">
        <v>1736</v>
      </c>
      <c r="G273">
        <v>600</v>
      </c>
      <c r="H273" t="s">
        <v>220</v>
      </c>
      <c r="I273">
        <v>5991</v>
      </c>
      <c r="J273" t="s">
        <v>117</v>
      </c>
      <c r="K273" t="s">
        <v>232</v>
      </c>
      <c r="L273">
        <v>809</v>
      </c>
      <c r="M273">
        <v>810</v>
      </c>
      <c r="N273">
        <v>1300</v>
      </c>
      <c r="O273" t="s">
        <v>222</v>
      </c>
      <c r="P273">
        <v>0.95381528234518098</v>
      </c>
      <c r="Q273">
        <v>0.91558066684812101</v>
      </c>
      <c r="R273">
        <v>1.7648760641227799E-2</v>
      </c>
      <c r="S273">
        <v>6.9862048517870901E-4</v>
      </c>
      <c r="T273">
        <v>-0.121777836981234</v>
      </c>
      <c r="U273">
        <v>0.121777836981234</v>
      </c>
      <c r="V273">
        <v>-0.3</v>
      </c>
      <c r="W273">
        <v>1.0900000000000001</v>
      </c>
      <c r="X273">
        <v>298319</v>
      </c>
      <c r="Y273">
        <v>13560</v>
      </c>
      <c r="Z273">
        <v>0.64</v>
      </c>
      <c r="AA273">
        <v>22</v>
      </c>
      <c r="AB273">
        <v>14</v>
      </c>
      <c r="AC273">
        <v>8</v>
      </c>
      <c r="AD273">
        <v>63.64</v>
      </c>
      <c r="AE273">
        <v>13</v>
      </c>
    </row>
    <row r="274" spans="1:31" hidden="1">
      <c r="A274">
        <v>195</v>
      </c>
      <c r="B274">
        <v>4208</v>
      </c>
      <c r="C274" t="s">
        <v>126</v>
      </c>
      <c r="D274" t="s">
        <v>221</v>
      </c>
      <c r="E274">
        <v>2158</v>
      </c>
      <c r="F274">
        <v>2171</v>
      </c>
      <c r="G274">
        <v>400</v>
      </c>
      <c r="H274" t="s">
        <v>220</v>
      </c>
      <c r="I274">
        <v>9810</v>
      </c>
      <c r="J274" t="s">
        <v>145</v>
      </c>
      <c r="K274" t="s">
        <v>250</v>
      </c>
      <c r="L274">
        <v>4280</v>
      </c>
      <c r="M274">
        <v>4330</v>
      </c>
      <c r="N274">
        <v>200</v>
      </c>
      <c r="O274" t="s">
        <v>222</v>
      </c>
      <c r="P274">
        <v>0.92270957002735698</v>
      </c>
      <c r="Q274">
        <v>0.92331756274575005</v>
      </c>
      <c r="R274">
        <v>8.5058589450616201E-2</v>
      </c>
      <c r="S274">
        <v>3.4983073445063698E-2</v>
      </c>
      <c r="T274">
        <v>-0.119597512440878</v>
      </c>
      <c r="U274">
        <v>0.119597512440878</v>
      </c>
      <c r="V274">
        <v>-0.21</v>
      </c>
      <c r="W274">
        <v>0.28000000000000003</v>
      </c>
      <c r="X274">
        <v>278327</v>
      </c>
      <c r="Y274">
        <v>27833</v>
      </c>
      <c r="Z274">
        <v>1.68</v>
      </c>
      <c r="AA274">
        <v>10</v>
      </c>
      <c r="AB274">
        <v>8</v>
      </c>
      <c r="AC274">
        <v>2</v>
      </c>
      <c r="AD274">
        <v>80</v>
      </c>
      <c r="AE274">
        <v>14</v>
      </c>
    </row>
    <row r="275" spans="1:31" hidden="1">
      <c r="A275">
        <v>140</v>
      </c>
      <c r="B275">
        <v>7327</v>
      </c>
      <c r="C275" t="s">
        <v>150</v>
      </c>
      <c r="D275" t="s">
        <v>225</v>
      </c>
      <c r="E275">
        <v>2630</v>
      </c>
      <c r="F275">
        <v>2635</v>
      </c>
      <c r="G275">
        <v>400</v>
      </c>
      <c r="H275" t="s">
        <v>222</v>
      </c>
      <c r="I275">
        <v>8316</v>
      </c>
      <c r="J275" t="s">
        <v>154</v>
      </c>
      <c r="K275" t="s">
        <v>225</v>
      </c>
      <c r="L275">
        <v>3636</v>
      </c>
      <c r="M275">
        <v>3628</v>
      </c>
      <c r="N275">
        <v>300</v>
      </c>
      <c r="O275" t="s">
        <v>220</v>
      </c>
      <c r="P275">
        <v>0.93356956977273198</v>
      </c>
      <c r="Q275">
        <v>0.94408769814294302</v>
      </c>
      <c r="R275">
        <v>2.2601623843752899E-3</v>
      </c>
      <c r="S275">
        <v>0.14917634289679199</v>
      </c>
      <c r="T275">
        <v>0.110196124060124</v>
      </c>
      <c r="U275">
        <v>0.110196124060124</v>
      </c>
      <c r="V275">
        <v>0.26</v>
      </c>
      <c r="W275">
        <v>3.16</v>
      </c>
      <c r="X275">
        <v>12378</v>
      </c>
      <c r="Y275">
        <v>12378</v>
      </c>
      <c r="Z275">
        <v>0.77</v>
      </c>
      <c r="AA275">
        <v>1</v>
      </c>
      <c r="AB275">
        <v>1</v>
      </c>
      <c r="AC275">
        <v>0</v>
      </c>
      <c r="AD275">
        <v>100</v>
      </c>
      <c r="AE275">
        <v>18</v>
      </c>
    </row>
    <row r="276" spans="1:31" hidden="1">
      <c r="A276">
        <v>237</v>
      </c>
      <c r="B276">
        <v>5301</v>
      </c>
      <c r="C276" t="s">
        <v>97</v>
      </c>
      <c r="D276" t="s">
        <v>229</v>
      </c>
      <c r="E276">
        <v>1068</v>
      </c>
      <c r="F276">
        <v>1088</v>
      </c>
      <c r="G276">
        <v>1000</v>
      </c>
      <c r="H276" t="s">
        <v>222</v>
      </c>
      <c r="I276">
        <v>6988</v>
      </c>
      <c r="J276" t="s">
        <v>175</v>
      </c>
      <c r="K276" t="s">
        <v>221</v>
      </c>
      <c r="L276">
        <v>5260</v>
      </c>
      <c r="M276">
        <v>5265</v>
      </c>
      <c r="N276">
        <v>200</v>
      </c>
      <c r="O276" t="s">
        <v>220</v>
      </c>
      <c r="P276">
        <v>0.91256596454281602</v>
      </c>
      <c r="Q276">
        <v>0.91668532549466197</v>
      </c>
      <c r="R276">
        <v>7.7811194023558003E-2</v>
      </c>
      <c r="S276">
        <v>7.1136843350301696E-2</v>
      </c>
      <c r="T276">
        <v>0.105429814613309</v>
      </c>
      <c r="U276">
        <v>0.105429814613309</v>
      </c>
      <c r="V276">
        <v>0.25</v>
      </c>
      <c r="W276">
        <v>3.32</v>
      </c>
      <c r="X276">
        <v>-217585</v>
      </c>
      <c r="Y276">
        <v>-8369</v>
      </c>
      <c r="Z276">
        <v>-0.28000000000000003</v>
      </c>
      <c r="AA276">
        <v>26</v>
      </c>
      <c r="AB276">
        <v>14</v>
      </c>
      <c r="AC276">
        <v>12</v>
      </c>
      <c r="AD276">
        <v>53.85</v>
      </c>
      <c r="AE276">
        <v>9</v>
      </c>
    </row>
    <row r="277" spans="1:31" hidden="1">
      <c r="A277">
        <v>277</v>
      </c>
      <c r="B277">
        <v>7182</v>
      </c>
      <c r="C277" t="s">
        <v>106</v>
      </c>
      <c r="D277" t="s">
        <v>225</v>
      </c>
      <c r="E277">
        <v>1028</v>
      </c>
      <c r="F277">
        <v>1036</v>
      </c>
      <c r="G277">
        <v>1000</v>
      </c>
      <c r="H277" t="s">
        <v>220</v>
      </c>
      <c r="I277">
        <v>9505</v>
      </c>
      <c r="J277" t="s">
        <v>160</v>
      </c>
      <c r="K277" t="s">
        <v>242</v>
      </c>
      <c r="L277">
        <v>716</v>
      </c>
      <c r="M277">
        <v>715</v>
      </c>
      <c r="N277">
        <v>1400</v>
      </c>
      <c r="O277" t="s">
        <v>222</v>
      </c>
      <c r="P277">
        <v>0.90499975844080505</v>
      </c>
      <c r="Q277">
        <v>0.91150424727031898</v>
      </c>
      <c r="R277">
        <v>0.26106502640540402</v>
      </c>
      <c r="S277">
        <v>0.258221540346111</v>
      </c>
      <c r="T277">
        <v>-0.105121858496382</v>
      </c>
      <c r="U277">
        <v>0.105121858496382</v>
      </c>
      <c r="V277">
        <v>-0.38</v>
      </c>
      <c r="W277">
        <v>3.38</v>
      </c>
      <c r="X277">
        <v>-243114</v>
      </c>
      <c r="Y277">
        <v>-14301</v>
      </c>
      <c r="Z277">
        <v>-0.69</v>
      </c>
      <c r="AA277">
        <v>17</v>
      </c>
      <c r="AB277">
        <v>5</v>
      </c>
      <c r="AC277">
        <v>12</v>
      </c>
      <c r="AD277">
        <v>29.41</v>
      </c>
      <c r="AE277">
        <v>15</v>
      </c>
    </row>
    <row r="278" spans="1:31" hidden="1">
      <c r="A278">
        <v>36</v>
      </c>
      <c r="B278">
        <v>4182</v>
      </c>
      <c r="C278" t="s">
        <v>135</v>
      </c>
      <c r="D278" t="s">
        <v>221</v>
      </c>
      <c r="E278">
        <v>1414</v>
      </c>
      <c r="F278">
        <v>1426</v>
      </c>
      <c r="G278">
        <v>700</v>
      </c>
      <c r="H278" t="s">
        <v>222</v>
      </c>
      <c r="I278">
        <v>6472</v>
      </c>
      <c r="J278" t="s">
        <v>127</v>
      </c>
      <c r="K278" t="s">
        <v>230</v>
      </c>
      <c r="L278">
        <v>313</v>
      </c>
      <c r="M278">
        <v>315</v>
      </c>
      <c r="N278">
        <v>3200</v>
      </c>
      <c r="O278" t="s">
        <v>220</v>
      </c>
      <c r="P278">
        <v>0.95901064136559599</v>
      </c>
      <c r="Q278">
        <v>0.94560961479752303</v>
      </c>
      <c r="R278">
        <v>0.109078559836488</v>
      </c>
      <c r="S278">
        <v>0.143617605746091</v>
      </c>
      <c r="T278">
        <v>9.9926718423263394E-2</v>
      </c>
      <c r="U278">
        <v>9.9926718423263394E-2</v>
      </c>
      <c r="V278">
        <v>0.19</v>
      </c>
      <c r="W278">
        <v>0.98</v>
      </c>
      <c r="X278">
        <v>54769</v>
      </c>
      <c r="Y278">
        <v>3222</v>
      </c>
      <c r="Z278">
        <v>0.16</v>
      </c>
      <c r="AA278">
        <v>17</v>
      </c>
      <c r="AB278">
        <v>9</v>
      </c>
      <c r="AC278">
        <v>8</v>
      </c>
      <c r="AD278">
        <v>52.94</v>
      </c>
      <c r="AE278">
        <v>13</v>
      </c>
    </row>
    <row r="279" spans="1:31" hidden="1">
      <c r="A279">
        <v>81</v>
      </c>
      <c r="B279">
        <v>7189</v>
      </c>
      <c r="C279" t="s">
        <v>155</v>
      </c>
      <c r="D279" t="s">
        <v>225</v>
      </c>
      <c r="E279">
        <v>744</v>
      </c>
      <c r="F279">
        <v>742</v>
      </c>
      <c r="G279">
        <v>1200</v>
      </c>
      <c r="H279" t="s">
        <v>222</v>
      </c>
      <c r="I279">
        <v>9810</v>
      </c>
      <c r="J279" t="s">
        <v>145</v>
      </c>
      <c r="K279" t="s">
        <v>250</v>
      </c>
      <c r="L279">
        <v>4280</v>
      </c>
      <c r="M279">
        <v>4330</v>
      </c>
      <c r="N279">
        <v>200</v>
      </c>
      <c r="O279" t="s">
        <v>220</v>
      </c>
      <c r="P279">
        <v>0.94838661096134502</v>
      </c>
      <c r="Q279">
        <v>0.92990605903022805</v>
      </c>
      <c r="R279">
        <v>0.310666254446815</v>
      </c>
      <c r="S279">
        <v>4.1552564934601098E-2</v>
      </c>
      <c r="T279">
        <v>9.9727041245238998E-2</v>
      </c>
      <c r="U279">
        <v>9.9727041245238998E-2</v>
      </c>
      <c r="V279">
        <v>0.38</v>
      </c>
      <c r="W279">
        <v>2.82</v>
      </c>
      <c r="X279">
        <v>29244</v>
      </c>
      <c r="Y279">
        <v>2250</v>
      </c>
      <c r="Z279">
        <v>0.23</v>
      </c>
      <c r="AA279">
        <v>13</v>
      </c>
      <c r="AB279">
        <v>8</v>
      </c>
      <c r="AC279">
        <v>5</v>
      </c>
      <c r="AD279">
        <v>61.54</v>
      </c>
      <c r="AE279">
        <v>12</v>
      </c>
    </row>
    <row r="280" spans="1:31" hidden="1">
      <c r="A280">
        <v>210</v>
      </c>
      <c r="B280">
        <v>7182</v>
      </c>
      <c r="C280" t="s">
        <v>106</v>
      </c>
      <c r="D280" t="s">
        <v>225</v>
      </c>
      <c r="E280">
        <v>1028</v>
      </c>
      <c r="F280">
        <v>1036</v>
      </c>
      <c r="G280">
        <v>1000</v>
      </c>
      <c r="H280" t="s">
        <v>220</v>
      </c>
      <c r="I280">
        <v>7278</v>
      </c>
      <c r="J280" t="s">
        <v>91</v>
      </c>
      <c r="K280" t="s">
        <v>228</v>
      </c>
      <c r="L280">
        <v>2095</v>
      </c>
      <c r="M280">
        <v>2100</v>
      </c>
      <c r="N280">
        <v>500</v>
      </c>
      <c r="O280" t="s">
        <v>222</v>
      </c>
      <c r="P280">
        <v>0.91944077064801</v>
      </c>
      <c r="Q280">
        <v>0.92432182586571698</v>
      </c>
      <c r="R280">
        <v>1.6471921194429799E-2</v>
      </c>
      <c r="S280">
        <v>0.35929111870006702</v>
      </c>
      <c r="T280">
        <v>-9.91344362180097E-2</v>
      </c>
      <c r="U280">
        <v>9.91344362180097E-2</v>
      </c>
      <c r="V280">
        <v>-0.24</v>
      </c>
      <c r="W280">
        <v>1.33</v>
      </c>
      <c r="X280">
        <v>164980</v>
      </c>
      <c r="Y280">
        <v>9705</v>
      </c>
      <c r="Z280">
        <v>0.49</v>
      </c>
      <c r="AA280">
        <v>17</v>
      </c>
      <c r="AB280">
        <v>10</v>
      </c>
      <c r="AC280">
        <v>7</v>
      </c>
      <c r="AD280">
        <v>58.82</v>
      </c>
      <c r="AE280">
        <v>13</v>
      </c>
    </row>
    <row r="281" spans="1:31" hidden="1">
      <c r="A281">
        <v>241</v>
      </c>
      <c r="B281">
        <v>1820</v>
      </c>
      <c r="C281" t="s">
        <v>270</v>
      </c>
      <c r="D281" t="s">
        <v>246</v>
      </c>
      <c r="E281">
        <v>1967</v>
      </c>
      <c r="F281">
        <v>1974</v>
      </c>
      <c r="G281">
        <v>500</v>
      </c>
      <c r="H281" t="s">
        <v>222</v>
      </c>
      <c r="I281">
        <v>7259</v>
      </c>
      <c r="J281" t="s">
        <v>105</v>
      </c>
      <c r="K281" t="s">
        <v>228</v>
      </c>
      <c r="L281">
        <v>3390</v>
      </c>
      <c r="M281">
        <v>3390</v>
      </c>
      <c r="N281">
        <v>300</v>
      </c>
      <c r="O281" t="s">
        <v>220</v>
      </c>
      <c r="P281">
        <v>0.91158985436218898</v>
      </c>
      <c r="Q281">
        <v>0.91475181451596799</v>
      </c>
      <c r="R281">
        <v>3.4561846931550899E-2</v>
      </c>
      <c r="S281">
        <v>9.6360337819264303E-3</v>
      </c>
      <c r="T281">
        <v>9.7444154080783094E-2</v>
      </c>
      <c r="U281">
        <v>9.7444154080783094E-2</v>
      </c>
      <c r="V281">
        <v>0.32</v>
      </c>
      <c r="W281">
        <v>2.95</v>
      </c>
      <c r="X281">
        <v>-18457</v>
      </c>
      <c r="Y281">
        <v>-1420</v>
      </c>
      <c r="Z281">
        <v>-0.28000000000000003</v>
      </c>
      <c r="AA281">
        <v>13</v>
      </c>
      <c r="AB281">
        <v>5</v>
      </c>
      <c r="AC281">
        <v>8</v>
      </c>
      <c r="AD281">
        <v>38.46</v>
      </c>
      <c r="AE281">
        <v>11</v>
      </c>
    </row>
    <row r="282" spans="1:31" hidden="1">
      <c r="A282">
        <v>134</v>
      </c>
      <c r="B282">
        <v>1860</v>
      </c>
      <c r="C282" t="s">
        <v>272</v>
      </c>
      <c r="D282" t="s">
        <v>246</v>
      </c>
      <c r="E282">
        <v>618</v>
      </c>
      <c r="F282">
        <v>621</v>
      </c>
      <c r="G282">
        <v>1600</v>
      </c>
      <c r="H282" t="s">
        <v>222</v>
      </c>
      <c r="I282">
        <v>5110</v>
      </c>
      <c r="J282" t="s">
        <v>130</v>
      </c>
      <c r="K282" t="s">
        <v>266</v>
      </c>
      <c r="L282">
        <v>1274</v>
      </c>
      <c r="M282">
        <v>1272</v>
      </c>
      <c r="N282">
        <v>800</v>
      </c>
      <c r="O282" t="s">
        <v>220</v>
      </c>
      <c r="P282">
        <v>0.93555652198665695</v>
      </c>
      <c r="Q282">
        <v>0.94388442858658606</v>
      </c>
      <c r="R282">
        <v>0.16818352045917601</v>
      </c>
      <c r="S282">
        <v>3.30822219126155E-3</v>
      </c>
      <c r="T282">
        <v>9.1813049626609702E-2</v>
      </c>
      <c r="U282">
        <v>9.1813049626609702E-2</v>
      </c>
      <c r="V282">
        <v>0.19</v>
      </c>
      <c r="W282">
        <v>2.36</v>
      </c>
      <c r="X282">
        <v>98838</v>
      </c>
      <c r="Y282">
        <v>5814</v>
      </c>
      <c r="Z282">
        <v>0.24</v>
      </c>
      <c r="AA282">
        <v>17</v>
      </c>
      <c r="AB282">
        <v>10</v>
      </c>
      <c r="AC282">
        <v>7</v>
      </c>
      <c r="AD282">
        <v>58.82</v>
      </c>
      <c r="AE282">
        <v>14</v>
      </c>
    </row>
    <row r="283" spans="1:31" hidden="1">
      <c r="A283">
        <v>93</v>
      </c>
      <c r="B283">
        <v>5214</v>
      </c>
      <c r="C283" t="s">
        <v>99</v>
      </c>
      <c r="D283" t="s">
        <v>229</v>
      </c>
      <c r="E283">
        <v>2345</v>
      </c>
      <c r="F283">
        <v>2369</v>
      </c>
      <c r="G283">
        <v>400</v>
      </c>
      <c r="H283" t="s">
        <v>220</v>
      </c>
      <c r="I283">
        <v>7751</v>
      </c>
      <c r="J283" t="s">
        <v>171</v>
      </c>
      <c r="K283" t="s">
        <v>231</v>
      </c>
      <c r="L283">
        <v>2832</v>
      </c>
      <c r="M283">
        <v>2850</v>
      </c>
      <c r="N283">
        <v>300</v>
      </c>
      <c r="O283" t="s">
        <v>222</v>
      </c>
      <c r="P283">
        <v>0.94550863737644897</v>
      </c>
      <c r="Q283">
        <v>0.91215065920045701</v>
      </c>
      <c r="R283">
        <v>1.6164674282575901E-2</v>
      </c>
      <c r="S283">
        <v>7.7542474615822005E-2</v>
      </c>
      <c r="T283">
        <v>-9.1601187227062605E-2</v>
      </c>
      <c r="U283">
        <v>9.1601187227062605E-2</v>
      </c>
      <c r="V283">
        <v>-0.37</v>
      </c>
      <c r="W283">
        <v>10.83</v>
      </c>
      <c r="X283">
        <v>-117750</v>
      </c>
      <c r="Y283">
        <v>-10705</v>
      </c>
      <c r="Z283">
        <v>-0.57999999999999996</v>
      </c>
      <c r="AA283">
        <v>11</v>
      </c>
      <c r="AB283">
        <v>5</v>
      </c>
      <c r="AC283">
        <v>6</v>
      </c>
      <c r="AD283">
        <v>45.45</v>
      </c>
      <c r="AE283">
        <v>13</v>
      </c>
    </row>
    <row r="284" spans="1:31" hidden="1">
      <c r="A284">
        <v>104</v>
      </c>
      <c r="B284">
        <v>5901</v>
      </c>
      <c r="C284" t="s">
        <v>284</v>
      </c>
      <c r="D284" t="s">
        <v>232</v>
      </c>
      <c r="E284">
        <v>1687</v>
      </c>
      <c r="F284">
        <v>1686</v>
      </c>
      <c r="G284">
        <v>600</v>
      </c>
      <c r="H284" t="s">
        <v>222</v>
      </c>
      <c r="I284">
        <v>6178</v>
      </c>
      <c r="J284" t="s">
        <v>163</v>
      </c>
      <c r="K284" t="s">
        <v>276</v>
      </c>
      <c r="L284">
        <v>987</v>
      </c>
      <c r="M284">
        <v>996</v>
      </c>
      <c r="N284">
        <v>1000</v>
      </c>
      <c r="O284" t="s">
        <v>220</v>
      </c>
      <c r="P284">
        <v>0.94202750661031898</v>
      </c>
      <c r="Q284">
        <v>0.93196416062470799</v>
      </c>
      <c r="R284">
        <v>5.8154228396191297E-2</v>
      </c>
      <c r="S284">
        <v>0.16266957516598299</v>
      </c>
      <c r="T284">
        <v>9.1056133377072399E-2</v>
      </c>
      <c r="U284">
        <v>9.1056133377072399E-2</v>
      </c>
      <c r="V284">
        <v>0.41</v>
      </c>
      <c r="W284">
        <v>1.54</v>
      </c>
      <c r="X284">
        <v>90618</v>
      </c>
      <c r="Y284">
        <v>4119</v>
      </c>
      <c r="Z284">
        <v>0.19</v>
      </c>
      <c r="AA284">
        <v>22</v>
      </c>
      <c r="AB284">
        <v>13</v>
      </c>
      <c r="AC284">
        <v>9</v>
      </c>
      <c r="AD284">
        <v>59.09</v>
      </c>
      <c r="AE284">
        <v>15</v>
      </c>
    </row>
    <row r="285" spans="1:31" hidden="1">
      <c r="A285">
        <v>186</v>
      </c>
      <c r="B285">
        <v>6472</v>
      </c>
      <c r="C285" t="s">
        <v>127</v>
      </c>
      <c r="D285" t="s">
        <v>230</v>
      </c>
      <c r="E285">
        <v>313</v>
      </c>
      <c r="F285">
        <v>315</v>
      </c>
      <c r="G285">
        <v>3400</v>
      </c>
      <c r="H285" t="s">
        <v>220</v>
      </c>
      <c r="I285">
        <v>7186</v>
      </c>
      <c r="J285" t="s">
        <v>95</v>
      </c>
      <c r="K285" t="s">
        <v>225</v>
      </c>
      <c r="L285">
        <v>414</v>
      </c>
      <c r="M285">
        <v>409</v>
      </c>
      <c r="N285">
        <v>2600</v>
      </c>
      <c r="O285" t="s">
        <v>222</v>
      </c>
      <c r="P285">
        <v>0.92535335261683205</v>
      </c>
      <c r="Q285">
        <v>0.90774451069530204</v>
      </c>
      <c r="R285">
        <v>1.2468356003624399E-2</v>
      </c>
      <c r="S285">
        <v>8.0432583887197207E-2</v>
      </c>
      <c r="T285">
        <v>-8.8150959429368195E-2</v>
      </c>
      <c r="U285">
        <v>8.8150959429368195E-2</v>
      </c>
      <c r="V285">
        <v>-0.24</v>
      </c>
      <c r="W285">
        <v>0.71</v>
      </c>
      <c r="X285">
        <v>64010</v>
      </c>
      <c r="Y285">
        <v>4267</v>
      </c>
      <c r="Z285">
        <v>0.19</v>
      </c>
      <c r="AA285">
        <v>15</v>
      </c>
      <c r="AB285">
        <v>8</v>
      </c>
      <c r="AC285">
        <v>7</v>
      </c>
      <c r="AD285">
        <v>53.33</v>
      </c>
      <c r="AE285">
        <v>12</v>
      </c>
    </row>
    <row r="286" spans="1:31" hidden="1">
      <c r="A286">
        <v>33</v>
      </c>
      <c r="B286">
        <v>7186</v>
      </c>
      <c r="C286" t="s">
        <v>95</v>
      </c>
      <c r="D286" t="s">
        <v>225</v>
      </c>
      <c r="E286">
        <v>414</v>
      </c>
      <c r="F286">
        <v>409</v>
      </c>
      <c r="G286">
        <v>2300</v>
      </c>
      <c r="H286" t="s">
        <v>220</v>
      </c>
      <c r="I286">
        <v>8341</v>
      </c>
      <c r="J286" t="s">
        <v>134</v>
      </c>
      <c r="K286" t="s">
        <v>225</v>
      </c>
      <c r="L286">
        <v>1575</v>
      </c>
      <c r="M286">
        <v>1580</v>
      </c>
      <c r="N286">
        <v>600</v>
      </c>
      <c r="O286" t="s">
        <v>222</v>
      </c>
      <c r="P286">
        <v>0.95959658988853802</v>
      </c>
      <c r="Q286">
        <v>0.93982916467706101</v>
      </c>
      <c r="R286">
        <v>0.15659945653236601</v>
      </c>
      <c r="S286">
        <v>0.12830352838459499</v>
      </c>
      <c r="T286">
        <v>-8.7251516238262605E-2</v>
      </c>
      <c r="U286">
        <v>8.7251516238262605E-2</v>
      </c>
      <c r="V286">
        <v>-0.21</v>
      </c>
      <c r="W286">
        <v>0.77</v>
      </c>
      <c r="X286">
        <v>27254</v>
      </c>
      <c r="Y286">
        <v>1514</v>
      </c>
      <c r="Z286">
        <v>0.05</v>
      </c>
      <c r="AA286">
        <v>18</v>
      </c>
      <c r="AB286">
        <v>8</v>
      </c>
      <c r="AC286">
        <v>10</v>
      </c>
      <c r="AD286">
        <v>44.44</v>
      </c>
      <c r="AE286">
        <v>13</v>
      </c>
    </row>
    <row r="287" spans="1:31" hidden="1">
      <c r="A287">
        <v>67</v>
      </c>
      <c r="B287">
        <v>5401</v>
      </c>
      <c r="C287" t="s">
        <v>148</v>
      </c>
      <c r="D287" t="s">
        <v>239</v>
      </c>
      <c r="E287">
        <v>1481</v>
      </c>
      <c r="F287">
        <v>1484</v>
      </c>
      <c r="G287">
        <v>600</v>
      </c>
      <c r="H287" t="s">
        <v>222</v>
      </c>
      <c r="I287">
        <v>6586</v>
      </c>
      <c r="J287" t="s">
        <v>90</v>
      </c>
      <c r="K287" t="s">
        <v>230</v>
      </c>
      <c r="L287">
        <v>3060</v>
      </c>
      <c r="M287">
        <v>3070</v>
      </c>
      <c r="N287">
        <v>300</v>
      </c>
      <c r="O287" t="s">
        <v>220</v>
      </c>
      <c r="P287">
        <v>0.95187294809144396</v>
      </c>
      <c r="Q287">
        <v>0.91050559088813898</v>
      </c>
      <c r="R287">
        <v>0.25919248998758898</v>
      </c>
      <c r="S287">
        <v>0.30585662677921799</v>
      </c>
      <c r="T287">
        <v>8.4291453661318502E-2</v>
      </c>
      <c r="U287">
        <v>8.4291453661318502E-2</v>
      </c>
      <c r="V287">
        <v>0.36</v>
      </c>
      <c r="W287">
        <v>3.32</v>
      </c>
      <c r="X287">
        <v>127686</v>
      </c>
      <c r="Y287">
        <v>10640</v>
      </c>
      <c r="Z287">
        <v>0.63</v>
      </c>
      <c r="AA287">
        <v>12</v>
      </c>
      <c r="AB287">
        <v>7</v>
      </c>
      <c r="AC287">
        <v>5</v>
      </c>
      <c r="AD287">
        <v>58.33</v>
      </c>
      <c r="AE287">
        <v>14</v>
      </c>
    </row>
    <row r="288" spans="1:31" hidden="1">
      <c r="A288">
        <v>198</v>
      </c>
      <c r="B288">
        <v>6752</v>
      </c>
      <c r="C288" t="s">
        <v>137</v>
      </c>
      <c r="D288" t="s">
        <v>231</v>
      </c>
      <c r="E288">
        <v>877.2</v>
      </c>
      <c r="F288">
        <v>874.4</v>
      </c>
      <c r="G288">
        <v>1200</v>
      </c>
      <c r="H288" t="s">
        <v>222</v>
      </c>
      <c r="I288">
        <v>9505</v>
      </c>
      <c r="J288" t="s">
        <v>160</v>
      </c>
      <c r="K288" t="s">
        <v>242</v>
      </c>
      <c r="L288">
        <v>716</v>
      </c>
      <c r="M288">
        <v>715</v>
      </c>
      <c r="N288">
        <v>1500</v>
      </c>
      <c r="O288" t="s">
        <v>220</v>
      </c>
      <c r="P288">
        <v>0.92230377731294</v>
      </c>
      <c r="Q288">
        <v>0.91562213895252298</v>
      </c>
      <c r="R288">
        <v>2.40339683310293E-2</v>
      </c>
      <c r="S288">
        <v>0.26241336956627598</v>
      </c>
      <c r="T288">
        <v>7.9751920306919799E-2</v>
      </c>
      <c r="U288">
        <v>7.9751920306919799E-2</v>
      </c>
      <c r="V288">
        <v>0.3</v>
      </c>
      <c r="W288">
        <v>2.21</v>
      </c>
      <c r="X288">
        <v>-11796</v>
      </c>
      <c r="Y288">
        <v>-513</v>
      </c>
      <c r="Z288">
        <v>-0.02</v>
      </c>
      <c r="AA288">
        <v>23</v>
      </c>
      <c r="AB288">
        <v>13</v>
      </c>
      <c r="AC288">
        <v>10</v>
      </c>
      <c r="AD288">
        <v>56.52</v>
      </c>
      <c r="AE288">
        <v>13</v>
      </c>
    </row>
    <row r="289" spans="1:31" hidden="1">
      <c r="A289">
        <v>41</v>
      </c>
      <c r="B289">
        <v>3861</v>
      </c>
      <c r="C289" t="s">
        <v>288</v>
      </c>
      <c r="D289" t="s">
        <v>289</v>
      </c>
      <c r="E289">
        <v>514</v>
      </c>
      <c r="F289">
        <v>521</v>
      </c>
      <c r="G289">
        <v>1600</v>
      </c>
      <c r="H289" t="s">
        <v>222</v>
      </c>
      <c r="I289">
        <v>7751</v>
      </c>
      <c r="J289" t="s">
        <v>171</v>
      </c>
      <c r="K289" t="s">
        <v>231</v>
      </c>
      <c r="L289">
        <v>2832</v>
      </c>
      <c r="M289">
        <v>2850</v>
      </c>
      <c r="N289">
        <v>300</v>
      </c>
      <c r="O289" t="s">
        <v>220</v>
      </c>
      <c r="P289">
        <v>0.957941465147783</v>
      </c>
      <c r="Q289">
        <v>0.91297738029531394</v>
      </c>
      <c r="R289">
        <v>3.8510711224648497E-2</v>
      </c>
      <c r="S289">
        <v>1.65921941968439E-2</v>
      </c>
      <c r="T289">
        <v>7.6099500729351205E-2</v>
      </c>
      <c r="U289">
        <v>7.6099500729351205E-2</v>
      </c>
      <c r="V289">
        <v>0.3</v>
      </c>
      <c r="W289">
        <v>2.5</v>
      </c>
      <c r="X289">
        <v>-1977</v>
      </c>
      <c r="Y289">
        <v>-99</v>
      </c>
      <c r="Z289">
        <v>-0.02</v>
      </c>
      <c r="AA289">
        <v>20</v>
      </c>
      <c r="AB289">
        <v>11</v>
      </c>
      <c r="AC289">
        <v>9</v>
      </c>
      <c r="AD289">
        <v>55</v>
      </c>
      <c r="AE289">
        <v>14</v>
      </c>
    </row>
    <row r="290" spans="1:31" hidden="1">
      <c r="A290">
        <v>80</v>
      </c>
      <c r="B290">
        <v>7013</v>
      </c>
      <c r="C290" t="s">
        <v>165</v>
      </c>
      <c r="D290" t="s">
        <v>230</v>
      </c>
      <c r="E290">
        <v>2300</v>
      </c>
      <c r="F290">
        <v>2407</v>
      </c>
      <c r="G290">
        <v>400</v>
      </c>
      <c r="H290" t="s">
        <v>220</v>
      </c>
      <c r="I290">
        <v>8795</v>
      </c>
      <c r="J290" t="s">
        <v>166</v>
      </c>
      <c r="K290" t="s">
        <v>253</v>
      </c>
      <c r="L290">
        <v>1156.5</v>
      </c>
      <c r="M290">
        <v>1162</v>
      </c>
      <c r="N290">
        <v>800</v>
      </c>
      <c r="O290" t="s">
        <v>222</v>
      </c>
      <c r="P290">
        <v>0.94847414880972203</v>
      </c>
      <c r="Q290">
        <v>0.96531782303097902</v>
      </c>
      <c r="R290">
        <v>2.0013707012391201E-2</v>
      </c>
      <c r="S290">
        <v>8.2129366238607504E-2</v>
      </c>
      <c r="T290">
        <v>-6.7851904109456795E-2</v>
      </c>
      <c r="U290">
        <v>6.7851904109456795E-2</v>
      </c>
      <c r="V290">
        <v>-0.28999999999999998</v>
      </c>
      <c r="W290">
        <v>3.45</v>
      </c>
      <c r="X290">
        <v>133543</v>
      </c>
      <c r="Y290">
        <v>7029</v>
      </c>
      <c r="Z290">
        <v>0.47</v>
      </c>
      <c r="AA290">
        <v>19</v>
      </c>
      <c r="AB290">
        <v>11</v>
      </c>
      <c r="AC290">
        <v>8</v>
      </c>
      <c r="AD290">
        <v>57.89</v>
      </c>
      <c r="AE290">
        <v>10</v>
      </c>
    </row>
    <row r="291" spans="1:31" hidden="1">
      <c r="A291">
        <v>143</v>
      </c>
      <c r="B291">
        <v>2531</v>
      </c>
      <c r="C291" t="s">
        <v>295</v>
      </c>
      <c r="D291" t="s">
        <v>268</v>
      </c>
      <c r="E291">
        <v>1061</v>
      </c>
      <c r="F291">
        <v>1079</v>
      </c>
      <c r="G291">
        <v>1000</v>
      </c>
      <c r="H291" t="s">
        <v>222</v>
      </c>
      <c r="I291">
        <v>5020</v>
      </c>
      <c r="J291" t="s">
        <v>167</v>
      </c>
      <c r="K291" t="s">
        <v>273</v>
      </c>
      <c r="L291">
        <v>487.9</v>
      </c>
      <c r="M291">
        <v>487.8</v>
      </c>
      <c r="N291">
        <v>2200</v>
      </c>
      <c r="O291" t="s">
        <v>220</v>
      </c>
      <c r="P291">
        <v>0.93307128000772199</v>
      </c>
      <c r="Q291">
        <v>0.922007014913933</v>
      </c>
      <c r="R291">
        <v>3.5742117662436401E-2</v>
      </c>
      <c r="S291">
        <v>3.2775995760058102E-2</v>
      </c>
      <c r="T291">
        <v>6.0872323814323899E-2</v>
      </c>
      <c r="U291">
        <v>6.0872323814323899E-2</v>
      </c>
      <c r="V291">
        <v>0.2</v>
      </c>
      <c r="W291">
        <v>0.54</v>
      </c>
      <c r="X291">
        <v>228521</v>
      </c>
      <c r="Y291">
        <v>15235</v>
      </c>
      <c r="Z291">
        <v>0.78</v>
      </c>
      <c r="AA291">
        <v>15</v>
      </c>
      <c r="AB291">
        <v>10</v>
      </c>
      <c r="AC291">
        <v>5</v>
      </c>
      <c r="AD291">
        <v>66.67</v>
      </c>
      <c r="AE291">
        <v>10</v>
      </c>
    </row>
    <row r="292" spans="1:31" hidden="1">
      <c r="A292">
        <v>211</v>
      </c>
      <c r="B292">
        <v>5991</v>
      </c>
      <c r="C292" t="s">
        <v>117</v>
      </c>
      <c r="D292" t="s">
        <v>232</v>
      </c>
      <c r="E292">
        <v>809</v>
      </c>
      <c r="F292">
        <v>810</v>
      </c>
      <c r="G292">
        <v>1300</v>
      </c>
      <c r="H292" t="s">
        <v>220</v>
      </c>
      <c r="I292">
        <v>6371</v>
      </c>
      <c r="J292" t="s">
        <v>132</v>
      </c>
      <c r="K292" t="s">
        <v>230</v>
      </c>
      <c r="L292">
        <v>3400</v>
      </c>
      <c r="M292">
        <v>3420</v>
      </c>
      <c r="N292">
        <v>300</v>
      </c>
      <c r="O292" t="s">
        <v>222</v>
      </c>
      <c r="P292">
        <v>0.91923149016817196</v>
      </c>
      <c r="Q292">
        <v>0.91819585636668699</v>
      </c>
      <c r="R292">
        <v>0.14516777035860801</v>
      </c>
      <c r="S292">
        <v>0.27915482339553899</v>
      </c>
      <c r="T292">
        <v>-5.1624097185697999E-2</v>
      </c>
      <c r="U292">
        <v>5.1624097185697999E-2</v>
      </c>
      <c r="V292">
        <v>-0.14000000000000001</v>
      </c>
      <c r="W292">
        <v>2.63</v>
      </c>
      <c r="X292">
        <v>206398</v>
      </c>
      <c r="Y292">
        <v>10863</v>
      </c>
      <c r="Z292">
        <v>0.48</v>
      </c>
      <c r="AA292">
        <v>19</v>
      </c>
      <c r="AB292">
        <v>10</v>
      </c>
      <c r="AC292">
        <v>9</v>
      </c>
      <c r="AD292">
        <v>52.63</v>
      </c>
      <c r="AE292">
        <v>13</v>
      </c>
    </row>
    <row r="293" spans="1:31" hidden="1">
      <c r="A293">
        <v>272</v>
      </c>
      <c r="B293">
        <v>1820</v>
      </c>
      <c r="C293" t="s">
        <v>270</v>
      </c>
      <c r="D293" t="s">
        <v>246</v>
      </c>
      <c r="E293">
        <v>1967</v>
      </c>
      <c r="F293">
        <v>1974</v>
      </c>
      <c r="G293">
        <v>500</v>
      </c>
      <c r="H293" t="s">
        <v>222</v>
      </c>
      <c r="I293">
        <v>9505</v>
      </c>
      <c r="J293" t="s">
        <v>160</v>
      </c>
      <c r="K293" t="s">
        <v>242</v>
      </c>
      <c r="L293">
        <v>716</v>
      </c>
      <c r="M293">
        <v>715</v>
      </c>
      <c r="N293">
        <v>1400</v>
      </c>
      <c r="O293" t="s">
        <v>220</v>
      </c>
      <c r="P293">
        <v>0.90594824039155297</v>
      </c>
      <c r="Q293">
        <v>0.92407834420014801</v>
      </c>
      <c r="R293">
        <v>5.6847141956939101E-2</v>
      </c>
      <c r="S293">
        <v>5.2768182424831098E-2</v>
      </c>
      <c r="T293">
        <v>5.10512189970267E-2</v>
      </c>
      <c r="U293">
        <v>5.10512189970267E-2</v>
      </c>
      <c r="V293">
        <v>0.16</v>
      </c>
      <c r="W293">
        <v>1.42</v>
      </c>
      <c r="X293">
        <v>1943</v>
      </c>
      <c r="Y293">
        <v>97</v>
      </c>
      <c r="Z293">
        <v>-0.01</v>
      </c>
      <c r="AA293">
        <v>20</v>
      </c>
      <c r="AB293">
        <v>8</v>
      </c>
      <c r="AC293">
        <v>12</v>
      </c>
      <c r="AD293">
        <v>40</v>
      </c>
      <c r="AE293">
        <v>12</v>
      </c>
    </row>
    <row r="294" spans="1:31" hidden="1">
      <c r="A294">
        <v>250</v>
      </c>
      <c r="B294">
        <v>7278</v>
      </c>
      <c r="C294" t="s">
        <v>91</v>
      </c>
      <c r="D294" t="s">
        <v>228</v>
      </c>
      <c r="E294">
        <v>2095</v>
      </c>
      <c r="F294">
        <v>2100</v>
      </c>
      <c r="G294">
        <v>500</v>
      </c>
      <c r="H294" t="s">
        <v>220</v>
      </c>
      <c r="I294">
        <v>9505</v>
      </c>
      <c r="J294" t="s">
        <v>160</v>
      </c>
      <c r="K294" t="s">
        <v>242</v>
      </c>
      <c r="L294">
        <v>716</v>
      </c>
      <c r="M294">
        <v>715</v>
      </c>
      <c r="N294">
        <v>1500</v>
      </c>
      <c r="O294" t="s">
        <v>222</v>
      </c>
      <c r="P294">
        <v>0.90922216843562698</v>
      </c>
      <c r="Q294">
        <v>0.91726781269247104</v>
      </c>
      <c r="R294">
        <v>4.46300673072174E-2</v>
      </c>
      <c r="S294">
        <v>6.5898070539134296E-2</v>
      </c>
      <c r="T294">
        <v>-4.8196810878385898E-2</v>
      </c>
      <c r="U294">
        <v>4.8196810878385898E-2</v>
      </c>
      <c r="V294">
        <v>-0.15</v>
      </c>
      <c r="W294">
        <v>2.14</v>
      </c>
      <c r="X294">
        <v>197759</v>
      </c>
      <c r="Y294">
        <v>8989</v>
      </c>
      <c r="Z294">
        <v>0.52</v>
      </c>
      <c r="AA294">
        <v>22</v>
      </c>
      <c r="AB294">
        <v>14</v>
      </c>
      <c r="AC294">
        <v>8</v>
      </c>
      <c r="AD294">
        <v>63.64</v>
      </c>
      <c r="AE294">
        <v>12</v>
      </c>
    </row>
    <row r="295" spans="1:31" hidden="1">
      <c r="A295">
        <v>221</v>
      </c>
      <c r="B295">
        <v>3291</v>
      </c>
      <c r="C295" t="s">
        <v>285</v>
      </c>
      <c r="D295" t="s">
        <v>286</v>
      </c>
      <c r="E295">
        <v>1730</v>
      </c>
      <c r="F295">
        <v>1736</v>
      </c>
      <c r="G295">
        <v>600</v>
      </c>
      <c r="H295" t="s">
        <v>220</v>
      </c>
      <c r="I295">
        <v>7267</v>
      </c>
      <c r="J295" t="s">
        <v>142</v>
      </c>
      <c r="K295" t="s">
        <v>228</v>
      </c>
      <c r="L295">
        <v>2726.5</v>
      </c>
      <c r="M295">
        <v>2724</v>
      </c>
      <c r="N295">
        <v>400</v>
      </c>
      <c r="O295" t="s">
        <v>222</v>
      </c>
      <c r="P295">
        <v>0.91671675720373802</v>
      </c>
      <c r="Q295">
        <v>0.90111491211030004</v>
      </c>
      <c r="R295">
        <v>0.19416638956000001</v>
      </c>
      <c r="S295">
        <v>4.2811668986021303E-2</v>
      </c>
      <c r="T295">
        <v>-4.5159507470634602E-2</v>
      </c>
      <c r="U295">
        <v>4.5159507470634602E-2</v>
      </c>
      <c r="V295">
        <v>-0.1</v>
      </c>
      <c r="W295">
        <v>4.41</v>
      </c>
      <c r="X295">
        <v>-45959</v>
      </c>
      <c r="Y295">
        <v>-2872</v>
      </c>
      <c r="Z295">
        <v>-0.03</v>
      </c>
      <c r="AA295">
        <v>16</v>
      </c>
      <c r="AB295">
        <v>9</v>
      </c>
      <c r="AC295">
        <v>7</v>
      </c>
      <c r="AD295">
        <v>56.25</v>
      </c>
      <c r="AE295">
        <v>13</v>
      </c>
    </row>
    <row r="296" spans="1:31" hidden="1">
      <c r="A296">
        <v>172</v>
      </c>
      <c r="B296">
        <v>7201</v>
      </c>
      <c r="C296" t="s">
        <v>109</v>
      </c>
      <c r="D296" t="s">
        <v>228</v>
      </c>
      <c r="E296">
        <v>661</v>
      </c>
      <c r="F296">
        <v>660.8</v>
      </c>
      <c r="G296">
        <v>1500</v>
      </c>
      <c r="H296" t="s">
        <v>222</v>
      </c>
      <c r="I296">
        <v>9404</v>
      </c>
      <c r="J296" t="s">
        <v>116</v>
      </c>
      <c r="K296" t="s">
        <v>219</v>
      </c>
      <c r="L296">
        <v>1380</v>
      </c>
      <c r="M296">
        <v>1382</v>
      </c>
      <c r="N296">
        <v>700</v>
      </c>
      <c r="O296" t="s">
        <v>220</v>
      </c>
      <c r="P296">
        <v>0.92806020494486596</v>
      </c>
      <c r="Q296">
        <v>0.92238282293335705</v>
      </c>
      <c r="R296">
        <v>0.28522721324922901</v>
      </c>
      <c r="S296">
        <v>0.16726392440412499</v>
      </c>
      <c r="T296">
        <v>4.0516110882519801E-2</v>
      </c>
      <c r="U296">
        <v>4.0516110882519801E-2</v>
      </c>
      <c r="V296">
        <v>0.11</v>
      </c>
      <c r="W296">
        <v>2.46</v>
      </c>
      <c r="X296">
        <v>376971</v>
      </c>
      <c r="Y296">
        <v>22175</v>
      </c>
      <c r="Z296">
        <v>1.0900000000000001</v>
      </c>
      <c r="AA296">
        <v>17</v>
      </c>
      <c r="AB296">
        <v>14</v>
      </c>
      <c r="AC296">
        <v>3</v>
      </c>
      <c r="AD296">
        <v>82.35</v>
      </c>
      <c r="AE296">
        <v>14</v>
      </c>
    </row>
    <row r="297" spans="1:31" hidden="1">
      <c r="A297">
        <v>112</v>
      </c>
      <c r="B297">
        <v>4208</v>
      </c>
      <c r="C297" t="s">
        <v>126</v>
      </c>
      <c r="D297" t="s">
        <v>221</v>
      </c>
      <c r="E297">
        <v>2158</v>
      </c>
      <c r="F297">
        <v>2171</v>
      </c>
      <c r="G297">
        <v>500</v>
      </c>
      <c r="H297" t="s">
        <v>220</v>
      </c>
      <c r="I297">
        <v>5802</v>
      </c>
      <c r="J297" t="s">
        <v>124</v>
      </c>
      <c r="K297" t="s">
        <v>227</v>
      </c>
      <c r="L297">
        <v>1347</v>
      </c>
      <c r="M297">
        <v>1349</v>
      </c>
      <c r="N297">
        <v>800</v>
      </c>
      <c r="O297" t="s">
        <v>222</v>
      </c>
      <c r="P297">
        <v>0.94058151337405005</v>
      </c>
      <c r="Q297">
        <v>0.94116793340186999</v>
      </c>
      <c r="R297">
        <v>0.218019936713297</v>
      </c>
      <c r="S297">
        <v>2.9542898715464401E-2</v>
      </c>
      <c r="T297">
        <v>-3.8891766327002503E-2</v>
      </c>
      <c r="U297">
        <v>3.8891766327002503E-2</v>
      </c>
      <c r="V297">
        <v>-0.08</v>
      </c>
      <c r="W297">
        <v>0.57999999999999996</v>
      </c>
      <c r="X297">
        <v>89209</v>
      </c>
      <c r="Y297">
        <v>6862</v>
      </c>
      <c r="Z297">
        <v>0.28000000000000003</v>
      </c>
      <c r="AA297">
        <v>13</v>
      </c>
      <c r="AB297">
        <v>7</v>
      </c>
      <c r="AC297">
        <v>6</v>
      </c>
      <c r="AD297">
        <v>53.85</v>
      </c>
      <c r="AE297">
        <v>13</v>
      </c>
    </row>
    <row r="298" spans="1:31" hidden="1">
      <c r="A298">
        <v>102</v>
      </c>
      <c r="B298">
        <v>7259</v>
      </c>
      <c r="C298" t="s">
        <v>105</v>
      </c>
      <c r="D298" t="s">
        <v>228</v>
      </c>
      <c r="E298">
        <v>3390</v>
      </c>
      <c r="F298">
        <v>3390</v>
      </c>
      <c r="G298">
        <v>300</v>
      </c>
      <c r="H298" t="s">
        <v>220</v>
      </c>
      <c r="I298">
        <v>7278</v>
      </c>
      <c r="J298" t="s">
        <v>91</v>
      </c>
      <c r="K298" t="s">
        <v>228</v>
      </c>
      <c r="L298">
        <v>2095</v>
      </c>
      <c r="M298">
        <v>2100</v>
      </c>
      <c r="N298">
        <v>500</v>
      </c>
      <c r="O298" t="s">
        <v>222</v>
      </c>
      <c r="P298">
        <v>0.94203792636407602</v>
      </c>
      <c r="Q298">
        <v>0.93072132259195095</v>
      </c>
      <c r="R298">
        <v>0.38263084544783998</v>
      </c>
      <c r="S298">
        <v>0.28385651003792101</v>
      </c>
      <c r="T298">
        <v>-3.4931301896193902E-2</v>
      </c>
      <c r="U298">
        <v>3.4931301896193902E-2</v>
      </c>
      <c r="V298">
        <v>-0.09</v>
      </c>
      <c r="W298">
        <v>3.24</v>
      </c>
      <c r="X298">
        <v>265669</v>
      </c>
      <c r="Y298">
        <v>24152</v>
      </c>
      <c r="Z298">
        <v>1.6</v>
      </c>
      <c r="AA298">
        <v>11</v>
      </c>
      <c r="AB298">
        <v>9</v>
      </c>
      <c r="AC298">
        <v>2</v>
      </c>
      <c r="AD298">
        <v>81.819999999999993</v>
      </c>
      <c r="AE298">
        <v>14</v>
      </c>
    </row>
    <row r="299" spans="1:31" hidden="1">
      <c r="A299">
        <v>105</v>
      </c>
      <c r="B299">
        <v>2784</v>
      </c>
      <c r="C299" t="s">
        <v>294</v>
      </c>
      <c r="D299" t="s">
        <v>250</v>
      </c>
      <c r="E299">
        <v>2384</v>
      </c>
      <c r="F299">
        <v>2391</v>
      </c>
      <c r="G299">
        <v>400</v>
      </c>
      <c r="H299" t="s">
        <v>222</v>
      </c>
      <c r="I299">
        <v>6178</v>
      </c>
      <c r="J299" t="s">
        <v>163</v>
      </c>
      <c r="K299" t="s">
        <v>276</v>
      </c>
      <c r="L299">
        <v>987</v>
      </c>
      <c r="M299">
        <v>996</v>
      </c>
      <c r="N299">
        <v>1000</v>
      </c>
      <c r="O299" t="s">
        <v>220</v>
      </c>
      <c r="P299">
        <v>0.94158822768894002</v>
      </c>
      <c r="Q299">
        <v>0.907826283997057</v>
      </c>
      <c r="R299">
        <v>8.4743995051331997E-3</v>
      </c>
      <c r="S299">
        <v>0.15190233596890099</v>
      </c>
      <c r="T299">
        <v>1.86371595329008E-2</v>
      </c>
      <c r="U299">
        <v>1.86371595329008E-2</v>
      </c>
      <c r="V299">
        <v>0.08</v>
      </c>
      <c r="W299">
        <v>4.1399999999999997</v>
      </c>
      <c r="X299">
        <v>-75218</v>
      </c>
      <c r="Y299">
        <v>-3959</v>
      </c>
      <c r="Z299">
        <v>-0.2</v>
      </c>
      <c r="AA299">
        <v>19</v>
      </c>
      <c r="AB299">
        <v>10</v>
      </c>
      <c r="AC299">
        <v>9</v>
      </c>
      <c r="AD299">
        <v>52.63</v>
      </c>
      <c r="AE299">
        <v>14</v>
      </c>
    </row>
    <row r="300" spans="1:31" hidden="1">
      <c r="A300">
        <v>65</v>
      </c>
      <c r="B300">
        <v>5406</v>
      </c>
      <c r="C300" t="s">
        <v>140</v>
      </c>
      <c r="D300" t="s">
        <v>239</v>
      </c>
      <c r="E300">
        <v>566</v>
      </c>
      <c r="F300">
        <v>565</v>
      </c>
      <c r="G300">
        <v>1600</v>
      </c>
      <c r="H300" t="s">
        <v>220</v>
      </c>
      <c r="I300">
        <v>6586</v>
      </c>
      <c r="J300" t="s">
        <v>90</v>
      </c>
      <c r="K300" t="s">
        <v>230</v>
      </c>
      <c r="L300">
        <v>3060</v>
      </c>
      <c r="M300">
        <v>3070</v>
      </c>
      <c r="N300">
        <v>300</v>
      </c>
      <c r="O300" t="s">
        <v>222</v>
      </c>
      <c r="P300">
        <v>0.95197175595627703</v>
      </c>
      <c r="Q300">
        <v>0.90963531884660498</v>
      </c>
      <c r="R300">
        <v>2.4814119849919099E-3</v>
      </c>
      <c r="S300">
        <v>0.27011819054024699</v>
      </c>
      <c r="T300">
        <v>-3.2953355980629801E-3</v>
      </c>
      <c r="U300">
        <v>3.2953355980629801E-3</v>
      </c>
      <c r="V300">
        <v>-0.02</v>
      </c>
      <c r="W300">
        <v>1.85</v>
      </c>
      <c r="X300">
        <v>317594</v>
      </c>
      <c r="Y300">
        <v>17644</v>
      </c>
      <c r="Z300">
        <v>0.93</v>
      </c>
      <c r="AA300">
        <v>18</v>
      </c>
      <c r="AB300">
        <v>11</v>
      </c>
      <c r="AC300">
        <v>7</v>
      </c>
      <c r="AD300">
        <v>61.11</v>
      </c>
      <c r="AE300">
        <v>10</v>
      </c>
    </row>
    <row r="301" spans="1:31" hidden="1">
      <c r="A301">
        <v>73</v>
      </c>
      <c r="B301">
        <v>5020</v>
      </c>
      <c r="C301" t="s">
        <v>167</v>
      </c>
      <c r="D301" t="s">
        <v>273</v>
      </c>
      <c r="E301">
        <v>487.9</v>
      </c>
      <c r="F301">
        <v>487.8</v>
      </c>
      <c r="G301">
        <v>2200</v>
      </c>
      <c r="H301" t="s">
        <v>220</v>
      </c>
      <c r="I301">
        <v>6752</v>
      </c>
      <c r="J301" t="s">
        <v>137</v>
      </c>
      <c r="K301" t="s">
        <v>231</v>
      </c>
      <c r="L301">
        <v>877.2</v>
      </c>
      <c r="M301">
        <v>874.4</v>
      </c>
      <c r="N301">
        <v>1200</v>
      </c>
      <c r="O301" t="s">
        <v>222</v>
      </c>
      <c r="P301">
        <v>0.95000787852263902</v>
      </c>
      <c r="Q301">
        <v>0.93746841476749598</v>
      </c>
      <c r="R301">
        <v>7.9632150553841392E-3</v>
      </c>
      <c r="S301">
        <v>0.14344207864118</v>
      </c>
      <c r="T301">
        <v>-2.8800272336525902E-3</v>
      </c>
      <c r="U301">
        <v>2.8800272336525902E-3</v>
      </c>
      <c r="V301">
        <v>-0.01</v>
      </c>
      <c r="W301">
        <v>2.2799999999999998</v>
      </c>
      <c r="X301">
        <v>43339</v>
      </c>
      <c r="Y301">
        <v>2167</v>
      </c>
      <c r="Z301">
        <v>0.08</v>
      </c>
      <c r="AA301">
        <v>20</v>
      </c>
      <c r="AB301">
        <v>9</v>
      </c>
      <c r="AC301">
        <v>11</v>
      </c>
      <c r="AD301">
        <v>45</v>
      </c>
      <c r="AE301">
        <v>12</v>
      </c>
    </row>
    <row r="302" spans="1:31" hidden="1">
      <c r="A302">
        <v>148</v>
      </c>
      <c r="B302">
        <v>1944</v>
      </c>
      <c r="C302" t="s">
        <v>280</v>
      </c>
      <c r="D302" t="s">
        <v>246</v>
      </c>
      <c r="E302">
        <v>1592</v>
      </c>
      <c r="F302">
        <v>1599</v>
      </c>
      <c r="G302">
        <v>600</v>
      </c>
      <c r="H302" t="s">
        <v>222</v>
      </c>
      <c r="I302">
        <v>9072</v>
      </c>
      <c r="J302" t="s">
        <v>146</v>
      </c>
      <c r="K302" t="s">
        <v>265</v>
      </c>
      <c r="L302">
        <v>2468</v>
      </c>
      <c r="M302">
        <v>2461</v>
      </c>
      <c r="N302">
        <v>400</v>
      </c>
      <c r="O302" t="s">
        <v>220</v>
      </c>
      <c r="P302">
        <v>0.93281872389833798</v>
      </c>
      <c r="Q302">
        <v>0.91659403007016904</v>
      </c>
      <c r="R302">
        <v>6.6682017250381297E-3</v>
      </c>
      <c r="S302">
        <v>7.3273906164738403E-2</v>
      </c>
      <c r="T302">
        <v>2.25528189128442E-3</v>
      </c>
      <c r="U302">
        <v>2.25528189128442E-3</v>
      </c>
      <c r="V302">
        <v>0</v>
      </c>
      <c r="W302">
        <v>2.54</v>
      </c>
      <c r="X302">
        <v>165359</v>
      </c>
      <c r="Y302">
        <v>11811</v>
      </c>
      <c r="Z302">
        <v>0.63</v>
      </c>
      <c r="AA302">
        <v>14</v>
      </c>
      <c r="AB302">
        <v>7</v>
      </c>
      <c r="AC302">
        <v>7</v>
      </c>
      <c r="AD302">
        <v>50</v>
      </c>
      <c r="AE302">
        <v>14</v>
      </c>
    </row>
  </sheetData>
  <autoFilter ref="A1:AE302">
    <filterColumn colId="20">
      <customFilters>
        <customFilter operator="greaterThanOrEqual" val="2"/>
      </customFilters>
    </filterColumn>
    <filterColumn colId="22">
      <customFilters>
        <customFilter operator="lessThan" val="5"/>
      </customFilters>
    </filterColumn>
    <sortState ref="A2:AE21">
      <sortCondition descending="1" ref="X1:X302"/>
    </sortState>
  </autoFilter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J42" sqref="J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X9" sqref="X9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表紙-</vt:lpstr>
      <vt:lpstr>建玉管理</vt:lpstr>
      <vt:lpstr>取引履歴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改訂欄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2019-10-08T12:31:59Z</dcterms:modified>
</cp:coreProperties>
</file>