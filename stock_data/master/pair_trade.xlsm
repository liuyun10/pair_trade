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9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グラフ" sheetId="7" r:id="rId9"/>
    <sheet name="BACK_TEST" sheetId="23" r:id="rId10"/>
    <sheet name="個別計算" sheetId="6" r:id="rId11"/>
    <sheet name="日経サヤ計算" sheetId="11" r:id="rId12"/>
    <sheet name="code" sheetId="8" r:id="rId13"/>
    <sheet name="元データ" sheetId="9" r:id="rId14"/>
    <sheet name="改訂欄" sheetId="10" r:id="rId15"/>
    <sheet name="Fee_Refer" sheetId="17" r:id="rId16"/>
    <sheet name="Faiue" sheetId="18" r:id="rId17"/>
    <sheet name="Fiscal_date" sheetId="19" r:id="rId18"/>
    <sheet name="gyakunipo_data" sheetId="22" r:id="rId19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A36" i="23"/>
  <c r="A35"/>
  <c r="H4"/>
  <c r="L4" s="1"/>
  <c r="L3"/>
  <c r="H3"/>
  <c r="C21" i="4"/>
  <c r="C20"/>
  <c r="J11" i="2"/>
  <c r="J10"/>
  <c r="C10"/>
  <c r="R2" i="13"/>
  <c r="J9" i="2"/>
  <c r="J8"/>
  <c r="C8"/>
  <c r="AC32" i="13"/>
  <c r="AB32"/>
  <c r="AA32"/>
  <c r="AC30"/>
  <c r="AB30"/>
  <c r="AA30"/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U10" i="2" l="1"/>
  <c r="V10" s="1"/>
  <c r="U8"/>
  <c r="V8" s="1"/>
  <c r="Q4" i="3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11" i="2" l="1"/>
  <c r="P11" s="1"/>
  <c r="Q11" s="1"/>
  <c r="N10"/>
  <c r="P10" s="1"/>
  <c r="N9"/>
  <c r="P9" s="1"/>
  <c r="Q9" s="1"/>
  <c r="N8"/>
  <c r="P8" s="1"/>
  <c r="N6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10" i="2" l="1"/>
  <c r="S10" s="1"/>
  <c r="Q10"/>
  <c r="R8"/>
  <c r="S8" s="1"/>
  <c r="Q8"/>
  <c r="Q6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<sst xmlns="http://schemas.openxmlformats.org/spreadsheetml/2006/main" count="7888" uniqueCount="2360">
  <si>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</si>
  <si>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</si>
  <si>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</si>
  <si>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</si>
  <si>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</si>
  <si>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</si>
  <si>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</si>
  <si>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</si>
  <si>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</si>
  <si>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</si>
  <si>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</si>
  <si>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</si>
  <si>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</si>
  <si>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</si>
  <si>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</si>
  <si>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</si>
  <si>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</si>
  <si>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</si>
  <si>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</si>
  <si>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</si>
  <si>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</si>
  <si>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</si>
  <si>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</si>
  <si>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</si>
  <si>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</si>
  <si>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</si>
  <si>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</si>
  <si>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</si>
  <si>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</si>
  <si>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</si>
  <si>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</si>
  <si>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</si>
  <si>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</si>
  <si>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</si>
  <si>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</si>
  <si>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</si>
  <si>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</si>
  <si>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</si>
  <si>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</si>
  <si>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</si>
  <si>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</si>
  <si>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</si>
  <si>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</si>
  <si>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</si>
  <si>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</si>
  <si>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</si>
  <si>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</si>
  <si>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</si>
  <si>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</si>
  <si>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</si>
  <si>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</si>
  <si>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</si>
  <si>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</si>
  <si>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</si>
  <si>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</si>
  <si>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</si>
  <si>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</si>
  <si>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</si>
  <si>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</si>
  <si>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</si>
  <si>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</si>
  <si>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</si>
  <si>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</si>
  <si>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</si>
  <si>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</si>
  <si>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</si>
  <si>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</si>
  <si>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</si>
  <si>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</si>
  <si>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</si>
  <si>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</si>
  <si>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</si>
  <si>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</si>
  <si>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</si>
  <si>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</si>
  <si>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</si>
  <si>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</si>
  <si>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</si>
  <si>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</si>
  <si>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</si>
  <si>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</si>
  <si>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</si>
  <si>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</si>
  <si>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</si>
  <si>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</si>
  <si>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</si>
  <si>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</si>
  <si>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</si>
  <si>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</si>
  <si>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</si>
  <si>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</si>
  <si>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</si>
  <si>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</si>
  <si>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</si>
  <si>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</si>
  <si>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</si>
  <si>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</si>
  <si>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</si>
  <si>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</si>
  <si>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</si>
  <si>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</si>
  <si>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</si>
  <si>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</si>
  <si>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</si>
  <si>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</si>
  <si>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</si>
  <si>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</si>
  <si>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</si>
  <si>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</si>
  <si>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</si>
  <si>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</si>
  <si>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</si>
  <si>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</si>
  <si>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</si>
  <si>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</si>
  <si>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</si>
  <si>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</si>
  <si>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</si>
  <si>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</si>
  <si>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</si>
  <si>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</si>
  <si>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</si>
  <si>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</si>
  <si>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</si>
  <si>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</si>
  <si>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</si>
  <si>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</si>
  <si>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</si>
  <si>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</si>
  <si>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</si>
  <si>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</si>
  <si>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</si>
  <si>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</si>
  <si>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</si>
  <si>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</si>
  <si>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</si>
  <si>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</si>
  <si>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</si>
  <si>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</si>
  <si>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</si>
  <si>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</si>
  <si>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</si>
  <si>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</si>
  <si>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</si>
  <si>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</si>
  <si>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</si>
  <si>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</si>
  <si>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</si>
  <si>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</si>
  <si>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</si>
  <si>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</si>
  <si>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</si>
  <si>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</si>
  <si>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</si>
  <si>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</si>
  <si>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</si>
  <si>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</si>
  <si>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</si>
  <si>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</si>
  <si>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</si>
  <si>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</si>
  <si>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</si>
  <si>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</si>
  <si>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</si>
  <si>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</si>
  <si>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</si>
  <si>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</si>
  <si>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</si>
  <si>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</si>
  <si>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</si>
  <si>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</si>
  <si>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</si>
  <si>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</si>
  <si>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</si>
  <si>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</si>
  <si>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</si>
  <si>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</si>
  <si>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</si>
  <si>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</si>
  <si>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</si>
  <si>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</si>
  <si>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</si>
  <si>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</si>
  <si>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</si>
  <si>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</si>
  <si>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</si>
  <si>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</si>
  <si>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</si>
  <si>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</si>
  <si>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</si>
  <si>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</si>
  <si>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</si>
  <si>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</si>
  <si>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</si>
  <si>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</si>
  <si>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</si>
  <si>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</si>
  <si>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</si>
  <si>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</si>
  <si>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</si>
  <si>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</si>
  <si>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</si>
  <si>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</si>
  <si>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</si>
  <si>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</si>
  <si>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</si>
  <si>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</si>
  <si>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</si>
  <si>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</si>
  <si>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</si>
  <si>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</si>
  <si>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</si>
  <si>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</si>
  <si>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</si>
  <si>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</si>
  <si>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</si>
  <si>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</si>
  <si>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</si>
  <si>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</si>
  <si>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</si>
  <si>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</si>
  <si>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</si>
  <si>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</si>
  <si>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</si>
  <si>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</si>
  <si>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</si>
  <si>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</si>
  <si>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</si>
  <si>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</si>
  <si>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</si>
  <si>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</si>
  <si>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</si>
  <si>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</si>
  <si>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</si>
  <si>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</si>
  <si>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</si>
  <si>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</si>
  <si>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</si>
  <si>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</si>
  <si>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</si>
  <si>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</si>
  <si>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</si>
  <si>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</si>
  <si>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</si>
  <si>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</si>
  <si>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</si>
  <si>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</si>
  <si>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</si>
  <si>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</si>
  <si>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</si>
  <si>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</si>
  <si>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</si>
  <si>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</si>
  <si>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</si>
  <si>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</si>
  <si>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</si>
  <si>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</si>
  <si>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</si>
  <si>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</si>
  <si>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</si>
  <si>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</si>
  <si>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</si>
  <si>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</si>
  <si>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</si>
  <si>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</si>
  <si>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</si>
  <si>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</si>
  <si>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</si>
  <si>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</si>
  <si>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</si>
  <si>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</si>
  <si>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</si>
  <si>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</si>
  <si>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</si>
  <si>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</si>
  <si>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</si>
  <si>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</si>
  <si>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</si>
  <si>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</si>
  <si>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</si>
  <si>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</si>
  <si>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</si>
  <si>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</si>
  <si>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</si>
  <si>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</si>
  <si>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</si>
  <si>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</si>
  <si>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</si>
  <si>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</si>
  <si>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</si>
  <si>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</si>
  <si>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</si>
  <si>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</si>
  <si>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</si>
  <si>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</si>
  <si>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</si>
  <si>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</si>
  <si>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</si>
  <si>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</si>
  <si>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</si>
  <si>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</si>
  <si>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</si>
  <si>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</si>
  <si>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</si>
  <si>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</si>
  <si>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</si>
  <si>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</si>
  <si>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</si>
  <si>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</si>
  <si>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</si>
  <si>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</si>
  <si>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</si>
  <si>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</si>
  <si>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</si>
  <si>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</si>
  <si>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</si>
  <si>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</si>
  <si>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</si>
  <si>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</si>
  <si>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</si>
  <si>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</si>
  <si>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</si>
  <si>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</si>
  <si>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</si>
  <si>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</si>
  <si>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</si>
  <si>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</si>
  <si>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</si>
  <si>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</si>
  <si>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</si>
  <si>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</si>
  <si>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</si>
  <si>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</si>
  <si>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</si>
  <si>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</si>
  <si>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</si>
  <si>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</si>
  <si>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</si>
  <si>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</si>
  <si>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</si>
  <si>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</si>
  <si>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</si>
  <si>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</si>
  <si>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</si>
  <si>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</si>
  <si>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</si>
  <si>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</si>
  <si>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</si>
  <si>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</si>
  <si>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</si>
  <si>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</si>
  <si>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</si>
  <si>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</si>
  <si>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</si>
  <si>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</si>
  <si>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</si>
  <si>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</si>
  <si>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</si>
  <si>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</si>
  <si>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</si>
  <si>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</si>
  <si>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</si>
  <si>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</si>
  <si>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</si>
  <si>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</si>
  <si>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</si>
  <si>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</si>
  <si>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</si>
  <si>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</si>
  <si>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</si>
  <si>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</si>
  <si>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</si>
  <si>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</si>
  <si>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</si>
  <si>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</si>
  <si>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</si>
  <si>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</si>
  <si>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</si>
  <si>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</si>
  <si>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</si>
  <si>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</si>
  <si>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</si>
  <si>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</si>
  <si>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</si>
  <si>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</si>
  <si>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</si>
  <si>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</si>
  <si>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</si>
  <si>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</si>
  <si>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</si>
  <si>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</si>
  <si>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</si>
  <si>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</si>
  <si>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</si>
  <si>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</si>
  <si>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</si>
  <si>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</si>
  <si>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</si>
  <si>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</si>
  <si>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</si>
  <si>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</si>
  <si>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</si>
  <si>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</si>
  <si>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</si>
  <si>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</si>
  <si>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</si>
  <si>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</si>
  <si>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</si>
  <si>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</si>
  <si>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</si>
  <si>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</si>
  <si>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</si>
  <si>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</si>
  <si>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</si>
  <si>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</si>
  <si>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</si>
  <si>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</si>
  <si>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</si>
  <si>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</si>
  <si>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</si>
  <si>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</si>
  <si>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</si>
  <si>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</si>
  <si>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</si>
  <si>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</si>
  <si>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</si>
  <si>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</si>
  <si>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</si>
  <si>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</si>
  <si>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</si>
  <si>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</si>
  <si>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</si>
  <si>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</si>
  <si>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</si>
  <si>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</si>
  <si>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</si>
  <si>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</si>
  <si>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</si>
  <si>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</si>
  <si>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</si>
  <si>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</si>
  <si>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</si>
  <si>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</si>
  <si>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</si>
  <si>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</si>
  <si>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</si>
  <si>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</si>
  <si>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</si>
  <si>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</si>
  <si>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</si>
  <si>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</si>
  <si>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</si>
  <si>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</si>
  <si>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</si>
  <si>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</si>
  <si>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</si>
  <si>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</si>
  <si>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</si>
  <si>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</si>
  <si>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</si>
  <si>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</si>
  <si>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</si>
  <si>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</si>
  <si>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</si>
  <si>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</si>
  <si>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</si>
  <si>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</si>
  <si>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</si>
  <si>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</si>
  <si>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</si>
  <si>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</si>
  <si>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</si>
  <si>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</si>
  <si>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</si>
  <si>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</si>
  <si>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</si>
  <si>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</si>
  <si>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</si>
  <si>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</si>
  <si>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</si>
  <si>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</si>
  <si>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</si>
  <si>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</si>
  <si>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</si>
  <si>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</si>
  <si>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</si>
  <si>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</si>
  <si>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</si>
  <si>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</si>
  <si>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</si>
  <si>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</si>
  <si>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</si>
  <si>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</si>
  <si>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</si>
  <si>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</si>
  <si>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</si>
  <si>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</si>
  <si>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</si>
  <si>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</si>
  <si>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</si>
  <si>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</si>
  <si>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</si>
  <si>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</si>
  <si>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</si>
  <si>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</si>
  <si>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</si>
  <si>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</si>
  <si>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</si>
  <si>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</si>
  <si>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</si>
  <si>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</si>
  <si>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</si>
  <si>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</si>
  <si>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</si>
  <si>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</si>
  <si>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</si>
  <si>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</si>
  <si>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</si>
  <si>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</si>
  <si>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</si>
  <si>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</si>
  <si>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</si>
  <si>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</si>
  <si>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</si>
  <si>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</si>
  <si>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</si>
  <si>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</si>
  <si>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</si>
  <si>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</si>
  <si>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</si>
  <si>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</si>
  <si>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</si>
  <si>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</si>
  <si>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</si>
  <si>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</si>
  <si>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</si>
  <si>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</si>
  <si>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</si>
  <si>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</si>
  <si>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</si>
  <si>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</si>
  <si>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</si>
  <si>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</si>
  <si>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</si>
  <si>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</si>
  <si>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</si>
  <si>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</si>
  <si>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</si>
  <si>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</si>
  <si>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</si>
  <si>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</si>
  <si>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</si>
  <si>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</si>
  <si>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</si>
  <si>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</si>
  <si>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</si>
  <si>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</si>
  <si>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</si>
  <si>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</si>
  <si>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</si>
  <si>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</si>
  <si>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</si>
  <si>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</si>
  <si>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</si>
  <si>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</si>
  <si>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</si>
  <si>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</si>
  <si>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</si>
  <si>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</si>
  <si>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</si>
  <si>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</si>
  <si>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</si>
  <si>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</si>
  <si>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</si>
  <si>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</si>
  <si>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</si>
  <si>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</si>
  <si>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</si>
  <si>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</si>
  <si>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</si>
  <si>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</si>
  <si>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</si>
  <si>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</si>
  <si>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</si>
  <si>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</si>
  <si>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</si>
  <si>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</si>
  <si>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</si>
  <si>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</si>
  <si>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</si>
  <si>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</si>
  <si>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</si>
  <si>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</si>
  <si>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</si>
  <si>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</si>
  <si>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</si>
  <si>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</si>
  <si>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</si>
  <si>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</si>
  <si>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</si>
  <si>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</si>
  <si>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</si>
  <si>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</si>
  <si>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</si>
  <si>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</si>
  <si>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</si>
  <si>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</si>
  <si>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</si>
  <si>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</si>
  <si>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</si>
  <si>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</si>
  <si>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</si>
  <si>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</si>
  <si>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</si>
  <si>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</si>
  <si>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</si>
  <si>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</si>
  <si>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</si>
  <si>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</si>
  <si>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</si>
  <si>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</si>
  <si>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</si>
  <si>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</si>
  <si>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</si>
  <si>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</si>
  <si>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</si>
  <si>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</si>
  <si>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</si>
  <si>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</si>
  <si>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</si>
  <si>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</si>
  <si>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</si>
  <si>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</si>
  <si>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</si>
  <si>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</si>
  <si>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</si>
  <si>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</si>
  <si>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</si>
  <si>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</si>
  <si>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</si>
  <si>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</si>
  <si>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</si>
  <si>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</si>
  <si>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</si>
  <si>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</si>
  <si>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</si>
  <si>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</si>
  <si>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</si>
  <si>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</si>
  <si>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</si>
  <si>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</si>
  <si>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</si>
  <si>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</si>
  <si>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</si>
  <si>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</si>
  <si>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</si>
  <si>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</si>
  <si>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</si>
  <si>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</si>
  <si>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</si>
  <si>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</si>
  <si>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</si>
  <si>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</si>
  <si>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</si>
  <si>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</si>
  <si>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</si>
  <si>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</si>
  <si>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</si>
  <si>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</si>
  <si>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</si>
  <si>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</si>
  <si>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</si>
  <si>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</si>
  <si>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</si>
  <si>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</si>
  <si>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</si>
  <si>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</si>
  <si>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</si>
  <si>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</si>
  <si>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</si>
  <si>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</si>
  <si>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</si>
  <si>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</si>
  <si>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</si>
  <si>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</si>
  <si>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</si>
  <si>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</si>
  <si>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</si>
  <si>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</si>
  <si>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</si>
  <si>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</si>
  <si>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</si>
  <si>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</si>
  <si>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</si>
  <si>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</si>
  <si>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</si>
  <si>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</si>
  <si>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</si>
  <si>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</si>
  <si>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</si>
  <si>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</si>
  <si>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</si>
  <si>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</si>
  <si>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</si>
  <si>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</si>
  <si>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</si>
  <si>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</si>
  <si>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</si>
  <si>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</si>
  <si>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</si>
  <si>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</si>
  <si>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</si>
  <si>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</si>
  <si>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</si>
  <si>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</si>
  <si>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</si>
  <si>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</si>
  <si>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</si>
  <si>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</si>
  <si>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</si>
  <si>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</si>
  <si>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</si>
  <si>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</si>
  <si>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</si>
  <si>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</si>
  <si>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</si>
  <si>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</si>
  <si>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</si>
  <si>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</si>
  <si>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</si>
  <si>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</si>
  <si>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</si>
  <si>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</si>
  <si>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</si>
  <si>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</si>
  <si>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</si>
  <si>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</si>
  <si>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</si>
  <si>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</si>
  <si>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</si>
  <si>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</si>
  <si>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</si>
  <si>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</si>
  <si>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</si>
  <si>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</si>
  <si>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</si>
  <si>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</si>
  <si>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</si>
  <si>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</si>
  <si>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</si>
  <si>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</si>
  <si>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</si>
  <si>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</si>
  <si>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</si>
  <si>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</si>
  <si>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</si>
  <si>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</si>
  <si>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</si>
  <si>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</si>
  <si>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</si>
  <si>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</si>
  <si>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</si>
  <si>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</si>
  <si>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</si>
  <si>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</si>
  <si>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</si>
  <si>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</si>
  <si>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</si>
  <si>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</si>
  <si>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</si>
  <si>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</si>
  <si>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</si>
  <si>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</si>
  <si>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</si>
  <si>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</si>
  <si>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</si>
  <si>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</si>
  <si>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</si>
  <si>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</si>
  <si>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</si>
  <si>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</si>
  <si>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</si>
  <si>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</si>
  <si>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</si>
  <si>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</si>
  <si>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</si>
  <si>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</si>
  <si>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</si>
  <si>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</si>
  <si>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</si>
  <si>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</si>
  <si>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</si>
  <si>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</si>
  <si>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</si>
  <si>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</si>
  <si>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</si>
  <si>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</si>
  <si>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</si>
  <si>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</si>
  <si>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</si>
  <si>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</si>
  <si>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</si>
  <si>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</si>
  <si>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</si>
  <si>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</si>
  <si>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</si>
  <si>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</si>
  <si>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</si>
  <si>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</si>
  <si>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</si>
  <si>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</si>
  <si>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</si>
  <si>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</si>
  <si>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</si>
  <si>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</si>
  <si>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</si>
  <si>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</si>
  <si>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</si>
  <si>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</si>
  <si>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</si>
  <si>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</si>
  <si>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</si>
  <si>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</si>
  <si>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</si>
  <si>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</si>
  <si>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</si>
  <si>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</si>
  <si>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</si>
  <si>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</si>
  <si>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</si>
  <si>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</si>
  <si>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</si>
  <si>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</si>
  <si>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</si>
  <si>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</si>
  <si>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</si>
  <si>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</si>
  <si>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</si>
  <si>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</si>
  <si>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</si>
  <si>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</si>
  <si>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</si>
  <si>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</si>
  <si>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</si>
  <si>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</si>
  <si>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</si>
  <si>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</si>
  <si>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</si>
  <si>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</si>
  <si>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</si>
  <si>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</si>
  <si>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</si>
  <si>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</si>
  <si>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</si>
  <si>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</si>
  <si>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</si>
  <si>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</si>
  <si>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</si>
  <si>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</si>
  <si>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</si>
  <si>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</si>
  <si>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</si>
  <si>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</si>
  <si>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</si>
  <si>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</si>
  <si>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</si>
  <si>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</si>
  <si>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</si>
  <si>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</si>
  <si>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</si>
  <si>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</si>
  <si>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</si>
  <si>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</si>
  <si>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</si>
  <si>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</si>
  <si>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</si>
  <si>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</si>
  <si>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</si>
  <si>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</si>
  <si>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</si>
  <si>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</si>
  <si>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</si>
  <si>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</si>
  <si>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</si>
  <si>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</si>
  <si>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</si>
  <si>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</si>
  <si>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</si>
  <si>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</si>
  <si>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</si>
  <si>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</si>
  <si>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</si>
  <si>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</si>
  <si>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</si>
  <si>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</si>
  <si>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</si>
  <si>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</si>
  <si>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</si>
  <si>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</si>
  <si>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</si>
  <si>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</si>
  <si>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</si>
  <si>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</si>
  <si>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</si>
  <si>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</si>
  <si>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</si>
  <si>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</si>
  <si>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</si>
  <si>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</si>
  <si>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</si>
  <si>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</si>
  <si>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</si>
  <si>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</si>
  <si>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</si>
  <si>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</si>
  <si>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</si>
  <si>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</si>
  <si>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</si>
  <si>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</si>
  <si>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</si>
  <si>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</si>
  <si>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</si>
  <si>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</si>
  <si>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</si>
  <si>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</si>
  <si>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</si>
  <si>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</si>
  <si>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</si>
  <si>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</si>
  <si>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</si>
  <si>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</si>
  <si>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</si>
  <si>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</si>
  <si>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</si>
  <si>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</si>
  <si>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</si>
  <si>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</si>
  <si>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</si>
  <si>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</si>
  <si>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</si>
  <si>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</si>
  <si>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</si>
  <si>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</si>
  <si>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</si>
  <si>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</si>
  <si>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</si>
  <si>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</si>
  <si>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</si>
  <si>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</si>
  <si>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</si>
  <si>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</si>
  <si>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</si>
  <si>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</si>
  <si>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</si>
  <si>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</si>
  <si>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</si>
  <si>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</si>
  <si>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</si>
  <si>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</si>
  <si>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</si>
  <si>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</si>
  <si>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</si>
  <si>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</si>
  <si>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</si>
  <si>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</si>
  <si>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</si>
  <si>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</si>
  <si>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</si>
  <si>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</si>
  <si>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</si>
  <si>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</si>
  <si>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</si>
  <si>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</si>
  <si>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</si>
  <si>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</si>
  <si>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</si>
  <si>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</si>
  <si>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</si>
  <si>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</si>
  <si>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</si>
  <si>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</si>
  <si>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</si>
  <si>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</si>
  <si>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</si>
  <si>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</si>
  <si>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</si>
  <si>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</si>
  <si>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</si>
  <si>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</si>
  <si>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</si>
  <si>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</si>
  <si>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</si>
  <si>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</si>
  <si>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</si>
  <si>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</si>
  <si>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</si>
  <si>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</si>
  <si>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</si>
  <si>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</si>
  <si>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</si>
  <si>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</si>
  <si>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</si>
  <si>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</si>
  <si>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</si>
  <si>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</si>
  <si>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</si>
  <si>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</si>
  <si>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</si>
  <si>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</si>
  <si>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</si>
  <si>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</si>
  <si>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</si>
  <si>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</si>
  <si>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</si>
  <si>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</si>
  <si>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</si>
  <si>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</si>
  <si>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</si>
  <si>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</si>
  <si>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</si>
  <si>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</si>
  <si>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</si>
  <si>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</si>
  <si>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</si>
  <si>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</si>
  <si>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</si>
  <si>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</si>
  <si>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</si>
  <si>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</si>
  <si>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</si>
  <si>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</si>
  <si>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</si>
  <si>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</si>
  <si>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</si>
  <si>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</si>
  <si>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</si>
  <si>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</si>
  <si>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</si>
  <si>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</si>
  <si>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</si>
  <si>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</si>
  <si>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</si>
  <si>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</si>
  <si>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</si>
  <si>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</si>
  <si>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</si>
  <si>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</si>
  <si>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</si>
  <si>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</si>
  <si>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</si>
  <si>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</si>
  <si>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</si>
  <si>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</si>
  <si>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</si>
  <si>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</si>
  <si>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</si>
  <si>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</si>
  <si>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</si>
  <si>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</si>
  <si>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</si>
  <si>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</si>
  <si>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</si>
  <si>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</si>
  <si>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</si>
  <si>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</si>
  <si>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</si>
  <si>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</si>
  <si>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</si>
  <si>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</si>
  <si>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</si>
  <si>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</si>
  <si>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</si>
  <si>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</si>
  <si>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</si>
  <si>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</si>
  <si>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</si>
  <si>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</si>
  <si>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</si>
  <si>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</si>
  <si>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</si>
  <si>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</si>
  <si>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</si>
  <si>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</si>
  <si>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</si>
  <si>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</si>
  <si>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</si>
  <si>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</si>
  <si>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</si>
  <si>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</si>
  <si>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</si>
  <si>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</si>
  <si>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</si>
  <si>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</si>
  <si>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</si>
  <si>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</si>
  <si>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</si>
  <si>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</si>
  <si>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</si>
  <si>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</si>
  <si>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</si>
  <si>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</si>
  <si>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</si>
  <si>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</si>
  <si>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</si>
  <si>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</si>
  <si>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</si>
  <si>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</si>
  <si>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</si>
  <si>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</si>
  <si>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</si>
  <si>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</si>
  <si>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</si>
  <si>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</si>
  <si>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</si>
  <si>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</si>
  <si>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</si>
  <si>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</si>
  <si>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</si>
  <si>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</si>
  <si>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</si>
  <si>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</si>
  <si>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</si>
  <si>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</si>
  <si>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</si>
  <si>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</si>
  <si>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</si>
  <si>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</si>
  <si>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</si>
  <si>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</si>
  <si>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</si>
  <si>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</si>
  <si>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</si>
  <si>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</si>
  <si>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</si>
  <si>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</si>
  <si>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</si>
  <si>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</si>
  <si>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</si>
  <si>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</si>
  <si>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</si>
  <si>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</si>
  <si>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</si>
  <si>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</si>
  <si>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</si>
  <si>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</si>
  <si>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</si>
  <si>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</si>
  <si>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</si>
  <si>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</si>
  <si>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</si>
  <si>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</si>
  <si>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</si>
  <si>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</si>
  <si>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</si>
  <si>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</si>
  <si>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</si>
  <si>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</si>
  <si>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</si>
  <si>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</si>
  <si>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</si>
  <si>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</si>
  <si>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</si>
  <si>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</si>
  <si>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</si>
  <si>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</si>
  <si>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</si>
  <si>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</si>
  <si>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</si>
  <si>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</si>
  <si>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</si>
  <si>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</si>
  <si>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</si>
  <si>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</si>
  <si>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</si>
  <si>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</si>
  <si>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</si>
  <si>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</si>
  <si>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</si>
  <si>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</si>
  <si>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</si>
  <si>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</si>
  <si>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</si>
  <si>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</si>
  <si>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</si>
  <si>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</si>
  <si>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</si>
  <si>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</si>
  <si>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</si>
  <si>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</si>
  <si>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</si>
  <si>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</si>
  <si>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</si>
  <si>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</si>
  <si>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</si>
  <si>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</si>
  <si>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</si>
  <si>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</si>
  <si>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</si>
  <si>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</si>
  <si>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</si>
  <si>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</si>
  <si>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</si>
  <si>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</si>
  <si>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</si>
  <si>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</si>
  <si>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</si>
  <si>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</si>
  <si>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</si>
  <si>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</si>
  <si>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</si>
  <si>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</si>
  <si>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</si>
  <si>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</si>
  <si>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</si>
  <si>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</si>
  <si>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</si>
  <si>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</si>
  <si>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</si>
  <si>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</si>
  <si>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</si>
  <si>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</si>
  <si>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</si>
  <si>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</si>
  <si>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</si>
  <si>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</si>
  <si>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</si>
  <si>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</si>
  <si>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</si>
  <si>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</si>
  <si>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</si>
  <si>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</si>
  <si>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</si>
  <si>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</si>
  <si>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</si>
  <si>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</si>
  <si>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</si>
  <si>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</si>
  <si>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</si>
  <si>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</si>
  <si>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</si>
  <si>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</si>
  <si>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</si>
  <si>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</si>
  <si>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</si>
  <si>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</si>
  <si>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</si>
  <si>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</si>
  <si>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</si>
  <si>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</si>
  <si>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</si>
  <si>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</si>
  <si>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</si>
  <si>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</si>
  <si>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</si>
  <si>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</si>
  <si>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</si>
  <si>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</si>
  <si>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</si>
  <si>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</si>
  <si>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</si>
  <si>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</si>
  <si>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</si>
  <si>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</si>
  <si>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</si>
  <si>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</si>
  <si>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</si>
  <si>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</si>
  <si>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</si>
  <si>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</si>
  <si>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</si>
  <si>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</si>
  <si>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</si>
  <si>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</si>
  <si>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</si>
  <si>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</si>
  <si>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</si>
  <si>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</si>
  <si>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</si>
  <si>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</si>
  <si>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</si>
  <si>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</si>
  <si>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</si>
  <si>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</si>
  <si>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</si>
  <si>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</si>
  <si>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</si>
  <si>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</si>
  <si>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</si>
  <si>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</si>
  <si>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</si>
  <si>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</si>
  <si>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</si>
  <si>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</si>
  <si>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</si>
  <si>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</si>
  <si>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</si>
  <si>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</si>
  <si>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</si>
  <si>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</si>
  <si>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1/3/9</t>
  </si>
  <si>
    <t>1/2/13</t>
  </si>
  <si>
    <t>日東紡績</t>
  </si>
  <si>
    <t>2/6/12</t>
  </si>
  <si>
    <t>1/4/11</t>
  </si>
  <si>
    <t>0/2/16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</si>
  <si>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</si>
  <si>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</si>
  <si>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</si>
  <si>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</si>
  <si>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協和エクシオ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</si>
  <si>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</si>
  <si>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</si>
  <si>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</si>
  <si>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</si>
  <si>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</si>
  <si>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</si>
  <si>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</si>
  <si>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</si>
  <si>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</si>
  <si>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</si>
  <si>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大林組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</si>
  <si>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</si>
  <si>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</si>
  <si>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</si>
  <si>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</si>
  <si>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</si>
  <si>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</si>
  <si>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</si>
  <si>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</si>
  <si>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</si>
  <si>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</si>
  <si>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</si>
  <si>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</si>
  <si>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</si>
  <si>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</si>
  <si>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ＳＣＳＫ</t>
  </si>
  <si>
    <t>エイチ・アイ・エス</t>
  </si>
  <si>
    <t>三菱商事</t>
  </si>
  <si>
    <t>旭化成</t>
  </si>
  <si>
    <t>八十二銀行</t>
  </si>
  <si>
    <t>ダイフク</t>
  </si>
  <si>
    <t>3/11/4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</si>
  <si>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</si>
  <si>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</si>
  <si>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</si>
  <si>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</si>
  <si>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</si>
  <si>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</si>
  <si>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</si>
  <si>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</si>
  <si>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</si>
  <si>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</si>
  <si>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</si>
  <si>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</si>
  <si>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</si>
  <si>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</si>
  <si>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</si>
  <si>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</si>
  <si>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</si>
  <si>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</si>
  <si>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</si>
  <si>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</si>
  <si>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</si>
  <si>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</si>
  <si>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</si>
  <si>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錢高組</t>
  </si>
  <si>
    <t>大末建設</t>
  </si>
  <si>
    <t>佐田建設</t>
  </si>
  <si>
    <t>富士ピー・エス</t>
  </si>
  <si>
    <t>北野建設</t>
  </si>
  <si>
    <t>植木組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</si>
  <si>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</si>
  <si>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</si>
  <si>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</si>
  <si>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</si>
  <si>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</si>
  <si>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</si>
  <si>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日特建設</t>
  </si>
  <si>
    <t>北陸電気工事</t>
  </si>
  <si>
    <t>四電工</t>
  </si>
  <si>
    <t>きんでん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</si>
  <si>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</si>
  <si>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</si>
  <si>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</si>
  <si>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</si>
  <si>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</si>
  <si>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</si>
  <si>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</si>
  <si>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朝日工業社</t>
  </si>
  <si>
    <t>明星工業</t>
  </si>
  <si>
    <t>大氣社</t>
  </si>
  <si>
    <t>ダイダン</t>
  </si>
  <si>
    <t>日比谷総合設備</t>
  </si>
  <si>
    <t>東芝プラントシステム</t>
  </si>
  <si>
    <t>昭和産業</t>
  </si>
  <si>
    <t>メンバーズ</t>
  </si>
  <si>
    <t>中広</t>
  </si>
  <si>
    <t>ＵＴグループ</t>
  </si>
  <si>
    <t>パソナグループ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</si>
  <si>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</si>
  <si>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</si>
  <si>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</si>
  <si>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</si>
  <si>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</si>
  <si>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</si>
  <si>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</si>
  <si>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</si>
  <si>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</si>
  <si>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</si>
  <si>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</si>
  <si>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</si>
  <si>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</si>
  <si>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</si>
  <si>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</si>
  <si>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プリマハム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</si>
  <si>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</si>
  <si>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</si>
  <si>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</si>
  <si>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</si>
  <si>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</si>
  <si>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</si>
  <si>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ＮＪＳ</t>
  </si>
  <si>
    <t>日鉄ソリューションズ</t>
  </si>
  <si>
    <t>いちご</t>
  </si>
  <si>
    <t>カカクコム</t>
  </si>
  <si>
    <t>ＳＢＳホールディングス</t>
  </si>
  <si>
    <t>新日本科学</t>
  </si>
  <si>
    <t>キャリアデザインセンター</t>
  </si>
  <si>
    <t>ベネフィット・ワン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</si>
  <si>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</si>
  <si>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</si>
  <si>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</si>
  <si>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</si>
  <si>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</si>
  <si>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</si>
  <si>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</si>
  <si>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</si>
  <si>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</si>
  <si>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</si>
  <si>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</si>
  <si>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</si>
  <si>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</si>
  <si>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Ｊ－オイルミルズ</t>
  </si>
  <si>
    <t>ローソン</t>
  </si>
  <si>
    <t>サンエー</t>
  </si>
  <si>
    <t>カワチ薬品</t>
  </si>
  <si>
    <t>エービーシー・マート</t>
  </si>
  <si>
    <t>ハードオフコーポレーション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</si>
  <si>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</si>
  <si>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</si>
  <si>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</si>
  <si>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</si>
  <si>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</si>
  <si>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</si>
  <si>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エレマテック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</si>
  <si>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</si>
  <si>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</si>
  <si>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</si>
  <si>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</si>
  <si>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</si>
  <si>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</si>
  <si>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</si>
  <si>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</si>
  <si>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</si>
  <si>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</si>
  <si>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</si>
  <si>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</si>
  <si>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</si>
  <si>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</si>
  <si>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わらべや日洋ホールディングス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</si>
  <si>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</si>
  <si>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</si>
  <si>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</si>
  <si>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</si>
  <si>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</si>
  <si>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</si>
  <si>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</si>
  <si>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</si>
  <si>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</si>
  <si>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ＭｏｎｏｔａＲＯ</t>
  </si>
  <si>
    <t>東京一番フーズ</t>
  </si>
  <si>
    <t>ディーブイエックス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</si>
  <si>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</si>
  <si>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</si>
  <si>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</si>
  <si>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</si>
  <si>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</si>
  <si>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</si>
  <si>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</si>
  <si>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</si>
  <si>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</si>
  <si>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</si>
  <si>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</si>
  <si>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</si>
  <si>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</si>
  <si>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</si>
  <si>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</si>
  <si>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</si>
  <si>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</si>
  <si>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三洋貿易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</si>
  <si>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</si>
  <si>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</si>
  <si>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</si>
  <si>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</si>
  <si>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</si>
  <si>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</si>
  <si>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</si>
  <si>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</si>
  <si>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</si>
  <si>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</si>
  <si>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</si>
  <si>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</si>
  <si>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</si>
  <si>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</si>
  <si>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プレサンスコーポレーション</t>
  </si>
  <si>
    <t>ＴＨＥグローバル社</t>
  </si>
  <si>
    <t>日本管理センター</t>
  </si>
  <si>
    <t>フージャースホールディングス</t>
  </si>
  <si>
    <t>東急不動産ホールディングス</t>
  </si>
  <si>
    <t>イーグランド</t>
  </si>
  <si>
    <t>ムゲンエステート</t>
  </si>
  <si>
    <t>コスモス薬品</t>
  </si>
  <si>
    <t>ソフトクリエイトホールディングス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</si>
  <si>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</si>
  <si>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</si>
  <si>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</si>
  <si>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</si>
  <si>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</si>
  <si>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</si>
  <si>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ＴＯＫＹＯ　ＢＡＳＥ</t>
  </si>
  <si>
    <t>トーカロ</t>
  </si>
  <si>
    <t>ＳＵＭＣＯ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</si>
  <si>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</si>
  <si>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</si>
  <si>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</si>
  <si>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</si>
  <si>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</si>
  <si>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</si>
  <si>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</si>
  <si>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</si>
  <si>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</si>
  <si>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クスリのアオキホールディングス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</si>
  <si>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</si>
  <si>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</si>
  <si>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</si>
  <si>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</si>
  <si>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</si>
  <si>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</si>
  <si>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</si>
  <si>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</si>
  <si>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</si>
  <si>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</si>
  <si>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</si>
  <si>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</si>
  <si>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</si>
  <si>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</si>
  <si>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</si>
  <si>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</si>
  <si>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</si>
  <si>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</si>
  <si>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</si>
  <si>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</si>
  <si>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</si>
  <si>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</si>
  <si>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</si>
  <si>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</si>
  <si>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</si>
  <si>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</si>
  <si>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</si>
  <si>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</si>
  <si>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</si>
  <si>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</si>
  <si>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</si>
  <si>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</si>
  <si>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</si>
  <si>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ネオジャパン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</si>
  <si>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</si>
  <si>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</si>
  <si>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</si>
  <si>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</si>
  <si>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</si>
  <si>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</si>
  <si>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</si>
  <si>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</si>
  <si>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</si>
  <si>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</si>
  <si>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</si>
  <si>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</si>
  <si>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</si>
  <si>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</si>
  <si>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</si>
  <si>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</si>
  <si>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</si>
  <si>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</si>
  <si>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</si>
  <si>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</si>
  <si>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</si>
  <si>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</si>
  <si>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</si>
  <si>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</si>
  <si>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ＫＨネオケム</t>
  </si>
  <si>
    <t>住友ベークライト</t>
  </si>
  <si>
    <t>日本ゼオン</t>
  </si>
  <si>
    <t>積水樹脂</t>
  </si>
  <si>
    <t>旭有機材</t>
  </si>
  <si>
    <t>日立化成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</si>
  <si>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</si>
  <si>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</si>
  <si>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</si>
  <si>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</si>
  <si>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</si>
  <si>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</si>
  <si>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</si>
  <si>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</si>
  <si>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電通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</si>
  <si>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</si>
  <si>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</si>
  <si>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</si>
  <si>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</si>
  <si>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</si>
  <si>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</si>
  <si>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</si>
  <si>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</si>
  <si>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</si>
  <si>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石原ケミカル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</si>
  <si>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</si>
  <si>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</si>
  <si>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</si>
  <si>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</si>
  <si>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</si>
  <si>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</si>
  <si>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</si>
  <si>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</si>
  <si>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</si>
  <si>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</si>
  <si>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</si>
  <si>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</si>
  <si>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</si>
  <si>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</si>
  <si>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</si>
  <si>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</si>
  <si>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</si>
  <si>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第一三共</t>
  </si>
  <si>
    <t>大幸薬品</t>
  </si>
  <si>
    <t>大塚ホールディングス</t>
  </si>
  <si>
    <t>日本ペイントホールディングス</t>
  </si>
  <si>
    <t>中国塗料</t>
  </si>
  <si>
    <t>藤倉化成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</si>
  <si>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</si>
  <si>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</si>
  <si>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</si>
  <si>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</si>
  <si>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</si>
  <si>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</si>
  <si>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</si>
  <si>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リゾートトラスト</t>
  </si>
  <si>
    <t>ＴＤＣソフト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</si>
  <si>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</si>
  <si>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</si>
  <si>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</si>
  <si>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</si>
  <si>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</si>
  <si>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</si>
  <si>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</si>
  <si>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</si>
  <si>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</si>
  <si>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</si>
  <si>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</si>
  <si>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</si>
  <si>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</si>
  <si>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</si>
  <si>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</si>
  <si>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</si>
  <si>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</si>
  <si>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</si>
  <si>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</si>
  <si>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</si>
  <si>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</si>
  <si>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</si>
  <si>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メック</t>
  </si>
  <si>
    <t>ＪＣＵ</t>
  </si>
  <si>
    <t>新田ゼラチン</t>
  </si>
  <si>
    <t>アース製薬</t>
  </si>
  <si>
    <t>大成ラミック</t>
  </si>
  <si>
    <t>日本農薬</t>
  </si>
  <si>
    <t>富士興産</t>
  </si>
  <si>
    <t>ＭＯＲＥＳＣＯ</t>
  </si>
  <si>
    <t>コスモエネルギーホールディングス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</si>
  <si>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</si>
  <si>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</si>
  <si>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</si>
  <si>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</si>
  <si>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</si>
  <si>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</si>
  <si>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</si>
  <si>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</si>
  <si>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</si>
  <si>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</si>
  <si>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日本板硝子</t>
  </si>
  <si>
    <t>石塚硝子</t>
  </si>
  <si>
    <t>有沢製作所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</si>
  <si>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</si>
  <si>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</si>
  <si>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</si>
  <si>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</si>
  <si>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</si>
  <si>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</si>
  <si>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</si>
  <si>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</si>
  <si>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</si>
  <si>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</si>
  <si>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</si>
  <si>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東京窯業</t>
  </si>
  <si>
    <t>フジミインコーポレーテッド</t>
  </si>
  <si>
    <t>日本製鉄</t>
  </si>
  <si>
    <t>神戸製鋼所</t>
  </si>
  <si>
    <t>中山製鋼所</t>
  </si>
  <si>
    <t>合同製鐵</t>
  </si>
  <si>
    <t>ジェイ　エフ　イー　ホールディングス</t>
  </si>
  <si>
    <t>共英製鋼</t>
  </si>
  <si>
    <t>淀川製鋼所</t>
  </si>
  <si>
    <t>モリ工業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</si>
  <si>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</si>
  <si>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</si>
  <si>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</si>
  <si>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</si>
  <si>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</si>
  <si>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</si>
  <si>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</si>
  <si>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</si>
  <si>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</si>
  <si>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</si>
  <si>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三井金属鉱業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</si>
  <si>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</si>
  <si>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</si>
  <si>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</si>
  <si>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</si>
  <si>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</si>
  <si>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</si>
  <si>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</si>
  <si>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</si>
  <si>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</si>
  <si>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</si>
  <si>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</si>
  <si>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東洋シヤッター</t>
  </si>
  <si>
    <t>ＬＩＸＩＬグループ</t>
  </si>
  <si>
    <t>ノーリツ</t>
  </si>
  <si>
    <t>長府製作所</t>
  </si>
  <si>
    <t>ユニプレス</t>
  </si>
  <si>
    <t>ダイニチ工業</t>
  </si>
  <si>
    <t>日東精工</t>
  </si>
  <si>
    <t>三洋工業</t>
  </si>
  <si>
    <t>高周波熱錬</t>
  </si>
  <si>
    <t>東京製綱</t>
  </si>
  <si>
    <t>パイオラックス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</si>
  <si>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</si>
  <si>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</si>
  <si>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</si>
  <si>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</si>
  <si>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</si>
  <si>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</si>
  <si>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</si>
  <si>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</si>
  <si>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</si>
  <si>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ＩＢＪ</t>
  </si>
  <si>
    <t>アサンテ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</si>
  <si>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</si>
  <si>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</si>
  <si>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</si>
  <si>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</si>
  <si>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</si>
  <si>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</si>
  <si>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</si>
  <si>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</si>
  <si>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</si>
  <si>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</si>
  <si>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</si>
  <si>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</si>
  <si>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</si>
  <si>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</si>
  <si>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</si>
  <si>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</si>
  <si>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</si>
  <si>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</si>
  <si>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</si>
  <si>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</si>
  <si>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</si>
  <si>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</si>
  <si>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</si>
  <si>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</si>
  <si>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</si>
  <si>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</si>
  <si>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</si>
  <si>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</si>
  <si>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</si>
  <si>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マルマエ</t>
  </si>
  <si>
    <t>ナブテスコ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</si>
  <si>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</si>
  <si>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</si>
  <si>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</si>
  <si>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</si>
  <si>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</si>
  <si>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</si>
  <si>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</si>
  <si>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</si>
  <si>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</si>
  <si>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</si>
  <si>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</si>
  <si>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</si>
  <si>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</si>
  <si>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</si>
  <si>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</si>
  <si>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</si>
  <si>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</si>
  <si>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</si>
  <si>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</si>
  <si>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</si>
  <si>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</si>
  <si>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</si>
  <si>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</si>
  <si>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</si>
  <si>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</si>
  <si>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タダノ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</si>
  <si>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</si>
  <si>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</si>
  <si>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</si>
  <si>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</si>
  <si>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</si>
  <si>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</si>
  <si>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</si>
  <si>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</si>
  <si>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</si>
  <si>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</si>
  <si>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</si>
  <si>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ＴＨＫ</t>
  </si>
  <si>
    <t>ユーシン精機</t>
  </si>
  <si>
    <t>日本ピラー工業</t>
  </si>
  <si>
    <t>東洋電機製造</t>
  </si>
  <si>
    <t>安川電機</t>
  </si>
  <si>
    <t>明電舎</t>
  </si>
  <si>
    <t>山洋電気</t>
  </si>
  <si>
    <t>アイモバイル</t>
  </si>
  <si>
    <t>グリーンズ</t>
  </si>
  <si>
    <t>ツナググループ・ホールディングス</t>
  </si>
  <si>
    <t>ＧａｍｅＷｉｔｈ</t>
  </si>
  <si>
    <t>マキタ</t>
  </si>
  <si>
    <t>芝浦メカトロニクス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</si>
  <si>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</si>
  <si>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</si>
  <si>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</si>
  <si>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</si>
  <si>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</si>
  <si>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</si>
  <si>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</si>
  <si>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</si>
  <si>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</si>
  <si>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</si>
  <si>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</si>
  <si>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</si>
  <si>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</si>
  <si>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</si>
  <si>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</si>
  <si>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</si>
  <si>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</si>
  <si>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</si>
  <si>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シャープ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</si>
  <si>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</si>
  <si>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</si>
  <si>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</si>
  <si>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</si>
  <si>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</si>
  <si>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</si>
  <si>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</si>
  <si>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</si>
  <si>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</si>
  <si>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</si>
  <si>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</si>
  <si>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</si>
  <si>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</si>
  <si>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</si>
  <si>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</si>
  <si>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</si>
  <si>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</si>
  <si>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</si>
  <si>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</si>
  <si>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</si>
  <si>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</si>
  <si>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</si>
  <si>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</si>
  <si>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</si>
  <si>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</si>
  <si>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</si>
  <si>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</si>
  <si>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</si>
  <si>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</si>
  <si>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</si>
  <si>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</si>
  <si>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</si>
  <si>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三井ハイテック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</si>
  <si>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</si>
  <si>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</si>
  <si>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</si>
  <si>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</si>
  <si>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</si>
  <si>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</si>
  <si>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日立造船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</si>
  <si>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</si>
  <si>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</si>
  <si>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</si>
  <si>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</si>
  <si>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</si>
  <si>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</si>
  <si>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</si>
  <si>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</si>
  <si>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</si>
  <si>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</si>
  <si>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</si>
  <si>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</si>
  <si>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</si>
  <si>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</si>
  <si>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</si>
  <si>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</si>
  <si>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</si>
  <si>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</si>
  <si>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</si>
  <si>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</si>
  <si>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</si>
  <si>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</si>
  <si>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</si>
  <si>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</si>
  <si>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</si>
  <si>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</si>
  <si>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</si>
  <si>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</si>
  <si>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</si>
  <si>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</si>
  <si>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</si>
  <si>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</si>
  <si>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</si>
  <si>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南陽</t>
  </si>
  <si>
    <t>佐鳥電機</t>
  </si>
  <si>
    <t>エコートレーディング</t>
  </si>
  <si>
    <t>中山福</t>
  </si>
  <si>
    <t>ライトオン</t>
  </si>
  <si>
    <t>ナガイレーベン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</si>
  <si>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</si>
  <si>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</si>
  <si>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</si>
  <si>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</si>
  <si>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</si>
  <si>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</si>
  <si>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</si>
  <si>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</si>
  <si>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</si>
  <si>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</si>
  <si>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</si>
  <si>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</si>
  <si>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ネットワンシステムズ</t>
  </si>
  <si>
    <t>ワタミ</t>
  </si>
  <si>
    <t>マルシェ</t>
  </si>
  <si>
    <t>リックス</t>
  </si>
  <si>
    <t>パン・パシフィック・インターナショナルホールディングス</t>
  </si>
  <si>
    <t>西松屋チェーン</t>
  </si>
  <si>
    <t>ゼンショーホールディングス</t>
  </si>
  <si>
    <t>橋本総業ホールディングス</t>
  </si>
  <si>
    <t>ＶＴホールディングス</t>
  </si>
  <si>
    <t>ＩＤＯＭ</t>
  </si>
  <si>
    <t>ポプラ</t>
  </si>
  <si>
    <t>フジ・コーポレーション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</si>
  <si>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</si>
  <si>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</si>
  <si>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</si>
  <si>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</si>
  <si>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</si>
  <si>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</si>
  <si>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</si>
  <si>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</si>
  <si>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</si>
  <si>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</si>
  <si>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</si>
  <si>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オーバル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</si>
  <si>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</si>
  <si>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</si>
  <si>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</si>
  <si>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</si>
  <si>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</si>
  <si>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</si>
  <si>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</si>
  <si>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</si>
  <si>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</si>
  <si>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</si>
  <si>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バンダイナムコホールディングス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</si>
  <si>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</si>
  <si>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</si>
  <si>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</si>
  <si>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</si>
  <si>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</si>
  <si>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</si>
  <si>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</si>
  <si>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</si>
  <si>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</si>
  <si>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</si>
  <si>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</si>
  <si>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</si>
  <si>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</si>
  <si>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</si>
  <si>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</si>
  <si>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</si>
  <si>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</si>
  <si>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</si>
  <si>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</si>
  <si>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</si>
  <si>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</si>
  <si>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</si>
  <si>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</si>
  <si>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</si>
  <si>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</si>
  <si>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</si>
  <si>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</si>
  <si>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</si>
  <si>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</si>
  <si>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</si>
  <si>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</si>
  <si>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</si>
  <si>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</si>
  <si>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</si>
  <si>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</si>
  <si>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</si>
  <si>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</si>
  <si>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</si>
  <si>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</si>
  <si>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</si>
  <si>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</si>
  <si>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</si>
  <si>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キヤノンマーケティングジャパン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</si>
  <si>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</si>
  <si>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</si>
  <si>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</si>
  <si>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</si>
  <si>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</si>
  <si>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</si>
  <si>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</si>
  <si>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</si>
  <si>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</si>
  <si>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</si>
  <si>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</si>
  <si>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</si>
  <si>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</si>
  <si>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</si>
  <si>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</si>
  <si>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</si>
  <si>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</si>
  <si>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</si>
  <si>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</si>
  <si>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</si>
  <si>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</si>
  <si>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</si>
  <si>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</si>
  <si>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</si>
  <si>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</si>
  <si>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</si>
  <si>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</si>
  <si>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</si>
  <si>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</si>
  <si>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</si>
  <si>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</si>
  <si>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</si>
  <si>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</si>
  <si>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</si>
  <si>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</si>
  <si>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</si>
  <si>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</si>
  <si>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</si>
  <si>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</si>
  <si>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</si>
  <si>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</si>
  <si>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</si>
  <si>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</si>
  <si>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</si>
  <si>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</si>
  <si>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</si>
  <si>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</si>
  <si>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</si>
  <si>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</si>
  <si>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</si>
  <si>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</si>
  <si>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</si>
  <si>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</si>
  <si>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</si>
  <si>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</si>
  <si>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</si>
  <si>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</si>
  <si>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</si>
  <si>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</si>
  <si>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</si>
  <si>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</si>
  <si>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</si>
  <si>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</si>
  <si>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</si>
  <si>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</si>
  <si>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</si>
  <si>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</si>
  <si>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</si>
  <si>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</si>
  <si>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</si>
  <si>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</si>
  <si>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</si>
  <si>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</si>
  <si>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</si>
  <si>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</si>
  <si>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</si>
  <si>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</si>
  <si>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</si>
  <si>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</si>
  <si>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</si>
  <si>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</si>
  <si>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</si>
  <si>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</si>
  <si>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百十四銀行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</si>
  <si>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</si>
  <si>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</si>
  <si>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</si>
  <si>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</si>
  <si>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</si>
  <si>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</si>
  <si>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</si>
  <si>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</si>
  <si>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</si>
  <si>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</si>
  <si>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</si>
  <si>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</si>
  <si>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</si>
  <si>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</si>
  <si>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</si>
  <si>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</si>
  <si>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</si>
  <si>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</si>
  <si>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</si>
  <si>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</si>
  <si>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</si>
  <si>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</si>
  <si>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ジャックス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</si>
  <si>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</si>
  <si>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</si>
  <si>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</si>
  <si>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</si>
  <si>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</si>
  <si>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</si>
  <si>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</si>
  <si>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</si>
  <si>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</si>
  <si>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</si>
  <si>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</si>
  <si>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</si>
  <si>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</si>
  <si>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</si>
  <si>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</si>
  <si>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</si>
  <si>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</si>
  <si>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</si>
  <si>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</si>
  <si>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</si>
  <si>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住友不動産</t>
  </si>
  <si>
    <t>テーオーシー</t>
  </si>
  <si>
    <t>レオパレス２１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</si>
  <si>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</si>
  <si>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</si>
  <si>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</si>
  <si>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</si>
  <si>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</si>
  <si>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</si>
  <si>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</si>
  <si>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</si>
  <si>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</si>
  <si>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</si>
  <si>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</si>
  <si>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</si>
  <si>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</si>
  <si>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</si>
  <si>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</si>
  <si>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</si>
  <si>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</si>
  <si>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</si>
  <si>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</si>
  <si>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</si>
  <si>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鴻池運輸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</si>
  <si>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</si>
  <si>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</si>
  <si>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</si>
  <si>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</si>
  <si>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</si>
  <si>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</si>
  <si>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</si>
  <si>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</si>
  <si>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</si>
  <si>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</si>
  <si>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</si>
  <si>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</si>
  <si>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</si>
  <si>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</si>
  <si>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</si>
  <si>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</si>
  <si>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</si>
  <si>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</si>
  <si>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</si>
  <si>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</si>
  <si>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</si>
  <si>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</si>
  <si>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</si>
  <si>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</si>
  <si>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</si>
  <si>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</si>
  <si>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</si>
  <si>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ブックオフグループホールディングス</t>
  </si>
  <si>
    <t>住友倉庫</t>
  </si>
  <si>
    <t>東陽倉庫</t>
  </si>
  <si>
    <t>乾汽船</t>
  </si>
  <si>
    <t>日本トランスシティ</t>
  </si>
  <si>
    <t>中央倉庫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</si>
  <si>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</si>
  <si>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</si>
  <si>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</si>
  <si>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</si>
  <si>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</si>
  <si>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</si>
  <si>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</si>
  <si>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</si>
  <si>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</si>
  <si>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</si>
  <si>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</si>
  <si>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</si>
  <si>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光通信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</si>
  <si>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</si>
  <si>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</si>
  <si>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</si>
  <si>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</si>
  <si>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</si>
  <si>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</si>
  <si>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</si>
  <si>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北陸電力</t>
  </si>
  <si>
    <t>東北電力</t>
  </si>
  <si>
    <t>沖縄電力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</si>
  <si>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</si>
  <si>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</si>
  <si>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</si>
  <si>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</si>
  <si>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</si>
  <si>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</si>
  <si>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</si>
  <si>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</si>
  <si>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</si>
  <si>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</si>
  <si>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</si>
  <si>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</si>
  <si>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</si>
  <si>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</si>
  <si>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</si>
  <si>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燦ホールディングス</t>
  </si>
  <si>
    <t>ナガワ</t>
  </si>
  <si>
    <t>常磐興産</t>
  </si>
  <si>
    <t>東京ドーム</t>
  </si>
  <si>
    <t>スクウェア・エニックス・ホールディングス</t>
  </si>
  <si>
    <t>カプコン</t>
  </si>
  <si>
    <t>トランス・コスモス</t>
  </si>
  <si>
    <t>ジャステック</t>
  </si>
  <si>
    <t>藤田観光</t>
  </si>
  <si>
    <t>ＫＮＴ－ＣＴホールディングス</t>
  </si>
  <si>
    <t>トーカイ</t>
  </si>
  <si>
    <t>セントラル警備保障</t>
  </si>
  <si>
    <t>丹青社</t>
  </si>
  <si>
    <t>メイテック</t>
  </si>
  <si>
    <t>丸紅建材リース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</si>
  <si>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</si>
  <si>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</si>
  <si>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</si>
  <si>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</si>
  <si>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</si>
  <si>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</si>
  <si>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</si>
  <si>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</si>
  <si>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アークランドサカモト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</si>
  <si>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</si>
  <si>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</si>
  <si>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</si>
  <si>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</si>
  <si>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</si>
  <si>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</si>
  <si>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</si>
  <si>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</si>
  <si>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</si>
  <si>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</si>
  <si>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</si>
  <si>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</si>
  <si>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ミロク情報サービス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</si>
  <si>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</si>
  <si>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</si>
  <si>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</si>
  <si>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</si>
  <si>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</si>
  <si>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</si>
  <si>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</si>
  <si>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</si>
  <si>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</si>
  <si>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</si>
  <si>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</si>
  <si>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</si>
  <si>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</si>
  <si>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</si>
  <si>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</si>
  <si>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</si>
  <si>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</si>
  <si>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</si>
  <si>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</si>
  <si>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</si>
  <si>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</si>
  <si>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</si>
  <si>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</si>
  <si>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</si>
  <si>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</si>
  <si>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</si>
  <si>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</si>
  <si>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</si>
  <si>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</si>
  <si>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</si>
  <si>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CLOSE_A_ADJUST</t>
  </si>
  <si>
    <t>OPEN_1951</t>
  </si>
  <si>
    <t>CLOSE_1951</t>
  </si>
  <si>
    <t>OPEN_4042</t>
  </si>
  <si>
    <t>CLOSE_4042</t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</si>
  <si>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</si>
  <si>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</si>
  <si>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</si>
  <si>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</si>
  <si>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</si>
  <si>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OPEN_3861</t>
  </si>
  <si>
    <t>CLOSE_3861</t>
  </si>
  <si>
    <t>OPEN_5703</t>
  </si>
  <si>
    <t>CLOSE_5703</t>
  </si>
  <si>
    <t>sell return</t>
  </si>
  <si>
    <t>buy return</t>
  </si>
  <si>
    <t>total return</t>
  </si>
  <si>
    <t>total return %</t>
  </si>
  <si>
    <t>1Y</t>
    <phoneticPr fontId="1" type="noConversion"/>
  </si>
  <si>
    <t>SELL</t>
    <phoneticPr fontId="1" type="noConversion"/>
  </si>
  <si>
    <t>東ソー</t>
    <phoneticPr fontId="1" type="noConversion"/>
  </si>
  <si>
    <t>BUY</t>
    <phoneticPr fontId="1" type="noConversion"/>
  </si>
  <si>
    <t>協和エクシオ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</si>
  <si>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</si>
  <si>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</si>
  <si>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</si>
  <si>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</si>
  <si>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</si>
  <si>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</si>
  <si>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</si>
  <si>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</si>
  <si>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</si>
  <si>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王子ホールディングス</t>
    <phoneticPr fontId="1" type="noConversion"/>
  </si>
  <si>
    <t>日本軽金属ホールディングス</t>
    <phoneticPr fontId="1" type="noConversion"/>
  </si>
  <si>
    <t>制度</t>
    <phoneticPr fontId="1" type="noConversion"/>
  </si>
  <si>
    <t>制度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</si>
</sst>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5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</cellStyleXfs>
  <cellXfs count="34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0" fillId="0" borderId="0" xfId="0" applyFont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16" fillId="8" borderId="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9" fillId="23" borderId="0" xfId="2" applyAlignment="1" applyProtection="1"/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32" fillId="8" borderId="1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82" fontId="32" fillId="8" borderId="1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4" fillId="21" borderId="27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17" fillId="3" borderId="6" xfId="0" applyFont="1" applyFill="1" applyBorder="1" applyAlignment="1">
      <alignment horizontal="left" vertical="center" shrinkToFit="1"/>
    </xf>
    <xf numFmtId="180" fontId="16" fillId="3" borderId="1" xfId="0" applyNumberFormat="1" applyFont="1" applyFill="1" applyBorder="1" applyAlignment="1">
      <alignment horizontal="center" vertical="center"/>
    </xf>
    <xf numFmtId="6" fontId="16" fillId="3" borderId="1" xfId="0" applyNumberFormat="1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 shrinkToFit="1"/>
    </xf>
    <xf numFmtId="181" fontId="16" fillId="3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left" vertical="center" shrinkToFit="1"/>
    </xf>
    <xf numFmtId="180" fontId="16" fillId="8" borderId="1" xfId="0" applyNumberFormat="1" applyFont="1" applyFill="1" applyBorder="1" applyAlignment="1">
      <alignment horizontal="center" vertical="center"/>
    </xf>
    <xf numFmtId="6" fontId="16" fillId="8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 shrinkToFit="1"/>
    </xf>
    <xf numFmtId="179" fontId="16" fillId="8" borderId="1" xfId="0" applyNumberFormat="1" applyFont="1" applyFill="1" applyBorder="1" applyAlignment="1">
      <alignment horizontal="center" vertical="center"/>
    </xf>
    <xf numFmtId="0" fontId="20" fillId="0" borderId="11" xfId="0" applyFont="1" applyBorder="1"/>
    <xf numFmtId="14" fontId="16" fillId="3" borderId="1" xfId="0" applyNumberFormat="1" applyFont="1" applyFill="1" applyBorder="1" applyAlignment="1">
      <alignment horizontal="center"/>
    </xf>
    <xf numFmtId="0" fontId="2" fillId="25" borderId="0" xfId="0" applyFont="1" applyFill="1" applyAlignment="1">
      <alignment vertical="center"/>
    </xf>
    <xf numFmtId="14" fontId="0" fillId="26" borderId="0" xfId="0" applyNumberFormat="1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0" xfId="0" applyFill="1" applyBorder="1" applyAlignment="1">
      <alignment horizontal="center" vertical="center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39E-2"/>
          <c:y val="8.1284535694720383E-2"/>
          <c:w val="0.90558616623760668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96499584"/>
        <c:axId val="96501120"/>
      </c:lineChart>
      <c:catAx>
        <c:axId val="96499584"/>
        <c:scaling>
          <c:orientation val="minMax"/>
        </c:scaling>
        <c:axPos val="b"/>
        <c:numFmt formatCode="yyyy/mm/dd" sourceLinked="1"/>
        <c:tickLblPos val="nextTo"/>
        <c:crossAx val="96501120"/>
        <c:crosses val="autoZero"/>
        <c:auto val="1"/>
        <c:lblAlgn val="ctr"/>
        <c:lblOffset val="100"/>
      </c:catAx>
      <c:valAx>
        <c:axId val="96501120"/>
        <c:scaling>
          <c:orientation val="minMax"/>
          <c:min val="0.9"/>
        </c:scaling>
        <c:axPos val="l"/>
        <c:majorGridlines/>
        <c:numFmt formatCode="General" sourceLinked="1"/>
        <c:majorTickMark val="none"/>
        <c:tickLblPos val="nextTo"/>
        <c:crossAx val="96499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97E-2"/>
          <c:w val="0.11146820076747002"/>
          <c:h val="0.1504558576043829"/>
        </c:manualLayout>
      </c:layout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11E-2"/>
          <c:y val="5.9472583760440963E-2"/>
          <c:w val="0.90558616623760635"/>
          <c:h val="0.81364905578327373"/>
        </c:manualLayout>
      </c:layout>
      <c:lineChart>
        <c:grouping val="standard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2.7100840336134402</c:v>
                </c:pt>
                <c:pt idx="1">
                  <c:v>2.67916666666666</c:v>
                </c:pt>
                <c:pt idx="2">
                  <c:v>2.6680497925311202</c:v>
                </c:pt>
                <c:pt idx="3">
                  <c:v>2.67372881355932</c:v>
                </c:pt>
                <c:pt idx="4">
                  <c:v>2.65531914893617</c:v>
                </c:pt>
                <c:pt idx="5">
                  <c:v>2.69827586206896</c:v>
                </c:pt>
                <c:pt idx="6">
                  <c:v>2.6949152542372801</c:v>
                </c:pt>
                <c:pt idx="7">
                  <c:v>2.68695652173913</c:v>
                </c:pt>
                <c:pt idx="8">
                  <c:v>2.7205240174672398</c:v>
                </c:pt>
                <c:pt idx="9">
                  <c:v>2.7488789237668101</c:v>
                </c:pt>
                <c:pt idx="10">
                  <c:v>2.7578475336322801</c:v>
                </c:pt>
                <c:pt idx="11">
                  <c:v>2.7841409691629901</c:v>
                </c:pt>
                <c:pt idx="12">
                  <c:v>2.8026905829596398</c:v>
                </c:pt>
                <c:pt idx="13">
                  <c:v>2.7555555555555502</c:v>
                </c:pt>
                <c:pt idx="14">
                  <c:v>2.7205240174672398</c:v>
                </c:pt>
                <c:pt idx="15">
                  <c:v>2.72</c:v>
                </c:pt>
                <c:pt idx="16">
                  <c:v>2.7111111111111099</c:v>
                </c:pt>
                <c:pt idx="17">
                  <c:v>2.7072072072072002</c:v>
                </c:pt>
                <c:pt idx="18">
                  <c:v>2.6035242290748899</c:v>
                </c:pt>
                <c:pt idx="19">
                  <c:v>2.68141592920353</c:v>
                </c:pt>
                <c:pt idx="20">
                  <c:v>2.6480686695278899</c:v>
                </c:pt>
                <c:pt idx="21">
                  <c:v>2.69098712446351</c:v>
                </c:pt>
                <c:pt idx="22">
                  <c:v>2.71428571428571</c:v>
                </c:pt>
                <c:pt idx="23">
                  <c:v>2.6434782608695602</c:v>
                </c:pt>
                <c:pt idx="24">
                  <c:v>2.7076271186440599</c:v>
                </c:pt>
                <c:pt idx="25">
                  <c:v>2.77021276595744</c:v>
                </c:pt>
                <c:pt idx="26">
                  <c:v>2.72103004291845</c:v>
                </c:pt>
                <c:pt idx="27">
                  <c:v>2.7347826086956499</c:v>
                </c:pt>
                <c:pt idx="28">
                  <c:v>2.75</c:v>
                </c:pt>
                <c:pt idx="29">
                  <c:v>2.8206278026905802</c:v>
                </c:pt>
                <c:pt idx="30">
                  <c:v>2.7488584474885802</c:v>
                </c:pt>
                <c:pt idx="31">
                  <c:v>2.6398104265402802</c:v>
                </c:pt>
                <c:pt idx="32">
                  <c:v>2.6650943396226401</c:v>
                </c:pt>
                <c:pt idx="33">
                  <c:v>2.6822429906542</c:v>
                </c:pt>
                <c:pt idx="34">
                  <c:v>2.6558139534883698</c:v>
                </c:pt>
                <c:pt idx="35">
                  <c:v>2.68075117370892</c:v>
                </c:pt>
                <c:pt idx="36">
                  <c:v>2.66511627906976</c:v>
                </c:pt>
                <c:pt idx="37">
                  <c:v>2.67906976744186</c:v>
                </c:pt>
                <c:pt idx="38">
                  <c:v>2.6698564593301399</c:v>
                </c:pt>
                <c:pt idx="39">
                  <c:v>2.7024390243902401</c:v>
                </c:pt>
                <c:pt idx="40">
                  <c:v>2.6881188118811798</c:v>
                </c:pt>
                <c:pt idx="41">
                  <c:v>2.7050000000000001</c:v>
                </c:pt>
                <c:pt idx="42">
                  <c:v>2.71782178217821</c:v>
                </c:pt>
                <c:pt idx="43">
                  <c:v>2.6764705882352899</c:v>
                </c:pt>
                <c:pt idx="44">
                  <c:v>2.7014925373134302</c:v>
                </c:pt>
                <c:pt idx="45">
                  <c:v>2.6130653266331598</c:v>
                </c:pt>
                <c:pt idx="46">
                  <c:v>2.54726368159203</c:v>
                </c:pt>
                <c:pt idx="47">
                  <c:v>2.6180904522613</c:v>
                </c:pt>
                <c:pt idx="48">
                  <c:v>2.5786802030456801</c:v>
                </c:pt>
                <c:pt idx="49">
                  <c:v>2.6122448979591799</c:v>
                </c:pt>
                <c:pt idx="50">
                  <c:v>2.5948717948717901</c:v>
                </c:pt>
                <c:pt idx="51">
                  <c:v>2.6313131313131302</c:v>
                </c:pt>
                <c:pt idx="52">
                  <c:v>2.6331658291457201</c:v>
                </c:pt>
                <c:pt idx="53">
                  <c:v>2.5979381443298899</c:v>
                </c:pt>
                <c:pt idx="54">
                  <c:v>2.6173469387755102</c:v>
                </c:pt>
                <c:pt idx="55">
                  <c:v>2.5833333333333299</c:v>
                </c:pt>
                <c:pt idx="56">
                  <c:v>2.4950980392156801</c:v>
                </c:pt>
                <c:pt idx="57">
                  <c:v>2.5539215686274499</c:v>
                </c:pt>
                <c:pt idx="58">
                  <c:v>2.5665024630541802</c:v>
                </c:pt>
                <c:pt idx="59">
                  <c:v>2.585</c:v>
                </c:pt>
                <c:pt idx="60">
                  <c:v>2.5959595959595898</c:v>
                </c:pt>
                <c:pt idx="61">
                  <c:v>2.5714285714285698</c:v>
                </c:pt>
                <c:pt idx="62">
                  <c:v>2.6169154228855702</c:v>
                </c:pt>
                <c:pt idx="63">
                  <c:v>2.6080402010050201</c:v>
                </c:pt>
                <c:pt idx="64">
                  <c:v>2.6598984771573599</c:v>
                </c:pt>
                <c:pt idx="65">
                  <c:v>2.6340206185567001</c:v>
                </c:pt>
                <c:pt idx="66">
                  <c:v>2.6878306878306799</c:v>
                </c:pt>
                <c:pt idx="67">
                  <c:v>2.6898395721925099</c:v>
                </c:pt>
                <c:pt idx="68">
                  <c:v>2.6736842105263099</c:v>
                </c:pt>
                <c:pt idx="69">
                  <c:v>2.6612021857923498</c:v>
                </c:pt>
                <c:pt idx="70">
                  <c:v>2.6956521739130399</c:v>
                </c:pt>
                <c:pt idx="71">
                  <c:v>2.65405405405405</c:v>
                </c:pt>
                <c:pt idx="72">
                  <c:v>2.6902173913043401</c:v>
                </c:pt>
                <c:pt idx="73">
                  <c:v>2.6850828729281702</c:v>
                </c:pt>
                <c:pt idx="74">
                  <c:v>2.67777777777777</c:v>
                </c:pt>
                <c:pt idx="75">
                  <c:v>2.65745856353591</c:v>
                </c:pt>
                <c:pt idx="76">
                  <c:v>2.6536312849161998</c:v>
                </c:pt>
                <c:pt idx="77">
                  <c:v>2.6666666666666599</c:v>
                </c:pt>
                <c:pt idx="78">
                  <c:v>2.6298342541436401</c:v>
                </c:pt>
                <c:pt idx="79">
                  <c:v>2.6685082872928101</c:v>
                </c:pt>
                <c:pt idx="80">
                  <c:v>2.6358695652173898</c:v>
                </c:pt>
                <c:pt idx="81">
                  <c:v>2.6284153005464401</c:v>
                </c:pt>
                <c:pt idx="82">
                  <c:v>2.64088397790055</c:v>
                </c:pt>
                <c:pt idx="83">
                  <c:v>2.65</c:v>
                </c:pt>
                <c:pt idx="84">
                  <c:v>2.63387978142076</c:v>
                </c:pt>
                <c:pt idx="85">
                  <c:v>2.6555555555555501</c:v>
                </c:pt>
                <c:pt idx="86">
                  <c:v>2.6939890710382501</c:v>
                </c:pt>
                <c:pt idx="87">
                  <c:v>2.7103825136611999</c:v>
                </c:pt>
                <c:pt idx="88">
                  <c:v>2.7213114754098302</c:v>
                </c:pt>
                <c:pt idx="89">
                  <c:v>2.6914893617021201</c:v>
                </c:pt>
                <c:pt idx="90">
                  <c:v>2.7826086956521698</c:v>
                </c:pt>
                <c:pt idx="91">
                  <c:v>2.7894736842105199</c:v>
                </c:pt>
                <c:pt idx="92">
                  <c:v>2.8375634517766399</c:v>
                </c:pt>
                <c:pt idx="93">
                  <c:v>2.83</c:v>
                </c:pt>
                <c:pt idx="94">
                  <c:v>2.75121951219512</c:v>
                </c:pt>
                <c:pt idx="95">
                  <c:v>2.6238532110091701</c:v>
                </c:pt>
                <c:pt idx="96">
                  <c:v>2.6330275229357798</c:v>
                </c:pt>
                <c:pt idx="97">
                  <c:v>2.63348416289592</c:v>
                </c:pt>
                <c:pt idx="98">
                  <c:v>2.6425339366515801</c:v>
                </c:pt>
                <c:pt idx="99">
                  <c:v>2.5663716814159199</c:v>
                </c:pt>
                <c:pt idx="100">
                  <c:v>2.5900900900900901</c:v>
                </c:pt>
                <c:pt idx="101">
                  <c:v>2.55947136563876</c:v>
                </c:pt>
                <c:pt idx="102">
                  <c:v>2.5336322869955099</c:v>
                </c:pt>
                <c:pt idx="103">
                  <c:v>2.5238095238095202</c:v>
                </c:pt>
                <c:pt idx="104">
                  <c:v>2.5173913043478202</c:v>
                </c:pt>
                <c:pt idx="105">
                  <c:v>2.53879310344827</c:v>
                </c:pt>
                <c:pt idx="106">
                  <c:v>2.5739130434782602</c:v>
                </c:pt>
                <c:pt idx="107">
                  <c:v>2.57894736842105</c:v>
                </c:pt>
                <c:pt idx="108">
                  <c:v>2.61304347826086</c:v>
                </c:pt>
                <c:pt idx="109">
                  <c:v>2.6491228070175401</c:v>
                </c:pt>
                <c:pt idx="110">
                  <c:v>2.61373390557939</c:v>
                </c:pt>
                <c:pt idx="111">
                  <c:v>2.6826086956521702</c:v>
                </c:pt>
                <c:pt idx="112">
                  <c:v>2.6465517241379302</c:v>
                </c:pt>
                <c:pt idx="113">
                  <c:v>2.65531914893617</c:v>
                </c:pt>
                <c:pt idx="114">
                  <c:v>2.64556962025316</c:v>
                </c:pt>
                <c:pt idx="115">
                  <c:v>2.6695278969956999</c:v>
                </c:pt>
                <c:pt idx="116">
                  <c:v>2.6723404255319099</c:v>
                </c:pt>
                <c:pt idx="117">
                  <c:v>2.6796536796536699</c:v>
                </c:pt>
                <c:pt idx="118">
                  <c:v>2.6810344827586201</c:v>
                </c:pt>
                <c:pt idx="119">
                  <c:v>2.6186440677966099</c:v>
                </c:pt>
                <c:pt idx="120">
                  <c:v>2.6144067796610102</c:v>
                </c:pt>
                <c:pt idx="121">
                  <c:v>2.5578512396694202</c:v>
                </c:pt>
                <c:pt idx="122">
                  <c:v>2.5966386554621801</c:v>
                </c:pt>
                <c:pt idx="123">
                  <c:v>2.61038961038961</c:v>
                </c:pt>
                <c:pt idx="124">
                  <c:v>2.5683760683760601</c:v>
                </c:pt>
                <c:pt idx="125">
                  <c:v>2.5897435897435899</c:v>
                </c:pt>
                <c:pt idx="126">
                  <c:v>2.5489361702127602</c:v>
                </c:pt>
                <c:pt idx="127">
                  <c:v>2.5485232067510499</c:v>
                </c:pt>
                <c:pt idx="128">
                  <c:v>2.5</c:v>
                </c:pt>
                <c:pt idx="129">
                  <c:v>2.4495798319327702</c:v>
                </c:pt>
                <c:pt idx="130">
                  <c:v>2.40506329113924</c:v>
                </c:pt>
                <c:pt idx="131">
                  <c:v>2.5043103448275801</c:v>
                </c:pt>
                <c:pt idx="132">
                  <c:v>2.4579831932773102</c:v>
                </c:pt>
                <c:pt idx="133">
                  <c:v>2.4612068965517202</c:v>
                </c:pt>
                <c:pt idx="134">
                  <c:v>2.5044642857142798</c:v>
                </c:pt>
                <c:pt idx="135">
                  <c:v>2.4521739130434699</c:v>
                </c:pt>
                <c:pt idx="136">
                  <c:v>2.4568965517241299</c:v>
                </c:pt>
                <c:pt idx="137">
                  <c:v>2.49356223175965</c:v>
                </c:pt>
                <c:pt idx="138">
                  <c:v>2.5560344827586201</c:v>
                </c:pt>
                <c:pt idx="139">
                  <c:v>2.4518828451882801</c:v>
                </c:pt>
                <c:pt idx="140">
                  <c:v>2.4791666666666599</c:v>
                </c:pt>
                <c:pt idx="141">
                  <c:v>2.4380165289256199</c:v>
                </c:pt>
                <c:pt idx="142">
                  <c:v>2.5041322314049501</c:v>
                </c:pt>
                <c:pt idx="143">
                  <c:v>2.5</c:v>
                </c:pt>
                <c:pt idx="144">
                  <c:v>2.5208333333333299</c:v>
                </c:pt>
                <c:pt idx="145">
                  <c:v>2.51028806584362</c:v>
                </c:pt>
                <c:pt idx="146">
                  <c:v>2.61038961038961</c:v>
                </c:pt>
                <c:pt idx="147">
                  <c:v>2.5550847457627102</c:v>
                </c:pt>
                <c:pt idx="148">
                  <c:v>2.6415929203539799</c:v>
                </c:pt>
                <c:pt idx="149">
                  <c:v>2.5739130434782602</c:v>
                </c:pt>
                <c:pt idx="150">
                  <c:v>2.66523605150214</c:v>
                </c:pt>
                <c:pt idx="151">
                  <c:v>2.6709956709956701</c:v>
                </c:pt>
                <c:pt idx="152">
                  <c:v>2.6793248945147599</c:v>
                </c:pt>
                <c:pt idx="153">
                  <c:v>2.7083333333333299</c:v>
                </c:pt>
                <c:pt idx="154">
                  <c:v>2.7183673469387699</c:v>
                </c:pt>
                <c:pt idx="155">
                  <c:v>2.7004048582995899</c:v>
                </c:pt>
                <c:pt idx="156">
                  <c:v>2.67338709677419</c:v>
                </c:pt>
                <c:pt idx="157">
                  <c:v>2.6031746031746001</c:v>
                </c:pt>
                <c:pt idx="158">
                  <c:v>2.6680000000000001</c:v>
                </c:pt>
                <c:pt idx="159">
                  <c:v>2.6454183266932199</c:v>
                </c:pt>
                <c:pt idx="160">
                  <c:v>2.6746987951807202</c:v>
                </c:pt>
                <c:pt idx="161">
                  <c:v>2.7086614173228298</c:v>
                </c:pt>
                <c:pt idx="162">
                  <c:v>2.7240000000000002</c:v>
                </c:pt>
                <c:pt idx="163">
                  <c:v>2.7936507936507899</c:v>
                </c:pt>
                <c:pt idx="164">
                  <c:v>2.84146341463414</c:v>
                </c:pt>
                <c:pt idx="165">
                  <c:v>2.82258064516129</c:v>
                </c:pt>
                <c:pt idx="166">
                  <c:v>2.8104838709677402</c:v>
                </c:pt>
                <c:pt idx="167">
                  <c:v>2.84</c:v>
                </c:pt>
                <c:pt idx="168">
                  <c:v>2.8439999999999999</c:v>
                </c:pt>
                <c:pt idx="169">
                  <c:v>2.78515625</c:v>
                </c:pt>
                <c:pt idx="170">
                  <c:v>2.8239999999999998</c:v>
                </c:pt>
                <c:pt idx="171">
                  <c:v>2.8425196850393699</c:v>
                </c:pt>
                <c:pt idx="172">
                  <c:v>2.8795180722891498</c:v>
                </c:pt>
                <c:pt idx="173">
                  <c:v>2.8623481781376499</c:v>
                </c:pt>
                <c:pt idx="174">
                  <c:v>2.8271604938271602</c:v>
                </c:pt>
                <c:pt idx="175">
                  <c:v>2.8264462809917301</c:v>
                </c:pt>
                <c:pt idx="176">
                  <c:v>2.80722891566265</c:v>
                </c:pt>
                <c:pt idx="177">
                  <c:v>2.7803921568627401</c:v>
                </c:pt>
                <c:pt idx="178">
                  <c:v>2.8097165991902799</c:v>
                </c:pt>
                <c:pt idx="179">
                  <c:v>2.8406374501992002</c:v>
                </c:pt>
                <c:pt idx="180">
                  <c:v>2.87398373983739</c:v>
                </c:pt>
                <c:pt idx="181">
                  <c:v>2.8196721311475401</c:v>
                </c:pt>
                <c:pt idx="182">
                  <c:v>2.8099173553718999</c:v>
                </c:pt>
                <c:pt idx="183">
                  <c:v>2.8333333333333299</c:v>
                </c:pt>
                <c:pt idx="184">
                  <c:v>2.8361344537815101</c:v>
                </c:pt>
                <c:pt idx="185">
                  <c:v>2.76050420168067</c:v>
                </c:pt>
                <c:pt idx="186">
                  <c:v>2.8025210084033598</c:v>
                </c:pt>
                <c:pt idx="187">
                  <c:v>2.8434782608695599</c:v>
                </c:pt>
                <c:pt idx="188">
                  <c:v>2.8230088495575201</c:v>
                </c:pt>
                <c:pt idx="189">
                  <c:v>2.8154506437768201</c:v>
                </c:pt>
                <c:pt idx="190">
                  <c:v>2.7573221757322099</c:v>
                </c:pt>
                <c:pt idx="191">
                  <c:v>2.7541666666666602</c:v>
                </c:pt>
                <c:pt idx="192">
                  <c:v>2.7418032786885198</c:v>
                </c:pt>
                <c:pt idx="193">
                  <c:v>2.74485596707818</c:v>
                </c:pt>
                <c:pt idx="194">
                  <c:v>2.6910569105690998</c:v>
                </c:pt>
                <c:pt idx="195">
                  <c:v>2.7004048582995899</c:v>
                </c:pt>
                <c:pt idx="196">
                  <c:v>2.7469387755102002</c:v>
                </c:pt>
                <c:pt idx="197">
                  <c:v>2.7663934426229502</c:v>
                </c:pt>
                <c:pt idx="198">
                  <c:v>2.7032520325203202</c:v>
                </c:pt>
                <c:pt idx="199">
                  <c:v>2.7165991902834001</c:v>
                </c:pt>
                <c:pt idx="200">
                  <c:v>2.7020408163265301</c:v>
                </c:pt>
                <c:pt idx="201">
                  <c:v>2.7336065573770401</c:v>
                </c:pt>
                <c:pt idx="202">
                  <c:v>2.7131147540983598</c:v>
                </c:pt>
                <c:pt idx="203">
                  <c:v>2.7782426778242599</c:v>
                </c:pt>
                <c:pt idx="204">
                  <c:v>2.7468879668049699</c:v>
                </c:pt>
                <c:pt idx="205">
                  <c:v>2.6311475409836</c:v>
                </c:pt>
                <c:pt idx="206">
                  <c:v>2.7478991596638598</c:v>
                </c:pt>
                <c:pt idx="207">
                  <c:v>2.76293103448275</c:v>
                </c:pt>
                <c:pt idx="208">
                  <c:v>2.5523012552301201</c:v>
                </c:pt>
                <c:pt idx="209">
                  <c:v>2.5650406504065</c:v>
                </c:pt>
                <c:pt idx="210">
                  <c:v>2.6322314049586701</c:v>
                </c:pt>
                <c:pt idx="211">
                  <c:v>2.63598326359832</c:v>
                </c:pt>
                <c:pt idx="212">
                  <c:v>2.6286919831223599</c:v>
                </c:pt>
                <c:pt idx="213">
                  <c:v>2.6099585062240598</c:v>
                </c:pt>
                <c:pt idx="214">
                  <c:v>2.7099567099567099</c:v>
                </c:pt>
                <c:pt idx="215">
                  <c:v>2.6969696969696901</c:v>
                </c:pt>
                <c:pt idx="216">
                  <c:v>2.7092511013215801</c:v>
                </c:pt>
                <c:pt idx="217">
                  <c:v>2.7105263157894699</c:v>
                </c:pt>
                <c:pt idx="218">
                  <c:v>2.6919642857142798</c:v>
                </c:pt>
                <c:pt idx="219">
                  <c:v>2.72645739910313</c:v>
                </c:pt>
                <c:pt idx="220">
                  <c:v>2.7377777777777701</c:v>
                </c:pt>
                <c:pt idx="221">
                  <c:v>2.7161572052401701</c:v>
                </c:pt>
                <c:pt idx="222">
                  <c:v>2.6593886462882002</c:v>
                </c:pt>
                <c:pt idx="223">
                  <c:v>2.7212389380530899</c:v>
                </c:pt>
                <c:pt idx="224">
                  <c:v>2.6367713004484301</c:v>
                </c:pt>
                <c:pt idx="225">
                  <c:v>2.6359649122806998</c:v>
                </c:pt>
                <c:pt idx="226">
                  <c:v>2.7239819004524799</c:v>
                </c:pt>
                <c:pt idx="227">
                  <c:v>2.7104072398189998</c:v>
                </c:pt>
                <c:pt idx="228">
                  <c:v>2.6255506607929502</c:v>
                </c:pt>
                <c:pt idx="229">
                  <c:v>2.5330396475770902</c:v>
                </c:pt>
                <c:pt idx="230">
                  <c:v>2.5982142857142798</c:v>
                </c:pt>
                <c:pt idx="231">
                  <c:v>2.5898617511520698</c:v>
                </c:pt>
                <c:pt idx="232">
                  <c:v>2.5336322869955099</c:v>
                </c:pt>
                <c:pt idx="233">
                  <c:v>2.5405405405405399</c:v>
                </c:pt>
                <c:pt idx="234">
                  <c:v>2.5990566037735801</c:v>
                </c:pt>
                <c:pt idx="235">
                  <c:v>2.6764705882352899</c:v>
                </c:pt>
                <c:pt idx="236">
                  <c:v>2.6666666666666599</c:v>
                </c:pt>
                <c:pt idx="237">
                  <c:v>2.6575342465753402</c:v>
                </c:pt>
                <c:pt idx="238">
                  <c:v>2.6548672566371598</c:v>
                </c:pt>
                <c:pt idx="239">
                  <c:v>2.59913793103448</c:v>
                </c:pt>
                <c:pt idx="240">
                  <c:v>2.6465517241379302</c:v>
                </c:pt>
                <c:pt idx="241">
                  <c:v>2.6480686695278899</c:v>
                </c:pt>
              </c:numCache>
            </c:numRef>
          </c:val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2.6705121663576898</c:v>
                </c:pt>
                <c:pt idx="1">
                  <c:v>2.66981049342332</c:v>
                </c:pt>
                <c:pt idx="2">
                  <c:v>2.6694700216666498</c:v>
                </c:pt>
                <c:pt idx="3">
                  <c:v>2.6694515799884502</c:v>
                </c:pt>
                <c:pt idx="4">
                  <c:v>2.6688663191962401</c:v>
                </c:pt>
                <c:pt idx="5">
                  <c:v>2.6690421743743298</c:v>
                </c:pt>
                <c:pt idx="6">
                  <c:v>2.6682100904163102</c:v>
                </c:pt>
                <c:pt idx="7">
                  <c:v>2.6673234243670998</c:v>
                </c:pt>
                <c:pt idx="8">
                  <c:v>2.66670912378259</c:v>
                </c:pt>
                <c:pt idx="9">
                  <c:v>2.6657688035496898</c:v>
                </c:pt>
                <c:pt idx="10">
                  <c:v>2.66423548165174</c:v>
                </c:pt>
                <c:pt idx="11">
                  <c:v>2.6628715886107202</c:v>
                </c:pt>
                <c:pt idx="12">
                  <c:v>2.6616695633023899</c:v>
                </c:pt>
                <c:pt idx="13">
                  <c:v>2.66043878904508</c:v>
                </c:pt>
                <c:pt idx="14">
                  <c:v>2.6599822013097998</c:v>
                </c:pt>
                <c:pt idx="15">
                  <c:v>2.6595950725662698</c:v>
                </c:pt>
                <c:pt idx="16">
                  <c:v>2.6604298551749599</c:v>
                </c:pt>
                <c:pt idx="17">
                  <c:v>2.66147468948295</c:v>
                </c:pt>
                <c:pt idx="18">
                  <c:v>2.6632127727438801</c:v>
                </c:pt>
                <c:pt idx="19">
                  <c:v>2.66623244968955</c:v>
                </c:pt>
                <c:pt idx="20">
                  <c:v>2.6671631641294402</c:v>
                </c:pt>
                <c:pt idx="21">
                  <c:v>2.6668402913491902</c:v>
                </c:pt>
                <c:pt idx="22">
                  <c:v>2.66606749666215</c:v>
                </c:pt>
                <c:pt idx="23">
                  <c:v>2.66499014264362</c:v>
                </c:pt>
                <c:pt idx="24">
                  <c:v>2.6649775516540499</c:v>
                </c:pt>
                <c:pt idx="25">
                  <c:v>2.6630941458243398</c:v>
                </c:pt>
                <c:pt idx="26">
                  <c:v>2.6606925101461099</c:v>
                </c:pt>
                <c:pt idx="27">
                  <c:v>2.6585383944490402</c:v>
                </c:pt>
                <c:pt idx="28">
                  <c:v>2.6558563901597099</c:v>
                </c:pt>
                <c:pt idx="29">
                  <c:v>2.6528405171438401</c:v>
                </c:pt>
                <c:pt idx="30">
                  <c:v>2.6487973638326001</c:v>
                </c:pt>
                <c:pt idx="31">
                  <c:v>2.64599649257873</c:v>
                </c:pt>
                <c:pt idx="32">
                  <c:v>2.6451178608045698</c:v>
                </c:pt>
                <c:pt idx="33">
                  <c:v>2.6439692345218799</c:v>
                </c:pt>
                <c:pt idx="34">
                  <c:v>2.64304657435664</c:v>
                </c:pt>
                <c:pt idx="35">
                  <c:v>2.6429573590703601</c:v>
                </c:pt>
                <c:pt idx="36">
                  <c:v>2.6420637954953001</c:v>
                </c:pt>
                <c:pt idx="37">
                  <c:v>2.6422970277164</c:v>
                </c:pt>
                <c:pt idx="38">
                  <c:v>2.64186345380568</c:v>
                </c:pt>
                <c:pt idx="39">
                  <c:v>2.64166962300042</c:v>
                </c:pt>
                <c:pt idx="40">
                  <c:v>2.6409113642786002</c:v>
                </c:pt>
                <c:pt idx="41">
                  <c:v>2.6406634854134601</c:v>
                </c:pt>
                <c:pt idx="42">
                  <c:v>2.64022802442055</c:v>
                </c:pt>
                <c:pt idx="43">
                  <c:v>2.6397191163868898</c:v>
                </c:pt>
                <c:pt idx="44">
                  <c:v>2.6397799683138699</c:v>
                </c:pt>
                <c:pt idx="45">
                  <c:v>2.6386753220536399</c:v>
                </c:pt>
                <c:pt idx="46">
                  <c:v>2.63869320809401</c:v>
                </c:pt>
                <c:pt idx="47">
                  <c:v>2.6388343755350401</c:v>
                </c:pt>
                <c:pt idx="48">
                  <c:v>2.6385483515777199</c:v>
                </c:pt>
                <c:pt idx="49">
                  <c:v>2.63897114367564</c:v>
                </c:pt>
                <c:pt idx="50">
                  <c:v>2.6383862259478699</c:v>
                </c:pt>
                <c:pt idx="51">
                  <c:v>2.6383178498794901</c:v>
                </c:pt>
                <c:pt idx="52">
                  <c:v>2.6372194903981501</c:v>
                </c:pt>
                <c:pt idx="53">
                  <c:v>2.6360909220995601</c:v>
                </c:pt>
                <c:pt idx="54">
                  <c:v>2.6347850801751602</c:v>
                </c:pt>
                <c:pt idx="55">
                  <c:v>2.6325481854172499</c:v>
                </c:pt>
                <c:pt idx="56">
                  <c:v>2.6301712515213298</c:v>
                </c:pt>
                <c:pt idx="57">
                  <c:v>2.63029408226283</c:v>
                </c:pt>
                <c:pt idx="58">
                  <c:v>2.6290149039248201</c:v>
                </c:pt>
                <c:pt idx="59">
                  <c:v>2.6276109630381201</c:v>
                </c:pt>
                <c:pt idx="60">
                  <c:v>2.6265371535143101</c:v>
                </c:pt>
                <c:pt idx="61">
                  <c:v>2.6246200110754301</c:v>
                </c:pt>
                <c:pt idx="62">
                  <c:v>2.62309291747937</c:v>
                </c:pt>
                <c:pt idx="63">
                  <c:v>2.62144820826436</c:v>
                </c:pt>
                <c:pt idx="64">
                  <c:v>2.6207547986877402</c:v>
                </c:pt>
                <c:pt idx="65">
                  <c:v>2.61798125692816</c:v>
                </c:pt>
                <c:pt idx="66">
                  <c:v>2.6159165375696198</c:v>
                </c:pt>
                <c:pt idx="67">
                  <c:v>2.6125856821175502</c:v>
                </c:pt>
                <c:pt idx="68">
                  <c:v>2.6101095842403899</c:v>
                </c:pt>
                <c:pt idx="69">
                  <c:v>2.6077937947667</c:v>
                </c:pt>
                <c:pt idx="70">
                  <c:v>2.6059222100672499</c:v>
                </c:pt>
                <c:pt idx="71">
                  <c:v>2.60345068862632</c:v>
                </c:pt>
                <c:pt idx="72">
                  <c:v>2.6028684960441302</c:v>
                </c:pt>
                <c:pt idx="73">
                  <c:v>2.6010667274369101</c:v>
                </c:pt>
                <c:pt idx="74">
                  <c:v>2.6004868614025902</c:v>
                </c:pt>
                <c:pt idx="75">
                  <c:v>2.5991019982785901</c:v>
                </c:pt>
                <c:pt idx="76">
                  <c:v>2.5992056981181402</c:v>
                </c:pt>
                <c:pt idx="77">
                  <c:v>2.5994372232658698</c:v>
                </c:pt>
                <c:pt idx="78">
                  <c:v>2.5996059996371801</c:v>
                </c:pt>
                <c:pt idx="79">
                  <c:v>2.6006526540263701</c:v>
                </c:pt>
                <c:pt idx="80">
                  <c:v>2.60131744148832</c:v>
                </c:pt>
                <c:pt idx="81">
                  <c:v>2.60217791206275</c:v>
                </c:pt>
                <c:pt idx="82">
                  <c:v>2.6027775360124501</c:v>
                </c:pt>
                <c:pt idx="83">
                  <c:v>2.6022747443494398</c:v>
                </c:pt>
                <c:pt idx="84">
                  <c:v>2.6025147443494401</c:v>
                </c:pt>
                <c:pt idx="85">
                  <c:v>2.6026685916197398</c:v>
                </c:pt>
                <c:pt idx="86">
                  <c:v>2.6029238348147401</c:v>
                </c:pt>
                <c:pt idx="87">
                  <c:v>2.60311946609853</c:v>
                </c:pt>
                <c:pt idx="88">
                  <c:v>2.6033010325830501</c:v>
                </c:pt>
                <c:pt idx="89">
                  <c:v>2.60426555682626</c:v>
                </c:pt>
                <c:pt idx="90">
                  <c:v>2.6062652108653599</c:v>
                </c:pt>
                <c:pt idx="91">
                  <c:v>2.6067981701921501</c:v>
                </c:pt>
                <c:pt idx="92">
                  <c:v>2.60707830601558</c:v>
                </c:pt>
                <c:pt idx="93">
                  <c:v>2.6071107933252202</c:v>
                </c:pt>
                <c:pt idx="94">
                  <c:v>2.6072974599918899</c:v>
                </c:pt>
                <c:pt idx="95">
                  <c:v>2.60774994982929</c:v>
                </c:pt>
                <c:pt idx="96">
                  <c:v>2.6104185736824999</c:v>
                </c:pt>
                <c:pt idx="97">
                  <c:v>2.61321180251054</c:v>
                </c:pt>
                <c:pt idx="98">
                  <c:v>2.6164922546357898</c:v>
                </c:pt>
                <c:pt idx="99">
                  <c:v>2.6194231111889401</c:v>
                </c:pt>
                <c:pt idx="100">
                  <c:v>2.62290029535442</c:v>
                </c:pt>
                <c:pt idx="101">
                  <c:v>2.6260517112331101</c:v>
                </c:pt>
                <c:pt idx="102">
                  <c:v>2.6293551452334301</c:v>
                </c:pt>
                <c:pt idx="103">
                  <c:v>2.6326452768316599</c:v>
                </c:pt>
                <c:pt idx="104">
                  <c:v>2.6364573711700698</c:v>
                </c:pt>
                <c:pt idx="105">
                  <c:v>2.6407673197814199</c:v>
                </c:pt>
                <c:pt idx="106">
                  <c:v>2.6452365282666102</c:v>
                </c:pt>
                <c:pt idx="107">
                  <c:v>2.6485133161021999</c:v>
                </c:pt>
                <c:pt idx="108">
                  <c:v>2.6515929159282101</c:v>
                </c:pt>
                <c:pt idx="109">
                  <c:v>2.6545301139958402</c:v>
                </c:pt>
                <c:pt idx="110">
                  <c:v>2.6570236026193599</c:v>
                </c:pt>
                <c:pt idx="111">
                  <c:v>2.65898053990071</c:v>
                </c:pt>
                <c:pt idx="112">
                  <c:v>2.6605793707373899</c:v>
                </c:pt>
                <c:pt idx="113">
                  <c:v>2.66320505789382</c:v>
                </c:pt>
                <c:pt idx="114">
                  <c:v>2.6654409205687699</c:v>
                </c:pt>
                <c:pt idx="115">
                  <c:v>2.6677060008824198</c:v>
                </c:pt>
                <c:pt idx="116">
                  <c:v>2.6688765912655699</c:v>
                </c:pt>
                <c:pt idx="117">
                  <c:v>2.66996760781403</c:v>
                </c:pt>
                <c:pt idx="118">
                  <c:v>2.6707962691345002</c:v>
                </c:pt>
                <c:pt idx="119">
                  <c:v>2.6716472222587599</c:v>
                </c:pt>
                <c:pt idx="120">
                  <c:v>2.67261272682906</c:v>
                </c:pt>
                <c:pt idx="121">
                  <c:v>2.6737593678775702</c:v>
                </c:pt>
                <c:pt idx="122">
                  <c:v>2.6762805350221202</c:v>
                </c:pt>
                <c:pt idx="123">
                  <c:v>2.6785439321842599</c:v>
                </c:pt>
                <c:pt idx="124">
                  <c:v>2.6797820978126698</c:v>
                </c:pt>
                <c:pt idx="125">
                  <c:v>2.6817584061047701</c:v>
                </c:pt>
                <c:pt idx="126">
                  <c:v>2.6832557024592099</c:v>
                </c:pt>
                <c:pt idx="127">
                  <c:v>2.6857179742880599</c:v>
                </c:pt>
                <c:pt idx="128">
                  <c:v>2.6879125282526899</c:v>
                </c:pt>
                <c:pt idx="129">
                  <c:v>2.69162243062368</c:v>
                </c:pt>
                <c:pt idx="130">
                  <c:v>2.6955865390886502</c:v>
                </c:pt>
                <c:pt idx="131">
                  <c:v>2.6986009957532402</c:v>
                </c:pt>
                <c:pt idx="132">
                  <c:v>2.70184884661772</c:v>
                </c:pt>
                <c:pt idx="133">
                  <c:v>2.7059148178338002</c:v>
                </c:pt>
                <c:pt idx="134">
                  <c:v>2.7071294092828402</c:v>
                </c:pt>
                <c:pt idx="135">
                  <c:v>2.7079370941454002</c:v>
                </c:pt>
                <c:pt idx="136">
                  <c:v>2.7103378607042701</c:v>
                </c:pt>
                <c:pt idx="137">
                  <c:v>2.7127256835292601</c:v>
                </c:pt>
                <c:pt idx="138">
                  <c:v>2.71452741354743</c:v>
                </c:pt>
                <c:pt idx="139">
                  <c:v>2.7152464005269699</c:v>
                </c:pt>
                <c:pt idx="140">
                  <c:v>2.7186873853905502</c:v>
                </c:pt>
                <c:pt idx="141">
                  <c:v>2.7215914257945899</c:v>
                </c:pt>
                <c:pt idx="142">
                  <c:v>2.7252078867598701</c:v>
                </c:pt>
                <c:pt idx="143">
                  <c:v>2.727959807885</c:v>
                </c:pt>
                <c:pt idx="144">
                  <c:v>2.73051933169452</c:v>
                </c:pt>
                <c:pt idx="145">
                  <c:v>2.7332609859047898</c:v>
                </c:pt>
                <c:pt idx="146">
                  <c:v>2.7362941820639102</c:v>
                </c:pt>
                <c:pt idx="147">
                  <c:v>2.73770441666192</c:v>
                </c:pt>
                <c:pt idx="148">
                  <c:v>2.7390951353355901</c:v>
                </c:pt>
                <c:pt idx="149">
                  <c:v>2.7401570822382402</c:v>
                </c:pt>
                <c:pt idx="150">
                  <c:v>2.7409951923311802</c:v>
                </c:pt>
                <c:pt idx="151">
                  <c:v>2.74060491047489</c:v>
                </c:pt>
                <c:pt idx="152">
                  <c:v>2.7413113935343199</c:v>
                </c:pt>
                <c:pt idx="153">
                  <c:v>2.74172582480504</c:v>
                </c:pt>
                <c:pt idx="154">
                  <c:v>2.7406220558378398</c:v>
                </c:pt>
                <c:pt idx="155">
                  <c:v>2.7381510198463501</c:v>
                </c:pt>
                <c:pt idx="156">
                  <c:v>2.7367884788785402</c:v>
                </c:pt>
                <c:pt idx="157">
                  <c:v>2.7356748076035799</c:v>
                </c:pt>
                <c:pt idx="158">
                  <c:v>2.73474757672119</c:v>
                </c:pt>
                <c:pt idx="159">
                  <c:v>2.7330481172617298</c:v>
                </c:pt>
                <c:pt idx="160">
                  <c:v>2.7324299609561402</c:v>
                </c:pt>
                <c:pt idx="161">
                  <c:v>2.7324535848635301</c:v>
                </c:pt>
                <c:pt idx="162">
                  <c:v>2.7318936548547801</c:v>
                </c:pt>
                <c:pt idx="163">
                  <c:v>2.7310074448091202</c:v>
                </c:pt>
                <c:pt idx="164">
                  <c:v>2.72915699764894</c:v>
                </c:pt>
                <c:pt idx="165">
                  <c:v>2.7259259912009401</c:v>
                </c:pt>
                <c:pt idx="166">
                  <c:v>2.72357893892063</c:v>
                </c:pt>
                <c:pt idx="167">
                  <c:v>2.7214134029014398</c:v>
                </c:pt>
                <c:pt idx="168">
                  <c:v>2.7189335154190202</c:v>
                </c:pt>
                <c:pt idx="169">
                  <c:v>2.71712224217152</c:v>
                </c:pt>
                <c:pt idx="170">
                  <c:v>2.7147890853918599</c:v>
                </c:pt>
                <c:pt idx="171">
                  <c:v>2.7126724752223699</c:v>
                </c:pt>
                <c:pt idx="172">
                  <c:v>2.7105323243311901</c:v>
                </c:pt>
                <c:pt idx="173">
                  <c:v>2.7077127472677498</c:v>
                </c:pt>
                <c:pt idx="174">
                  <c:v>2.7050310980898602</c:v>
                </c:pt>
                <c:pt idx="175">
                  <c:v>2.7024773252436902</c:v>
                </c:pt>
                <c:pt idx="176">
                  <c:v>2.70013529017438</c:v>
                </c:pt>
                <c:pt idx="177">
                  <c:v>2.6975612143434899</c:v>
                </c:pt>
                <c:pt idx="178">
                  <c:v>2.6965268021850601</c:v>
                </c:pt>
                <c:pt idx="179">
                  <c:v>2.69634282576048</c:v>
                </c:pt>
                <c:pt idx="180">
                  <c:v>2.69641210420227</c:v>
                </c:pt>
                <c:pt idx="181">
                  <c:v>2.6971767272991398</c:v>
                </c:pt>
                <c:pt idx="182">
                  <c:v>2.6977499114732599</c:v>
                </c:pt>
                <c:pt idx="183">
                  <c:v>2.6987326225970301</c:v>
                </c:pt>
                <c:pt idx="184">
                  <c:v>2.6976490596952898</c:v>
                </c:pt>
                <c:pt idx="185">
                  <c:v>2.6958016755803502</c:v>
                </c:pt>
                <c:pt idx="186">
                  <c:v>2.6965258170888098</c:v>
                </c:pt>
                <c:pt idx="187">
                  <c:v>2.69822223119164</c:v>
                </c:pt>
                <c:pt idx="188">
                  <c:v>2.7000359636696598</c:v>
                </c:pt>
                <c:pt idx="189">
                  <c:v>2.7032773883752799</c:v>
                </c:pt>
                <c:pt idx="190">
                  <c:v>2.70697961191035</c:v>
                </c:pt>
                <c:pt idx="191">
                  <c:v>2.7111292947285501</c:v>
                </c:pt>
                <c:pt idx="192">
                  <c:v>2.7148371800332098</c:v>
                </c:pt>
                <c:pt idx="193">
                  <c:v>2.7176907802263299</c:v>
                </c:pt>
                <c:pt idx="194">
                  <c:v>2.7205083713160199</c:v>
                </c:pt>
                <c:pt idx="195">
                  <c:v>2.72322976304606</c:v>
                </c:pt>
                <c:pt idx="196">
                  <c:v>2.7267959847479801</c:v>
                </c:pt>
                <c:pt idx="197">
                  <c:v>2.7333236613788001</c:v>
                </c:pt>
                <c:pt idx="198">
                  <c:v>2.7414804322838902</c:v>
                </c:pt>
                <c:pt idx="199">
                  <c:v>2.75308151629473</c:v>
                </c:pt>
                <c:pt idx="200">
                  <c:v>2.7631347035615401</c:v>
                </c:pt>
                <c:pt idx="201">
                  <c:v>2.7730402143897201</c:v>
                </c:pt>
                <c:pt idx="202">
                  <c:v>2.7807739451398401</c:v>
                </c:pt>
                <c:pt idx="203">
                  <c:v>2.7882089798595802</c:v>
                </c:pt>
                <c:pt idx="204">
                  <c:v>2.7942249072144199</c:v>
                </c:pt>
                <c:pt idx="205">
                  <c:v>2.8015378496542098</c:v>
                </c:pt>
                <c:pt idx="206">
                  <c:v>2.8108246767673299</c:v>
                </c:pt>
                <c:pt idx="207">
                  <c:v>2.8186678140222399</c:v>
                </c:pt>
                <c:pt idx="208">
                  <c:v>2.8250509557846901</c:v>
                </c:pt>
                <c:pt idx="209">
                  <c:v>2.8350315718166499</c:v>
                </c:pt>
                <c:pt idx="210">
                  <c:v>2.8455806721574399</c:v>
                </c:pt>
                <c:pt idx="211">
                  <c:v>2.8554771612260699</c:v>
                </c:pt>
                <c:pt idx="212">
                  <c:v>2.8657670553366099</c:v>
                </c:pt>
                <c:pt idx="213">
                  <c:v>2.8766929326294202</c:v>
                </c:pt>
                <c:pt idx="214">
                  <c:v>2.8889490414353198</c:v>
                </c:pt>
                <c:pt idx="215">
                  <c:v>2.89920972792551</c:v>
                </c:pt>
                <c:pt idx="216">
                  <c:v>2.9078533065690899</c:v>
                </c:pt>
                <c:pt idx="217">
                  <c:v>2.9160858682460198</c:v>
                </c:pt>
                <c:pt idx="218">
                  <c:v>2.9236056480877899</c:v>
                </c:pt>
                <c:pt idx="219">
                  <c:v>2.9312437527367599</c:v>
                </c:pt>
                <c:pt idx="220">
                  <c:v>2.9381980740295601</c:v>
                </c:pt>
                <c:pt idx="221">
                  <c:v>2.9450806137121002</c:v>
                </c:pt>
                <c:pt idx="222">
                  <c:v>2.95272761817133</c:v>
                </c:pt>
                <c:pt idx="223">
                  <c:v>2.9599460655644498</c:v>
                </c:pt>
                <c:pt idx="224">
                  <c:v>2.9658334223593998</c:v>
                </c:pt>
                <c:pt idx="225">
                  <c:v>2.9738893230923802</c:v>
                </c:pt>
                <c:pt idx="226">
                  <c:v>2.98279170725792</c:v>
                </c:pt>
                <c:pt idx="227">
                  <c:v>2.9901182070886199</c:v>
                </c:pt>
                <c:pt idx="228">
                  <c:v>2.9976209004736698</c:v>
                </c:pt>
                <c:pt idx="229">
                  <c:v>3.0055457851624001</c:v>
                </c:pt>
                <c:pt idx="230">
                  <c:v>3.0151194409251998</c:v>
                </c:pt>
                <c:pt idx="231">
                  <c:v>3.02400599554705</c:v>
                </c:pt>
                <c:pt idx="232">
                  <c:v>3.0328918724784701</c:v>
                </c:pt>
                <c:pt idx="233">
                  <c:v>3.0421353187358999</c:v>
                </c:pt>
                <c:pt idx="234">
                  <c:v>3.0507824532653798</c:v>
                </c:pt>
                <c:pt idx="235">
                  <c:v>3.05834136659819</c:v>
                </c:pt>
                <c:pt idx="236">
                  <c:v>3.0647106476439498</c:v>
                </c:pt>
                <c:pt idx="237">
                  <c:v>3.0698683979868799</c:v>
                </c:pt>
                <c:pt idx="238">
                  <c:v>3.0758495740189402</c:v>
                </c:pt>
                <c:pt idx="239">
                  <c:v>3.08164375585456</c:v>
                </c:pt>
                <c:pt idx="240">
                  <c:v>3.0880225970462098</c:v>
                </c:pt>
                <c:pt idx="241">
                  <c:v>3.0946796851688201</c:v>
                </c:pt>
              </c:numCache>
            </c:numRef>
          </c:val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2.7926348852329812</c:v>
                </c:pt>
                <c:pt idx="1">
                  <c:v>2.7916200188808444</c:v>
                </c:pt>
                <c:pt idx="2">
                  <c:v>2.7913157807694078</c:v>
                </c:pt>
                <c:pt idx="3">
                  <c:v>2.7912986120034446</c:v>
                </c:pt>
                <c:pt idx="4">
                  <c:v>2.791046766779671</c:v>
                </c:pt>
                <c:pt idx="5">
                  <c:v>2.7911820813020065</c:v>
                </c:pt>
                <c:pt idx="6">
                  <c:v>2.7903923209692492</c:v>
                </c:pt>
                <c:pt idx="7">
                  <c:v>2.7896826384223474</c:v>
                </c:pt>
                <c:pt idx="8">
                  <c:v>2.7891304960191978</c:v>
                </c:pt>
                <c:pt idx="9">
                  <c:v>2.7876043088301619</c:v>
                </c:pt>
                <c:pt idx="10">
                  <c:v>2.7847358232173756</c:v>
                </c:pt>
                <c:pt idx="11">
                  <c:v>2.7814023363461224</c:v>
                </c:pt>
                <c:pt idx="12">
                  <c:v>2.7770431618226374</c:v>
                </c:pt>
                <c:pt idx="13">
                  <c:v>2.7716634682771977</c:v>
                </c:pt>
                <c:pt idx="14">
                  <c:v>2.7699149257224436</c:v>
                </c:pt>
                <c:pt idx="15">
                  <c:v>2.768874829170997</c:v>
                </c:pt>
                <c:pt idx="16">
                  <c:v>2.7724643865477341</c:v>
                </c:pt>
                <c:pt idx="17">
                  <c:v>2.7767938173158191</c:v>
                </c:pt>
                <c:pt idx="18">
                  <c:v>2.7849854828447533</c:v>
                </c:pt>
                <c:pt idx="19">
                  <c:v>2.7930619921189241</c:v>
                </c:pt>
                <c:pt idx="20">
                  <c:v>2.7954409431677676</c:v>
                </c:pt>
                <c:pt idx="21">
                  <c:v>2.7954302069639869</c:v>
                </c:pt>
                <c:pt idx="22">
                  <c:v>2.7947642591897468</c:v>
                </c:pt>
                <c:pt idx="23">
                  <c:v>2.7934067953742838</c:v>
                </c:pt>
                <c:pt idx="24">
                  <c:v>2.7934028235881758</c:v>
                </c:pt>
                <c:pt idx="25">
                  <c:v>2.7930957431693813</c:v>
                </c:pt>
                <c:pt idx="26">
                  <c:v>2.7893378399350608</c:v>
                </c:pt>
                <c:pt idx="27">
                  <c:v>2.7884742714727722</c:v>
                </c:pt>
                <c:pt idx="28">
                  <c:v>2.7876767420600403</c:v>
                </c:pt>
                <c:pt idx="29">
                  <c:v>2.7862476715585229</c:v>
                </c:pt>
                <c:pt idx="30">
                  <c:v>2.7799807825658598</c:v>
                </c:pt>
                <c:pt idx="31">
                  <c:v>2.7774845455071424</c:v>
                </c:pt>
                <c:pt idx="32">
                  <c:v>2.7776361630104289</c:v>
                </c:pt>
                <c:pt idx="33">
                  <c:v>2.7772661275183439</c:v>
                </c:pt>
                <c:pt idx="34">
                  <c:v>2.7762289217165161</c:v>
                </c:pt>
                <c:pt idx="35">
                  <c:v>2.7761143388270937</c:v>
                </c:pt>
                <c:pt idx="36">
                  <c:v>2.7750936973380735</c:v>
                </c:pt>
                <c:pt idx="37">
                  <c:v>2.7755489283838091</c:v>
                </c:pt>
                <c:pt idx="38">
                  <c:v>2.7748452697896133</c:v>
                </c:pt>
                <c:pt idx="39">
                  <c:v>2.7745299894035047</c:v>
                </c:pt>
                <c:pt idx="40">
                  <c:v>2.7730228043335048</c:v>
                </c:pt>
                <c:pt idx="41">
                  <c:v>2.7724891512334566</c:v>
                </c:pt>
                <c:pt idx="42">
                  <c:v>2.7714149414759741</c:v>
                </c:pt>
                <c:pt idx="43">
                  <c:v>2.7699909966201113</c:v>
                </c:pt>
                <c:pt idx="44">
                  <c:v>2.7701247036806107</c:v>
                </c:pt>
                <c:pt idx="45">
                  <c:v>2.7683116503108818</c:v>
                </c:pt>
                <c:pt idx="46">
                  <c:v>2.768315767111388</c:v>
                </c:pt>
                <c:pt idx="47">
                  <c:v>2.768080851652658</c:v>
                </c:pt>
                <c:pt idx="48">
                  <c:v>2.7680718372220428</c:v>
                </c:pt>
                <c:pt idx="49">
                  <c:v>2.7679158993941666</c:v>
                </c:pt>
                <c:pt idx="50">
                  <c:v>2.7682056442801382</c:v>
                </c:pt>
                <c:pt idx="51">
                  <c:v>2.7682342384789131</c:v>
                </c:pt>
                <c:pt idx="52">
                  <c:v>2.7687372082539614</c:v>
                </c:pt>
                <c:pt idx="53">
                  <c:v>2.7691717773508802</c:v>
                </c:pt>
                <c:pt idx="54">
                  <c:v>2.7712175984957677</c:v>
                </c:pt>
                <c:pt idx="55">
                  <c:v>2.7754012043098415</c:v>
                </c:pt>
                <c:pt idx="56">
                  <c:v>2.7818787785996753</c:v>
                </c:pt>
                <c:pt idx="57">
                  <c:v>2.7815782866511056</c:v>
                </c:pt>
                <c:pt idx="58">
                  <c:v>2.7844266377003781</c:v>
                </c:pt>
                <c:pt idx="59">
                  <c:v>2.787105000457708</c:v>
                </c:pt>
                <c:pt idx="60">
                  <c:v>2.7882334869182768</c:v>
                </c:pt>
                <c:pt idx="61">
                  <c:v>2.7910610075311566</c:v>
                </c:pt>
                <c:pt idx="62">
                  <c:v>2.7935121304569774</c:v>
                </c:pt>
                <c:pt idx="63">
                  <c:v>2.7944357507555928</c:v>
                </c:pt>
                <c:pt idx="64">
                  <c:v>2.7943675561889454</c:v>
                </c:pt>
                <c:pt idx="65">
                  <c:v>2.7956040217540172</c:v>
                </c:pt>
                <c:pt idx="66">
                  <c:v>2.7963237987469105</c:v>
                </c:pt>
                <c:pt idx="67">
                  <c:v>2.7967445694683057</c:v>
                </c:pt>
                <c:pt idx="68">
                  <c:v>2.795039257929965</c:v>
                </c:pt>
                <c:pt idx="69">
                  <c:v>2.7938276447793902</c:v>
                </c:pt>
                <c:pt idx="70">
                  <c:v>2.7925924117595273</c:v>
                </c:pt>
                <c:pt idx="71">
                  <c:v>2.7902117653004583</c:v>
                </c:pt>
                <c:pt idx="72">
                  <c:v>2.7892668361564077</c:v>
                </c:pt>
                <c:pt idx="73">
                  <c:v>2.7866636206531075</c:v>
                </c:pt>
                <c:pt idx="74">
                  <c:v>2.7853002546010299</c:v>
                </c:pt>
                <c:pt idx="75">
                  <c:v>2.7831329031952103</c:v>
                </c:pt>
                <c:pt idx="76">
                  <c:v>2.7833767316126909</c:v>
                </c:pt>
                <c:pt idx="77">
                  <c:v>2.7839247390149624</c:v>
                </c:pt>
                <c:pt idx="78">
                  <c:v>2.7843621878866922</c:v>
                </c:pt>
                <c:pt idx="79">
                  <c:v>2.7869648142844428</c:v>
                </c:pt>
                <c:pt idx="80">
                  <c:v>2.788944498692667</c:v>
                </c:pt>
                <c:pt idx="81">
                  <c:v>2.7910189100626184</c:v>
                </c:pt>
                <c:pt idx="82">
                  <c:v>2.7922325690057157</c:v>
                </c:pt>
                <c:pt idx="83">
                  <c:v>2.7915226277068634</c:v>
                </c:pt>
                <c:pt idx="84">
                  <c:v>2.7920495523560809</c:v>
                </c:pt>
                <c:pt idx="85">
                  <c:v>2.7923236808413252</c:v>
                </c:pt>
                <c:pt idx="86">
                  <c:v>2.7929141748298663</c:v>
                </c:pt>
                <c:pt idx="87">
                  <c:v>2.7935142647801054</c:v>
                </c:pt>
                <c:pt idx="88">
                  <c:v>2.7941301194950068</c:v>
                </c:pt>
                <c:pt idx="89">
                  <c:v>2.7981771417116952</c:v>
                </c:pt>
                <c:pt idx="90">
                  <c:v>2.8067162837991217</c:v>
                </c:pt>
                <c:pt idx="91">
                  <c:v>2.8093236781915323</c:v>
                </c:pt>
                <c:pt idx="92">
                  <c:v>2.8106690768139622</c:v>
                </c:pt>
                <c:pt idx="93">
                  <c:v>2.8108493932481502</c:v>
                </c:pt>
                <c:pt idx="94">
                  <c:v>2.8118764885751699</c:v>
                </c:pt>
                <c:pt idx="95">
                  <c:v>2.8137455084992462</c:v>
                </c:pt>
                <c:pt idx="96">
                  <c:v>2.822281591537998</c:v>
                </c:pt>
                <c:pt idx="97">
                  <c:v>2.8316164356162861</c:v>
                </c:pt>
                <c:pt idx="98">
                  <c:v>2.8432475593211577</c:v>
                </c:pt>
                <c:pt idx="99">
                  <c:v>2.8530278629344483</c:v>
                </c:pt>
                <c:pt idx="100">
                  <c:v>2.8609639485711602</c:v>
                </c:pt>
                <c:pt idx="101">
                  <c:v>2.8685116359465539</c:v>
                </c:pt>
                <c:pt idx="102">
                  <c:v>2.874829007439764</c:v>
                </c:pt>
                <c:pt idx="103">
                  <c:v>2.8795097751670218</c:v>
                </c:pt>
                <c:pt idx="104">
                  <c:v>2.8853035766777557</c:v>
                </c:pt>
                <c:pt idx="105">
                  <c:v>2.8923969671648577</c:v>
                </c:pt>
                <c:pt idx="106">
                  <c:v>2.9013298300656802</c:v>
                </c:pt>
                <c:pt idx="107">
                  <c:v>2.9071488434555439</c:v>
                </c:pt>
                <c:pt idx="108">
                  <c:v>2.9123335889205499</c:v>
                </c:pt>
                <c:pt idx="109">
                  <c:v>2.9184117372637299</c:v>
                </c:pt>
                <c:pt idx="110">
                  <c:v>2.9241678002798119</c:v>
                </c:pt>
                <c:pt idx="111">
                  <c:v>2.9269765533229419</c:v>
                </c:pt>
                <c:pt idx="112">
                  <c:v>2.9305436935201699</c:v>
                </c:pt>
                <c:pt idx="113">
                  <c:v>2.9363840667219558</c:v>
                </c:pt>
                <c:pt idx="114">
                  <c:v>2.9410592157364137</c:v>
                </c:pt>
                <c:pt idx="115">
                  <c:v>2.9454181147607676</c:v>
                </c:pt>
                <c:pt idx="116">
                  <c:v>2.9473486422392616</c:v>
                </c:pt>
                <c:pt idx="117">
                  <c:v>2.949125716852278</c:v>
                </c:pt>
                <c:pt idx="118">
                  <c:v>2.9504330313517202</c:v>
                </c:pt>
                <c:pt idx="119">
                  <c:v>2.9517913933266602</c:v>
                </c:pt>
                <c:pt idx="120">
                  <c:v>2.9525185845859361</c:v>
                </c:pt>
                <c:pt idx="121">
                  <c:v>2.9534065297543783</c:v>
                </c:pt>
                <c:pt idx="122">
                  <c:v>2.9551105998015421</c:v>
                </c:pt>
                <c:pt idx="123">
                  <c:v>2.9575072156798701</c:v>
                </c:pt>
                <c:pt idx="124">
                  <c:v>2.95834843973104</c:v>
                </c:pt>
                <c:pt idx="125">
                  <c:v>2.9592362263596921</c:v>
                </c:pt>
                <c:pt idx="126">
                  <c:v>2.9599420853317677</c:v>
                </c:pt>
                <c:pt idx="127">
                  <c:v>2.9608617339884979</c:v>
                </c:pt>
                <c:pt idx="128">
                  <c:v>2.961263939071404</c:v>
                </c:pt>
                <c:pt idx="129">
                  <c:v>2.962210412437412</c:v>
                </c:pt>
                <c:pt idx="130">
                  <c:v>2.9605268741456583</c:v>
                </c:pt>
                <c:pt idx="131">
                  <c:v>2.9552660695576041</c:v>
                </c:pt>
                <c:pt idx="132">
                  <c:v>2.9547344137678961</c:v>
                </c:pt>
                <c:pt idx="133">
                  <c:v>2.9527188136433482</c:v>
                </c:pt>
                <c:pt idx="134">
                  <c:v>2.9499691093831584</c:v>
                </c:pt>
                <c:pt idx="135">
                  <c:v>2.9484671350068723</c:v>
                </c:pt>
                <c:pt idx="136">
                  <c:v>2.94410810757106</c:v>
                </c:pt>
                <c:pt idx="137">
                  <c:v>2.9396504449433123</c:v>
                </c:pt>
                <c:pt idx="138">
                  <c:v>2.9365561161437181</c:v>
                </c:pt>
                <c:pt idx="139">
                  <c:v>2.935560097018628</c:v>
                </c:pt>
                <c:pt idx="140">
                  <c:v>2.9303310395444062</c:v>
                </c:pt>
                <c:pt idx="141">
                  <c:v>2.92585771029397</c:v>
                </c:pt>
                <c:pt idx="142">
                  <c:v>2.91857731670025</c:v>
                </c:pt>
                <c:pt idx="143">
                  <c:v>2.9144170496050474</c:v>
                </c:pt>
                <c:pt idx="144">
                  <c:v>2.9095101094837927</c:v>
                </c:pt>
                <c:pt idx="145">
                  <c:v>2.9054920522170229</c:v>
                </c:pt>
                <c:pt idx="146">
                  <c:v>2.9005386886127194</c:v>
                </c:pt>
                <c:pt idx="147">
                  <c:v>2.8993970000021028</c:v>
                </c:pt>
                <c:pt idx="148">
                  <c:v>2.8962103922341456</c:v>
                </c:pt>
                <c:pt idx="149">
                  <c:v>2.8956905994974043</c:v>
                </c:pt>
                <c:pt idx="150">
                  <c:v>2.8935859763944993</c:v>
                </c:pt>
                <c:pt idx="151">
                  <c:v>2.8941157355800269</c:v>
                </c:pt>
                <c:pt idx="152">
                  <c:v>2.8940199082196876</c:v>
                </c:pt>
                <c:pt idx="153">
                  <c:v>2.8939270609343621</c:v>
                </c:pt>
                <c:pt idx="154">
                  <c:v>2.8949616022996727</c:v>
                </c:pt>
                <c:pt idx="155">
                  <c:v>2.8996069416370585</c:v>
                </c:pt>
                <c:pt idx="156">
                  <c:v>2.9011934347293091</c:v>
                </c:pt>
                <c:pt idx="157">
                  <c:v>2.9028901596212724</c:v>
                </c:pt>
                <c:pt idx="158">
                  <c:v>2.9056227601343876</c:v>
                </c:pt>
                <c:pt idx="159">
                  <c:v>2.909004653935475</c:v>
                </c:pt>
                <c:pt idx="160">
                  <c:v>2.909932526446259</c:v>
                </c:pt>
                <c:pt idx="161">
                  <c:v>2.9099258792201583</c:v>
                </c:pt>
                <c:pt idx="162">
                  <c:v>2.9099267788817147</c:v>
                </c:pt>
                <c:pt idx="163">
                  <c:v>2.9098487871803793</c:v>
                </c:pt>
                <c:pt idx="164">
                  <c:v>2.9082391851339713</c:v>
                </c:pt>
                <c:pt idx="165">
                  <c:v>2.9055299750220369</c:v>
                </c:pt>
                <c:pt idx="166">
                  <c:v>2.9026692080613472</c:v>
                </c:pt>
                <c:pt idx="167">
                  <c:v>2.9001754349615898</c:v>
                </c:pt>
                <c:pt idx="168">
                  <c:v>2.8962004496577292</c:v>
                </c:pt>
                <c:pt idx="169">
                  <c:v>2.8920005419773318</c:v>
                </c:pt>
                <c:pt idx="170">
                  <c:v>2.890640896230932</c:v>
                </c:pt>
                <c:pt idx="171">
                  <c:v>2.8870304269882365</c:v>
                </c:pt>
                <c:pt idx="172">
                  <c:v>2.8823848981765914</c:v>
                </c:pt>
                <c:pt idx="173">
                  <c:v>2.8752680062455012</c:v>
                </c:pt>
                <c:pt idx="174">
                  <c:v>2.8690004511022815</c:v>
                </c:pt>
                <c:pt idx="175">
                  <c:v>2.8647156146603345</c:v>
                </c:pt>
                <c:pt idx="176">
                  <c:v>2.8602044732940439</c:v>
                </c:pt>
                <c:pt idx="177">
                  <c:v>2.8568661512723765</c:v>
                </c:pt>
                <c:pt idx="178">
                  <c:v>2.8546702015971928</c:v>
                </c:pt>
                <c:pt idx="179">
                  <c:v>2.8539904059910453</c:v>
                </c:pt>
                <c:pt idx="180">
                  <c:v>2.8543176210761527</c:v>
                </c:pt>
                <c:pt idx="181">
                  <c:v>2.8590205137137588</c:v>
                </c:pt>
                <c:pt idx="182">
                  <c:v>2.8616168040567431</c:v>
                </c:pt>
                <c:pt idx="183">
                  <c:v>2.8661244906938785</c:v>
                </c:pt>
                <c:pt idx="184">
                  <c:v>2.8625756704823218</c:v>
                </c:pt>
                <c:pt idx="185">
                  <c:v>2.857555495678596</c:v>
                </c:pt>
                <c:pt idx="186">
                  <c:v>2.8599098596044978</c:v>
                </c:pt>
                <c:pt idx="187">
                  <c:v>2.8684710908267248</c:v>
                </c:pt>
                <c:pt idx="188">
                  <c:v>2.8791059164390593</c:v>
                </c:pt>
                <c:pt idx="189">
                  <c:v>2.8991470636405592</c:v>
                </c:pt>
                <c:pt idx="190">
                  <c:v>2.9208589360920358</c:v>
                </c:pt>
                <c:pt idx="191">
                  <c:v>2.9402857728539922</c:v>
                </c:pt>
                <c:pt idx="192">
                  <c:v>2.955375831718472</c:v>
                </c:pt>
                <c:pt idx="193">
                  <c:v>2.964439204236728</c:v>
                </c:pt>
                <c:pt idx="194">
                  <c:v>2.9731880073087438</c:v>
                </c:pt>
                <c:pt idx="195">
                  <c:v>2.9789600403782841</c:v>
                </c:pt>
                <c:pt idx="196">
                  <c:v>2.9885426080279682</c:v>
                </c:pt>
                <c:pt idx="197">
                  <c:v>3.019987063655674</c:v>
                </c:pt>
                <c:pt idx="198">
                  <c:v>3.0640135144225802</c:v>
                </c:pt>
                <c:pt idx="199">
                  <c:v>3.1276704463539238</c:v>
                </c:pt>
                <c:pt idx="200">
                  <c:v>3.1721560517206582</c:v>
                </c:pt>
                <c:pt idx="201">
                  <c:v>3.210647802085226</c:v>
                </c:pt>
                <c:pt idx="202">
                  <c:v>3.2354876809686721</c:v>
                </c:pt>
                <c:pt idx="203">
                  <c:v>3.2562933712842064</c:v>
                </c:pt>
                <c:pt idx="204">
                  <c:v>3.2731152852310319</c:v>
                </c:pt>
                <c:pt idx="205">
                  <c:v>3.293875576446252</c:v>
                </c:pt>
                <c:pt idx="206">
                  <c:v>3.3160631563323379</c:v>
                </c:pt>
                <c:pt idx="207">
                  <c:v>3.3378267828218817</c:v>
                </c:pt>
                <c:pt idx="208">
                  <c:v>3.3530094772581802</c:v>
                </c:pt>
                <c:pt idx="209">
                  <c:v>3.3702398287145137</c:v>
                </c:pt>
                <c:pt idx="210">
                  <c:v>3.390192927813882</c:v>
                </c:pt>
                <c:pt idx="211">
                  <c:v>3.4110864000515901</c:v>
                </c:pt>
                <c:pt idx="212">
                  <c:v>3.4331946922303977</c:v>
                </c:pt>
                <c:pt idx="213">
                  <c:v>3.4568541491305562</c:v>
                </c:pt>
                <c:pt idx="214">
                  <c:v>3.4846812296038197</c:v>
                </c:pt>
                <c:pt idx="215">
                  <c:v>3.508609059945524</c:v>
                </c:pt>
                <c:pt idx="216">
                  <c:v>3.5238870026362097</c:v>
                </c:pt>
                <c:pt idx="217">
                  <c:v>3.5377601372176519</c:v>
                </c:pt>
                <c:pt idx="218">
                  <c:v>3.548786209506452</c:v>
                </c:pt>
                <c:pt idx="219">
                  <c:v>3.5589101903125817</c:v>
                </c:pt>
                <c:pt idx="220">
                  <c:v>3.5681879795972602</c:v>
                </c:pt>
                <c:pt idx="221">
                  <c:v>3.5774360551488602</c:v>
                </c:pt>
                <c:pt idx="222">
                  <c:v>3.58769051012839</c:v>
                </c:pt>
                <c:pt idx="223">
                  <c:v>3.5937138697060416</c:v>
                </c:pt>
                <c:pt idx="224">
                  <c:v>3.5988250845970557</c:v>
                </c:pt>
                <c:pt idx="225">
                  <c:v>3.6053012179668782</c:v>
                </c:pt>
                <c:pt idx="226">
                  <c:v>3.6137220052871641</c:v>
                </c:pt>
                <c:pt idx="227">
                  <c:v>3.6216182074504739</c:v>
                </c:pt>
                <c:pt idx="228">
                  <c:v>3.6290205569853278</c:v>
                </c:pt>
                <c:pt idx="229">
                  <c:v>3.6329742992482741</c:v>
                </c:pt>
                <c:pt idx="230">
                  <c:v>3.6352867548754877</c:v>
                </c:pt>
                <c:pt idx="231">
                  <c:v>3.6391027898184558</c:v>
                </c:pt>
                <c:pt idx="232">
                  <c:v>3.6418695856423202</c:v>
                </c:pt>
                <c:pt idx="233">
                  <c:v>3.6414895098234918</c:v>
                </c:pt>
                <c:pt idx="234">
                  <c:v>3.6395603189265677</c:v>
                </c:pt>
                <c:pt idx="235">
                  <c:v>3.638216806041306</c:v>
                </c:pt>
                <c:pt idx="236">
                  <c:v>3.6381264114076357</c:v>
                </c:pt>
                <c:pt idx="237">
                  <c:v>3.6357799222759639</c:v>
                </c:pt>
                <c:pt idx="238">
                  <c:v>3.6336265458681343</c:v>
                </c:pt>
                <c:pt idx="239">
                  <c:v>3.630769095211634</c:v>
                </c:pt>
                <c:pt idx="240">
                  <c:v>3.62557272503813</c:v>
                </c:pt>
                <c:pt idx="241">
                  <c:v>3.6224738073988503</c:v>
                </c:pt>
              </c:numCache>
            </c:numRef>
          </c:val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2.5483894474823985</c:v>
                </c:pt>
                <c:pt idx="1">
                  <c:v>2.5480009679657956</c:v>
                </c:pt>
                <c:pt idx="2">
                  <c:v>2.5476242625638919</c:v>
                </c:pt>
                <c:pt idx="3">
                  <c:v>2.5476045479734557</c:v>
                </c:pt>
                <c:pt idx="4">
                  <c:v>2.5466858716128091</c:v>
                </c:pt>
                <c:pt idx="5">
                  <c:v>2.546902267446653</c:v>
                </c:pt>
                <c:pt idx="6">
                  <c:v>2.5460278598633712</c:v>
                </c:pt>
                <c:pt idx="7">
                  <c:v>2.5449642103118522</c:v>
                </c:pt>
                <c:pt idx="8">
                  <c:v>2.5442877515459821</c:v>
                </c:pt>
                <c:pt idx="9">
                  <c:v>2.5439332982692178</c:v>
                </c:pt>
                <c:pt idx="10">
                  <c:v>2.5437351400861044</c:v>
                </c:pt>
                <c:pt idx="11">
                  <c:v>2.5443408408753179</c:v>
                </c:pt>
                <c:pt idx="12">
                  <c:v>2.5462959647821424</c:v>
                </c:pt>
                <c:pt idx="13">
                  <c:v>2.5492141098129624</c:v>
                </c:pt>
                <c:pt idx="14">
                  <c:v>2.550049476897156</c:v>
                </c:pt>
                <c:pt idx="15">
                  <c:v>2.5503153159615426</c:v>
                </c:pt>
                <c:pt idx="16">
                  <c:v>2.5483953238021857</c:v>
                </c:pt>
                <c:pt idx="17">
                  <c:v>2.5461555616500808</c:v>
                </c:pt>
                <c:pt idx="18">
                  <c:v>2.5414400626430069</c:v>
                </c:pt>
                <c:pt idx="19">
                  <c:v>2.5394029072601758</c:v>
                </c:pt>
                <c:pt idx="20">
                  <c:v>2.5388853850911128</c:v>
                </c:pt>
                <c:pt idx="21">
                  <c:v>2.5382503757343935</c:v>
                </c:pt>
                <c:pt idx="22">
                  <c:v>2.5373707341345533</c:v>
                </c:pt>
                <c:pt idx="23">
                  <c:v>2.5365734899129562</c:v>
                </c:pt>
                <c:pt idx="24">
                  <c:v>2.536552279719924</c:v>
                </c:pt>
                <c:pt idx="25">
                  <c:v>2.5330925484792983</c:v>
                </c:pt>
                <c:pt idx="26">
                  <c:v>2.5320471803571589</c:v>
                </c:pt>
                <c:pt idx="27">
                  <c:v>2.5286025174253082</c:v>
                </c:pt>
                <c:pt idx="28">
                  <c:v>2.5240360382593794</c:v>
                </c:pt>
                <c:pt idx="29">
                  <c:v>2.5194333627291572</c:v>
                </c:pt>
                <c:pt idx="30">
                  <c:v>2.5176139450993404</c:v>
                </c:pt>
                <c:pt idx="31">
                  <c:v>2.5145084396503177</c:v>
                </c:pt>
                <c:pt idx="32">
                  <c:v>2.5125995585987106</c:v>
                </c:pt>
                <c:pt idx="33">
                  <c:v>2.510672341525416</c:v>
                </c:pt>
                <c:pt idx="34">
                  <c:v>2.5098642269967639</c:v>
                </c:pt>
                <c:pt idx="35">
                  <c:v>2.5098003793136265</c:v>
                </c:pt>
                <c:pt idx="36">
                  <c:v>2.5090338936525267</c:v>
                </c:pt>
                <c:pt idx="37">
                  <c:v>2.5090451270489909</c:v>
                </c:pt>
                <c:pt idx="38">
                  <c:v>2.5088816378217467</c:v>
                </c:pt>
                <c:pt idx="39">
                  <c:v>2.5088092565973352</c:v>
                </c:pt>
                <c:pt idx="40">
                  <c:v>2.5087999242236956</c:v>
                </c:pt>
                <c:pt idx="41">
                  <c:v>2.5088378195934635</c:v>
                </c:pt>
                <c:pt idx="42">
                  <c:v>2.509041107365126</c:v>
                </c:pt>
                <c:pt idx="43">
                  <c:v>2.5094472361536684</c:v>
                </c:pt>
                <c:pt idx="44">
                  <c:v>2.509435232947129</c:v>
                </c:pt>
                <c:pt idx="45">
                  <c:v>2.5090389937963979</c:v>
                </c:pt>
                <c:pt idx="46">
                  <c:v>2.5090706490766319</c:v>
                </c:pt>
                <c:pt idx="47">
                  <c:v>2.5095878994174221</c:v>
                </c:pt>
                <c:pt idx="48">
                  <c:v>2.5090248659333971</c:v>
                </c:pt>
                <c:pt idx="49">
                  <c:v>2.5100263879571134</c:v>
                </c:pt>
                <c:pt idx="50">
                  <c:v>2.5085668076156016</c:v>
                </c:pt>
                <c:pt idx="51">
                  <c:v>2.5084014612800671</c:v>
                </c:pt>
                <c:pt idx="52">
                  <c:v>2.5057017725423387</c:v>
                </c:pt>
                <c:pt idx="53">
                  <c:v>2.50301006684824</c:v>
                </c:pt>
                <c:pt idx="54">
                  <c:v>2.4983525618545528</c:v>
                </c:pt>
                <c:pt idx="55">
                  <c:v>2.4896951665246583</c:v>
                </c:pt>
                <c:pt idx="56">
                  <c:v>2.4784637244429844</c:v>
                </c:pt>
                <c:pt idx="57">
                  <c:v>2.4790098778745544</c:v>
                </c:pt>
                <c:pt idx="58">
                  <c:v>2.473603170149262</c:v>
                </c:pt>
                <c:pt idx="59">
                  <c:v>2.4681169256185322</c:v>
                </c:pt>
                <c:pt idx="60">
                  <c:v>2.4648408201103433</c:v>
                </c:pt>
                <c:pt idx="61">
                  <c:v>2.4581790146197036</c:v>
                </c:pt>
                <c:pt idx="62">
                  <c:v>2.4526737045017626</c:v>
                </c:pt>
                <c:pt idx="63">
                  <c:v>2.4484606657731272</c:v>
                </c:pt>
                <c:pt idx="64">
                  <c:v>2.447142041186535</c:v>
                </c:pt>
                <c:pt idx="65">
                  <c:v>2.4403584921023027</c:v>
                </c:pt>
                <c:pt idx="66">
                  <c:v>2.4355092763923292</c:v>
                </c:pt>
                <c:pt idx="67">
                  <c:v>2.4284267947667946</c:v>
                </c:pt>
                <c:pt idx="68">
                  <c:v>2.4251799105508147</c:v>
                </c:pt>
                <c:pt idx="69">
                  <c:v>2.4217599447540099</c:v>
                </c:pt>
                <c:pt idx="70">
                  <c:v>2.4192520083749725</c:v>
                </c:pt>
                <c:pt idx="71">
                  <c:v>2.4166896119521817</c:v>
                </c:pt>
                <c:pt idx="72">
                  <c:v>2.4164701559318527</c:v>
                </c:pt>
                <c:pt idx="73">
                  <c:v>2.4154698342207128</c:v>
                </c:pt>
                <c:pt idx="74">
                  <c:v>2.4156734682041505</c:v>
                </c:pt>
                <c:pt idx="75">
                  <c:v>2.4150710933619699</c:v>
                </c:pt>
                <c:pt idx="76">
                  <c:v>2.4150346646235894</c:v>
                </c:pt>
                <c:pt idx="77">
                  <c:v>2.4149497075167772</c:v>
                </c:pt>
                <c:pt idx="78">
                  <c:v>2.414849811387668</c:v>
                </c:pt>
                <c:pt idx="79">
                  <c:v>2.4143404937682975</c:v>
                </c:pt>
                <c:pt idx="80">
                  <c:v>2.413690384283973</c:v>
                </c:pt>
                <c:pt idx="81">
                  <c:v>2.4133369140628815</c:v>
                </c:pt>
                <c:pt idx="82">
                  <c:v>2.4133225030191845</c:v>
                </c:pt>
                <c:pt idx="83">
                  <c:v>2.4130268609920162</c:v>
                </c:pt>
                <c:pt idx="84">
                  <c:v>2.4129799363427993</c:v>
                </c:pt>
                <c:pt idx="85">
                  <c:v>2.4130135023981545</c:v>
                </c:pt>
                <c:pt idx="86">
                  <c:v>2.4129334947996139</c:v>
                </c:pt>
                <c:pt idx="87">
                  <c:v>2.4127246674169545</c:v>
                </c:pt>
                <c:pt idx="88">
                  <c:v>2.4124719456710935</c:v>
                </c:pt>
                <c:pt idx="89">
                  <c:v>2.4103539719408249</c:v>
                </c:pt>
                <c:pt idx="90">
                  <c:v>2.405814137931598</c:v>
                </c:pt>
                <c:pt idx="91">
                  <c:v>2.4042726621927679</c:v>
                </c:pt>
                <c:pt idx="92">
                  <c:v>2.4034875352171978</c:v>
                </c:pt>
                <c:pt idx="93">
                  <c:v>2.4033721934022902</c:v>
                </c:pt>
                <c:pt idx="94">
                  <c:v>2.4027184314086099</c:v>
                </c:pt>
                <c:pt idx="95">
                  <c:v>2.4017543911593338</c:v>
                </c:pt>
                <c:pt idx="96">
                  <c:v>2.3985555558270018</c:v>
                </c:pt>
                <c:pt idx="97">
                  <c:v>2.3948071694047939</c:v>
                </c:pt>
                <c:pt idx="98">
                  <c:v>2.389736949950422</c:v>
                </c:pt>
                <c:pt idx="99">
                  <c:v>2.3858183594434319</c:v>
                </c:pt>
                <c:pt idx="100">
                  <c:v>2.3848366421376799</c:v>
                </c:pt>
                <c:pt idx="101">
                  <c:v>2.3835917865196663</c:v>
                </c:pt>
                <c:pt idx="102">
                  <c:v>2.3838812830270961</c:v>
                </c:pt>
                <c:pt idx="103">
                  <c:v>2.3857807784962981</c:v>
                </c:pt>
                <c:pt idx="104">
                  <c:v>2.387611165662384</c:v>
                </c:pt>
                <c:pt idx="105">
                  <c:v>2.389137672397982</c:v>
                </c:pt>
                <c:pt idx="106">
                  <c:v>2.3891432264675401</c:v>
                </c:pt>
                <c:pt idx="107">
                  <c:v>2.3898777887488558</c:v>
                </c:pt>
                <c:pt idx="108">
                  <c:v>2.3908522429358703</c:v>
                </c:pt>
                <c:pt idx="109">
                  <c:v>2.3906484907279504</c:v>
                </c:pt>
                <c:pt idx="110">
                  <c:v>2.3898794049589078</c:v>
                </c:pt>
                <c:pt idx="111">
                  <c:v>2.3909845264784781</c:v>
                </c:pt>
                <c:pt idx="112">
                  <c:v>2.39061504795461</c:v>
                </c:pt>
                <c:pt idx="113">
                  <c:v>2.3900260490656842</c:v>
                </c:pt>
                <c:pt idx="114">
                  <c:v>2.3898226254011261</c:v>
                </c:pt>
                <c:pt idx="115">
                  <c:v>2.389993887004072</c:v>
                </c:pt>
                <c:pt idx="116">
                  <c:v>2.3904045402918781</c:v>
                </c:pt>
                <c:pt idx="117">
                  <c:v>2.390809498775782</c:v>
                </c:pt>
                <c:pt idx="118">
                  <c:v>2.3911595069172802</c:v>
                </c:pt>
                <c:pt idx="119">
                  <c:v>2.3915030511908597</c:v>
                </c:pt>
                <c:pt idx="120">
                  <c:v>2.392706869072184</c:v>
                </c:pt>
                <c:pt idx="121">
                  <c:v>2.394112206000762</c:v>
                </c:pt>
                <c:pt idx="122">
                  <c:v>2.3974504702426982</c:v>
                </c:pt>
                <c:pt idx="123">
                  <c:v>2.3995806486886497</c:v>
                </c:pt>
                <c:pt idx="124">
                  <c:v>2.4012157558942997</c:v>
                </c:pt>
                <c:pt idx="125">
                  <c:v>2.4042805858498482</c:v>
                </c:pt>
                <c:pt idx="126">
                  <c:v>2.406569319586652</c:v>
                </c:pt>
                <c:pt idx="127">
                  <c:v>2.4105742145876219</c:v>
                </c:pt>
                <c:pt idx="128">
                  <c:v>2.4145611174339758</c:v>
                </c:pt>
                <c:pt idx="129">
                  <c:v>2.421034448809948</c:v>
                </c:pt>
                <c:pt idx="130">
                  <c:v>2.4306462040316421</c:v>
                </c:pt>
                <c:pt idx="131">
                  <c:v>2.4419359219488763</c:v>
                </c:pt>
                <c:pt idx="132">
                  <c:v>2.4489632794675438</c:v>
                </c:pt>
                <c:pt idx="133">
                  <c:v>2.4591108220242521</c:v>
                </c:pt>
                <c:pt idx="134">
                  <c:v>2.464289709182522</c:v>
                </c:pt>
                <c:pt idx="135">
                  <c:v>2.4674070532839281</c:v>
                </c:pt>
                <c:pt idx="136">
                  <c:v>2.4765676138374801</c:v>
                </c:pt>
                <c:pt idx="137">
                  <c:v>2.485800922115208</c:v>
                </c:pt>
                <c:pt idx="138">
                  <c:v>2.4924987109511418</c:v>
                </c:pt>
                <c:pt idx="139">
                  <c:v>2.4949327040353118</c:v>
                </c:pt>
                <c:pt idx="140">
                  <c:v>2.5070437312366942</c:v>
                </c:pt>
                <c:pt idx="141">
                  <c:v>2.5173251412952098</c:v>
                </c:pt>
                <c:pt idx="142">
                  <c:v>2.5318384568194903</c:v>
                </c:pt>
                <c:pt idx="143">
                  <c:v>2.5415025661649526</c:v>
                </c:pt>
                <c:pt idx="144">
                  <c:v>2.5515285539052472</c:v>
                </c:pt>
                <c:pt idx="145">
                  <c:v>2.5610299195925568</c:v>
                </c:pt>
                <c:pt idx="146">
                  <c:v>2.572049675515101</c:v>
                </c:pt>
                <c:pt idx="147">
                  <c:v>2.5760118333217372</c:v>
                </c:pt>
                <c:pt idx="148">
                  <c:v>2.5819798784370347</c:v>
                </c:pt>
                <c:pt idx="149">
                  <c:v>2.5846235649790761</c:v>
                </c:pt>
                <c:pt idx="150">
                  <c:v>2.588404408267861</c:v>
                </c:pt>
                <c:pt idx="151">
                  <c:v>2.587094085369753</c:v>
                </c:pt>
                <c:pt idx="152">
                  <c:v>2.5886028788489521</c:v>
                </c:pt>
                <c:pt idx="153">
                  <c:v>2.5895245886757179</c:v>
                </c:pt>
                <c:pt idx="154">
                  <c:v>2.5862825093760069</c:v>
                </c:pt>
                <c:pt idx="155">
                  <c:v>2.5766950980556418</c:v>
                </c:pt>
                <c:pt idx="156">
                  <c:v>2.5723835230277712</c:v>
                </c:pt>
                <c:pt idx="157">
                  <c:v>2.5684594555858875</c:v>
                </c:pt>
                <c:pt idx="158">
                  <c:v>2.5638723933079923</c:v>
                </c:pt>
                <c:pt idx="159">
                  <c:v>2.5570915805879846</c:v>
                </c:pt>
                <c:pt idx="160">
                  <c:v>2.5549273954660214</c:v>
                </c:pt>
                <c:pt idx="161">
                  <c:v>2.5549812905069018</c:v>
                </c:pt>
                <c:pt idx="162">
                  <c:v>2.5538605308278455</c:v>
                </c:pt>
                <c:pt idx="163">
                  <c:v>2.552166102437861</c:v>
                </c:pt>
                <c:pt idx="164">
                  <c:v>2.5500748101639088</c:v>
                </c:pt>
                <c:pt idx="165">
                  <c:v>2.5463220073798434</c:v>
                </c:pt>
                <c:pt idx="166">
                  <c:v>2.5444886697799127</c:v>
                </c:pt>
                <c:pt idx="167">
                  <c:v>2.5426513708412899</c:v>
                </c:pt>
                <c:pt idx="168">
                  <c:v>2.5416665811803112</c:v>
                </c:pt>
                <c:pt idx="169">
                  <c:v>2.5422439423657082</c:v>
                </c:pt>
                <c:pt idx="170">
                  <c:v>2.5389372745527878</c:v>
                </c:pt>
                <c:pt idx="171">
                  <c:v>2.5383145234565032</c:v>
                </c:pt>
                <c:pt idx="172">
                  <c:v>2.5386797504857888</c:v>
                </c:pt>
                <c:pt idx="173">
                  <c:v>2.5401574882899984</c:v>
                </c:pt>
                <c:pt idx="174">
                  <c:v>2.5410617450774389</c:v>
                </c:pt>
                <c:pt idx="175">
                  <c:v>2.5402390358270459</c:v>
                </c:pt>
                <c:pt idx="176">
                  <c:v>2.5400661070547161</c:v>
                </c:pt>
                <c:pt idx="177">
                  <c:v>2.5382562774146034</c:v>
                </c:pt>
                <c:pt idx="178">
                  <c:v>2.5383834027729275</c:v>
                </c:pt>
                <c:pt idx="179">
                  <c:v>2.5386952455299148</c:v>
                </c:pt>
                <c:pt idx="180">
                  <c:v>2.5385065873283872</c:v>
                </c:pt>
                <c:pt idx="181">
                  <c:v>2.5353329408845209</c:v>
                </c:pt>
                <c:pt idx="182">
                  <c:v>2.5338830188897767</c:v>
                </c:pt>
                <c:pt idx="183">
                  <c:v>2.5313407545001816</c:v>
                </c:pt>
                <c:pt idx="184">
                  <c:v>2.5327224489082578</c:v>
                </c:pt>
                <c:pt idx="185">
                  <c:v>2.5340478554821044</c:v>
                </c:pt>
                <c:pt idx="186">
                  <c:v>2.5331417745731217</c:v>
                </c:pt>
                <c:pt idx="187">
                  <c:v>2.5279733715565551</c:v>
                </c:pt>
                <c:pt idx="188">
                  <c:v>2.5209660109002603</c:v>
                </c:pt>
                <c:pt idx="189">
                  <c:v>2.5074077131100005</c:v>
                </c:pt>
                <c:pt idx="190">
                  <c:v>2.4931002877286641</c:v>
                </c:pt>
                <c:pt idx="191">
                  <c:v>2.4819728166031081</c:v>
                </c:pt>
                <c:pt idx="192">
                  <c:v>2.4742985283479477</c:v>
                </c:pt>
                <c:pt idx="193">
                  <c:v>2.4709423562159318</c:v>
                </c:pt>
                <c:pt idx="194">
                  <c:v>2.4678287353232959</c:v>
                </c:pt>
                <c:pt idx="195">
                  <c:v>2.4674994857138359</c:v>
                </c:pt>
                <c:pt idx="196">
                  <c:v>2.465049361467992</c:v>
                </c:pt>
                <c:pt idx="197">
                  <c:v>2.4466602591019262</c:v>
                </c:pt>
                <c:pt idx="198">
                  <c:v>2.4189473501452001</c:v>
                </c:pt>
                <c:pt idx="199">
                  <c:v>2.3784925862355362</c:v>
                </c:pt>
                <c:pt idx="200">
                  <c:v>2.3541133554024221</c:v>
                </c:pt>
                <c:pt idx="201">
                  <c:v>2.3354326266942143</c:v>
                </c:pt>
                <c:pt idx="202">
                  <c:v>2.3260602093110081</c:v>
                </c:pt>
                <c:pt idx="203">
                  <c:v>2.3201245884349539</c:v>
                </c:pt>
                <c:pt idx="204">
                  <c:v>2.3153345291978078</c:v>
                </c:pt>
                <c:pt idx="205">
                  <c:v>2.3092001228621677</c:v>
                </c:pt>
                <c:pt idx="206">
                  <c:v>2.3055861972023219</c:v>
                </c:pt>
                <c:pt idx="207">
                  <c:v>2.299508845222598</c:v>
                </c:pt>
                <c:pt idx="208">
                  <c:v>2.2970924343112</c:v>
                </c:pt>
                <c:pt idx="209">
                  <c:v>2.2998233149187861</c:v>
                </c:pt>
                <c:pt idx="210">
                  <c:v>2.3009684165009978</c:v>
                </c:pt>
                <c:pt idx="211">
                  <c:v>2.2998679224005496</c:v>
                </c:pt>
                <c:pt idx="212">
                  <c:v>2.2983394184428221</c:v>
                </c:pt>
                <c:pt idx="213">
                  <c:v>2.2965317161282841</c:v>
                </c:pt>
                <c:pt idx="214">
                  <c:v>2.29321685326682</c:v>
                </c:pt>
                <c:pt idx="215">
                  <c:v>2.2898103959054961</c:v>
                </c:pt>
                <c:pt idx="216">
                  <c:v>2.2918196105019701</c:v>
                </c:pt>
                <c:pt idx="217">
                  <c:v>2.2944115992743876</c:v>
                </c:pt>
                <c:pt idx="218">
                  <c:v>2.2984250866691278</c:v>
                </c:pt>
                <c:pt idx="219">
                  <c:v>2.303577315160938</c:v>
                </c:pt>
                <c:pt idx="220">
                  <c:v>2.3082081684618601</c:v>
                </c:pt>
                <c:pt idx="221">
                  <c:v>2.3127251722753401</c:v>
                </c:pt>
                <c:pt idx="222">
                  <c:v>2.31776472621427</c:v>
                </c:pt>
                <c:pt idx="223">
                  <c:v>2.3261782614228581</c:v>
                </c:pt>
                <c:pt idx="224">
                  <c:v>2.3328417601217439</c:v>
                </c:pt>
                <c:pt idx="225">
                  <c:v>2.3424774282178822</c:v>
                </c:pt>
                <c:pt idx="226">
                  <c:v>2.3518614092286758</c:v>
                </c:pt>
                <c:pt idx="227">
                  <c:v>2.3586182067267658</c:v>
                </c:pt>
                <c:pt idx="228">
                  <c:v>2.3662212439620118</c:v>
                </c:pt>
                <c:pt idx="229">
                  <c:v>2.3781172710765262</c:v>
                </c:pt>
                <c:pt idx="230">
                  <c:v>2.3949521269749119</c:v>
                </c:pt>
                <c:pt idx="231">
                  <c:v>2.4089092012756441</c:v>
                </c:pt>
                <c:pt idx="232">
                  <c:v>2.4239141593146201</c:v>
                </c:pt>
                <c:pt idx="233">
                  <c:v>2.442781127648308</c:v>
                </c:pt>
                <c:pt idx="234">
                  <c:v>2.4620045876041918</c:v>
                </c:pt>
                <c:pt idx="235">
                  <c:v>2.478465927155074</c:v>
                </c:pt>
                <c:pt idx="236">
                  <c:v>2.491294883880264</c:v>
                </c:pt>
                <c:pt idx="237">
                  <c:v>2.503956873697796</c:v>
                </c:pt>
                <c:pt idx="238">
                  <c:v>2.5180726021697462</c:v>
                </c:pt>
                <c:pt idx="239">
                  <c:v>2.5325184164974859</c:v>
                </c:pt>
                <c:pt idx="240">
                  <c:v>2.5504724690542897</c:v>
                </c:pt>
                <c:pt idx="241">
                  <c:v>2.5668855629387899</c:v>
                </c:pt>
              </c:numCache>
            </c:numRef>
          </c:val>
        </c:ser>
        <c:ser>
          <c:idx val="4"/>
          <c:order val="4"/>
          <c:tx>
            <c:v>open_line</c:v>
          </c:tx>
          <c:marker>
            <c:symbol val="none"/>
          </c:marker>
          <c:val>
            <c:numRef>
              <c:f>BACK_TEST!$A$35:$A$36</c:f>
              <c:numCache>
                <c:formatCode>yyyy/mm/dd</c:formatCode>
                <c:ptCount val="2"/>
                <c:pt idx="0">
                  <c:v>43802</c:v>
                </c:pt>
                <c:pt idx="1">
                  <c:v>43802</c:v>
                </c:pt>
              </c:numCache>
            </c:numRef>
          </c:val>
        </c:ser>
        <c:marker val="1"/>
        <c:axId val="127444864"/>
        <c:axId val="127446400"/>
      </c:lineChart>
      <c:dateAx>
        <c:axId val="127444864"/>
        <c:scaling>
          <c:orientation val="minMax"/>
        </c:scaling>
        <c:axPos val="b"/>
        <c:numFmt formatCode="yyyy/mm/dd" sourceLinked="1"/>
        <c:tickLblPos val="nextTo"/>
        <c:crossAx val="127446400"/>
        <c:crosses val="autoZero"/>
        <c:auto val="1"/>
        <c:lblOffset val="100"/>
      </c:dateAx>
      <c:valAx>
        <c:axId val="127446400"/>
        <c:scaling>
          <c:orientation val="minMax"/>
          <c:max val="3.6418695856423202"/>
          <c:min val="2.2898103959054961"/>
        </c:scaling>
        <c:axPos val="l"/>
        <c:majorGridlines/>
        <c:numFmt formatCode="General" sourceLinked="1"/>
        <c:majorTickMark val="none"/>
        <c:tickLblPos val="nextTo"/>
        <c:crossAx val="127444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04E-2"/>
          <c:w val="0.11146822390027163"/>
          <c:h val="0.19721174657337795"/>
        </c:manualLayout>
      </c:layout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BACK_TEST!$AA$81</c:f>
              <c:strCache>
                <c:ptCount val="1"/>
                <c:pt idx="0">
                  <c:v>CLOSE_A_ADJUST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645</c:v>
                </c:pt>
                <c:pt idx="1">
                  <c:v>643</c:v>
                </c:pt>
                <c:pt idx="2">
                  <c:v>643</c:v>
                </c:pt>
                <c:pt idx="3">
                  <c:v>631</c:v>
                </c:pt>
                <c:pt idx="4">
                  <c:v>624</c:v>
                </c:pt>
                <c:pt idx="5">
                  <c:v>626</c:v>
                </c:pt>
                <c:pt idx="6">
                  <c:v>636</c:v>
                </c:pt>
                <c:pt idx="7">
                  <c:v>618</c:v>
                </c:pt>
                <c:pt idx="8">
                  <c:v>623</c:v>
                </c:pt>
                <c:pt idx="9">
                  <c:v>613</c:v>
                </c:pt>
                <c:pt idx="10">
                  <c:v>615</c:v>
                </c:pt>
                <c:pt idx="11">
                  <c:v>632</c:v>
                </c:pt>
                <c:pt idx="12">
                  <c:v>625</c:v>
                </c:pt>
                <c:pt idx="13">
                  <c:v>620</c:v>
                </c:pt>
                <c:pt idx="14">
                  <c:v>623</c:v>
                </c:pt>
                <c:pt idx="15">
                  <c:v>612</c:v>
                </c:pt>
                <c:pt idx="16">
                  <c:v>610</c:v>
                </c:pt>
                <c:pt idx="17">
                  <c:v>601</c:v>
                </c:pt>
                <c:pt idx="18">
                  <c:v>591</c:v>
                </c:pt>
                <c:pt idx="19">
                  <c:v>606</c:v>
                </c:pt>
                <c:pt idx="20">
                  <c:v>617</c:v>
                </c:pt>
                <c:pt idx="21">
                  <c:v>627</c:v>
                </c:pt>
                <c:pt idx="22">
                  <c:v>627</c:v>
                </c:pt>
                <c:pt idx="23">
                  <c:v>608</c:v>
                </c:pt>
                <c:pt idx="24">
                  <c:v>639</c:v>
                </c:pt>
                <c:pt idx="25">
                  <c:v>651</c:v>
                </c:pt>
                <c:pt idx="26">
                  <c:v>634</c:v>
                </c:pt>
                <c:pt idx="27">
                  <c:v>629</c:v>
                </c:pt>
                <c:pt idx="28">
                  <c:v>627</c:v>
                </c:pt>
                <c:pt idx="29">
                  <c:v>629</c:v>
                </c:pt>
                <c:pt idx="30">
                  <c:v>602</c:v>
                </c:pt>
                <c:pt idx="31">
                  <c:v>557</c:v>
                </c:pt>
                <c:pt idx="32">
                  <c:v>565</c:v>
                </c:pt>
                <c:pt idx="33">
                  <c:v>574</c:v>
                </c:pt>
                <c:pt idx="34">
                  <c:v>571</c:v>
                </c:pt>
                <c:pt idx="35">
                  <c:v>571</c:v>
                </c:pt>
                <c:pt idx="36">
                  <c:v>573</c:v>
                </c:pt>
                <c:pt idx="37">
                  <c:v>576</c:v>
                </c:pt>
                <c:pt idx="38">
                  <c:v>558</c:v>
                </c:pt>
                <c:pt idx="39">
                  <c:v>554</c:v>
                </c:pt>
                <c:pt idx="40">
                  <c:v>543</c:v>
                </c:pt>
                <c:pt idx="41">
                  <c:v>541</c:v>
                </c:pt>
                <c:pt idx="42">
                  <c:v>549</c:v>
                </c:pt>
                <c:pt idx="43">
                  <c:v>546</c:v>
                </c:pt>
                <c:pt idx="44">
                  <c:v>543</c:v>
                </c:pt>
                <c:pt idx="45">
                  <c:v>520</c:v>
                </c:pt>
                <c:pt idx="46">
                  <c:v>512</c:v>
                </c:pt>
                <c:pt idx="47">
                  <c:v>521</c:v>
                </c:pt>
                <c:pt idx="48">
                  <c:v>508</c:v>
                </c:pt>
                <c:pt idx="49">
                  <c:v>512</c:v>
                </c:pt>
                <c:pt idx="50">
                  <c:v>506</c:v>
                </c:pt>
                <c:pt idx="51">
                  <c:v>521</c:v>
                </c:pt>
                <c:pt idx="52">
                  <c:v>524</c:v>
                </c:pt>
                <c:pt idx="53">
                  <c:v>504</c:v>
                </c:pt>
                <c:pt idx="54">
                  <c:v>513</c:v>
                </c:pt>
                <c:pt idx="55">
                  <c:v>527</c:v>
                </c:pt>
                <c:pt idx="56">
                  <c:v>509</c:v>
                </c:pt>
                <c:pt idx="57">
                  <c:v>521</c:v>
                </c:pt>
                <c:pt idx="58">
                  <c:v>521</c:v>
                </c:pt>
                <c:pt idx="59">
                  <c:v>517</c:v>
                </c:pt>
                <c:pt idx="60">
                  <c:v>514</c:v>
                </c:pt>
                <c:pt idx="61">
                  <c:v>522</c:v>
                </c:pt>
                <c:pt idx="62">
                  <c:v>526</c:v>
                </c:pt>
                <c:pt idx="63">
                  <c:v>519</c:v>
                </c:pt>
                <c:pt idx="64">
                  <c:v>524</c:v>
                </c:pt>
                <c:pt idx="65">
                  <c:v>511</c:v>
                </c:pt>
                <c:pt idx="66">
                  <c:v>508</c:v>
                </c:pt>
                <c:pt idx="67">
                  <c:v>503</c:v>
                </c:pt>
                <c:pt idx="68">
                  <c:v>508</c:v>
                </c:pt>
                <c:pt idx="69">
                  <c:v>487</c:v>
                </c:pt>
                <c:pt idx="70">
                  <c:v>496</c:v>
                </c:pt>
                <c:pt idx="71">
                  <c:v>491</c:v>
                </c:pt>
                <c:pt idx="72">
                  <c:v>495</c:v>
                </c:pt>
                <c:pt idx="73">
                  <c:v>486</c:v>
                </c:pt>
                <c:pt idx="74">
                  <c:v>482</c:v>
                </c:pt>
                <c:pt idx="75">
                  <c:v>481</c:v>
                </c:pt>
                <c:pt idx="76">
                  <c:v>475</c:v>
                </c:pt>
                <c:pt idx="77">
                  <c:v>488</c:v>
                </c:pt>
                <c:pt idx="78">
                  <c:v>476</c:v>
                </c:pt>
                <c:pt idx="79">
                  <c:v>483</c:v>
                </c:pt>
                <c:pt idx="80">
                  <c:v>485</c:v>
                </c:pt>
                <c:pt idx="81">
                  <c:v>481</c:v>
                </c:pt>
                <c:pt idx="82">
                  <c:v>478</c:v>
                </c:pt>
                <c:pt idx="83">
                  <c:v>477</c:v>
                </c:pt>
                <c:pt idx="84">
                  <c:v>482</c:v>
                </c:pt>
                <c:pt idx="85">
                  <c:v>478</c:v>
                </c:pt>
                <c:pt idx="86">
                  <c:v>493</c:v>
                </c:pt>
                <c:pt idx="87">
                  <c:v>496</c:v>
                </c:pt>
                <c:pt idx="88">
                  <c:v>498</c:v>
                </c:pt>
                <c:pt idx="89">
                  <c:v>506</c:v>
                </c:pt>
                <c:pt idx="90">
                  <c:v>512</c:v>
                </c:pt>
                <c:pt idx="91">
                  <c:v>530</c:v>
                </c:pt>
                <c:pt idx="92">
                  <c:v>559</c:v>
                </c:pt>
                <c:pt idx="93">
                  <c:v>566</c:v>
                </c:pt>
                <c:pt idx="94">
                  <c:v>564</c:v>
                </c:pt>
                <c:pt idx="95">
                  <c:v>572</c:v>
                </c:pt>
                <c:pt idx="96">
                  <c:v>574</c:v>
                </c:pt>
                <c:pt idx="97">
                  <c:v>582</c:v>
                </c:pt>
                <c:pt idx="98">
                  <c:v>584</c:v>
                </c:pt>
                <c:pt idx="99">
                  <c:v>580</c:v>
                </c:pt>
                <c:pt idx="100">
                  <c:v>575</c:v>
                </c:pt>
                <c:pt idx="101">
                  <c:v>581</c:v>
                </c:pt>
                <c:pt idx="102">
                  <c:v>565</c:v>
                </c:pt>
                <c:pt idx="103">
                  <c:v>583</c:v>
                </c:pt>
                <c:pt idx="104">
                  <c:v>579</c:v>
                </c:pt>
                <c:pt idx="105">
                  <c:v>589</c:v>
                </c:pt>
                <c:pt idx="106">
                  <c:v>592</c:v>
                </c:pt>
                <c:pt idx="107">
                  <c:v>588</c:v>
                </c:pt>
                <c:pt idx="108">
                  <c:v>601</c:v>
                </c:pt>
                <c:pt idx="109">
                  <c:v>604</c:v>
                </c:pt>
                <c:pt idx="110">
                  <c:v>609</c:v>
                </c:pt>
                <c:pt idx="111">
                  <c:v>617</c:v>
                </c:pt>
                <c:pt idx="112">
                  <c:v>614</c:v>
                </c:pt>
                <c:pt idx="113">
                  <c:v>624</c:v>
                </c:pt>
                <c:pt idx="114">
                  <c:v>627</c:v>
                </c:pt>
                <c:pt idx="115">
                  <c:v>622</c:v>
                </c:pt>
                <c:pt idx="116">
                  <c:v>628</c:v>
                </c:pt>
                <c:pt idx="117">
                  <c:v>619</c:v>
                </c:pt>
                <c:pt idx="118">
                  <c:v>622</c:v>
                </c:pt>
                <c:pt idx="119">
                  <c:v>618</c:v>
                </c:pt>
                <c:pt idx="120">
                  <c:v>617</c:v>
                </c:pt>
                <c:pt idx="121">
                  <c:v>619</c:v>
                </c:pt>
                <c:pt idx="122">
                  <c:v>618</c:v>
                </c:pt>
                <c:pt idx="123">
                  <c:v>603</c:v>
                </c:pt>
                <c:pt idx="124">
                  <c:v>601</c:v>
                </c:pt>
                <c:pt idx="125">
                  <c:v>606</c:v>
                </c:pt>
                <c:pt idx="126">
                  <c:v>599</c:v>
                </c:pt>
                <c:pt idx="127">
                  <c:v>604</c:v>
                </c:pt>
                <c:pt idx="128">
                  <c:v>595</c:v>
                </c:pt>
                <c:pt idx="129">
                  <c:v>583</c:v>
                </c:pt>
                <c:pt idx="130">
                  <c:v>570</c:v>
                </c:pt>
                <c:pt idx="131">
                  <c:v>581</c:v>
                </c:pt>
                <c:pt idx="132">
                  <c:v>585</c:v>
                </c:pt>
                <c:pt idx="133">
                  <c:v>571</c:v>
                </c:pt>
                <c:pt idx="134">
                  <c:v>561</c:v>
                </c:pt>
                <c:pt idx="135">
                  <c:v>564</c:v>
                </c:pt>
                <c:pt idx="136">
                  <c:v>570</c:v>
                </c:pt>
                <c:pt idx="137">
                  <c:v>581</c:v>
                </c:pt>
                <c:pt idx="138">
                  <c:v>593</c:v>
                </c:pt>
                <c:pt idx="139">
                  <c:v>586</c:v>
                </c:pt>
                <c:pt idx="140">
                  <c:v>595</c:v>
                </c:pt>
                <c:pt idx="141">
                  <c:v>590</c:v>
                </c:pt>
                <c:pt idx="142">
                  <c:v>606</c:v>
                </c:pt>
                <c:pt idx="143">
                  <c:v>600</c:v>
                </c:pt>
                <c:pt idx="144">
                  <c:v>605</c:v>
                </c:pt>
                <c:pt idx="145">
                  <c:v>610</c:v>
                </c:pt>
                <c:pt idx="146">
                  <c:v>603</c:v>
                </c:pt>
                <c:pt idx="147">
                  <c:v>603</c:v>
                </c:pt>
                <c:pt idx="148">
                  <c:v>597</c:v>
                </c:pt>
                <c:pt idx="149">
                  <c:v>592</c:v>
                </c:pt>
                <c:pt idx="150">
                  <c:v>621</c:v>
                </c:pt>
                <c:pt idx="151">
                  <c:v>617</c:v>
                </c:pt>
                <c:pt idx="152">
                  <c:v>635</c:v>
                </c:pt>
                <c:pt idx="153">
                  <c:v>650</c:v>
                </c:pt>
                <c:pt idx="154">
                  <c:v>666</c:v>
                </c:pt>
                <c:pt idx="155">
                  <c:v>667</c:v>
                </c:pt>
                <c:pt idx="156">
                  <c:v>663</c:v>
                </c:pt>
                <c:pt idx="157">
                  <c:v>656</c:v>
                </c:pt>
                <c:pt idx="158">
                  <c:v>667</c:v>
                </c:pt>
                <c:pt idx="159">
                  <c:v>664</c:v>
                </c:pt>
                <c:pt idx="160">
                  <c:v>666</c:v>
                </c:pt>
                <c:pt idx="161">
                  <c:v>688</c:v>
                </c:pt>
                <c:pt idx="162">
                  <c:v>681</c:v>
                </c:pt>
                <c:pt idx="163">
                  <c:v>704</c:v>
                </c:pt>
                <c:pt idx="164">
                  <c:v>699</c:v>
                </c:pt>
                <c:pt idx="165">
                  <c:v>700</c:v>
                </c:pt>
                <c:pt idx="166">
                  <c:v>697</c:v>
                </c:pt>
                <c:pt idx="167">
                  <c:v>710</c:v>
                </c:pt>
                <c:pt idx="168">
                  <c:v>711</c:v>
                </c:pt>
                <c:pt idx="169">
                  <c:v>713</c:v>
                </c:pt>
                <c:pt idx="170">
                  <c:v>706</c:v>
                </c:pt>
                <c:pt idx="171">
                  <c:v>722</c:v>
                </c:pt>
                <c:pt idx="172">
                  <c:v>717</c:v>
                </c:pt>
                <c:pt idx="173">
                  <c:v>707</c:v>
                </c:pt>
                <c:pt idx="174">
                  <c:v>687</c:v>
                </c:pt>
                <c:pt idx="175">
                  <c:v>684</c:v>
                </c:pt>
                <c:pt idx="176">
                  <c:v>699</c:v>
                </c:pt>
                <c:pt idx="177">
                  <c:v>709</c:v>
                </c:pt>
                <c:pt idx="178">
                  <c:v>694</c:v>
                </c:pt>
                <c:pt idx="179">
                  <c:v>713</c:v>
                </c:pt>
                <c:pt idx="180">
                  <c:v>707</c:v>
                </c:pt>
                <c:pt idx="181">
                  <c:v>688</c:v>
                </c:pt>
                <c:pt idx="182">
                  <c:v>680</c:v>
                </c:pt>
                <c:pt idx="183">
                  <c:v>680</c:v>
                </c:pt>
                <c:pt idx="184">
                  <c:v>675</c:v>
                </c:pt>
                <c:pt idx="185">
                  <c:v>657</c:v>
                </c:pt>
                <c:pt idx="186">
                  <c:v>667</c:v>
                </c:pt>
                <c:pt idx="187">
                  <c:v>654</c:v>
                </c:pt>
                <c:pt idx="188">
                  <c:v>638</c:v>
                </c:pt>
                <c:pt idx="189">
                  <c:v>656</c:v>
                </c:pt>
                <c:pt idx="190">
                  <c:v>659</c:v>
                </c:pt>
                <c:pt idx="191">
                  <c:v>661</c:v>
                </c:pt>
                <c:pt idx="192">
                  <c:v>669</c:v>
                </c:pt>
                <c:pt idx="193">
                  <c:v>667</c:v>
                </c:pt>
                <c:pt idx="194">
                  <c:v>662</c:v>
                </c:pt>
                <c:pt idx="195">
                  <c:v>667</c:v>
                </c:pt>
                <c:pt idx="196">
                  <c:v>673</c:v>
                </c:pt>
                <c:pt idx="197">
                  <c:v>675</c:v>
                </c:pt>
                <c:pt idx="198">
                  <c:v>665</c:v>
                </c:pt>
                <c:pt idx="199">
                  <c:v>671</c:v>
                </c:pt>
                <c:pt idx="200">
                  <c:v>662</c:v>
                </c:pt>
                <c:pt idx="201">
                  <c:v>667</c:v>
                </c:pt>
                <c:pt idx="202">
                  <c:v>662</c:v>
                </c:pt>
                <c:pt idx="203">
                  <c:v>664</c:v>
                </c:pt>
                <c:pt idx="204">
                  <c:v>662</c:v>
                </c:pt>
                <c:pt idx="205">
                  <c:v>642</c:v>
                </c:pt>
                <c:pt idx="206">
                  <c:v>654</c:v>
                </c:pt>
                <c:pt idx="207">
                  <c:v>641</c:v>
                </c:pt>
                <c:pt idx="208">
                  <c:v>610</c:v>
                </c:pt>
                <c:pt idx="209">
                  <c:v>631</c:v>
                </c:pt>
                <c:pt idx="210">
                  <c:v>637</c:v>
                </c:pt>
                <c:pt idx="211">
                  <c:v>630</c:v>
                </c:pt>
                <c:pt idx="212">
                  <c:v>623</c:v>
                </c:pt>
                <c:pt idx="213">
                  <c:v>629</c:v>
                </c:pt>
                <c:pt idx="214">
                  <c:v>626</c:v>
                </c:pt>
                <c:pt idx="215">
                  <c:v>623</c:v>
                </c:pt>
                <c:pt idx="216">
                  <c:v>615</c:v>
                </c:pt>
                <c:pt idx="217">
                  <c:v>618</c:v>
                </c:pt>
                <c:pt idx="218">
                  <c:v>603</c:v>
                </c:pt>
                <c:pt idx="219">
                  <c:v>608</c:v>
                </c:pt>
                <c:pt idx="220">
                  <c:v>616</c:v>
                </c:pt>
                <c:pt idx="221">
                  <c:v>622</c:v>
                </c:pt>
                <c:pt idx="222">
                  <c:v>609</c:v>
                </c:pt>
                <c:pt idx="223">
                  <c:v>615</c:v>
                </c:pt>
                <c:pt idx="224">
                  <c:v>588</c:v>
                </c:pt>
                <c:pt idx="225">
                  <c:v>601</c:v>
                </c:pt>
                <c:pt idx="226">
                  <c:v>602</c:v>
                </c:pt>
                <c:pt idx="227">
                  <c:v>599</c:v>
                </c:pt>
                <c:pt idx="228">
                  <c:v>596</c:v>
                </c:pt>
                <c:pt idx="229">
                  <c:v>575</c:v>
                </c:pt>
                <c:pt idx="230">
                  <c:v>582</c:v>
                </c:pt>
                <c:pt idx="231">
                  <c:v>562</c:v>
                </c:pt>
                <c:pt idx="232">
                  <c:v>565</c:v>
                </c:pt>
                <c:pt idx="233">
                  <c:v>564</c:v>
                </c:pt>
                <c:pt idx="234">
                  <c:v>551</c:v>
                </c:pt>
                <c:pt idx="235">
                  <c:v>546</c:v>
                </c:pt>
                <c:pt idx="236">
                  <c:v>576</c:v>
                </c:pt>
                <c:pt idx="237">
                  <c:v>582</c:v>
                </c:pt>
                <c:pt idx="238">
                  <c:v>600</c:v>
                </c:pt>
                <c:pt idx="239">
                  <c:v>603</c:v>
                </c:pt>
                <c:pt idx="240">
                  <c:v>614</c:v>
                </c:pt>
                <c:pt idx="241">
                  <c:v>617</c:v>
                </c:pt>
              </c:numCache>
            </c:numRef>
          </c:val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CLOSE_B_ADJUST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630.24034334763951</c:v>
                </c:pt>
                <c:pt idx="1">
                  <c:v>635.53648068669531</c:v>
                </c:pt>
                <c:pt idx="2">
                  <c:v>638.18454935622321</c:v>
                </c:pt>
                <c:pt idx="3">
                  <c:v>624.94420600858371</c:v>
                </c:pt>
                <c:pt idx="4">
                  <c:v>622.2961373390558</c:v>
                </c:pt>
                <c:pt idx="5">
                  <c:v>614.3519313304721</c:v>
                </c:pt>
                <c:pt idx="6">
                  <c:v>624.94420600858371</c:v>
                </c:pt>
                <c:pt idx="7">
                  <c:v>609.05579399141629</c:v>
                </c:pt>
                <c:pt idx="8">
                  <c:v>606.40772532188839</c:v>
                </c:pt>
                <c:pt idx="9">
                  <c:v>590.51931330472098</c:v>
                </c:pt>
                <c:pt idx="10">
                  <c:v>590.51931330472098</c:v>
                </c:pt>
                <c:pt idx="11">
                  <c:v>601.11158798283259</c:v>
                </c:pt>
                <c:pt idx="12">
                  <c:v>590.51931330472098</c:v>
                </c:pt>
                <c:pt idx="13">
                  <c:v>595.81545064377679</c:v>
                </c:pt>
                <c:pt idx="14">
                  <c:v>606.40772532188839</c:v>
                </c:pt>
                <c:pt idx="15">
                  <c:v>595.81545064377679</c:v>
                </c:pt>
                <c:pt idx="16">
                  <c:v>595.81545064377679</c:v>
                </c:pt>
                <c:pt idx="17">
                  <c:v>587.87124463519308</c:v>
                </c:pt>
                <c:pt idx="18">
                  <c:v>601.11158798283259</c:v>
                </c:pt>
                <c:pt idx="19">
                  <c:v>598.46351931330469</c:v>
                </c:pt>
                <c:pt idx="20">
                  <c:v>617</c:v>
                </c:pt>
                <c:pt idx="21">
                  <c:v>617</c:v>
                </c:pt>
                <c:pt idx="22">
                  <c:v>611.7038626609442</c:v>
                </c:pt>
                <c:pt idx="23">
                  <c:v>609.05579399141629</c:v>
                </c:pt>
                <c:pt idx="24">
                  <c:v>624.94420600858371</c:v>
                </c:pt>
                <c:pt idx="25">
                  <c:v>622.2961373390558</c:v>
                </c:pt>
                <c:pt idx="26">
                  <c:v>617</c:v>
                </c:pt>
                <c:pt idx="27">
                  <c:v>609.05579399141629</c:v>
                </c:pt>
                <c:pt idx="28">
                  <c:v>603.75965665236049</c:v>
                </c:pt>
                <c:pt idx="29">
                  <c:v>590.51931330472098</c:v>
                </c:pt>
                <c:pt idx="30">
                  <c:v>579.92703862660949</c:v>
                </c:pt>
                <c:pt idx="31">
                  <c:v>558.74248927038627</c:v>
                </c:pt>
                <c:pt idx="32">
                  <c:v>561.39055793991417</c:v>
                </c:pt>
                <c:pt idx="33">
                  <c:v>566.68669527896998</c:v>
                </c:pt>
                <c:pt idx="34">
                  <c:v>569.33476394849788</c:v>
                </c:pt>
                <c:pt idx="35">
                  <c:v>564.03862660944208</c:v>
                </c:pt>
                <c:pt idx="36">
                  <c:v>569.33476394849788</c:v>
                </c:pt>
                <c:pt idx="37">
                  <c:v>569.33476394849788</c:v>
                </c:pt>
                <c:pt idx="38">
                  <c:v>553.44635193133047</c:v>
                </c:pt>
                <c:pt idx="39">
                  <c:v>542.85407725321886</c:v>
                </c:pt>
                <c:pt idx="40">
                  <c:v>534.90987124463516</c:v>
                </c:pt>
                <c:pt idx="41">
                  <c:v>529.61373390557935</c:v>
                </c:pt>
                <c:pt idx="42">
                  <c:v>534.90987124463516</c:v>
                </c:pt>
                <c:pt idx="43">
                  <c:v>540.20600858369096</c:v>
                </c:pt>
                <c:pt idx="44">
                  <c:v>532.26180257510725</c:v>
                </c:pt>
                <c:pt idx="45">
                  <c:v>526.96566523605145</c:v>
                </c:pt>
                <c:pt idx="46">
                  <c:v>532.26180257510725</c:v>
                </c:pt>
                <c:pt idx="47">
                  <c:v>526.96566523605145</c:v>
                </c:pt>
                <c:pt idx="48">
                  <c:v>521.66952789699576</c:v>
                </c:pt>
                <c:pt idx="49">
                  <c:v>519.02145922746786</c:v>
                </c:pt>
                <c:pt idx="50">
                  <c:v>516.37339055793996</c:v>
                </c:pt>
                <c:pt idx="51">
                  <c:v>524.31759656652355</c:v>
                </c:pt>
                <c:pt idx="52">
                  <c:v>526.96566523605145</c:v>
                </c:pt>
                <c:pt idx="53">
                  <c:v>513.72532188841205</c:v>
                </c:pt>
                <c:pt idx="54">
                  <c:v>519.02145922746786</c:v>
                </c:pt>
                <c:pt idx="55">
                  <c:v>540.20600858369096</c:v>
                </c:pt>
                <c:pt idx="56">
                  <c:v>540.20600858369096</c:v>
                </c:pt>
                <c:pt idx="57">
                  <c:v>540.20600858369096</c:v>
                </c:pt>
                <c:pt idx="58">
                  <c:v>537.55793991416306</c:v>
                </c:pt>
                <c:pt idx="59">
                  <c:v>529.61373390557935</c:v>
                </c:pt>
                <c:pt idx="60">
                  <c:v>524.31759656652355</c:v>
                </c:pt>
                <c:pt idx="61">
                  <c:v>537.55793991416306</c:v>
                </c:pt>
                <c:pt idx="62">
                  <c:v>532.26180257510725</c:v>
                </c:pt>
                <c:pt idx="63">
                  <c:v>526.96566523605145</c:v>
                </c:pt>
                <c:pt idx="64">
                  <c:v>521.66952789699576</c:v>
                </c:pt>
                <c:pt idx="65">
                  <c:v>513.72532188841205</c:v>
                </c:pt>
                <c:pt idx="66">
                  <c:v>500.48497854077254</c:v>
                </c:pt>
                <c:pt idx="67">
                  <c:v>495.18884120171674</c:v>
                </c:pt>
                <c:pt idx="68">
                  <c:v>503.13304721030045</c:v>
                </c:pt>
                <c:pt idx="69">
                  <c:v>484.59656652360513</c:v>
                </c:pt>
                <c:pt idx="70">
                  <c:v>487.24463519313304</c:v>
                </c:pt>
                <c:pt idx="71">
                  <c:v>489.89270386266094</c:v>
                </c:pt>
                <c:pt idx="72">
                  <c:v>487.24463519313304</c:v>
                </c:pt>
                <c:pt idx="73">
                  <c:v>479.30042918454933</c:v>
                </c:pt>
                <c:pt idx="74">
                  <c:v>476.65236051502148</c:v>
                </c:pt>
                <c:pt idx="75">
                  <c:v>479.30042918454933</c:v>
                </c:pt>
                <c:pt idx="76">
                  <c:v>474.00429184549358</c:v>
                </c:pt>
                <c:pt idx="77">
                  <c:v>484.59656652360513</c:v>
                </c:pt>
                <c:pt idx="78">
                  <c:v>479.30042918454933</c:v>
                </c:pt>
                <c:pt idx="79">
                  <c:v>479.30042918454933</c:v>
                </c:pt>
                <c:pt idx="80">
                  <c:v>487.24463519313304</c:v>
                </c:pt>
                <c:pt idx="81">
                  <c:v>484.59656652360513</c:v>
                </c:pt>
                <c:pt idx="82">
                  <c:v>479.30042918454933</c:v>
                </c:pt>
                <c:pt idx="83">
                  <c:v>476.65236051502148</c:v>
                </c:pt>
                <c:pt idx="84">
                  <c:v>484.59656652360513</c:v>
                </c:pt>
                <c:pt idx="85">
                  <c:v>476.65236051502148</c:v>
                </c:pt>
                <c:pt idx="86">
                  <c:v>484.59656652360513</c:v>
                </c:pt>
                <c:pt idx="87">
                  <c:v>484.59656652360513</c:v>
                </c:pt>
                <c:pt idx="88">
                  <c:v>484.59656652360513</c:v>
                </c:pt>
                <c:pt idx="89">
                  <c:v>497.83690987124464</c:v>
                </c:pt>
                <c:pt idx="90">
                  <c:v>487.24463519313304</c:v>
                </c:pt>
                <c:pt idx="91">
                  <c:v>503.13304721030045</c:v>
                </c:pt>
                <c:pt idx="92">
                  <c:v>521.66952789699576</c:v>
                </c:pt>
                <c:pt idx="93">
                  <c:v>529.61373390557935</c:v>
                </c:pt>
                <c:pt idx="94">
                  <c:v>542.85407725321886</c:v>
                </c:pt>
                <c:pt idx="95">
                  <c:v>577.27896995708159</c:v>
                </c:pt>
                <c:pt idx="96">
                  <c:v>577.27896995708159</c:v>
                </c:pt>
                <c:pt idx="97">
                  <c:v>585.22317596566518</c:v>
                </c:pt>
                <c:pt idx="98">
                  <c:v>585.22317596566518</c:v>
                </c:pt>
                <c:pt idx="99">
                  <c:v>598.46351931330469</c:v>
                </c:pt>
                <c:pt idx="100">
                  <c:v>587.87124463519308</c:v>
                </c:pt>
                <c:pt idx="101">
                  <c:v>601.11158798283259</c:v>
                </c:pt>
                <c:pt idx="102">
                  <c:v>590.51931330472098</c:v>
                </c:pt>
                <c:pt idx="103">
                  <c:v>611.7038626609442</c:v>
                </c:pt>
                <c:pt idx="104">
                  <c:v>609.05579399141629</c:v>
                </c:pt>
                <c:pt idx="105">
                  <c:v>614.3519313304721</c:v>
                </c:pt>
                <c:pt idx="106">
                  <c:v>609.05579399141629</c:v>
                </c:pt>
                <c:pt idx="107">
                  <c:v>603.75965665236049</c:v>
                </c:pt>
                <c:pt idx="108">
                  <c:v>609.05579399141629</c:v>
                </c:pt>
                <c:pt idx="109">
                  <c:v>603.75965665236049</c:v>
                </c:pt>
                <c:pt idx="110">
                  <c:v>617</c:v>
                </c:pt>
                <c:pt idx="111">
                  <c:v>609.05579399141629</c:v>
                </c:pt>
                <c:pt idx="112">
                  <c:v>614.3519313304721</c:v>
                </c:pt>
                <c:pt idx="113">
                  <c:v>622.2961373390558</c:v>
                </c:pt>
                <c:pt idx="114">
                  <c:v>627.59227467811161</c:v>
                </c:pt>
                <c:pt idx="115">
                  <c:v>617</c:v>
                </c:pt>
                <c:pt idx="116">
                  <c:v>622.2961373390558</c:v>
                </c:pt>
                <c:pt idx="117">
                  <c:v>611.7038626609442</c:v>
                </c:pt>
                <c:pt idx="118">
                  <c:v>614.3519313304721</c:v>
                </c:pt>
                <c:pt idx="119">
                  <c:v>624.94420600858371</c:v>
                </c:pt>
                <c:pt idx="120">
                  <c:v>624.94420600858371</c:v>
                </c:pt>
                <c:pt idx="121">
                  <c:v>640.83261802575112</c:v>
                </c:pt>
                <c:pt idx="122">
                  <c:v>630.24034334763951</c:v>
                </c:pt>
                <c:pt idx="123">
                  <c:v>611.7038626609442</c:v>
                </c:pt>
                <c:pt idx="124">
                  <c:v>619.6480686695279</c:v>
                </c:pt>
                <c:pt idx="125">
                  <c:v>619.6480686695279</c:v>
                </c:pt>
                <c:pt idx="126">
                  <c:v>622.2961373390558</c:v>
                </c:pt>
                <c:pt idx="127">
                  <c:v>627.59227467811161</c:v>
                </c:pt>
                <c:pt idx="128">
                  <c:v>630.24034334763951</c:v>
                </c:pt>
                <c:pt idx="129">
                  <c:v>630.24034334763951</c:v>
                </c:pt>
                <c:pt idx="130">
                  <c:v>627.59227467811161</c:v>
                </c:pt>
                <c:pt idx="131">
                  <c:v>614.3519313304721</c:v>
                </c:pt>
                <c:pt idx="132">
                  <c:v>630.24034334763951</c:v>
                </c:pt>
                <c:pt idx="133">
                  <c:v>614.3519313304721</c:v>
                </c:pt>
                <c:pt idx="134">
                  <c:v>593.16738197424888</c:v>
                </c:pt>
                <c:pt idx="135">
                  <c:v>609.05579399141629</c:v>
                </c:pt>
                <c:pt idx="136">
                  <c:v>614.3519313304721</c:v>
                </c:pt>
                <c:pt idx="137">
                  <c:v>617</c:v>
                </c:pt>
                <c:pt idx="138">
                  <c:v>614.3519313304721</c:v>
                </c:pt>
                <c:pt idx="139">
                  <c:v>632.88841201716741</c:v>
                </c:pt>
                <c:pt idx="140">
                  <c:v>635.53648068669531</c:v>
                </c:pt>
                <c:pt idx="141">
                  <c:v>640.83261802575112</c:v>
                </c:pt>
                <c:pt idx="142">
                  <c:v>640.83261802575112</c:v>
                </c:pt>
                <c:pt idx="143">
                  <c:v>635.53648068669531</c:v>
                </c:pt>
                <c:pt idx="144">
                  <c:v>635.53648068669531</c:v>
                </c:pt>
                <c:pt idx="145">
                  <c:v>643.48068669527902</c:v>
                </c:pt>
                <c:pt idx="146">
                  <c:v>611.7038626609442</c:v>
                </c:pt>
                <c:pt idx="147">
                  <c:v>624.94420600858371</c:v>
                </c:pt>
                <c:pt idx="148">
                  <c:v>598.46351931330469</c:v>
                </c:pt>
                <c:pt idx="149">
                  <c:v>609.05579399141629</c:v>
                </c:pt>
                <c:pt idx="150">
                  <c:v>617</c:v>
                </c:pt>
                <c:pt idx="151">
                  <c:v>611.7038626609442</c:v>
                </c:pt>
                <c:pt idx="152">
                  <c:v>627.59227467811161</c:v>
                </c:pt>
                <c:pt idx="153">
                  <c:v>635.53648068669531</c:v>
                </c:pt>
                <c:pt idx="154">
                  <c:v>648.77682403433471</c:v>
                </c:pt>
                <c:pt idx="155">
                  <c:v>654.07296137339051</c:v>
                </c:pt>
                <c:pt idx="156">
                  <c:v>656.72103004291841</c:v>
                </c:pt>
                <c:pt idx="157">
                  <c:v>667.31330472103002</c:v>
                </c:pt>
                <c:pt idx="158">
                  <c:v>662.01716738197422</c:v>
                </c:pt>
                <c:pt idx="159">
                  <c:v>664.66523605150212</c:v>
                </c:pt>
                <c:pt idx="160">
                  <c:v>659.36909871244632</c:v>
                </c:pt>
                <c:pt idx="161">
                  <c:v>672.60944206008583</c:v>
                </c:pt>
                <c:pt idx="162">
                  <c:v>662.01716738197422</c:v>
                </c:pt>
                <c:pt idx="163">
                  <c:v>667.31330472103002</c:v>
                </c:pt>
                <c:pt idx="164">
                  <c:v>651.42489270386261</c:v>
                </c:pt>
                <c:pt idx="165">
                  <c:v>656.72103004291841</c:v>
                </c:pt>
                <c:pt idx="166">
                  <c:v>656.72103004291841</c:v>
                </c:pt>
                <c:pt idx="167">
                  <c:v>662.01716738197422</c:v>
                </c:pt>
                <c:pt idx="168">
                  <c:v>662.01716738197422</c:v>
                </c:pt>
                <c:pt idx="169">
                  <c:v>677.90557939914163</c:v>
                </c:pt>
                <c:pt idx="170">
                  <c:v>662.01716738197422</c:v>
                </c:pt>
                <c:pt idx="171">
                  <c:v>672.60944206008583</c:v>
                </c:pt>
                <c:pt idx="172">
                  <c:v>659.36909871244632</c:v>
                </c:pt>
                <c:pt idx="173">
                  <c:v>654.07296137339051</c:v>
                </c:pt>
                <c:pt idx="174">
                  <c:v>643.48068669527902</c:v>
                </c:pt>
                <c:pt idx="175">
                  <c:v>640.83261802575112</c:v>
                </c:pt>
                <c:pt idx="176">
                  <c:v>659.36909871244632</c:v>
                </c:pt>
                <c:pt idx="177">
                  <c:v>675.25751072961373</c:v>
                </c:pt>
                <c:pt idx="178">
                  <c:v>654.07296137339051</c:v>
                </c:pt>
                <c:pt idx="179">
                  <c:v>664.66523605150212</c:v>
                </c:pt>
                <c:pt idx="180">
                  <c:v>651.42489270386261</c:v>
                </c:pt>
                <c:pt idx="181">
                  <c:v>646.12875536480681</c:v>
                </c:pt>
                <c:pt idx="182">
                  <c:v>640.83261802575112</c:v>
                </c:pt>
                <c:pt idx="183">
                  <c:v>635.53648068669531</c:v>
                </c:pt>
                <c:pt idx="184">
                  <c:v>630.24034334763951</c:v>
                </c:pt>
                <c:pt idx="185">
                  <c:v>630.24034334763951</c:v>
                </c:pt>
                <c:pt idx="186">
                  <c:v>630.24034334763951</c:v>
                </c:pt>
                <c:pt idx="187">
                  <c:v>609.05579399141629</c:v>
                </c:pt>
                <c:pt idx="188">
                  <c:v>598.46351931330469</c:v>
                </c:pt>
                <c:pt idx="189">
                  <c:v>617</c:v>
                </c:pt>
                <c:pt idx="190">
                  <c:v>632.88841201716741</c:v>
                </c:pt>
                <c:pt idx="191">
                  <c:v>635.53648068669531</c:v>
                </c:pt>
                <c:pt idx="192">
                  <c:v>646.12875536480681</c:v>
                </c:pt>
                <c:pt idx="193">
                  <c:v>643.48068669527902</c:v>
                </c:pt>
                <c:pt idx="194">
                  <c:v>651.42489270386261</c:v>
                </c:pt>
                <c:pt idx="195">
                  <c:v>654.07296137339051</c:v>
                </c:pt>
                <c:pt idx="196">
                  <c:v>648.77682403433471</c:v>
                </c:pt>
                <c:pt idx="197">
                  <c:v>646.12875536480681</c:v>
                </c:pt>
                <c:pt idx="198">
                  <c:v>651.42489270386261</c:v>
                </c:pt>
                <c:pt idx="199">
                  <c:v>654.07296137339051</c:v>
                </c:pt>
                <c:pt idx="200">
                  <c:v>648.77682403433471</c:v>
                </c:pt>
                <c:pt idx="201">
                  <c:v>646.12875536480681</c:v>
                </c:pt>
                <c:pt idx="202">
                  <c:v>646.12875536480681</c:v>
                </c:pt>
                <c:pt idx="203">
                  <c:v>632.88841201716741</c:v>
                </c:pt>
                <c:pt idx="204">
                  <c:v>638.18454935622321</c:v>
                </c:pt>
                <c:pt idx="205">
                  <c:v>646.12875536480681</c:v>
                </c:pt>
                <c:pt idx="206">
                  <c:v>630.24034334763951</c:v>
                </c:pt>
                <c:pt idx="207">
                  <c:v>614.3519313304721</c:v>
                </c:pt>
                <c:pt idx="208">
                  <c:v>632.88841201716741</c:v>
                </c:pt>
                <c:pt idx="209">
                  <c:v>651.42489270386261</c:v>
                </c:pt>
                <c:pt idx="210">
                  <c:v>640.83261802575112</c:v>
                </c:pt>
                <c:pt idx="211">
                  <c:v>632.88841201716741</c:v>
                </c:pt>
                <c:pt idx="212">
                  <c:v>627.59227467811161</c:v>
                </c:pt>
                <c:pt idx="213">
                  <c:v>638.18454935622321</c:v>
                </c:pt>
                <c:pt idx="214">
                  <c:v>611.7038626609442</c:v>
                </c:pt>
                <c:pt idx="215">
                  <c:v>611.7038626609442</c:v>
                </c:pt>
                <c:pt idx="216">
                  <c:v>601.11158798283259</c:v>
                </c:pt>
                <c:pt idx="217">
                  <c:v>603.75965665236049</c:v>
                </c:pt>
                <c:pt idx="218">
                  <c:v>593.16738197424888</c:v>
                </c:pt>
                <c:pt idx="219">
                  <c:v>590.51931330472098</c:v>
                </c:pt>
                <c:pt idx="220">
                  <c:v>595.81545064377679</c:v>
                </c:pt>
                <c:pt idx="221">
                  <c:v>606.40772532188839</c:v>
                </c:pt>
                <c:pt idx="222">
                  <c:v>606.40772532188839</c:v>
                </c:pt>
                <c:pt idx="223">
                  <c:v>598.46351931330469</c:v>
                </c:pt>
                <c:pt idx="224">
                  <c:v>590.51931330472098</c:v>
                </c:pt>
                <c:pt idx="225">
                  <c:v>603.75965665236049</c:v>
                </c:pt>
                <c:pt idx="226">
                  <c:v>585.22317596566518</c:v>
                </c:pt>
                <c:pt idx="227">
                  <c:v>585.22317596566518</c:v>
                </c:pt>
                <c:pt idx="228">
                  <c:v>601.11158798283259</c:v>
                </c:pt>
                <c:pt idx="229">
                  <c:v>601.11158798283259</c:v>
                </c:pt>
                <c:pt idx="230">
                  <c:v>593.16738197424888</c:v>
                </c:pt>
                <c:pt idx="231">
                  <c:v>574.63090128755368</c:v>
                </c:pt>
                <c:pt idx="232">
                  <c:v>590.51931330472098</c:v>
                </c:pt>
                <c:pt idx="233">
                  <c:v>587.87124463519308</c:v>
                </c:pt>
                <c:pt idx="234">
                  <c:v>561.39055793991417</c:v>
                </c:pt>
                <c:pt idx="235">
                  <c:v>540.20600858369096</c:v>
                </c:pt>
                <c:pt idx="236">
                  <c:v>571.98283261802578</c:v>
                </c:pt>
                <c:pt idx="237">
                  <c:v>579.92703862660949</c:v>
                </c:pt>
                <c:pt idx="238">
                  <c:v>598.46351931330469</c:v>
                </c:pt>
                <c:pt idx="239">
                  <c:v>614.3519313304721</c:v>
                </c:pt>
                <c:pt idx="240">
                  <c:v>614.3519313304721</c:v>
                </c:pt>
                <c:pt idx="241">
                  <c:v>617</c:v>
                </c:pt>
              </c:numCache>
            </c:numRef>
          </c:val>
        </c:ser>
        <c:marker val="1"/>
        <c:axId val="96353664"/>
        <c:axId val="96355456"/>
      </c:lineChart>
      <c:dateAx>
        <c:axId val="96353664"/>
        <c:scaling>
          <c:orientation val="minMax"/>
        </c:scaling>
        <c:axPos val="b"/>
        <c:numFmt formatCode="yyyy/mm/dd" sourceLinked="1"/>
        <c:tickLblPos val="nextTo"/>
        <c:crossAx val="96355456"/>
        <c:crosses val="autoZero"/>
        <c:auto val="1"/>
        <c:lblOffset val="100"/>
      </c:dateAx>
      <c:valAx>
        <c:axId val="96355456"/>
        <c:scaling>
          <c:orientation val="minMax"/>
          <c:max val="722"/>
          <c:min val="474.00429184549358"/>
        </c:scaling>
        <c:axPos val="l"/>
        <c:majorGridlines/>
        <c:numFmt formatCode="General" sourceLinked="1"/>
        <c:tickLblPos val="nextTo"/>
        <c:crossAx val="96353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-50070</c:v>
                </c:pt>
                <c:pt idx="1">
                  <c:v>-46670</c:v>
                </c:pt>
                <c:pt idx="2">
                  <c:v>-46670</c:v>
                </c:pt>
                <c:pt idx="3">
                  <c:v>-26270</c:v>
                </c:pt>
                <c:pt idx="4">
                  <c:v>-14370</c:v>
                </c:pt>
                <c:pt idx="5">
                  <c:v>-17770</c:v>
                </c:pt>
                <c:pt idx="6">
                  <c:v>-34770</c:v>
                </c:pt>
                <c:pt idx="7">
                  <c:v>-4170</c:v>
                </c:pt>
                <c:pt idx="8">
                  <c:v>-12670</c:v>
                </c:pt>
                <c:pt idx="9">
                  <c:v>4330</c:v>
                </c:pt>
                <c:pt idx="10">
                  <c:v>930</c:v>
                </c:pt>
                <c:pt idx="11">
                  <c:v>-27970</c:v>
                </c:pt>
              </c:numCache>
            </c:numRef>
          </c:val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74430</c:v>
                </c:pt>
                <c:pt idx="1">
                  <c:v>83830</c:v>
                </c:pt>
                <c:pt idx="2">
                  <c:v>88530</c:v>
                </c:pt>
                <c:pt idx="3">
                  <c:v>65030</c:v>
                </c:pt>
                <c:pt idx="4">
                  <c:v>60330</c:v>
                </c:pt>
                <c:pt idx="5">
                  <c:v>46230</c:v>
                </c:pt>
                <c:pt idx="6">
                  <c:v>65030</c:v>
                </c:pt>
                <c:pt idx="7">
                  <c:v>36830</c:v>
                </c:pt>
                <c:pt idx="8">
                  <c:v>32130</c:v>
                </c:pt>
                <c:pt idx="9">
                  <c:v>3930</c:v>
                </c:pt>
                <c:pt idx="10">
                  <c:v>3930</c:v>
                </c:pt>
                <c:pt idx="11">
                  <c:v>22730</c:v>
                </c:pt>
              </c:numCache>
            </c:numRef>
          </c:val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24360</c:v>
                </c:pt>
                <c:pt idx="1">
                  <c:v>37160</c:v>
                </c:pt>
                <c:pt idx="2">
                  <c:v>41860</c:v>
                </c:pt>
                <c:pt idx="3">
                  <c:v>38760</c:v>
                </c:pt>
                <c:pt idx="4">
                  <c:v>45960</c:v>
                </c:pt>
                <c:pt idx="5">
                  <c:v>28460</c:v>
                </c:pt>
                <c:pt idx="6">
                  <c:v>30260</c:v>
                </c:pt>
                <c:pt idx="7">
                  <c:v>32660</c:v>
                </c:pt>
                <c:pt idx="8">
                  <c:v>19460</c:v>
                </c:pt>
                <c:pt idx="9">
                  <c:v>8260</c:v>
                </c:pt>
                <c:pt idx="10">
                  <c:v>4860</c:v>
                </c:pt>
                <c:pt idx="11">
                  <c:v>-5240</c:v>
                </c:pt>
              </c:numCache>
            </c:numRef>
          </c:val>
        </c:ser>
        <c:marker val="1"/>
        <c:axId val="96362880"/>
        <c:axId val="96388992"/>
      </c:lineChart>
      <c:dateAx>
        <c:axId val="96362880"/>
        <c:scaling>
          <c:orientation val="minMax"/>
        </c:scaling>
        <c:axPos val="b"/>
        <c:numFmt formatCode="yyyy/mm/dd" sourceLinked="1"/>
        <c:tickLblPos val="nextTo"/>
        <c:crossAx val="96388992"/>
        <c:crosses val="autoZero"/>
        <c:auto val="1"/>
        <c:lblOffset val="100"/>
      </c:dateAx>
      <c:valAx>
        <c:axId val="96388992"/>
        <c:scaling>
          <c:orientation val="minMax"/>
        </c:scaling>
        <c:axPos val="l"/>
        <c:majorGridlines/>
        <c:numFmt formatCode="General" sourceLinked="1"/>
        <c:tickLblPos val="nextTo"/>
        <c:crossAx val="96362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0.97046362447595003</c:v>
                </c:pt>
                <c:pt idx="1">
                  <c:v>0.97014213129090898</c:v>
                </c:pt>
                <c:pt idx="2">
                  <c:v>0.97023584076091496</c:v>
                </c:pt>
                <c:pt idx="3">
                  <c:v>0.97075730171753305</c:v>
                </c:pt>
                <c:pt idx="4">
                  <c:v>0.97209058164223405</c:v>
                </c:pt>
                <c:pt idx="5">
                  <c:v>0.97175146424953796</c:v>
                </c:pt>
                <c:pt idx="6">
                  <c:v>0.97179788798844102</c:v>
                </c:pt>
                <c:pt idx="7">
                  <c:v>0.97078025271378099</c:v>
                </c:pt>
                <c:pt idx="8">
                  <c:v>0.969368315338621</c:v>
                </c:pt>
                <c:pt idx="9">
                  <c:v>0.96922686417720205</c:v>
                </c:pt>
                <c:pt idx="10">
                  <c:v>0.96972232891769505</c:v>
                </c:pt>
                <c:pt idx="11">
                  <c:v>0.96933627660508903</c:v>
                </c:pt>
                <c:pt idx="12">
                  <c:v>0.971177562165084</c:v>
                </c:pt>
                <c:pt idx="13">
                  <c:v>0.97121122391420001</c:v>
                </c:pt>
                <c:pt idx="14">
                  <c:v>0.97070590621318797</c:v>
                </c:pt>
                <c:pt idx="15">
                  <c:v>0.97086511708985501</c:v>
                </c:pt>
                <c:pt idx="16">
                  <c:v>0.97108586594749402</c:v>
                </c:pt>
                <c:pt idx="17">
                  <c:v>0.97103349996743404</c:v>
                </c:pt>
                <c:pt idx="18">
                  <c:v>0.97279648115126705</c:v>
                </c:pt>
                <c:pt idx="19">
                  <c:v>0.97238283664772696</c:v>
                </c:pt>
                <c:pt idx="20">
                  <c:v>0.97221919370400001</c:v>
                </c:pt>
                <c:pt idx="21">
                  <c:v>0.97116466001748403</c:v>
                </c:pt>
                <c:pt idx="22">
                  <c:v>0.96994715964173694</c:v>
                </c:pt>
                <c:pt idx="23">
                  <c:v>0.96975359755009105</c:v>
                </c:pt>
                <c:pt idx="24">
                  <c:v>0.96714372841151697</c:v>
                </c:pt>
                <c:pt idx="25">
                  <c:v>0.964177080350757</c:v>
                </c:pt>
                <c:pt idx="26">
                  <c:v>0.95961492676800797</c:v>
                </c:pt>
                <c:pt idx="27">
                  <c:v>0.954431661693524</c:v>
                </c:pt>
                <c:pt idx="28">
                  <c:v>0.94848778399367495</c:v>
                </c:pt>
                <c:pt idx="29">
                  <c:v>0.94941193560774295</c:v>
                </c:pt>
                <c:pt idx="30">
                  <c:v>0.94794194168575396</c:v>
                </c:pt>
                <c:pt idx="31">
                  <c:v>0.93263898998480199</c:v>
                </c:pt>
                <c:pt idx="32">
                  <c:v>0.91615117925462097</c:v>
                </c:pt>
                <c:pt idx="33">
                  <c:v>0.89966157419318904</c:v>
                </c:pt>
                <c:pt idx="34">
                  <c:v>0.89219011871296405</c:v>
                </c:pt>
                <c:pt idx="35">
                  <c:v>0.89355707601815404</c:v>
                </c:pt>
                <c:pt idx="36">
                  <c:v>0.89450494283922899</c:v>
                </c:pt>
                <c:pt idx="37">
                  <c:v>0.89775266619149496</c:v>
                </c:pt>
                <c:pt idx="38">
                  <c:v>0.90453542558723599</c:v>
                </c:pt>
                <c:pt idx="39">
                  <c:v>0.91645353991682799</c:v>
                </c:pt>
                <c:pt idx="40">
                  <c:v>0.92189580024888595</c:v>
                </c:pt>
                <c:pt idx="41">
                  <c:v>0.92411656240512896</c:v>
                </c:pt>
                <c:pt idx="42">
                  <c:v>0.92971378738701005</c:v>
                </c:pt>
                <c:pt idx="43">
                  <c:v>0.93282566901876496</c:v>
                </c:pt>
                <c:pt idx="44">
                  <c:v>0.93864430341481497</c:v>
                </c:pt>
                <c:pt idx="45">
                  <c:v>0.94299496386791004</c:v>
                </c:pt>
                <c:pt idx="46">
                  <c:v>0.947817966133498</c:v>
                </c:pt>
                <c:pt idx="47">
                  <c:v>0.95099813233281405</c:v>
                </c:pt>
                <c:pt idx="48">
                  <c:v>0.95353666453337305</c:v>
                </c:pt>
                <c:pt idx="49">
                  <c:v>0.95646195489386898</c:v>
                </c:pt>
                <c:pt idx="50">
                  <c:v>0.95748494321499</c:v>
                </c:pt>
                <c:pt idx="51">
                  <c:v>0.95926715623579695</c:v>
                </c:pt>
                <c:pt idx="52">
                  <c:v>0.96103750461326298</c:v>
                </c:pt>
                <c:pt idx="53">
                  <c:v>0.96317191563124005</c:v>
                </c:pt>
                <c:pt idx="54">
                  <c:v>0.96418526982647101</c:v>
                </c:pt>
                <c:pt idx="55">
                  <c:v>0.96564978892216002</c:v>
                </c:pt>
                <c:pt idx="56">
                  <c:v>0.96908608606573199</c:v>
                </c:pt>
                <c:pt idx="57">
                  <c:v>0.970657564665934</c:v>
                </c:pt>
                <c:pt idx="58">
                  <c:v>0.97342843537607704</c:v>
                </c:pt>
                <c:pt idx="59">
                  <c:v>0.97436655682077</c:v>
                </c:pt>
                <c:pt idx="60">
                  <c:v>0.97539242719794195</c:v>
                </c:pt>
                <c:pt idx="61">
                  <c:v>0.976475099956715</c:v>
                </c:pt>
                <c:pt idx="62">
                  <c:v>0.97698800441019196</c:v>
                </c:pt>
                <c:pt idx="63">
                  <c:v>0.97690205684382403</c:v>
                </c:pt>
                <c:pt idx="64">
                  <c:v>0.97668437673073405</c:v>
                </c:pt>
                <c:pt idx="65">
                  <c:v>0.97528796956068298</c:v>
                </c:pt>
                <c:pt idx="66">
                  <c:v>0.97188873407647702</c:v>
                </c:pt>
                <c:pt idx="67">
                  <c:v>0.96619991175754605</c:v>
                </c:pt>
                <c:pt idx="68">
                  <c:v>0.96468436069074104</c:v>
                </c:pt>
                <c:pt idx="69">
                  <c:v>0.96148853609041496</c:v>
                </c:pt>
                <c:pt idx="70">
                  <c:v>0.95814649843029698</c:v>
                </c:pt>
                <c:pt idx="71">
                  <c:v>0.95572443723016298</c:v>
                </c:pt>
                <c:pt idx="72">
                  <c:v>0.95161463731867202</c:v>
                </c:pt>
                <c:pt idx="73">
                  <c:v>0.94727500857284297</c:v>
                </c:pt>
                <c:pt idx="74">
                  <c:v>0.94391681020798102</c:v>
                </c:pt>
                <c:pt idx="75">
                  <c:v>0.94161355860950202</c:v>
                </c:pt>
                <c:pt idx="76">
                  <c:v>0.93609114688670103</c:v>
                </c:pt>
                <c:pt idx="77">
                  <c:v>0.93212516119162603</c:v>
                </c:pt>
                <c:pt idx="78">
                  <c:v>0.92551194424198802</c:v>
                </c:pt>
                <c:pt idx="79">
                  <c:v>0.92108114019695397</c:v>
                </c:pt>
                <c:pt idx="80">
                  <c:v>0.91621582432269999</c:v>
                </c:pt>
                <c:pt idx="81">
                  <c:v>0.91088928310396799</c:v>
                </c:pt>
                <c:pt idx="82">
                  <c:v>0.90393334585885798</c:v>
                </c:pt>
                <c:pt idx="83">
                  <c:v>0.89385376626009905</c:v>
                </c:pt>
                <c:pt idx="84">
                  <c:v>0.883528920925998</c:v>
                </c:pt>
                <c:pt idx="85">
                  <c:v>0.86609076404047902</c:v>
                </c:pt>
                <c:pt idx="86">
                  <c:v>0.844326581356171</c:v>
                </c:pt>
                <c:pt idx="87">
                  <c:v>0.81460639521219202</c:v>
                </c:pt>
                <c:pt idx="88">
                  <c:v>0.77310925913394202</c:v>
                </c:pt>
                <c:pt idx="89">
                  <c:v>0.72285724014758401</c:v>
                </c:pt>
                <c:pt idx="90">
                  <c:v>0.65131330975033297</c:v>
                </c:pt>
                <c:pt idx="91">
                  <c:v>0.577237767591399</c:v>
                </c:pt>
                <c:pt idx="92">
                  <c:v>0.54608782236605402</c:v>
                </c:pt>
                <c:pt idx="93">
                  <c:v>0.52845226308623405</c:v>
                </c:pt>
                <c:pt idx="94">
                  <c:v>0.49720225166825999</c:v>
                </c:pt>
                <c:pt idx="95">
                  <c:v>0.473168976298042</c:v>
                </c:pt>
                <c:pt idx="96">
                  <c:v>0.44925266730382302</c:v>
                </c:pt>
                <c:pt idx="97">
                  <c:v>0.50063830961202205</c:v>
                </c:pt>
                <c:pt idx="98">
                  <c:v>0.55769966969182705</c:v>
                </c:pt>
                <c:pt idx="99">
                  <c:v>0.59717469764345699</c:v>
                </c:pt>
                <c:pt idx="100">
                  <c:v>0.62511976007783898</c:v>
                </c:pt>
                <c:pt idx="101">
                  <c:v>0.65663463766896701</c:v>
                </c:pt>
                <c:pt idx="102">
                  <c:v>0.67035004515252095</c:v>
                </c:pt>
                <c:pt idx="103">
                  <c:v>0.69150715537238705</c:v>
                </c:pt>
                <c:pt idx="104">
                  <c:v>0.72477633770129601</c:v>
                </c:pt>
                <c:pt idx="105">
                  <c:v>0.76564232075237104</c:v>
                </c:pt>
                <c:pt idx="106">
                  <c:v>0.76451958739767401</c:v>
                </c:pt>
                <c:pt idx="107">
                  <c:v>0.769706879730644</c:v>
                </c:pt>
                <c:pt idx="108">
                  <c:v>0.77788692274264604</c:v>
                </c:pt>
                <c:pt idx="109">
                  <c:v>0.79227885136731802</c:v>
                </c:pt>
                <c:pt idx="110">
                  <c:v>0.80155874493295998</c:v>
                </c:pt>
                <c:pt idx="111">
                  <c:v>0.82388734966127497</c:v>
                </c:pt>
                <c:pt idx="112">
                  <c:v>0.83236985160141197</c:v>
                </c:pt>
                <c:pt idx="113">
                  <c:v>0.84448635604147604</c:v>
                </c:pt>
                <c:pt idx="114">
                  <c:v>0.84656824523784702</c:v>
                </c:pt>
                <c:pt idx="115">
                  <c:v>0.84529564602273999</c:v>
                </c:pt>
                <c:pt idx="116">
                  <c:v>0.84271402940074902</c:v>
                </c:pt>
                <c:pt idx="117">
                  <c:v>0.85074602908628905</c:v>
                </c:pt>
                <c:pt idx="118">
                  <c:v>0.86116812688259703</c:v>
                </c:pt>
                <c:pt idx="119">
                  <c:v>0.86176981119239104</c:v>
                </c:pt>
                <c:pt idx="120">
                  <c:v>0.86505261418280399</c:v>
                </c:pt>
                <c:pt idx="121">
                  <c:v>0.86664387907227802</c:v>
                </c:pt>
                <c:pt idx="122">
                  <c:v>0.863569950746782</c:v>
                </c:pt>
                <c:pt idx="123">
                  <c:v>0.86151296259737897</c:v>
                </c:pt>
                <c:pt idx="124">
                  <c:v>0.85612928341274896</c:v>
                </c:pt>
                <c:pt idx="125">
                  <c:v>0.84771504158659905</c:v>
                </c:pt>
                <c:pt idx="126">
                  <c:v>0.83600172886950697</c:v>
                </c:pt>
                <c:pt idx="127">
                  <c:v>0.83050505921783702</c:v>
                </c:pt>
                <c:pt idx="128">
                  <c:v>0.82418353499194197</c:v>
                </c:pt>
                <c:pt idx="129">
                  <c:v>0.80731935350614603</c:v>
                </c:pt>
                <c:pt idx="130">
                  <c:v>0.79224813891058299</c:v>
                </c:pt>
                <c:pt idx="131">
                  <c:v>0.77658873583829802</c:v>
                </c:pt>
                <c:pt idx="132">
                  <c:v>0.77829139092384603</c:v>
                </c:pt>
                <c:pt idx="133">
                  <c:v>0.77080632638499003</c:v>
                </c:pt>
                <c:pt idx="134">
                  <c:v>0.75147963219077296</c:v>
                </c:pt>
                <c:pt idx="135">
                  <c:v>0.73772277563297695</c:v>
                </c:pt>
                <c:pt idx="136">
                  <c:v>0.72689597106021497</c:v>
                </c:pt>
                <c:pt idx="137">
                  <c:v>0.71678768697663198</c:v>
                </c:pt>
                <c:pt idx="138">
                  <c:v>0.70369410896963203</c:v>
                </c:pt>
                <c:pt idx="139">
                  <c:v>0.70932661813007003</c:v>
                </c:pt>
                <c:pt idx="140">
                  <c:v>0.71664683834791298</c:v>
                </c:pt>
                <c:pt idx="141">
                  <c:v>0.73856660780569205</c:v>
                </c:pt>
                <c:pt idx="142">
                  <c:v>0.75330145712693497</c:v>
                </c:pt>
                <c:pt idx="143">
                  <c:v>0.76385124991771902</c:v>
                </c:pt>
                <c:pt idx="144">
                  <c:v>0.77387709106976499</c:v>
                </c:pt>
                <c:pt idx="145">
                  <c:v>0.79412527361236795</c:v>
                </c:pt>
                <c:pt idx="146">
                  <c:v>0.78023946447718595</c:v>
                </c:pt>
                <c:pt idx="147">
                  <c:v>0.78094198801984105</c:v>
                </c:pt>
                <c:pt idx="148">
                  <c:v>0.74908870606505495</c:v>
                </c:pt>
                <c:pt idx="149">
                  <c:v>0.72330720275192095</c:v>
                </c:pt>
                <c:pt idx="150">
                  <c:v>0.696186040681536</c:v>
                </c:pt>
                <c:pt idx="151">
                  <c:v>0.66219992762493596</c:v>
                </c:pt>
                <c:pt idx="152">
                  <c:v>0.64776686701994401</c:v>
                </c:pt>
                <c:pt idx="153">
                  <c:v>0.665067234829127</c:v>
                </c:pt>
                <c:pt idx="154">
                  <c:v>0.71082751923184095</c:v>
                </c:pt>
                <c:pt idx="155">
                  <c:v>0.71326065312421005</c:v>
                </c:pt>
                <c:pt idx="156">
                  <c:v>0.73659520006814305</c:v>
                </c:pt>
                <c:pt idx="157">
                  <c:v>0.77945639700262304</c:v>
                </c:pt>
                <c:pt idx="158">
                  <c:v>0.80172460645940802</c:v>
                </c:pt>
                <c:pt idx="159">
                  <c:v>0.82770535389345701</c:v>
                </c:pt>
                <c:pt idx="160">
                  <c:v>0.83328573536807404</c:v>
                </c:pt>
                <c:pt idx="161">
                  <c:v>0.84242693332144603</c:v>
                </c:pt>
                <c:pt idx="162">
                  <c:v>0.84969552344847399</c:v>
                </c:pt>
                <c:pt idx="163">
                  <c:v>0.857179510644828</c:v>
                </c:pt>
                <c:pt idx="164">
                  <c:v>0.86194484881766098</c:v>
                </c:pt>
                <c:pt idx="165">
                  <c:v>0.85986118590501603</c:v>
                </c:pt>
                <c:pt idx="166">
                  <c:v>0.86385151794480497</c:v>
                </c:pt>
                <c:pt idx="167">
                  <c:v>0.86706257478642501</c:v>
                </c:pt>
                <c:pt idx="168">
                  <c:v>0.86757651398844804</c:v>
                </c:pt>
                <c:pt idx="169">
                  <c:v>0.86699268610258795</c:v>
                </c:pt>
                <c:pt idx="170">
                  <c:v>0.86263149029192698</c:v>
                </c:pt>
                <c:pt idx="171">
                  <c:v>0.86667703318433997</c:v>
                </c:pt>
                <c:pt idx="172">
                  <c:v>0.86359363726664895</c:v>
                </c:pt>
                <c:pt idx="173">
                  <c:v>0.86164464790127304</c:v>
                </c:pt>
                <c:pt idx="174">
                  <c:v>0.86149898120906199</c:v>
                </c:pt>
                <c:pt idx="175">
                  <c:v>0.86206503233182996</c:v>
                </c:pt>
                <c:pt idx="176">
                  <c:v>0.860949991483975</c:v>
                </c:pt>
                <c:pt idx="177">
                  <c:v>0.85674301083976701</c:v>
                </c:pt>
                <c:pt idx="178">
                  <c:v>0.86685253671029205</c:v>
                </c:pt>
                <c:pt idx="179">
                  <c:v>0.87218089166133494</c:v>
                </c:pt>
                <c:pt idx="180">
                  <c:v>0.87689311836444195</c:v>
                </c:pt>
                <c:pt idx="181">
                  <c:v>0.87924845246612604</c:v>
                </c:pt>
                <c:pt idx="182">
                  <c:v>0.87972823772434805</c:v>
                </c:pt>
                <c:pt idx="183">
                  <c:v>0.87867527947872304</c:v>
                </c:pt>
                <c:pt idx="184">
                  <c:v>0.88277196382852197</c:v>
                </c:pt>
                <c:pt idx="185">
                  <c:v>0.88218707763489501</c:v>
                </c:pt>
                <c:pt idx="186">
                  <c:v>0.88373579720738604</c:v>
                </c:pt>
                <c:pt idx="187">
                  <c:v>0.89404305464504796</c:v>
                </c:pt>
                <c:pt idx="188">
                  <c:v>0.901368717727976</c:v>
                </c:pt>
                <c:pt idx="189">
                  <c:v>0.90849473192527697</c:v>
                </c:pt>
                <c:pt idx="190">
                  <c:v>0.90956903778910503</c:v>
                </c:pt>
                <c:pt idx="191">
                  <c:v>0.91022708815262099</c:v>
                </c:pt>
                <c:pt idx="192">
                  <c:v>0.90937472118440699</c:v>
                </c:pt>
                <c:pt idx="193">
                  <c:v>0.91064540219411905</c:v>
                </c:pt>
                <c:pt idx="194">
                  <c:v>0.91158266819599498</c:v>
                </c:pt>
                <c:pt idx="195">
                  <c:v>0.90761953438814802</c:v>
                </c:pt>
                <c:pt idx="196">
                  <c:v>0.897882407576026</c:v>
                </c:pt>
                <c:pt idx="197">
                  <c:v>0.87293053528058995</c:v>
                </c:pt>
                <c:pt idx="198">
                  <c:v>0.869621504284108</c:v>
                </c:pt>
                <c:pt idx="199">
                  <c:v>0.85272854060396497</c:v>
                </c:pt>
                <c:pt idx="200">
                  <c:v>0.83410886596061196</c:v>
                </c:pt>
                <c:pt idx="201">
                  <c:v>0.83272280258180598</c:v>
                </c:pt>
                <c:pt idx="202">
                  <c:v>0.83465790925400896</c:v>
                </c:pt>
                <c:pt idx="203">
                  <c:v>0.83594144307962504</c:v>
                </c:pt>
                <c:pt idx="204">
                  <c:v>0.82452454429945898</c:v>
                </c:pt>
                <c:pt idx="205">
                  <c:v>0.81681069815476703</c:v>
                </c:pt>
                <c:pt idx="206">
                  <c:v>0.797115722323958</c:v>
                </c:pt>
                <c:pt idx="207">
                  <c:v>0.79267657729187102</c:v>
                </c:pt>
                <c:pt idx="208">
                  <c:v>0.80434718302469799</c:v>
                </c:pt>
                <c:pt idx="209">
                  <c:v>0.822677979085225</c:v>
                </c:pt>
                <c:pt idx="210">
                  <c:v>0.83522930633445203</c:v>
                </c:pt>
                <c:pt idx="211">
                  <c:v>0.84335284078855699</c:v>
                </c:pt>
                <c:pt idx="212">
                  <c:v>0.85104575961407902</c:v>
                </c:pt>
                <c:pt idx="213">
                  <c:v>0.83815199821136799</c:v>
                </c:pt>
                <c:pt idx="214">
                  <c:v>0.80465272482180605</c:v>
                </c:pt>
                <c:pt idx="215">
                  <c:v>0.72784398717121201</c:v>
                </c:pt>
                <c:pt idx="216">
                  <c:v>0.66606169728518905</c:v>
                </c:pt>
                <c:pt idx="217">
                  <c:v>0.60876019264376102</c:v>
                </c:pt>
                <c:pt idx="218">
                  <c:v>0.56971534184896799</c:v>
                </c:pt>
                <c:pt idx="219">
                  <c:v>0.54643077597762901</c:v>
                </c:pt>
                <c:pt idx="220">
                  <c:v>0.53016789773398199</c:v>
                </c:pt>
                <c:pt idx="221">
                  <c:v>0.52286127756037204</c:v>
                </c:pt>
                <c:pt idx="222">
                  <c:v>0.511124576034932</c:v>
                </c:pt>
                <c:pt idx="223">
                  <c:v>0.50308887286635195</c:v>
                </c:pt>
                <c:pt idx="224">
                  <c:v>0.49540751691443902</c:v>
                </c:pt>
                <c:pt idx="225">
                  <c:v>0.48550504144476397</c:v>
                </c:pt>
                <c:pt idx="226">
                  <c:v>0.45422286310828502</c:v>
                </c:pt>
                <c:pt idx="227">
                  <c:v>0.42855881580195199</c:v>
                </c:pt>
                <c:pt idx="228">
                  <c:v>0.42344735092469299</c:v>
                </c:pt>
                <c:pt idx="229">
                  <c:v>0.41305140373476801</c:v>
                </c:pt>
                <c:pt idx="230">
                  <c:v>0.397828278059774</c:v>
                </c:pt>
                <c:pt idx="231">
                  <c:v>0.37573277234299701</c:v>
                </c:pt>
                <c:pt idx="232">
                  <c:v>0.44499484565313202</c:v>
                </c:pt>
                <c:pt idx="233">
                  <c:v>0.439459993562616</c:v>
                </c:pt>
                <c:pt idx="234">
                  <c:v>0.40655655948434299</c:v>
                </c:pt>
                <c:pt idx="235">
                  <c:v>0.34861621315410302</c:v>
                </c:pt>
                <c:pt idx="236">
                  <c:v>0.32335900178243399</c:v>
                </c:pt>
                <c:pt idx="237">
                  <c:v>0.29442763782208398</c:v>
                </c:pt>
                <c:pt idx="238">
                  <c:v>0.26926844609161898</c:v>
                </c:pt>
                <c:pt idx="239">
                  <c:v>0.25503931199582702</c:v>
                </c:pt>
                <c:pt idx="240">
                  <c:v>0.23603300328306201</c:v>
                </c:pt>
                <c:pt idx="241">
                  <c:v>0.21471629338663301</c:v>
                </c:pt>
              </c:numCache>
            </c:numRef>
          </c:val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0.93308268076162704</c:v>
                </c:pt>
                <c:pt idx="1">
                  <c:v>0.93292290844886405</c:v>
                </c:pt>
                <c:pt idx="2">
                  <c:v>0.93277602826754402</c:v>
                </c:pt>
                <c:pt idx="3">
                  <c:v>0.93274893276833903</c:v>
                </c:pt>
                <c:pt idx="4">
                  <c:v>0.93275741872656104</c:v>
                </c:pt>
                <c:pt idx="5">
                  <c:v>0.93259700289123504</c:v>
                </c:pt>
                <c:pt idx="6">
                  <c:v>0.93256772591769499</c:v>
                </c:pt>
                <c:pt idx="7">
                  <c:v>0.93268752332557203</c:v>
                </c:pt>
                <c:pt idx="8">
                  <c:v>0.932868996908779</c:v>
                </c:pt>
                <c:pt idx="9">
                  <c:v>0.93326272537698696</c:v>
                </c:pt>
                <c:pt idx="10">
                  <c:v>0.93362731980276903</c:v>
                </c:pt>
                <c:pt idx="11">
                  <c:v>0.93427708833533696</c:v>
                </c:pt>
                <c:pt idx="12">
                  <c:v>0.93491987988067704</c:v>
                </c:pt>
                <c:pt idx="13">
                  <c:v>0.93551148776742499</c:v>
                </c:pt>
                <c:pt idx="14">
                  <c:v>0.93560395978868505</c:v>
                </c:pt>
                <c:pt idx="15">
                  <c:v>0.93522394291747901</c:v>
                </c:pt>
                <c:pt idx="16">
                  <c:v>0.93369565089385798</c:v>
                </c:pt>
                <c:pt idx="17">
                  <c:v>0.93374630197686004</c:v>
                </c:pt>
                <c:pt idx="18">
                  <c:v>0.93308742568458902</c:v>
                </c:pt>
                <c:pt idx="19">
                  <c:v>0.93209406654344895</c:v>
                </c:pt>
                <c:pt idx="20">
                  <c:v>0.93224784440450603</c:v>
                </c:pt>
                <c:pt idx="21">
                  <c:v>0.93254280959423896</c:v>
                </c:pt>
                <c:pt idx="22">
                  <c:v>0.93246853310758604</c:v>
                </c:pt>
                <c:pt idx="23">
                  <c:v>0.93136954610288603</c:v>
                </c:pt>
                <c:pt idx="24">
                  <c:v>0.92965006361172797</c:v>
                </c:pt>
                <c:pt idx="25">
                  <c:v>0.92663412757916197</c:v>
                </c:pt>
                <c:pt idx="26">
                  <c:v>0.92344419312690296</c:v>
                </c:pt>
                <c:pt idx="27">
                  <c:v>0.92102341014633404</c:v>
                </c:pt>
                <c:pt idx="28">
                  <c:v>0.91938920551048198</c:v>
                </c:pt>
                <c:pt idx="29">
                  <c:v>0.91924871238162398</c:v>
                </c:pt>
                <c:pt idx="30">
                  <c:v>0.91893070897810403</c:v>
                </c:pt>
                <c:pt idx="31">
                  <c:v>0.91803220274776798</c:v>
                </c:pt>
                <c:pt idx="32">
                  <c:v>0.91242136449712197</c:v>
                </c:pt>
                <c:pt idx="33">
                  <c:v>0.90353649137574799</c:v>
                </c:pt>
                <c:pt idx="34">
                  <c:v>0.88881062652562703</c:v>
                </c:pt>
                <c:pt idx="35">
                  <c:v>0.87758541015754699</c:v>
                </c:pt>
                <c:pt idx="36">
                  <c:v>0.86725895463524205</c:v>
                </c:pt>
                <c:pt idx="37">
                  <c:v>0.86031763955681695</c:v>
                </c:pt>
                <c:pt idx="38">
                  <c:v>0.85475292556442495</c:v>
                </c:pt>
                <c:pt idx="39">
                  <c:v>0.84550657985310695</c:v>
                </c:pt>
                <c:pt idx="40">
                  <c:v>0.83963827378162403</c:v>
                </c:pt>
                <c:pt idx="41">
                  <c:v>0.83411514003193499</c:v>
                </c:pt>
                <c:pt idx="42">
                  <c:v>0.83070367419476099</c:v>
                </c:pt>
                <c:pt idx="43">
                  <c:v>0.82593175121248397</c:v>
                </c:pt>
                <c:pt idx="44">
                  <c:v>0.814827322853238</c:v>
                </c:pt>
                <c:pt idx="45">
                  <c:v>0.80774722473609695</c:v>
                </c:pt>
                <c:pt idx="46">
                  <c:v>0.80125533270270599</c:v>
                </c:pt>
                <c:pt idx="47">
                  <c:v>0.79339028713438697</c:v>
                </c:pt>
                <c:pt idx="48">
                  <c:v>0.79157594015323196</c:v>
                </c:pt>
                <c:pt idx="49">
                  <c:v>0.78530286168262697</c:v>
                </c:pt>
                <c:pt idx="50">
                  <c:v>0.78251941358951405</c:v>
                </c:pt>
                <c:pt idx="51">
                  <c:v>0.78029423619603699</c:v>
                </c:pt>
                <c:pt idx="52">
                  <c:v>0.77947891032340899</c:v>
                </c:pt>
                <c:pt idx="53">
                  <c:v>0.77773447449591404</c:v>
                </c:pt>
                <c:pt idx="54">
                  <c:v>0.776603882840736</c:v>
                </c:pt>
                <c:pt idx="55">
                  <c:v>0.77565699827148604</c:v>
                </c:pt>
                <c:pt idx="56">
                  <c:v>0.77425723430010096</c:v>
                </c:pt>
                <c:pt idx="57">
                  <c:v>0.77476558301146803</c:v>
                </c:pt>
                <c:pt idx="58">
                  <c:v>0.77509646381042596</c:v>
                </c:pt>
                <c:pt idx="59">
                  <c:v>0.77331439490345599</c:v>
                </c:pt>
                <c:pt idx="60">
                  <c:v>0.77057771761231197</c:v>
                </c:pt>
                <c:pt idx="61">
                  <c:v>0.76813872494748803</c:v>
                </c:pt>
                <c:pt idx="62">
                  <c:v>0.76463839177553605</c:v>
                </c:pt>
                <c:pt idx="63">
                  <c:v>0.76172447752230699</c:v>
                </c:pt>
                <c:pt idx="64">
                  <c:v>0.75782249729294804</c:v>
                </c:pt>
                <c:pt idx="65">
                  <c:v>0.75367008488252096</c:v>
                </c:pt>
                <c:pt idx="66">
                  <c:v>0.74941227478408901</c:v>
                </c:pt>
                <c:pt idx="67">
                  <c:v>0.74509503922342302</c:v>
                </c:pt>
                <c:pt idx="68">
                  <c:v>0.74113316667588802</c:v>
                </c:pt>
                <c:pt idx="69">
                  <c:v>0.73658905263346997</c:v>
                </c:pt>
                <c:pt idx="70">
                  <c:v>0.73233559241371704</c:v>
                </c:pt>
                <c:pt idx="71">
                  <c:v>0.72834655021745598</c:v>
                </c:pt>
                <c:pt idx="72">
                  <c:v>0.72461064665031005</c:v>
                </c:pt>
                <c:pt idx="73">
                  <c:v>0.72039899602969804</c:v>
                </c:pt>
                <c:pt idx="74">
                  <c:v>0.71562356490355195</c:v>
                </c:pt>
                <c:pt idx="75">
                  <c:v>0.70952500530796803</c:v>
                </c:pt>
                <c:pt idx="76">
                  <c:v>0.70233610969551596</c:v>
                </c:pt>
                <c:pt idx="77">
                  <c:v>0.69537837277905301</c:v>
                </c:pt>
                <c:pt idx="78">
                  <c:v>0.68828375116353702</c:v>
                </c:pt>
                <c:pt idx="79">
                  <c:v>0.68149192739402498</c:v>
                </c:pt>
                <c:pt idx="80">
                  <c:v>0.67293300943848899</c:v>
                </c:pt>
                <c:pt idx="81">
                  <c:v>0.66314206116722296</c:v>
                </c:pt>
                <c:pt idx="82">
                  <c:v>0.65210276379360999</c:v>
                </c:pt>
                <c:pt idx="83">
                  <c:v>0.63986325680463396</c:v>
                </c:pt>
                <c:pt idx="84">
                  <c:v>0.62816867880753302</c:v>
                </c:pt>
                <c:pt idx="85">
                  <c:v>0.61589301135368402</c:v>
                </c:pt>
                <c:pt idx="86">
                  <c:v>0.60307795362133398</c:v>
                </c:pt>
                <c:pt idx="87">
                  <c:v>0.58989527529054597</c:v>
                </c:pt>
                <c:pt idx="88">
                  <c:v>0.57801058073869904</c:v>
                </c:pt>
                <c:pt idx="89">
                  <c:v>0.567060829284732</c:v>
                </c:pt>
                <c:pt idx="90">
                  <c:v>0.55643142193788697</c:v>
                </c:pt>
                <c:pt idx="91">
                  <c:v>0.54914267204630596</c:v>
                </c:pt>
                <c:pt idx="92">
                  <c:v>0.54579410143611395</c:v>
                </c:pt>
                <c:pt idx="93">
                  <c:v>0.54102456435648505</c:v>
                </c:pt>
                <c:pt idx="94">
                  <c:v>0.53231538844066795</c:v>
                </c:pt>
                <c:pt idx="95">
                  <c:v>0.52599033349281898</c:v>
                </c:pt>
                <c:pt idx="96">
                  <c:v>0.52102528910199397</c:v>
                </c:pt>
                <c:pt idx="97">
                  <c:v>0.51671649006904996</c:v>
                </c:pt>
                <c:pt idx="98">
                  <c:v>0.51216009112917205</c:v>
                </c:pt>
                <c:pt idx="99">
                  <c:v>0.507950195550399</c:v>
                </c:pt>
                <c:pt idx="100">
                  <c:v>0.50310824425516198</c:v>
                </c:pt>
                <c:pt idx="101">
                  <c:v>0.49961517730678801</c:v>
                </c:pt>
                <c:pt idx="102">
                  <c:v>0.49407350307490799</c:v>
                </c:pt>
                <c:pt idx="103">
                  <c:v>0.49218403449645098</c:v>
                </c:pt>
                <c:pt idx="104">
                  <c:v>0.489665466063048</c:v>
                </c:pt>
                <c:pt idx="105">
                  <c:v>0.48791325979783201</c:v>
                </c:pt>
                <c:pt idx="106">
                  <c:v>0.48558925857240298</c:v>
                </c:pt>
                <c:pt idx="107">
                  <c:v>0.48223438171095501</c:v>
                </c:pt>
                <c:pt idx="108">
                  <c:v>0.47891309178307601</c:v>
                </c:pt>
                <c:pt idx="109">
                  <c:v>0.47577569188612301</c:v>
                </c:pt>
                <c:pt idx="110">
                  <c:v>0.47419382473869798</c:v>
                </c:pt>
                <c:pt idx="111">
                  <c:v>0.47221488511716397</c:v>
                </c:pt>
                <c:pt idx="112">
                  <c:v>0.47006599772051699</c:v>
                </c:pt>
                <c:pt idx="113">
                  <c:v>0.46852133799040901</c:v>
                </c:pt>
                <c:pt idx="114">
                  <c:v>0.467804926578754</c:v>
                </c:pt>
                <c:pt idx="115">
                  <c:v>0.46587795964765699</c:v>
                </c:pt>
                <c:pt idx="116">
                  <c:v>0.46544916708526402</c:v>
                </c:pt>
                <c:pt idx="117">
                  <c:v>0.46393815388715198</c:v>
                </c:pt>
                <c:pt idx="118">
                  <c:v>0.46174210569461099</c:v>
                </c:pt>
                <c:pt idx="119">
                  <c:v>0.46012324021574502</c:v>
                </c:pt>
                <c:pt idx="120">
                  <c:v>0.45788096021504099</c:v>
                </c:pt>
                <c:pt idx="121">
                  <c:v>0.45990752501027099</c:v>
                </c:pt>
                <c:pt idx="122">
                  <c:v>0.46016433846437899</c:v>
                </c:pt>
                <c:pt idx="123">
                  <c:v>0.457822371820575</c:v>
                </c:pt>
                <c:pt idx="124">
                  <c:v>0.45698967465920798</c:v>
                </c:pt>
                <c:pt idx="125">
                  <c:v>0.456179855790245</c:v>
                </c:pt>
                <c:pt idx="126">
                  <c:v>0.455547499193239</c:v>
                </c:pt>
                <c:pt idx="127">
                  <c:v>0.459245840591129</c:v>
                </c:pt>
                <c:pt idx="128">
                  <c:v>0.46431273798959499</c:v>
                </c:pt>
                <c:pt idx="129">
                  <c:v>0.46935294934608501</c:v>
                </c:pt>
                <c:pt idx="130">
                  <c:v>0.474010473254808</c:v>
                </c:pt>
                <c:pt idx="131">
                  <c:v>0.47690365672429802</c:v>
                </c:pt>
                <c:pt idx="132">
                  <c:v>0.48036981187243999</c:v>
                </c:pt>
                <c:pt idx="133">
                  <c:v>0.47877562903029097</c:v>
                </c:pt>
                <c:pt idx="134">
                  <c:v>0.47334965500418602</c:v>
                </c:pt>
                <c:pt idx="135">
                  <c:v>0.46997966331538799</c:v>
                </c:pt>
                <c:pt idx="136">
                  <c:v>0.46755283320880497</c:v>
                </c:pt>
                <c:pt idx="137">
                  <c:v>0.46642442059414602</c:v>
                </c:pt>
                <c:pt idx="138">
                  <c:v>0.46614147121501298</c:v>
                </c:pt>
                <c:pt idx="139">
                  <c:v>0.4712204513521</c:v>
                </c:pt>
                <c:pt idx="140">
                  <c:v>0.47517094246158897</c:v>
                </c:pt>
                <c:pt idx="141">
                  <c:v>0.48060635669455598</c:v>
                </c:pt>
                <c:pt idx="142">
                  <c:v>0.48665317705209099</c:v>
                </c:pt>
                <c:pt idx="143">
                  <c:v>0.49195264676053502</c:v>
                </c:pt>
                <c:pt idx="144">
                  <c:v>0.49630923348521599</c:v>
                </c:pt>
                <c:pt idx="145">
                  <c:v>0.50031415993401995</c:v>
                </c:pt>
                <c:pt idx="146">
                  <c:v>0.49361073787371101</c:v>
                </c:pt>
                <c:pt idx="147">
                  <c:v>0.484115026694591</c:v>
                </c:pt>
                <c:pt idx="148">
                  <c:v>0.47226153740650201</c:v>
                </c:pt>
                <c:pt idx="149">
                  <c:v>0.46092296771899699</c:v>
                </c:pt>
                <c:pt idx="150">
                  <c:v>0.45887983485977102</c:v>
                </c:pt>
                <c:pt idx="151">
                  <c:v>0.45384478898080199</c:v>
                </c:pt>
                <c:pt idx="152">
                  <c:v>0.456505951911785</c:v>
                </c:pt>
                <c:pt idx="153">
                  <c:v>0.45758737675788502</c:v>
                </c:pt>
                <c:pt idx="154">
                  <c:v>0.46724528525140002</c:v>
                </c:pt>
                <c:pt idx="155">
                  <c:v>0.46970379191512301</c:v>
                </c:pt>
                <c:pt idx="156">
                  <c:v>0.472448910621176</c:v>
                </c:pt>
                <c:pt idx="157">
                  <c:v>0.47666445482836201</c:v>
                </c:pt>
                <c:pt idx="158">
                  <c:v>0.47712693076541701</c:v>
                </c:pt>
                <c:pt idx="159">
                  <c:v>0.47860768895996297</c:v>
                </c:pt>
                <c:pt idx="160">
                  <c:v>0.476602231482742</c:v>
                </c:pt>
                <c:pt idx="161">
                  <c:v>0.47372527415149002</c:v>
                </c:pt>
                <c:pt idx="162">
                  <c:v>0.47009083722906803</c:v>
                </c:pt>
                <c:pt idx="163">
                  <c:v>0.46614983632712997</c:v>
                </c:pt>
                <c:pt idx="164">
                  <c:v>0.46104841062449398</c:v>
                </c:pt>
                <c:pt idx="165">
                  <c:v>0.45662421203356601</c:v>
                </c:pt>
                <c:pt idx="166">
                  <c:v>0.45077935325831803</c:v>
                </c:pt>
                <c:pt idx="167">
                  <c:v>0.44708610056637299</c:v>
                </c:pt>
                <c:pt idx="168">
                  <c:v>0.44435136441890999</c:v>
                </c:pt>
                <c:pt idx="169">
                  <c:v>0.44024728312929901</c:v>
                </c:pt>
                <c:pt idx="170">
                  <c:v>0.43713330113673998</c:v>
                </c:pt>
                <c:pt idx="171">
                  <c:v>0.432000291783528</c:v>
                </c:pt>
                <c:pt idx="172">
                  <c:v>0.42575194486720302</c:v>
                </c:pt>
                <c:pt idx="173">
                  <c:v>0.41891143169596401</c:v>
                </c:pt>
                <c:pt idx="174">
                  <c:v>0.41291975016309101</c:v>
                </c:pt>
                <c:pt idx="175">
                  <c:v>0.40871572336844902</c:v>
                </c:pt>
                <c:pt idx="176">
                  <c:v>0.40539227773694397</c:v>
                </c:pt>
                <c:pt idx="177">
                  <c:v>0.40212256621590498</c:v>
                </c:pt>
                <c:pt idx="178">
                  <c:v>0.398918415382786</c:v>
                </c:pt>
                <c:pt idx="179">
                  <c:v>0.39267288554298901</c:v>
                </c:pt>
                <c:pt idx="180">
                  <c:v>0.38779697467822599</c:v>
                </c:pt>
                <c:pt idx="181">
                  <c:v>0.38284015045361203</c:v>
                </c:pt>
                <c:pt idx="182">
                  <c:v>0.37881232314652502</c:v>
                </c:pt>
                <c:pt idx="183">
                  <c:v>0.375875932972904</c:v>
                </c:pt>
                <c:pt idx="184">
                  <c:v>0.372127924097441</c:v>
                </c:pt>
                <c:pt idx="185">
                  <c:v>0.36781696285419202</c:v>
                </c:pt>
                <c:pt idx="186">
                  <c:v>0.36457728831228697</c:v>
                </c:pt>
                <c:pt idx="187">
                  <c:v>0.359974233915138</c:v>
                </c:pt>
                <c:pt idx="188">
                  <c:v>0.35439917155633999</c:v>
                </c:pt>
                <c:pt idx="189">
                  <c:v>0.35102461459029699</c:v>
                </c:pt>
                <c:pt idx="190">
                  <c:v>0.34681841556190501</c:v>
                </c:pt>
                <c:pt idx="191">
                  <c:v>0.34284647587486899</c:v>
                </c:pt>
                <c:pt idx="192">
                  <c:v>0.34031649313133799</c:v>
                </c:pt>
                <c:pt idx="193">
                  <c:v>0.33745174966467001</c:v>
                </c:pt>
                <c:pt idx="194">
                  <c:v>0.33406385341549799</c:v>
                </c:pt>
                <c:pt idx="195">
                  <c:v>0.33109018101736498</c:v>
                </c:pt>
                <c:pt idx="196">
                  <c:v>0.32906425403540102</c:v>
                </c:pt>
                <c:pt idx="197">
                  <c:v>0.32718579248546198</c:v>
                </c:pt>
                <c:pt idx="198">
                  <c:v>0.32434734336708099</c:v>
                </c:pt>
                <c:pt idx="199">
                  <c:v>0.32248975603681601</c:v>
                </c:pt>
                <c:pt idx="200">
                  <c:v>0.32098584454392198</c:v>
                </c:pt>
                <c:pt idx="201">
                  <c:v>0.31881774192547202</c:v>
                </c:pt>
                <c:pt idx="202">
                  <c:v>0.316430088261548</c:v>
                </c:pt>
                <c:pt idx="203">
                  <c:v>0.31361052904220399</c:v>
                </c:pt>
                <c:pt idx="204">
                  <c:v>0.30983095836846902</c:v>
                </c:pt>
                <c:pt idx="205">
                  <c:v>0.30623278500394102</c:v>
                </c:pt>
                <c:pt idx="206">
                  <c:v>0.30159549021097498</c:v>
                </c:pt>
                <c:pt idx="207">
                  <c:v>0.29529816181887297</c:v>
                </c:pt>
                <c:pt idx="208">
                  <c:v>0.29156662820020701</c:v>
                </c:pt>
                <c:pt idx="209">
                  <c:v>0.28836353059400399</c:v>
                </c:pt>
                <c:pt idx="210">
                  <c:v>0.283592102823366</c:v>
                </c:pt>
                <c:pt idx="211">
                  <c:v>0.28039240903358398</c:v>
                </c:pt>
                <c:pt idx="212">
                  <c:v>0.28154818750985899</c:v>
                </c:pt>
                <c:pt idx="213">
                  <c:v>0.284906554944308</c:v>
                </c:pt>
                <c:pt idx="214">
                  <c:v>0.28329024025403199</c:v>
                </c:pt>
                <c:pt idx="215">
                  <c:v>0.28259404762464702</c:v>
                </c:pt>
                <c:pt idx="216">
                  <c:v>0.28102963823772498</c:v>
                </c:pt>
                <c:pt idx="217">
                  <c:v>0.280617049052798</c:v>
                </c:pt>
                <c:pt idx="218">
                  <c:v>0.27959216934463099</c:v>
                </c:pt>
                <c:pt idx="219">
                  <c:v>0.27918096564702999</c:v>
                </c:pt>
                <c:pt idx="220">
                  <c:v>0.27974855968867002</c:v>
                </c:pt>
                <c:pt idx="221">
                  <c:v>0.28036638490495402</c:v>
                </c:pt>
                <c:pt idx="222">
                  <c:v>0.28002083085172103</c:v>
                </c:pt>
                <c:pt idx="223">
                  <c:v>0.278176727902267</c:v>
                </c:pt>
                <c:pt idx="224">
                  <c:v>0.275217866707127</c:v>
                </c:pt>
                <c:pt idx="225">
                  <c:v>0.274855610157764</c:v>
                </c:pt>
                <c:pt idx="226">
                  <c:v>0.2791383829454</c:v>
                </c:pt>
                <c:pt idx="227">
                  <c:v>0.27875926530589301</c:v>
                </c:pt>
                <c:pt idx="228">
                  <c:v>0.27769051245714599</c:v>
                </c:pt>
                <c:pt idx="229">
                  <c:v>0.27261081226136902</c:v>
                </c:pt>
                <c:pt idx="230">
                  <c:v>0.26348288332015102</c:v>
                </c:pt>
                <c:pt idx="231">
                  <c:v>0.25536672534743599</c:v>
                </c:pt>
                <c:pt idx="232">
                  <c:v>0.249852342599719</c:v>
                </c:pt>
                <c:pt idx="233">
                  <c:v>0.239519246466562</c:v>
                </c:pt>
                <c:pt idx="234">
                  <c:v>0.22453458553807501</c:v>
                </c:pt>
                <c:pt idx="235">
                  <c:v>0.203786283728285</c:v>
                </c:pt>
                <c:pt idx="236">
                  <c:v>0.19262393531351299</c:v>
                </c:pt>
                <c:pt idx="237">
                  <c:v>0.179419238888569</c:v>
                </c:pt>
                <c:pt idx="238">
                  <c:v>0.17070954869594199</c:v>
                </c:pt>
                <c:pt idx="239">
                  <c:v>0.16367865955350699</c:v>
                </c:pt>
                <c:pt idx="240">
                  <c:v>0.157318591582009</c:v>
                </c:pt>
                <c:pt idx="241">
                  <c:v>0.146515217948298</c:v>
                </c:pt>
              </c:numCache>
            </c:numRef>
          </c:val>
        </c:ser>
        <c:marker val="1"/>
        <c:axId val="96361856"/>
        <c:axId val="96365184"/>
      </c:lineChart>
      <c:dateAx>
        <c:axId val="96361856"/>
        <c:scaling>
          <c:orientation val="minMax"/>
        </c:scaling>
        <c:axPos val="b"/>
        <c:numFmt formatCode="yyyy/mm/dd" sourceLinked="1"/>
        <c:tickLblPos val="nextTo"/>
        <c:crossAx val="96365184"/>
        <c:crosses val="autoZero"/>
        <c:auto val="1"/>
        <c:lblOffset val="100"/>
      </c:dateAx>
      <c:valAx>
        <c:axId val="96365184"/>
        <c:scaling>
          <c:orientation val="minMax"/>
        </c:scaling>
        <c:axPos val="l"/>
        <c:majorGridlines/>
        <c:numFmt formatCode="General" sourceLinked="1"/>
        <c:tickLblPos val="nextTo"/>
        <c:crossAx val="96361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2.4792145560752599E-2</c:v>
                </c:pt>
                <c:pt idx="1">
                  <c:v>2.13211952492036E-2</c:v>
                </c:pt>
                <c:pt idx="2">
                  <c:v>2.2207112329049001E-2</c:v>
                </c:pt>
                <c:pt idx="3">
                  <c:v>9.0222382000800499E-3</c:v>
                </c:pt>
                <c:pt idx="4">
                  <c:v>1.4590736347319199E-2</c:v>
                </c:pt>
                <c:pt idx="5">
                  <c:v>1.27879867942318E-2</c:v>
                </c:pt>
                <c:pt idx="6">
                  <c:v>1.18407692268009E-2</c:v>
                </c:pt>
                <c:pt idx="7">
                  <c:v>2.6848912255854399E-2</c:v>
                </c:pt>
                <c:pt idx="8">
                  <c:v>3.4979854187702497E-2</c:v>
                </c:pt>
                <c:pt idx="9">
                  <c:v>2.6252387624553501E-2</c:v>
                </c:pt>
                <c:pt idx="10">
                  <c:v>2.1589024735174999E-2</c:v>
                </c:pt>
                <c:pt idx="11">
                  <c:v>1.49230508505192E-2</c:v>
                </c:pt>
                <c:pt idx="12">
                  <c:v>2.5138778604518599E-2</c:v>
                </c:pt>
                <c:pt idx="13">
                  <c:v>3.9577486445580498E-2</c:v>
                </c:pt>
                <c:pt idx="14">
                  <c:v>3.9382422660561502E-2</c:v>
                </c:pt>
                <c:pt idx="15">
                  <c:v>3.6499304030880697E-2</c:v>
                </c:pt>
                <c:pt idx="16">
                  <c:v>3.6688562785285303E-2</c:v>
                </c:pt>
                <c:pt idx="17">
                  <c:v>3.7734490039338098E-2</c:v>
                </c:pt>
                <c:pt idx="18">
                  <c:v>7.4288617753124897E-2</c:v>
                </c:pt>
                <c:pt idx="19">
                  <c:v>0.26972348584068501</c:v>
                </c:pt>
                <c:pt idx="20">
                  <c:v>0.28095077348814901</c:v>
                </c:pt>
                <c:pt idx="21">
                  <c:v>0.253343226552946</c:v>
                </c:pt>
                <c:pt idx="22">
                  <c:v>0.27189403787163502</c:v>
                </c:pt>
                <c:pt idx="23">
                  <c:v>0.30023395716621998</c:v>
                </c:pt>
                <c:pt idx="24">
                  <c:v>0.32797254562553801</c:v>
                </c:pt>
                <c:pt idx="25">
                  <c:v>0.296452111161987</c:v>
                </c:pt>
                <c:pt idx="26">
                  <c:v>0.24396972395595501</c:v>
                </c:pt>
                <c:pt idx="27">
                  <c:v>4.2963295223242902E-2</c:v>
                </c:pt>
                <c:pt idx="28">
                  <c:v>9.5526778151546601E-2</c:v>
                </c:pt>
                <c:pt idx="29">
                  <c:v>0.595920602644333</c:v>
                </c:pt>
                <c:pt idx="30">
                  <c:v>0.56506647427425105</c:v>
                </c:pt>
                <c:pt idx="31">
                  <c:v>0.84597226579057705</c:v>
                </c:pt>
                <c:pt idx="32">
                  <c:v>0.96829110265787699</c:v>
                </c:pt>
                <c:pt idx="33">
                  <c:v>0.97603270906352502</c:v>
                </c:pt>
                <c:pt idx="34">
                  <c:v>0.869365558580247</c:v>
                </c:pt>
                <c:pt idx="35">
                  <c:v>0.264432014599633</c:v>
                </c:pt>
                <c:pt idx="36">
                  <c:v>0.24377866991628599</c:v>
                </c:pt>
                <c:pt idx="37">
                  <c:v>0.26239178747504599</c:v>
                </c:pt>
                <c:pt idx="38">
                  <c:v>0.23079600960653299</c:v>
                </c:pt>
                <c:pt idx="39">
                  <c:v>0.20781871201743701</c:v>
                </c:pt>
                <c:pt idx="40">
                  <c:v>0.19646671940318</c:v>
                </c:pt>
                <c:pt idx="41">
                  <c:v>0.184641018505389</c:v>
                </c:pt>
                <c:pt idx="42">
                  <c:v>0.22853806459380899</c:v>
                </c:pt>
                <c:pt idx="43">
                  <c:v>0.201694884086878</c:v>
                </c:pt>
                <c:pt idx="44">
                  <c:v>0.28781656158730501</c:v>
                </c:pt>
                <c:pt idx="45">
                  <c:v>0.21556629799825699</c:v>
                </c:pt>
                <c:pt idx="46">
                  <c:v>0.32032877412566502</c:v>
                </c:pt>
                <c:pt idx="47">
                  <c:v>0.30526865058860098</c:v>
                </c:pt>
                <c:pt idx="48">
                  <c:v>0.41172495797483899</c:v>
                </c:pt>
                <c:pt idx="49">
                  <c:v>0.31859284728008502</c:v>
                </c:pt>
                <c:pt idx="50">
                  <c:v>0.39499529070823303</c:v>
                </c:pt>
                <c:pt idx="51">
                  <c:v>0.33912624480596698</c:v>
                </c:pt>
                <c:pt idx="52">
                  <c:v>0.32087944737039698</c:v>
                </c:pt>
                <c:pt idx="53">
                  <c:v>0.40218505564565898</c:v>
                </c:pt>
                <c:pt idx="54">
                  <c:v>0.41329680771376998</c:v>
                </c:pt>
                <c:pt idx="55">
                  <c:v>0.200409198774505</c:v>
                </c:pt>
                <c:pt idx="56">
                  <c:v>0.373264810369421</c:v>
                </c:pt>
                <c:pt idx="57">
                  <c:v>0.38629853604530601</c:v>
                </c:pt>
                <c:pt idx="58">
                  <c:v>0.27565063171763099</c:v>
                </c:pt>
                <c:pt idx="59">
                  <c:v>0.12202515973958999</c:v>
                </c:pt>
                <c:pt idx="60">
                  <c:v>0.10606053982024601</c:v>
                </c:pt>
                <c:pt idx="61">
                  <c:v>0.135897152135771</c:v>
                </c:pt>
                <c:pt idx="62">
                  <c:v>0.24835141563378901</c:v>
                </c:pt>
                <c:pt idx="63">
                  <c:v>7.2340765650034198E-3</c:v>
                </c:pt>
                <c:pt idx="64">
                  <c:v>0.35195915763445601</c:v>
                </c:pt>
                <c:pt idx="65">
                  <c:v>0.30323541961057299</c:v>
                </c:pt>
                <c:pt idx="66">
                  <c:v>0.528708903624168</c:v>
                </c:pt>
                <c:pt idx="67">
                  <c:v>0.67004733360562097</c:v>
                </c:pt>
                <c:pt idx="68">
                  <c:v>0.53663134151113301</c:v>
                </c:pt>
                <c:pt idx="69">
                  <c:v>0.68382427058125494</c:v>
                </c:pt>
                <c:pt idx="70">
                  <c:v>0.71078843610542197</c:v>
                </c:pt>
                <c:pt idx="71">
                  <c:v>0.641534815998962</c:v>
                </c:pt>
                <c:pt idx="72">
                  <c:v>0.75839139351354001</c:v>
                </c:pt>
                <c:pt idx="73">
                  <c:v>0.74801016132200104</c:v>
                </c:pt>
                <c:pt idx="74">
                  <c:v>0.64765122823622501</c:v>
                </c:pt>
                <c:pt idx="75">
                  <c:v>0.53436830375838895</c:v>
                </c:pt>
                <c:pt idx="76">
                  <c:v>0.65158793668438797</c:v>
                </c:pt>
                <c:pt idx="77">
                  <c:v>0.54962501325428703</c:v>
                </c:pt>
                <c:pt idx="78">
                  <c:v>0.67417409061994804</c:v>
                </c:pt>
                <c:pt idx="79">
                  <c:v>0.49661063935738398</c:v>
                </c:pt>
                <c:pt idx="80">
                  <c:v>0.47811748154958</c:v>
                </c:pt>
                <c:pt idx="81">
                  <c:v>0.58115317927710897</c:v>
                </c:pt>
                <c:pt idx="82">
                  <c:v>0.54083230132024995</c:v>
                </c:pt>
                <c:pt idx="83">
                  <c:v>0.50233958453786498</c:v>
                </c:pt>
                <c:pt idx="84">
                  <c:v>0.55825935593876796</c:v>
                </c:pt>
                <c:pt idx="85">
                  <c:v>0.59682550854789596</c:v>
                </c:pt>
                <c:pt idx="86">
                  <c:v>0.33997678656444202</c:v>
                </c:pt>
                <c:pt idx="87">
                  <c:v>0.56368918428438297</c:v>
                </c:pt>
                <c:pt idx="88">
                  <c:v>0.35951621071807799</c:v>
                </c:pt>
                <c:pt idx="89">
                  <c:v>0.87643636350555099</c:v>
                </c:pt>
                <c:pt idx="90">
                  <c:v>0.90465991041378302</c:v>
                </c:pt>
                <c:pt idx="91">
                  <c:v>0.913856403088947</c:v>
                </c:pt>
                <c:pt idx="92">
                  <c:v>0.92707177952480202</c:v>
                </c:pt>
                <c:pt idx="93">
                  <c:v>0.92585267752520894</c:v>
                </c:pt>
                <c:pt idx="94">
                  <c:v>0.91989237227565002</c:v>
                </c:pt>
                <c:pt idx="95">
                  <c:v>0.92186544535860204</c:v>
                </c:pt>
                <c:pt idx="96">
                  <c:v>0.92381763248799098</c:v>
                </c:pt>
                <c:pt idx="97">
                  <c:v>0.942835893087969</c:v>
                </c:pt>
                <c:pt idx="98">
                  <c:v>0.95923891483935697</c:v>
                </c:pt>
                <c:pt idx="99">
                  <c:v>0.91528285137884802</c:v>
                </c:pt>
                <c:pt idx="100">
                  <c:v>0.81705362729384901</c:v>
                </c:pt>
                <c:pt idx="101">
                  <c:v>0.81844505058599104</c:v>
                </c:pt>
                <c:pt idx="102">
                  <c:v>0.80494808527432404</c:v>
                </c:pt>
                <c:pt idx="103">
                  <c:v>0.81507839282725003</c:v>
                </c:pt>
                <c:pt idx="104">
                  <c:v>0.83824699573846195</c:v>
                </c:pt>
                <c:pt idx="105">
                  <c:v>0.87242818490386898</c:v>
                </c:pt>
                <c:pt idx="106">
                  <c:v>0.91900731127900204</c:v>
                </c:pt>
                <c:pt idx="107">
                  <c:v>0.88424517317719797</c:v>
                </c:pt>
                <c:pt idx="108">
                  <c:v>0.84420386795024005</c:v>
                </c:pt>
                <c:pt idx="109">
                  <c:v>0.76793115685477398</c:v>
                </c:pt>
                <c:pt idx="110">
                  <c:v>0.75187757517031995</c:v>
                </c:pt>
                <c:pt idx="111">
                  <c:v>0.229573358828251</c:v>
                </c:pt>
                <c:pt idx="112">
                  <c:v>0.62594177341962698</c:v>
                </c:pt>
                <c:pt idx="113">
                  <c:v>0.56870922874441399</c:v>
                </c:pt>
                <c:pt idx="114">
                  <c:v>0.621559835931219</c:v>
                </c:pt>
                <c:pt idx="115">
                  <c:v>0.59415732401254995</c:v>
                </c:pt>
                <c:pt idx="116">
                  <c:v>0.59291082289541097</c:v>
                </c:pt>
                <c:pt idx="117">
                  <c:v>0.55036738799229301</c:v>
                </c:pt>
                <c:pt idx="118">
                  <c:v>0.42832859254239403</c:v>
                </c:pt>
                <c:pt idx="119">
                  <c:v>0.46928398650860598</c:v>
                </c:pt>
                <c:pt idx="120">
                  <c:v>0.47517085256253599</c:v>
                </c:pt>
                <c:pt idx="121">
                  <c:v>0.51978108431619896</c:v>
                </c:pt>
                <c:pt idx="122">
                  <c:v>0.47058081569848098</c:v>
                </c:pt>
                <c:pt idx="123">
                  <c:v>0.47187970080980401</c:v>
                </c:pt>
                <c:pt idx="124">
                  <c:v>0.47447695546867302</c:v>
                </c:pt>
                <c:pt idx="125">
                  <c:v>0.56616905439532095</c:v>
                </c:pt>
                <c:pt idx="126">
                  <c:v>0.60248826089861895</c:v>
                </c:pt>
                <c:pt idx="127">
                  <c:v>0.87866432913646397</c:v>
                </c:pt>
                <c:pt idx="128">
                  <c:v>0.83115836537381005</c:v>
                </c:pt>
                <c:pt idx="129">
                  <c:v>0.80725241792562497</c:v>
                </c:pt>
                <c:pt idx="130">
                  <c:v>0.868331026534508</c:v>
                </c:pt>
                <c:pt idx="131">
                  <c:v>0.82658702683051399</c:v>
                </c:pt>
                <c:pt idx="132">
                  <c:v>0.89875247897105104</c:v>
                </c:pt>
                <c:pt idx="133">
                  <c:v>0.74702385843250896</c:v>
                </c:pt>
                <c:pt idx="134">
                  <c:v>0.56827440326842704</c:v>
                </c:pt>
                <c:pt idx="135">
                  <c:v>0.68575007478954497</c:v>
                </c:pt>
                <c:pt idx="136">
                  <c:v>0.42819512399265702</c:v>
                </c:pt>
                <c:pt idx="137">
                  <c:v>0.54445859946766395</c:v>
                </c:pt>
                <c:pt idx="138">
                  <c:v>0.29612733156460203</c:v>
                </c:pt>
                <c:pt idx="139">
                  <c:v>0.306186061528889</c:v>
                </c:pt>
                <c:pt idx="140">
                  <c:v>9.9921571478121404E-2</c:v>
                </c:pt>
                <c:pt idx="141">
                  <c:v>0.18658392087607101</c:v>
                </c:pt>
                <c:pt idx="142">
                  <c:v>0.14371279747260399</c:v>
                </c:pt>
                <c:pt idx="143">
                  <c:v>0.138534011902197</c:v>
                </c:pt>
                <c:pt idx="144">
                  <c:v>5.4122197417584998E-2</c:v>
                </c:pt>
                <c:pt idx="145">
                  <c:v>0.30842129138669999</c:v>
                </c:pt>
                <c:pt idx="146">
                  <c:v>0.143748765445708</c:v>
                </c:pt>
                <c:pt idx="147">
                  <c:v>0.43539104399775502</c:v>
                </c:pt>
                <c:pt idx="148">
                  <c:v>0.16780366674758501</c:v>
                </c:pt>
                <c:pt idx="149">
                  <c:v>0.39406820643877899</c:v>
                </c:pt>
                <c:pt idx="150">
                  <c:v>0.25911444968749497</c:v>
                </c:pt>
                <c:pt idx="151">
                  <c:v>0.75216682267278701</c:v>
                </c:pt>
                <c:pt idx="152">
                  <c:v>0.75715105646379699</c:v>
                </c:pt>
                <c:pt idx="153">
                  <c:v>0.71055322257590103</c:v>
                </c:pt>
                <c:pt idx="154">
                  <c:v>0.57674158677020104</c:v>
                </c:pt>
                <c:pt idx="155">
                  <c:v>0.64193004215058402</c:v>
                </c:pt>
                <c:pt idx="156">
                  <c:v>0.505144844187849</c:v>
                </c:pt>
                <c:pt idx="157">
                  <c:v>0.56131979093006201</c:v>
                </c:pt>
                <c:pt idx="158">
                  <c:v>0.553086473861373</c:v>
                </c:pt>
                <c:pt idx="159">
                  <c:v>0.58019106808551302</c:v>
                </c:pt>
                <c:pt idx="160">
                  <c:v>0.66844465930353603</c:v>
                </c:pt>
                <c:pt idx="161">
                  <c:v>0.67206352561370597</c:v>
                </c:pt>
                <c:pt idx="162">
                  <c:v>0.65384390262722003</c:v>
                </c:pt>
                <c:pt idx="163">
                  <c:v>0.648367649994396</c:v>
                </c:pt>
                <c:pt idx="164">
                  <c:v>0.62273010181195199</c:v>
                </c:pt>
                <c:pt idx="165">
                  <c:v>0.62344797509926997</c:v>
                </c:pt>
                <c:pt idx="166">
                  <c:v>0.66360944266017796</c:v>
                </c:pt>
                <c:pt idx="167">
                  <c:v>0.63715077193141101</c:v>
                </c:pt>
                <c:pt idx="168">
                  <c:v>0.66573193430828703</c:v>
                </c:pt>
                <c:pt idx="169">
                  <c:v>0.59145843783098595</c:v>
                </c:pt>
                <c:pt idx="170">
                  <c:v>0.58672944688978002</c:v>
                </c:pt>
                <c:pt idx="171">
                  <c:v>0.58888331494944601</c:v>
                </c:pt>
                <c:pt idx="172">
                  <c:v>0.61012106026610202</c:v>
                </c:pt>
                <c:pt idx="173">
                  <c:v>0.70311459836488399</c:v>
                </c:pt>
                <c:pt idx="174">
                  <c:v>0.76351138235190197</c:v>
                </c:pt>
                <c:pt idx="175">
                  <c:v>0.74547585381409198</c:v>
                </c:pt>
                <c:pt idx="176">
                  <c:v>0.77269218105632198</c:v>
                </c:pt>
                <c:pt idx="177">
                  <c:v>0.65998639504752898</c:v>
                </c:pt>
                <c:pt idx="178">
                  <c:v>0.61495068770612704</c:v>
                </c:pt>
                <c:pt idx="179">
                  <c:v>0.44641042191423103</c:v>
                </c:pt>
                <c:pt idx="180">
                  <c:v>0.40304825802327598</c:v>
                </c:pt>
                <c:pt idx="181">
                  <c:v>0.339947569259341</c:v>
                </c:pt>
                <c:pt idx="182">
                  <c:v>0.441289383036717</c:v>
                </c:pt>
                <c:pt idx="183">
                  <c:v>0.33000862798285102</c:v>
                </c:pt>
                <c:pt idx="184">
                  <c:v>0.23920816221456101</c:v>
                </c:pt>
                <c:pt idx="185">
                  <c:v>0.18003594254142799</c:v>
                </c:pt>
                <c:pt idx="186">
                  <c:v>0.101188918075335</c:v>
                </c:pt>
                <c:pt idx="187">
                  <c:v>0.16183943221609401</c:v>
                </c:pt>
                <c:pt idx="188">
                  <c:v>0.13762493307236701</c:v>
                </c:pt>
                <c:pt idx="189">
                  <c:v>0.19321273146630399</c:v>
                </c:pt>
                <c:pt idx="190">
                  <c:v>0.18284639517221901</c:v>
                </c:pt>
                <c:pt idx="191">
                  <c:v>7.3672635707612802E-2</c:v>
                </c:pt>
                <c:pt idx="192">
                  <c:v>0.27053238728053902</c:v>
                </c:pt>
                <c:pt idx="193">
                  <c:v>0.27561751325085998</c:v>
                </c:pt>
                <c:pt idx="194">
                  <c:v>0.185880983615484</c:v>
                </c:pt>
                <c:pt idx="195">
                  <c:v>0.20642896938621799</c:v>
                </c:pt>
                <c:pt idx="196">
                  <c:v>1.10985167424045E-2</c:v>
                </c:pt>
                <c:pt idx="197">
                  <c:v>0.19963115678473101</c:v>
                </c:pt>
                <c:pt idx="198">
                  <c:v>0.20779444125600699</c:v>
                </c:pt>
                <c:pt idx="199">
                  <c:v>0.138288656659623</c:v>
                </c:pt>
                <c:pt idx="200">
                  <c:v>0.229144402658365</c:v>
                </c:pt>
                <c:pt idx="201">
                  <c:v>7.7351572370939703E-2</c:v>
                </c:pt>
                <c:pt idx="202">
                  <c:v>4.9645685964462997E-2</c:v>
                </c:pt>
                <c:pt idx="203">
                  <c:v>7.6821188715614303E-2</c:v>
                </c:pt>
                <c:pt idx="204">
                  <c:v>0.26582017815965803</c:v>
                </c:pt>
                <c:pt idx="205">
                  <c:v>0.47753847247120801</c:v>
                </c:pt>
                <c:pt idx="206">
                  <c:v>0.74228420584126298</c:v>
                </c:pt>
                <c:pt idx="207">
                  <c:v>0.45579265014977299</c:v>
                </c:pt>
                <c:pt idx="208">
                  <c:v>0.42687934931239702</c:v>
                </c:pt>
                <c:pt idx="209">
                  <c:v>0.21300857064550199</c:v>
                </c:pt>
                <c:pt idx="210">
                  <c:v>0.18415301694559999</c:v>
                </c:pt>
                <c:pt idx="211">
                  <c:v>0.105819196065078</c:v>
                </c:pt>
                <c:pt idx="212">
                  <c:v>0.21624438592707301</c:v>
                </c:pt>
                <c:pt idx="213">
                  <c:v>0.99191388765758703</c:v>
                </c:pt>
                <c:pt idx="214">
                  <c:v>0.993064377417743</c:v>
                </c:pt>
                <c:pt idx="215">
                  <c:v>1</c:v>
                </c:pt>
                <c:pt idx="216">
                  <c:v>1</c:v>
                </c:pt>
                <c:pt idx="217">
                  <c:v>0.97994417926381205</c:v>
                </c:pt>
                <c:pt idx="218">
                  <c:v>0.97524179362358498</c:v>
                </c:pt>
                <c:pt idx="219">
                  <c:v>0.98200442212552597</c:v>
                </c:pt>
                <c:pt idx="220">
                  <c:v>0.96381132908295397</c:v>
                </c:pt>
                <c:pt idx="221">
                  <c:v>0.961878871798587</c:v>
                </c:pt>
                <c:pt idx="222">
                  <c:v>0.98214791065400697</c:v>
                </c:pt>
                <c:pt idx="223">
                  <c:v>0.97328626435314203</c:v>
                </c:pt>
                <c:pt idx="224">
                  <c:v>0.93916898649908798</c:v>
                </c:pt>
                <c:pt idx="225">
                  <c:v>0.97494873483661104</c:v>
                </c:pt>
                <c:pt idx="226">
                  <c:v>0.97692252617545405</c:v>
                </c:pt>
                <c:pt idx="227">
                  <c:v>0.96527375377125502</c:v>
                </c:pt>
                <c:pt idx="228">
                  <c:v>0.97360803160765996</c:v>
                </c:pt>
                <c:pt idx="229">
                  <c:v>0.98733658333898699</c:v>
                </c:pt>
                <c:pt idx="230">
                  <c:v>0.98879042857536603</c:v>
                </c:pt>
                <c:pt idx="231">
                  <c:v>0.97743853863368602</c:v>
                </c:pt>
                <c:pt idx="232">
                  <c:v>0.93690524293931399</c:v>
                </c:pt>
                <c:pt idx="233">
                  <c:v>0.92407091165076305</c:v>
                </c:pt>
                <c:pt idx="234">
                  <c:v>0.897321306514136</c:v>
                </c:pt>
                <c:pt idx="235">
                  <c:v>0.84779522687424202</c:v>
                </c:pt>
                <c:pt idx="236">
                  <c:v>0.83896739250679098</c:v>
                </c:pt>
                <c:pt idx="237">
                  <c:v>0.81379113475861098</c:v>
                </c:pt>
                <c:pt idx="238">
                  <c:v>0.83065427357583899</c:v>
                </c:pt>
                <c:pt idx="239">
                  <c:v>0.87380488722689398</c:v>
                </c:pt>
                <c:pt idx="240">
                  <c:v>0.65912159707854001</c:v>
                </c:pt>
                <c:pt idx="241">
                  <c:v>0.77084294841231304</c:v>
                </c:pt>
              </c:numCache>
            </c:numRef>
          </c:val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0.136615272884343</c:v>
                </c:pt>
                <c:pt idx="1">
                  <c:v>0.134543675273053</c:v>
                </c:pt>
                <c:pt idx="2">
                  <c:v>0.13422418292183899</c:v>
                </c:pt>
                <c:pt idx="3">
                  <c:v>0.13110614751712199</c:v>
                </c:pt>
                <c:pt idx="4">
                  <c:v>0.123592095598843</c:v>
                </c:pt>
                <c:pt idx="5">
                  <c:v>0.22148044281323001</c:v>
                </c:pt>
                <c:pt idx="6">
                  <c:v>0.121042651222349</c:v>
                </c:pt>
                <c:pt idx="7">
                  <c:v>0.111779506012744</c:v>
                </c:pt>
                <c:pt idx="8">
                  <c:v>0.124799065053215</c:v>
                </c:pt>
                <c:pt idx="9">
                  <c:v>0.14092440366457701</c:v>
                </c:pt>
                <c:pt idx="10">
                  <c:v>0.15439558360307801</c:v>
                </c:pt>
                <c:pt idx="11">
                  <c:v>0.16011947688527101</c:v>
                </c:pt>
                <c:pt idx="12">
                  <c:v>0.164697431953403</c:v>
                </c:pt>
                <c:pt idx="13">
                  <c:v>0.176311629807089</c:v>
                </c:pt>
                <c:pt idx="14">
                  <c:v>0.212939559674205</c:v>
                </c:pt>
                <c:pt idx="15">
                  <c:v>0.25313616227310498</c:v>
                </c:pt>
                <c:pt idx="16">
                  <c:v>0.185956177811716</c:v>
                </c:pt>
                <c:pt idx="17">
                  <c:v>0.18782040897588201</c:v>
                </c:pt>
                <c:pt idx="18">
                  <c:v>0.13962956395338799</c:v>
                </c:pt>
                <c:pt idx="19">
                  <c:v>0.15572396418801401</c:v>
                </c:pt>
                <c:pt idx="20">
                  <c:v>7.8185546353587002E-2</c:v>
                </c:pt>
                <c:pt idx="21">
                  <c:v>5.6134310170542698E-2</c:v>
                </c:pt>
                <c:pt idx="22">
                  <c:v>7.1771568352986898E-2</c:v>
                </c:pt>
                <c:pt idx="23">
                  <c:v>0.24668323942686499</c:v>
                </c:pt>
                <c:pt idx="24">
                  <c:v>0.17970650154892001</c:v>
                </c:pt>
                <c:pt idx="25">
                  <c:v>0.15251413228784699</c:v>
                </c:pt>
                <c:pt idx="26">
                  <c:v>0.22435301931576601</c:v>
                </c:pt>
                <c:pt idx="27">
                  <c:v>0.19168692273552099</c:v>
                </c:pt>
                <c:pt idx="28">
                  <c:v>0.12871930804634901</c:v>
                </c:pt>
                <c:pt idx="29">
                  <c:v>8.4513838367470007E-2</c:v>
                </c:pt>
                <c:pt idx="30">
                  <c:v>9.9582274043316404E-2</c:v>
                </c:pt>
                <c:pt idx="31">
                  <c:v>0.41792478167047797</c:v>
                </c:pt>
                <c:pt idx="32">
                  <c:v>0.80804953653875899</c:v>
                </c:pt>
                <c:pt idx="33">
                  <c:v>0.93405453958430695</c:v>
                </c:pt>
                <c:pt idx="34">
                  <c:v>0.982536672609577</c:v>
                </c:pt>
                <c:pt idx="35">
                  <c:v>0.96580483018771501</c:v>
                </c:pt>
                <c:pt idx="36">
                  <c:v>0.96804481472404202</c:v>
                </c:pt>
                <c:pt idx="37">
                  <c:v>0.96102635410979498</c:v>
                </c:pt>
                <c:pt idx="38">
                  <c:v>0.97541913982900497</c:v>
                </c:pt>
                <c:pt idx="39">
                  <c:v>0.97442762892786905</c:v>
                </c:pt>
                <c:pt idx="40">
                  <c:v>0.95778108429505504</c:v>
                </c:pt>
                <c:pt idx="41">
                  <c:v>0.91186906893386099</c:v>
                </c:pt>
                <c:pt idx="42">
                  <c:v>0.74726301232354597</c:v>
                </c:pt>
                <c:pt idx="43">
                  <c:v>0.83798378160848297</c:v>
                </c:pt>
                <c:pt idx="44">
                  <c:v>0.98843319575307298</c:v>
                </c:pt>
                <c:pt idx="45">
                  <c:v>0.99053213871761303</c:v>
                </c:pt>
                <c:pt idx="46">
                  <c:v>0.99107703455608598</c:v>
                </c:pt>
                <c:pt idx="47">
                  <c:v>0.99289676637490198</c:v>
                </c:pt>
                <c:pt idx="48">
                  <c:v>0.992992949775377</c:v>
                </c:pt>
                <c:pt idx="49">
                  <c:v>0.99219180880973201</c:v>
                </c:pt>
                <c:pt idx="50">
                  <c:v>0.98617695073159595</c:v>
                </c:pt>
                <c:pt idx="51">
                  <c:v>0.98380356906871702</c:v>
                </c:pt>
                <c:pt idx="52">
                  <c:v>0.97506111727330302</c:v>
                </c:pt>
                <c:pt idx="53">
                  <c:v>0.973660675435573</c:v>
                </c:pt>
                <c:pt idx="54">
                  <c:v>0.96729743459381101</c:v>
                </c:pt>
                <c:pt idx="55">
                  <c:v>0.95804004411797805</c:v>
                </c:pt>
                <c:pt idx="56">
                  <c:v>0.95441166562301405</c:v>
                </c:pt>
                <c:pt idx="57">
                  <c:v>0.90892530272361904</c:v>
                </c:pt>
                <c:pt idx="58">
                  <c:v>0.89011844560859699</c:v>
                </c:pt>
                <c:pt idx="59">
                  <c:v>0.93001018294008198</c:v>
                </c:pt>
                <c:pt idx="60">
                  <c:v>0.95076950320897902</c:v>
                </c:pt>
                <c:pt idx="61">
                  <c:v>0.94513249293341595</c:v>
                </c:pt>
                <c:pt idx="62">
                  <c:v>0.94483031299993003</c:v>
                </c:pt>
                <c:pt idx="63">
                  <c:v>0.92490494810331003</c:v>
                </c:pt>
                <c:pt idx="64">
                  <c:v>0.93593047301927401</c:v>
                </c:pt>
                <c:pt idx="65">
                  <c:v>0.94944898539439704</c:v>
                </c:pt>
                <c:pt idx="66">
                  <c:v>0.94944953767164997</c:v>
                </c:pt>
                <c:pt idx="67">
                  <c:v>0.939368904853079</c:v>
                </c:pt>
                <c:pt idx="68">
                  <c:v>0.92444539245287705</c:v>
                </c:pt>
                <c:pt idx="69">
                  <c:v>0.91570254831313402</c:v>
                </c:pt>
                <c:pt idx="70">
                  <c:v>0.91060171705508997</c:v>
                </c:pt>
                <c:pt idx="71">
                  <c:v>0.87357612164933796</c:v>
                </c:pt>
                <c:pt idx="72">
                  <c:v>0.88444606532064496</c:v>
                </c:pt>
                <c:pt idx="73">
                  <c:v>0.869060866284037</c:v>
                </c:pt>
                <c:pt idx="74">
                  <c:v>0.85543979342721499</c:v>
                </c:pt>
                <c:pt idx="75">
                  <c:v>0.883484905581714</c:v>
                </c:pt>
                <c:pt idx="76">
                  <c:v>0.89002844498935296</c:v>
                </c:pt>
                <c:pt idx="77">
                  <c:v>0.87763802405371505</c:v>
                </c:pt>
                <c:pt idx="78">
                  <c:v>0.82551170632170201</c:v>
                </c:pt>
                <c:pt idx="79">
                  <c:v>0.81607099006097295</c:v>
                </c:pt>
                <c:pt idx="80">
                  <c:v>0.86888041257265303</c:v>
                </c:pt>
                <c:pt idx="81">
                  <c:v>0.86896379010898706</c:v>
                </c:pt>
                <c:pt idx="82">
                  <c:v>0.87225536389323399</c:v>
                </c:pt>
                <c:pt idx="83">
                  <c:v>0.86629979286088998</c:v>
                </c:pt>
                <c:pt idx="84">
                  <c:v>0.84497362864683101</c:v>
                </c:pt>
                <c:pt idx="85">
                  <c:v>0.85735627761984801</c:v>
                </c:pt>
                <c:pt idx="86">
                  <c:v>0.88892273595147198</c:v>
                </c:pt>
                <c:pt idx="87">
                  <c:v>0.90472687363039295</c:v>
                </c:pt>
                <c:pt idx="88">
                  <c:v>0.88192062480678102</c:v>
                </c:pt>
                <c:pt idx="89">
                  <c:v>0.85389185390424205</c:v>
                </c:pt>
                <c:pt idx="90">
                  <c:v>0.88561775444850999</c:v>
                </c:pt>
                <c:pt idx="91">
                  <c:v>0.85333486320346696</c:v>
                </c:pt>
                <c:pt idx="92">
                  <c:v>0.84128009578942897</c:v>
                </c:pt>
                <c:pt idx="93">
                  <c:v>0.74895503152985499</c:v>
                </c:pt>
                <c:pt idx="94">
                  <c:v>0.70935864592692399</c:v>
                </c:pt>
                <c:pt idx="95">
                  <c:v>0.71562652974210095</c:v>
                </c:pt>
                <c:pt idx="96">
                  <c:v>0.73401056532110198</c:v>
                </c:pt>
                <c:pt idx="97">
                  <c:v>0.73606368650312004</c:v>
                </c:pt>
                <c:pt idx="98">
                  <c:v>0.73938572665608304</c:v>
                </c:pt>
                <c:pt idx="99">
                  <c:v>0.74037081657721904</c:v>
                </c:pt>
                <c:pt idx="100">
                  <c:v>0.75358038709272701</c:v>
                </c:pt>
                <c:pt idx="101">
                  <c:v>0.73718654331611699</c:v>
                </c:pt>
                <c:pt idx="102">
                  <c:v>0.76065136209872897</c:v>
                </c:pt>
                <c:pt idx="103">
                  <c:v>0.74367882348136605</c:v>
                </c:pt>
                <c:pt idx="104">
                  <c:v>0.75141610075874199</c:v>
                </c:pt>
                <c:pt idx="105">
                  <c:v>0.80464879372819298</c:v>
                </c:pt>
                <c:pt idx="106">
                  <c:v>0.80013892045762203</c:v>
                </c:pt>
                <c:pt idx="107">
                  <c:v>0.80943220385495296</c:v>
                </c:pt>
                <c:pt idx="108">
                  <c:v>0.77828736508858098</c:v>
                </c:pt>
                <c:pt idx="109">
                  <c:v>0.77467636869659595</c:v>
                </c:pt>
                <c:pt idx="110">
                  <c:v>0.75182404694942495</c:v>
                </c:pt>
                <c:pt idx="111">
                  <c:v>0.75281190656661001</c:v>
                </c:pt>
                <c:pt idx="112">
                  <c:v>0.73390950855530002</c:v>
                </c:pt>
                <c:pt idx="113">
                  <c:v>0.75361722351164895</c:v>
                </c:pt>
                <c:pt idx="114">
                  <c:v>0.75963641930024295</c:v>
                </c:pt>
                <c:pt idx="115">
                  <c:v>0.79038671596598098</c:v>
                </c:pt>
                <c:pt idx="116">
                  <c:v>0.76126649438955096</c:v>
                </c:pt>
                <c:pt idx="117">
                  <c:v>0.75322441823137698</c:v>
                </c:pt>
                <c:pt idx="118">
                  <c:v>0.69934501928863402</c:v>
                </c:pt>
                <c:pt idx="119">
                  <c:v>0.666701240592115</c:v>
                </c:pt>
                <c:pt idx="120">
                  <c:v>0.73118645118122705</c:v>
                </c:pt>
                <c:pt idx="121">
                  <c:v>0.65393946526047397</c:v>
                </c:pt>
                <c:pt idx="122">
                  <c:v>0.65645089887983898</c:v>
                </c:pt>
                <c:pt idx="123">
                  <c:v>0.69769184229095305</c:v>
                </c:pt>
                <c:pt idx="124">
                  <c:v>0.632077089986675</c:v>
                </c:pt>
                <c:pt idx="125">
                  <c:v>0.65358650300051002</c:v>
                </c:pt>
                <c:pt idx="126">
                  <c:v>0.68494142844439898</c:v>
                </c:pt>
                <c:pt idx="127">
                  <c:v>0.70228831590556295</c:v>
                </c:pt>
                <c:pt idx="128">
                  <c:v>0.59270033311757997</c:v>
                </c:pt>
                <c:pt idx="129">
                  <c:v>0.65999707062945401</c:v>
                </c:pt>
                <c:pt idx="130">
                  <c:v>0.56736745083740103</c:v>
                </c:pt>
                <c:pt idx="131">
                  <c:v>0.60312208351978003</c:v>
                </c:pt>
                <c:pt idx="132">
                  <c:v>0.61511332964253196</c:v>
                </c:pt>
                <c:pt idx="133">
                  <c:v>0.61581735101382196</c:v>
                </c:pt>
                <c:pt idx="134">
                  <c:v>0.590055952331072</c:v>
                </c:pt>
                <c:pt idx="135">
                  <c:v>0.68964520411453101</c:v>
                </c:pt>
                <c:pt idx="136">
                  <c:v>0.64197418156562103</c:v>
                </c:pt>
                <c:pt idx="137">
                  <c:v>0.71021580472151302</c:v>
                </c:pt>
                <c:pt idx="138">
                  <c:v>0.67287625580850197</c:v>
                </c:pt>
                <c:pt idx="139">
                  <c:v>0.73141690953435801</c:v>
                </c:pt>
                <c:pt idx="140">
                  <c:v>0.73304685358148902</c:v>
                </c:pt>
                <c:pt idx="141">
                  <c:v>0.74481829898347596</c:v>
                </c:pt>
                <c:pt idx="142">
                  <c:v>0.70624886311304902</c:v>
                </c:pt>
                <c:pt idx="143">
                  <c:v>0.77200999356090805</c:v>
                </c:pt>
                <c:pt idx="144">
                  <c:v>0.77310647571039703</c:v>
                </c:pt>
                <c:pt idx="145">
                  <c:v>0.79837376999254195</c:v>
                </c:pt>
                <c:pt idx="146">
                  <c:v>0.82713056688241804</c:v>
                </c:pt>
                <c:pt idx="147">
                  <c:v>0.85586164306213597</c:v>
                </c:pt>
                <c:pt idx="148">
                  <c:v>0.85059776827607902</c:v>
                </c:pt>
                <c:pt idx="149">
                  <c:v>0.64616302460536901</c:v>
                </c:pt>
                <c:pt idx="150">
                  <c:v>0.81615855917353697</c:v>
                </c:pt>
                <c:pt idx="151">
                  <c:v>0.62185183288192902</c:v>
                </c:pt>
                <c:pt idx="152">
                  <c:v>0.81020820182558395</c:v>
                </c:pt>
                <c:pt idx="153">
                  <c:v>0.84269843462899796</c:v>
                </c:pt>
                <c:pt idx="154">
                  <c:v>0.63617288325020205</c:v>
                </c:pt>
                <c:pt idx="155">
                  <c:v>0.62464323088179696</c:v>
                </c:pt>
                <c:pt idx="156">
                  <c:v>0.63453406914509602</c:v>
                </c:pt>
                <c:pt idx="157">
                  <c:v>0.65085567389180798</c:v>
                </c:pt>
                <c:pt idx="158">
                  <c:v>0.67481161708160797</c:v>
                </c:pt>
                <c:pt idx="159">
                  <c:v>0.692710888089211</c:v>
                </c:pt>
                <c:pt idx="160">
                  <c:v>0.72949999181740499</c:v>
                </c:pt>
                <c:pt idx="161">
                  <c:v>0.73500876359602796</c:v>
                </c:pt>
                <c:pt idx="162">
                  <c:v>0.74210615927159695</c:v>
                </c:pt>
                <c:pt idx="163">
                  <c:v>0.749339407033209</c:v>
                </c:pt>
                <c:pt idx="164">
                  <c:v>0.76669777534887096</c:v>
                </c:pt>
                <c:pt idx="165">
                  <c:v>0.57144912708844797</c:v>
                </c:pt>
                <c:pt idx="166">
                  <c:v>0.60370165910389695</c:v>
                </c:pt>
                <c:pt idx="167">
                  <c:v>0.56154691970397697</c:v>
                </c:pt>
                <c:pt idx="168">
                  <c:v>0.74098078293138403</c:v>
                </c:pt>
                <c:pt idx="169">
                  <c:v>0.76908763904659305</c:v>
                </c:pt>
                <c:pt idx="170">
                  <c:v>0.56556287829340202</c:v>
                </c:pt>
                <c:pt idx="171">
                  <c:v>0.61198312745900296</c:v>
                </c:pt>
                <c:pt idx="172">
                  <c:v>0.78667123149254803</c:v>
                </c:pt>
                <c:pt idx="173">
                  <c:v>0.79604485191207097</c:v>
                </c:pt>
                <c:pt idx="174">
                  <c:v>0.784819679385658</c:v>
                </c:pt>
                <c:pt idx="175">
                  <c:v>0.77431770194528804</c:v>
                </c:pt>
                <c:pt idx="176">
                  <c:v>0.76643275484586304</c:v>
                </c:pt>
                <c:pt idx="177">
                  <c:v>0.75699646861213898</c:v>
                </c:pt>
                <c:pt idx="178">
                  <c:v>0.76632760344062101</c:v>
                </c:pt>
                <c:pt idx="179">
                  <c:v>0.81942332723805</c:v>
                </c:pt>
                <c:pt idx="180">
                  <c:v>0.77523869507368304</c:v>
                </c:pt>
                <c:pt idx="181">
                  <c:v>0.77005324032547795</c:v>
                </c:pt>
                <c:pt idx="182">
                  <c:v>0.77124239243789605</c:v>
                </c:pt>
                <c:pt idx="183">
                  <c:v>0.73951484622741404</c:v>
                </c:pt>
                <c:pt idx="184">
                  <c:v>0.73862462597044898</c:v>
                </c:pt>
                <c:pt idx="185">
                  <c:v>0.75128729151634199</c:v>
                </c:pt>
                <c:pt idx="186">
                  <c:v>0.57826308846826302</c:v>
                </c:pt>
                <c:pt idx="187">
                  <c:v>0.59859179387304495</c:v>
                </c:pt>
                <c:pt idx="188">
                  <c:v>0.59017564228923103</c:v>
                </c:pt>
                <c:pt idx="189">
                  <c:v>0.58022256769418401</c:v>
                </c:pt>
                <c:pt idx="190">
                  <c:v>0.61582387821173201</c:v>
                </c:pt>
                <c:pt idx="191">
                  <c:v>0.60901162661146402</c:v>
                </c:pt>
                <c:pt idx="192">
                  <c:v>0.73463562880634503</c:v>
                </c:pt>
                <c:pt idx="193">
                  <c:v>0.74019442943289804</c:v>
                </c:pt>
                <c:pt idx="194">
                  <c:v>0.73304780258996205</c:v>
                </c:pt>
                <c:pt idx="195">
                  <c:v>0.73471245192380397</c:v>
                </c:pt>
                <c:pt idx="196">
                  <c:v>0.71558241893936703</c:v>
                </c:pt>
                <c:pt idx="197">
                  <c:v>0.71891180736590699</c:v>
                </c:pt>
                <c:pt idx="198">
                  <c:v>0.723381723964032</c:v>
                </c:pt>
                <c:pt idx="199">
                  <c:v>0.71741521303853995</c:v>
                </c:pt>
                <c:pt idx="200">
                  <c:v>0.70645080529650905</c:v>
                </c:pt>
                <c:pt idx="201">
                  <c:v>0.68009588655142905</c:v>
                </c:pt>
                <c:pt idx="202">
                  <c:v>0.71067368959876998</c:v>
                </c:pt>
                <c:pt idx="203">
                  <c:v>0.694375639249174</c:v>
                </c:pt>
                <c:pt idx="204">
                  <c:v>0.63080104961063599</c:v>
                </c:pt>
                <c:pt idx="205">
                  <c:v>0.69091620938651599</c:v>
                </c:pt>
                <c:pt idx="206">
                  <c:v>0.70563671806158901</c:v>
                </c:pt>
                <c:pt idx="207">
                  <c:v>0.68523811350965602</c:v>
                </c:pt>
                <c:pt idx="208">
                  <c:v>0.62968204095500102</c:v>
                </c:pt>
                <c:pt idx="209">
                  <c:v>0.65926162602054295</c:v>
                </c:pt>
                <c:pt idx="210">
                  <c:v>0.67618938692581798</c:v>
                </c:pt>
                <c:pt idx="211">
                  <c:v>0.62413495893529403</c:v>
                </c:pt>
                <c:pt idx="212">
                  <c:v>0.58677170256413003</c:v>
                </c:pt>
                <c:pt idx="213">
                  <c:v>0.466528169836116</c:v>
                </c:pt>
                <c:pt idx="214">
                  <c:v>0.55310224643981298</c:v>
                </c:pt>
                <c:pt idx="215">
                  <c:v>0.55965869271229796</c:v>
                </c:pt>
                <c:pt idx="216">
                  <c:v>0.57285757220589195</c:v>
                </c:pt>
                <c:pt idx="217">
                  <c:v>0.416739371227832</c:v>
                </c:pt>
                <c:pt idx="218">
                  <c:v>0.442935145561558</c:v>
                </c:pt>
                <c:pt idx="219">
                  <c:v>0.44881789173554498</c:v>
                </c:pt>
                <c:pt idx="220">
                  <c:v>0.39769530870495301</c:v>
                </c:pt>
                <c:pt idx="221">
                  <c:v>0.48417667110529</c:v>
                </c:pt>
                <c:pt idx="222">
                  <c:v>0.49592383266029499</c:v>
                </c:pt>
                <c:pt idx="223">
                  <c:v>0.33709010690240898</c:v>
                </c:pt>
                <c:pt idx="224">
                  <c:v>0.350514621162133</c:v>
                </c:pt>
                <c:pt idx="225">
                  <c:v>0.32431547918091103</c:v>
                </c:pt>
                <c:pt idx="226">
                  <c:v>0.28964121638752099</c:v>
                </c:pt>
                <c:pt idx="227">
                  <c:v>0.20742420483601201</c:v>
                </c:pt>
                <c:pt idx="228">
                  <c:v>0.22418131588780901</c:v>
                </c:pt>
                <c:pt idx="229">
                  <c:v>0.133220931953206</c:v>
                </c:pt>
                <c:pt idx="230">
                  <c:v>0.125967609680045</c:v>
                </c:pt>
                <c:pt idx="231">
                  <c:v>0.111348413013445</c:v>
                </c:pt>
                <c:pt idx="232">
                  <c:v>7.2135299105441197E-2</c:v>
                </c:pt>
                <c:pt idx="233">
                  <c:v>5.7768476533942202E-2</c:v>
                </c:pt>
                <c:pt idx="234">
                  <c:v>0.106671131114741</c:v>
                </c:pt>
                <c:pt idx="235">
                  <c:v>9.3306462337254897E-2</c:v>
                </c:pt>
                <c:pt idx="236">
                  <c:v>0.121421823134388</c:v>
                </c:pt>
                <c:pt idx="237">
                  <c:v>0.10486969921917</c:v>
                </c:pt>
                <c:pt idx="238">
                  <c:v>0.125345768355662</c:v>
                </c:pt>
                <c:pt idx="239">
                  <c:v>0.117972814330877</c:v>
                </c:pt>
                <c:pt idx="240">
                  <c:v>0.13929821619874599</c:v>
                </c:pt>
                <c:pt idx="241">
                  <c:v>0.13316261917825301</c:v>
                </c:pt>
              </c:numCache>
            </c:numRef>
          </c:val>
        </c:ser>
        <c:marker val="1"/>
        <c:axId val="96359936"/>
        <c:axId val="127894656"/>
      </c:lineChart>
      <c:dateAx>
        <c:axId val="96359936"/>
        <c:scaling>
          <c:orientation val="minMax"/>
        </c:scaling>
        <c:axPos val="b"/>
        <c:numFmt formatCode="yyyy/mm/dd" sourceLinked="1"/>
        <c:tickLblPos val="nextTo"/>
        <c:crossAx val="127894656"/>
        <c:crosses val="autoZero"/>
        <c:auto val="1"/>
        <c:lblOffset val="100"/>
      </c:dateAx>
      <c:valAx>
        <c:axId val="127894656"/>
        <c:scaling>
          <c:orientation val="minMax"/>
        </c:scaling>
        <c:axPos val="l"/>
        <c:majorGridlines/>
        <c:numFmt formatCode="General" sourceLinked="1"/>
        <c:tickLblPos val="nextTo"/>
        <c:crossAx val="96359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41E-2"/>
          <c:w val="0.87885104561634764"/>
          <c:h val="0.79822145785874843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CLOSE_1951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2859</c:v>
                </c:pt>
                <c:pt idx="1">
                  <c:v>2865</c:v>
                </c:pt>
                <c:pt idx="2">
                  <c:v>2874</c:v>
                </c:pt>
                <c:pt idx="3">
                  <c:v>2908</c:v>
                </c:pt>
                <c:pt idx="4">
                  <c:v>2907</c:v>
                </c:pt>
                <c:pt idx="5">
                  <c:v>2883</c:v>
                </c:pt>
                <c:pt idx="6">
                  <c:v>2864</c:v>
                </c:pt>
                <c:pt idx="7">
                  <c:v>2856</c:v>
                </c:pt>
                <c:pt idx="8">
                  <c:v>2849</c:v>
                </c:pt>
                <c:pt idx="9">
                  <c:v>2877</c:v>
                </c:pt>
                <c:pt idx="10">
                  <c:v>2850</c:v>
                </c:pt>
                <c:pt idx="11">
                  <c:v>2889</c:v>
                </c:pt>
                <c:pt idx="12">
                  <c:v>2899</c:v>
                </c:pt>
                <c:pt idx="13">
                  <c:v>2845</c:v>
                </c:pt>
                <c:pt idx="14">
                  <c:v>2855</c:v>
                </c:pt>
                <c:pt idx="15">
                  <c:v>2922</c:v>
                </c:pt>
                <c:pt idx="16">
                  <c:v>2895</c:v>
                </c:pt>
                <c:pt idx="17">
                  <c:v>2900</c:v>
                </c:pt>
                <c:pt idx="18">
                  <c:v>2840</c:v>
                </c:pt>
                <c:pt idx="19">
                  <c:v>2818</c:v>
                </c:pt>
                <c:pt idx="20">
                  <c:v>2763</c:v>
                </c:pt>
                <c:pt idx="21">
                  <c:v>2789</c:v>
                </c:pt>
                <c:pt idx="22">
                  <c:v>2887</c:v>
                </c:pt>
                <c:pt idx="23">
                  <c:v>2787</c:v>
                </c:pt>
                <c:pt idx="24">
                  <c:v>2737</c:v>
                </c:pt>
                <c:pt idx="25">
                  <c:v>2757</c:v>
                </c:pt>
                <c:pt idx="26">
                  <c:v>2752</c:v>
                </c:pt>
                <c:pt idx="27">
                  <c:v>2783</c:v>
                </c:pt>
                <c:pt idx="28">
                  <c:v>2800</c:v>
                </c:pt>
                <c:pt idx="29">
                  <c:v>2755</c:v>
                </c:pt>
                <c:pt idx="30">
                  <c:v>2773</c:v>
                </c:pt>
                <c:pt idx="31">
                  <c:v>2778</c:v>
                </c:pt>
                <c:pt idx="32">
                  <c:v>2784</c:v>
                </c:pt>
                <c:pt idx="33">
                  <c:v>2744</c:v>
                </c:pt>
                <c:pt idx="34">
                  <c:v>2779</c:v>
                </c:pt>
                <c:pt idx="35">
                  <c:v>2763</c:v>
                </c:pt>
                <c:pt idx="36">
                  <c:v>2751</c:v>
                </c:pt>
                <c:pt idx="37">
                  <c:v>2721</c:v>
                </c:pt>
                <c:pt idx="38">
                  <c:v>2693</c:v>
                </c:pt>
                <c:pt idx="39">
                  <c:v>2670</c:v>
                </c:pt>
                <c:pt idx="40">
                  <c:v>2655</c:v>
                </c:pt>
                <c:pt idx="41">
                  <c:v>2637</c:v>
                </c:pt>
                <c:pt idx="42">
                  <c:v>2576</c:v>
                </c:pt>
                <c:pt idx="43">
                  <c:v>2554</c:v>
                </c:pt>
                <c:pt idx="44">
                  <c:v>2558</c:v>
                </c:pt>
                <c:pt idx="45">
                  <c:v>2554</c:v>
                </c:pt>
                <c:pt idx="46">
                  <c:v>2545</c:v>
                </c:pt>
                <c:pt idx="47">
                  <c:v>2563</c:v>
                </c:pt>
                <c:pt idx="48">
                  <c:v>2548</c:v>
                </c:pt>
                <c:pt idx="49">
                  <c:v>2629</c:v>
                </c:pt>
                <c:pt idx="50">
                  <c:v>2626</c:v>
                </c:pt>
                <c:pt idx="51">
                  <c:v>2620</c:v>
                </c:pt>
                <c:pt idx="52">
                  <c:v>2615</c:v>
                </c:pt>
                <c:pt idx="53">
                  <c:v>2646</c:v>
                </c:pt>
                <c:pt idx="54">
                  <c:v>2668</c:v>
                </c:pt>
                <c:pt idx="55">
                  <c:v>2640</c:v>
                </c:pt>
                <c:pt idx="56">
                  <c:v>2647</c:v>
                </c:pt>
                <c:pt idx="57">
                  <c:v>2658</c:v>
                </c:pt>
                <c:pt idx="58">
                  <c:v>2609</c:v>
                </c:pt>
                <c:pt idx="59">
                  <c:v>2628</c:v>
                </c:pt>
                <c:pt idx="60">
                  <c:v>2590</c:v>
                </c:pt>
                <c:pt idx="61">
                  <c:v>2613</c:v>
                </c:pt>
                <c:pt idx="62">
                  <c:v>2573</c:v>
                </c:pt>
                <c:pt idx="63">
                  <c:v>2573</c:v>
                </c:pt>
                <c:pt idx="64">
                  <c:v>2591</c:v>
                </c:pt>
                <c:pt idx="65">
                  <c:v>2555</c:v>
                </c:pt>
                <c:pt idx="66">
                  <c:v>2565</c:v>
                </c:pt>
                <c:pt idx="67">
                  <c:v>2565</c:v>
                </c:pt>
                <c:pt idx="68">
                  <c:v>2545</c:v>
                </c:pt>
                <c:pt idx="69">
                  <c:v>2564</c:v>
                </c:pt>
                <c:pt idx="70">
                  <c:v>2560</c:v>
                </c:pt>
                <c:pt idx="71">
                  <c:v>2493</c:v>
                </c:pt>
                <c:pt idx="72">
                  <c:v>2496</c:v>
                </c:pt>
                <c:pt idx="73">
                  <c:v>2470</c:v>
                </c:pt>
                <c:pt idx="74">
                  <c:v>2457</c:v>
                </c:pt>
                <c:pt idx="75">
                  <c:v>2447</c:v>
                </c:pt>
                <c:pt idx="76">
                  <c:v>2431</c:v>
                </c:pt>
                <c:pt idx="77">
                  <c:v>2404</c:v>
                </c:pt>
                <c:pt idx="78">
                  <c:v>2390</c:v>
                </c:pt>
                <c:pt idx="79">
                  <c:v>2338</c:v>
                </c:pt>
                <c:pt idx="80">
                  <c:v>2290</c:v>
                </c:pt>
                <c:pt idx="81">
                  <c:v>2337</c:v>
                </c:pt>
                <c:pt idx="82">
                  <c:v>2377</c:v>
                </c:pt>
                <c:pt idx="83">
                  <c:v>2379</c:v>
                </c:pt>
                <c:pt idx="84">
                  <c:v>2580</c:v>
                </c:pt>
                <c:pt idx="85">
                  <c:v>2566</c:v>
                </c:pt>
                <c:pt idx="86">
                  <c:v>2517</c:v>
                </c:pt>
                <c:pt idx="87">
                  <c:v>2547</c:v>
                </c:pt>
                <c:pt idx="88">
                  <c:v>2520</c:v>
                </c:pt>
                <c:pt idx="89">
                  <c:v>2552</c:v>
                </c:pt>
                <c:pt idx="90">
                  <c:v>2615</c:v>
                </c:pt>
                <c:pt idx="91">
                  <c:v>2627</c:v>
                </c:pt>
                <c:pt idx="92">
                  <c:v>2633</c:v>
                </c:pt>
                <c:pt idx="93">
                  <c:v>2606</c:v>
                </c:pt>
                <c:pt idx="94">
                  <c:v>2612</c:v>
                </c:pt>
                <c:pt idx="95">
                  <c:v>2629</c:v>
                </c:pt>
                <c:pt idx="96">
                  <c:v>2623</c:v>
                </c:pt>
                <c:pt idx="97">
                  <c:v>2605</c:v>
                </c:pt>
                <c:pt idx="98">
                  <c:v>2596</c:v>
                </c:pt>
                <c:pt idx="99">
                  <c:v>2616</c:v>
                </c:pt>
                <c:pt idx="100">
                  <c:v>2585</c:v>
                </c:pt>
                <c:pt idx="101">
                  <c:v>2666</c:v>
                </c:pt>
                <c:pt idx="102">
                  <c:v>2629</c:v>
                </c:pt>
                <c:pt idx="103">
                  <c:v>2656</c:v>
                </c:pt>
                <c:pt idx="104">
                  <c:v>2655</c:v>
                </c:pt>
                <c:pt idx="105">
                  <c:v>2655</c:v>
                </c:pt>
                <c:pt idx="106">
                  <c:v>2652</c:v>
                </c:pt>
                <c:pt idx="107">
                  <c:v>2678</c:v>
                </c:pt>
                <c:pt idx="108">
                  <c:v>2726</c:v>
                </c:pt>
                <c:pt idx="109">
                  <c:v>2728</c:v>
                </c:pt>
                <c:pt idx="110">
                  <c:v>2695</c:v>
                </c:pt>
                <c:pt idx="111">
                  <c:v>2719</c:v>
                </c:pt>
                <c:pt idx="112">
                  <c:v>2703</c:v>
                </c:pt>
                <c:pt idx="113">
                  <c:v>2682</c:v>
                </c:pt>
                <c:pt idx="114">
                  <c:v>2677</c:v>
                </c:pt>
                <c:pt idx="115">
                  <c:v>2661</c:v>
                </c:pt>
                <c:pt idx="116">
                  <c:v>2657</c:v>
                </c:pt>
                <c:pt idx="117">
                  <c:v>2652</c:v>
                </c:pt>
                <c:pt idx="118">
                  <c:v>2649</c:v>
                </c:pt>
                <c:pt idx="119">
                  <c:v>2674</c:v>
                </c:pt>
                <c:pt idx="120">
                  <c:v>2672</c:v>
                </c:pt>
                <c:pt idx="121">
                  <c:v>2658</c:v>
                </c:pt>
                <c:pt idx="122">
                  <c:v>2675</c:v>
                </c:pt>
                <c:pt idx="123">
                  <c:v>2719</c:v>
                </c:pt>
                <c:pt idx="124">
                  <c:v>2673</c:v>
                </c:pt>
                <c:pt idx="125">
                  <c:v>2687</c:v>
                </c:pt>
                <c:pt idx="126">
                  <c:v>2674</c:v>
                </c:pt>
                <c:pt idx="127">
                  <c:v>2628</c:v>
                </c:pt>
                <c:pt idx="128">
                  <c:v>2602</c:v>
                </c:pt>
                <c:pt idx="129">
                  <c:v>2581</c:v>
                </c:pt>
                <c:pt idx="130">
                  <c:v>2595</c:v>
                </c:pt>
                <c:pt idx="131">
                  <c:v>2522</c:v>
                </c:pt>
                <c:pt idx="132">
                  <c:v>2528</c:v>
                </c:pt>
                <c:pt idx="133">
                  <c:v>2553</c:v>
                </c:pt>
                <c:pt idx="134">
                  <c:v>2566</c:v>
                </c:pt>
                <c:pt idx="135">
                  <c:v>2513</c:v>
                </c:pt>
                <c:pt idx="136">
                  <c:v>2473</c:v>
                </c:pt>
                <c:pt idx="137">
                  <c:v>2455</c:v>
                </c:pt>
                <c:pt idx="138">
                  <c:v>2452</c:v>
                </c:pt>
                <c:pt idx="139">
                  <c:v>2473</c:v>
                </c:pt>
                <c:pt idx="140">
                  <c:v>2489</c:v>
                </c:pt>
                <c:pt idx="141">
                  <c:v>2464</c:v>
                </c:pt>
                <c:pt idx="142">
                  <c:v>2554</c:v>
                </c:pt>
                <c:pt idx="143">
                  <c:v>2534</c:v>
                </c:pt>
                <c:pt idx="144">
                  <c:v>2543</c:v>
                </c:pt>
                <c:pt idx="145">
                  <c:v>2600</c:v>
                </c:pt>
                <c:pt idx="146">
                  <c:v>2820</c:v>
                </c:pt>
                <c:pt idx="147">
                  <c:v>2852</c:v>
                </c:pt>
                <c:pt idx="148">
                  <c:v>2897</c:v>
                </c:pt>
                <c:pt idx="149">
                  <c:v>2904</c:v>
                </c:pt>
                <c:pt idx="150">
                  <c:v>2948</c:v>
                </c:pt>
                <c:pt idx="151">
                  <c:v>3010</c:v>
                </c:pt>
                <c:pt idx="152">
                  <c:v>3030</c:v>
                </c:pt>
                <c:pt idx="153">
                  <c:v>3040</c:v>
                </c:pt>
                <c:pt idx="154">
                  <c:v>3030</c:v>
                </c:pt>
                <c:pt idx="155">
                  <c:v>3065</c:v>
                </c:pt>
                <c:pt idx="156">
                  <c:v>3070</c:v>
                </c:pt>
                <c:pt idx="157">
                  <c:v>3050</c:v>
                </c:pt>
                <c:pt idx="158">
                  <c:v>3040</c:v>
                </c:pt>
                <c:pt idx="159">
                  <c:v>3085</c:v>
                </c:pt>
                <c:pt idx="160">
                  <c:v>3125</c:v>
                </c:pt>
                <c:pt idx="161">
                  <c:v>3120</c:v>
                </c:pt>
                <c:pt idx="162">
                  <c:v>3090</c:v>
                </c:pt>
                <c:pt idx="163">
                  <c:v>3085</c:v>
                </c:pt>
                <c:pt idx="164">
                  <c:v>3060</c:v>
                </c:pt>
                <c:pt idx="165">
                  <c:v>3090</c:v>
                </c:pt>
                <c:pt idx="166">
                  <c:v>3100</c:v>
                </c:pt>
                <c:pt idx="167">
                  <c:v>3080</c:v>
                </c:pt>
                <c:pt idx="168">
                  <c:v>3075</c:v>
                </c:pt>
                <c:pt idx="169">
                  <c:v>3055</c:v>
                </c:pt>
                <c:pt idx="170">
                  <c:v>3060</c:v>
                </c:pt>
                <c:pt idx="171">
                  <c:v>3090</c:v>
                </c:pt>
                <c:pt idx="172">
                  <c:v>3055</c:v>
                </c:pt>
                <c:pt idx="173">
                  <c:v>2954</c:v>
                </c:pt>
                <c:pt idx="174">
                  <c:v>3000</c:v>
                </c:pt>
                <c:pt idx="175">
                  <c:v>2999</c:v>
                </c:pt>
                <c:pt idx="176">
                  <c:v>2931</c:v>
                </c:pt>
                <c:pt idx="177">
                  <c:v>2970</c:v>
                </c:pt>
                <c:pt idx="178">
                  <c:v>2978</c:v>
                </c:pt>
                <c:pt idx="179">
                  <c:v>3000</c:v>
                </c:pt>
                <c:pt idx="180">
                  <c:v>2989</c:v>
                </c:pt>
                <c:pt idx="181">
                  <c:v>2981</c:v>
                </c:pt>
                <c:pt idx="182">
                  <c:v>2958</c:v>
                </c:pt>
                <c:pt idx="183">
                  <c:v>2984</c:v>
                </c:pt>
                <c:pt idx="184">
                  <c:v>3020</c:v>
                </c:pt>
                <c:pt idx="185">
                  <c:v>3005</c:v>
                </c:pt>
                <c:pt idx="186">
                  <c:v>2987</c:v>
                </c:pt>
                <c:pt idx="187">
                  <c:v>3070</c:v>
                </c:pt>
                <c:pt idx="188">
                  <c:v>3055</c:v>
                </c:pt>
                <c:pt idx="189">
                  <c:v>3010</c:v>
                </c:pt>
                <c:pt idx="190">
                  <c:v>3005</c:v>
                </c:pt>
                <c:pt idx="191">
                  <c:v>3040</c:v>
                </c:pt>
                <c:pt idx="192">
                  <c:v>3005</c:v>
                </c:pt>
                <c:pt idx="193">
                  <c:v>2954</c:v>
                </c:pt>
                <c:pt idx="194">
                  <c:v>2877</c:v>
                </c:pt>
                <c:pt idx="195">
                  <c:v>2869</c:v>
                </c:pt>
                <c:pt idx="196">
                  <c:v>2853</c:v>
                </c:pt>
                <c:pt idx="197">
                  <c:v>2875</c:v>
                </c:pt>
                <c:pt idx="198">
                  <c:v>2918</c:v>
                </c:pt>
                <c:pt idx="199">
                  <c:v>2907</c:v>
                </c:pt>
                <c:pt idx="200">
                  <c:v>2809</c:v>
                </c:pt>
                <c:pt idx="201">
                  <c:v>2773</c:v>
                </c:pt>
                <c:pt idx="202">
                  <c:v>2792</c:v>
                </c:pt>
                <c:pt idx="203">
                  <c:v>2789</c:v>
                </c:pt>
                <c:pt idx="204">
                  <c:v>2802</c:v>
                </c:pt>
                <c:pt idx="205">
                  <c:v>2719</c:v>
                </c:pt>
                <c:pt idx="206">
                  <c:v>2706</c:v>
                </c:pt>
                <c:pt idx="207">
                  <c:v>2722</c:v>
                </c:pt>
                <c:pt idx="208">
                  <c:v>2714</c:v>
                </c:pt>
                <c:pt idx="209">
                  <c:v>2737</c:v>
                </c:pt>
                <c:pt idx="210">
                  <c:v>2657</c:v>
                </c:pt>
                <c:pt idx="211">
                  <c:v>2670</c:v>
                </c:pt>
                <c:pt idx="212">
                  <c:v>2623</c:v>
                </c:pt>
                <c:pt idx="213">
                  <c:v>2652</c:v>
                </c:pt>
                <c:pt idx="214">
                  <c:v>2632</c:v>
                </c:pt>
                <c:pt idx="215">
                  <c:v>2666</c:v>
                </c:pt>
                <c:pt idx="216">
                  <c:v>2667</c:v>
                </c:pt>
                <c:pt idx="217">
                  <c:v>2658</c:v>
                </c:pt>
                <c:pt idx="218">
                  <c:v>2661</c:v>
                </c:pt>
                <c:pt idx="219">
                  <c:v>2703</c:v>
                </c:pt>
                <c:pt idx="220">
                  <c:v>2676</c:v>
                </c:pt>
                <c:pt idx="221">
                  <c:v>2636</c:v>
                </c:pt>
                <c:pt idx="222">
                  <c:v>2654</c:v>
                </c:pt>
                <c:pt idx="223">
                  <c:v>2670</c:v>
                </c:pt>
                <c:pt idx="224">
                  <c:v>2669</c:v>
                </c:pt>
                <c:pt idx="225">
                  <c:v>2649</c:v>
                </c:pt>
                <c:pt idx="226">
                  <c:v>2644</c:v>
                </c:pt>
                <c:pt idx="227">
                  <c:v>2632</c:v>
                </c:pt>
                <c:pt idx="228">
                  <c:v>2656</c:v>
                </c:pt>
                <c:pt idx="229">
                  <c:v>2558</c:v>
                </c:pt>
                <c:pt idx="230">
                  <c:v>2578</c:v>
                </c:pt>
                <c:pt idx="231">
                  <c:v>2546</c:v>
                </c:pt>
                <c:pt idx="232">
                  <c:v>2423</c:v>
                </c:pt>
                <c:pt idx="233">
                  <c:v>2334</c:v>
                </c:pt>
                <c:pt idx="234">
                  <c:v>2435</c:v>
                </c:pt>
                <c:pt idx="235">
                  <c:v>2509</c:v>
                </c:pt>
                <c:pt idx="236">
                  <c:v>2566</c:v>
                </c:pt>
                <c:pt idx="237">
                  <c:v>2580</c:v>
                </c:pt>
                <c:pt idx="238">
                  <c:v>2650</c:v>
                </c:pt>
                <c:pt idx="239">
                  <c:v>2636</c:v>
                </c:pt>
                <c:pt idx="240">
                  <c:v>2628</c:v>
                </c:pt>
                <c:pt idx="241">
                  <c:v>2573</c:v>
                </c:pt>
                <c:pt idx="242">
                  <c:v>2512</c:v>
                </c:pt>
                <c:pt idx="243">
                  <c:v>2588</c:v>
                </c:pt>
                <c:pt idx="244">
                  <c:v>2669</c:v>
                </c:pt>
                <c:pt idx="245">
                  <c:v>2673</c:v>
                </c:pt>
                <c:pt idx="246">
                  <c:v>2720</c:v>
                </c:pt>
                <c:pt idx="247">
                  <c:v>2741</c:v>
                </c:pt>
                <c:pt idx="248">
                  <c:v>2835</c:v>
                </c:pt>
                <c:pt idx="249">
                  <c:v>2860</c:v>
                </c:pt>
                <c:pt idx="250">
                  <c:v>2847</c:v>
                </c:pt>
                <c:pt idx="251">
                  <c:v>2821</c:v>
                </c:pt>
                <c:pt idx="252">
                  <c:v>2828</c:v>
                </c:pt>
                <c:pt idx="253">
                  <c:v>2842</c:v>
                </c:pt>
                <c:pt idx="254">
                  <c:v>2779</c:v>
                </c:pt>
                <c:pt idx="255">
                  <c:v>2772</c:v>
                </c:pt>
                <c:pt idx="256">
                  <c:v>2782</c:v>
                </c:pt>
                <c:pt idx="257">
                  <c:v>2812</c:v>
                </c:pt>
                <c:pt idx="258">
                  <c:v>2839</c:v>
                </c:pt>
                <c:pt idx="259">
                  <c:v>2885</c:v>
                </c:pt>
                <c:pt idx="260">
                  <c:v>2835</c:v>
                </c:pt>
                <c:pt idx="261">
                  <c:v>2866</c:v>
                </c:pt>
                <c:pt idx="262">
                  <c:v>2960</c:v>
                </c:pt>
                <c:pt idx="263">
                  <c:v>2924</c:v>
                </c:pt>
                <c:pt idx="264">
                  <c:v>2904</c:v>
                </c:pt>
                <c:pt idx="265">
                  <c:v>2902</c:v>
                </c:pt>
                <c:pt idx="266">
                  <c:v>2931</c:v>
                </c:pt>
                <c:pt idx="267">
                  <c:v>2843</c:v>
                </c:pt>
                <c:pt idx="268">
                  <c:v>2931</c:v>
                </c:pt>
                <c:pt idx="269">
                  <c:v>3045</c:v>
                </c:pt>
                <c:pt idx="270">
                  <c:v>3040</c:v>
                </c:pt>
                <c:pt idx="271">
                  <c:v>2980</c:v>
                </c:pt>
                <c:pt idx="272">
                  <c:v>2943</c:v>
                </c:pt>
                <c:pt idx="273">
                  <c:v>2970</c:v>
                </c:pt>
                <c:pt idx="274">
                  <c:v>3025</c:v>
                </c:pt>
                <c:pt idx="275">
                  <c:v>3120</c:v>
                </c:pt>
                <c:pt idx="276">
                  <c:v>3075</c:v>
                </c:pt>
                <c:pt idx="277">
                  <c:v>3120</c:v>
                </c:pt>
                <c:pt idx="278">
                  <c:v>3110</c:v>
                </c:pt>
                <c:pt idx="279">
                  <c:v>3120</c:v>
                </c:pt>
                <c:pt idx="280">
                  <c:v>3150</c:v>
                </c:pt>
                <c:pt idx="281">
                  <c:v>3090</c:v>
                </c:pt>
                <c:pt idx="282">
                  <c:v>3075</c:v>
                </c:pt>
                <c:pt idx="283">
                  <c:v>3165</c:v>
                </c:pt>
                <c:pt idx="284">
                  <c:v>3195</c:v>
                </c:pt>
                <c:pt idx="285">
                  <c:v>3325</c:v>
                </c:pt>
                <c:pt idx="286">
                  <c:v>3305</c:v>
                </c:pt>
                <c:pt idx="287">
                  <c:v>3260</c:v>
                </c:pt>
                <c:pt idx="288">
                  <c:v>3285</c:v>
                </c:pt>
                <c:pt idx="289">
                  <c:v>3265</c:v>
                </c:pt>
                <c:pt idx="290">
                  <c:v>3325</c:v>
                </c:pt>
                <c:pt idx="291">
                  <c:v>3315</c:v>
                </c:pt>
                <c:pt idx="292">
                  <c:v>3325</c:v>
                </c:pt>
                <c:pt idx="293">
                  <c:v>3245</c:v>
                </c:pt>
                <c:pt idx="294">
                  <c:v>3405</c:v>
                </c:pt>
                <c:pt idx="295">
                  <c:v>3375</c:v>
                </c:pt>
                <c:pt idx="296">
                  <c:v>3335</c:v>
                </c:pt>
                <c:pt idx="297">
                  <c:v>3305</c:v>
                </c:pt>
                <c:pt idx="298">
                  <c:v>3260</c:v>
                </c:pt>
                <c:pt idx="299">
                  <c:v>3260</c:v>
                </c:pt>
                <c:pt idx="300">
                  <c:v>3145</c:v>
                </c:pt>
                <c:pt idx="301">
                  <c:v>3140</c:v>
                </c:pt>
                <c:pt idx="302">
                  <c:v>3140</c:v>
                </c:pt>
                <c:pt idx="303">
                  <c:v>3115</c:v>
                </c:pt>
                <c:pt idx="304">
                  <c:v>3115</c:v>
                </c:pt>
                <c:pt idx="305">
                  <c:v>3105</c:v>
                </c:pt>
                <c:pt idx="306">
                  <c:v>3085</c:v>
                </c:pt>
                <c:pt idx="307">
                  <c:v>3075</c:v>
                </c:pt>
                <c:pt idx="308">
                  <c:v>3065</c:v>
                </c:pt>
                <c:pt idx="309">
                  <c:v>3125</c:v>
                </c:pt>
                <c:pt idx="310">
                  <c:v>3110</c:v>
                </c:pt>
                <c:pt idx="311">
                  <c:v>3100</c:v>
                </c:pt>
                <c:pt idx="312">
                  <c:v>2984</c:v>
                </c:pt>
                <c:pt idx="313">
                  <c:v>2970</c:v>
                </c:pt>
                <c:pt idx="314">
                  <c:v>2979</c:v>
                </c:pt>
                <c:pt idx="315">
                  <c:v>2956</c:v>
                </c:pt>
                <c:pt idx="316">
                  <c:v>2912</c:v>
                </c:pt>
                <c:pt idx="317">
                  <c:v>2871</c:v>
                </c:pt>
                <c:pt idx="318">
                  <c:v>2916</c:v>
                </c:pt>
                <c:pt idx="319">
                  <c:v>2917</c:v>
                </c:pt>
                <c:pt idx="320">
                  <c:v>2920</c:v>
                </c:pt>
                <c:pt idx="321">
                  <c:v>2954</c:v>
                </c:pt>
                <c:pt idx="322">
                  <c:v>2957</c:v>
                </c:pt>
                <c:pt idx="323">
                  <c:v>3025</c:v>
                </c:pt>
                <c:pt idx="324">
                  <c:v>2934</c:v>
                </c:pt>
                <c:pt idx="325">
                  <c:v>2984</c:v>
                </c:pt>
                <c:pt idx="326">
                  <c:v>2976</c:v>
                </c:pt>
                <c:pt idx="327">
                  <c:v>3010</c:v>
                </c:pt>
                <c:pt idx="328">
                  <c:v>3025</c:v>
                </c:pt>
                <c:pt idx="329">
                  <c:v>2954</c:v>
                </c:pt>
                <c:pt idx="330">
                  <c:v>3015</c:v>
                </c:pt>
                <c:pt idx="331">
                  <c:v>2985</c:v>
                </c:pt>
                <c:pt idx="332">
                  <c:v>2990</c:v>
                </c:pt>
                <c:pt idx="333">
                  <c:v>3025</c:v>
                </c:pt>
                <c:pt idx="334">
                  <c:v>3160</c:v>
                </c:pt>
                <c:pt idx="335">
                  <c:v>3155</c:v>
                </c:pt>
                <c:pt idx="336">
                  <c:v>3150</c:v>
                </c:pt>
                <c:pt idx="337">
                  <c:v>2976</c:v>
                </c:pt>
                <c:pt idx="338">
                  <c:v>2974</c:v>
                </c:pt>
                <c:pt idx="339">
                  <c:v>2948</c:v>
                </c:pt>
                <c:pt idx="340">
                  <c:v>2981</c:v>
                </c:pt>
                <c:pt idx="341">
                  <c:v>2948</c:v>
                </c:pt>
                <c:pt idx="342">
                  <c:v>2959</c:v>
                </c:pt>
                <c:pt idx="343">
                  <c:v>2960</c:v>
                </c:pt>
                <c:pt idx="344">
                  <c:v>2935</c:v>
                </c:pt>
                <c:pt idx="345">
                  <c:v>2929</c:v>
                </c:pt>
                <c:pt idx="346">
                  <c:v>2887</c:v>
                </c:pt>
                <c:pt idx="347">
                  <c:v>2905</c:v>
                </c:pt>
                <c:pt idx="348">
                  <c:v>2929</c:v>
                </c:pt>
                <c:pt idx="349">
                  <c:v>2858</c:v>
                </c:pt>
                <c:pt idx="350">
                  <c:v>2831</c:v>
                </c:pt>
                <c:pt idx="351">
                  <c:v>2849</c:v>
                </c:pt>
                <c:pt idx="352">
                  <c:v>2818</c:v>
                </c:pt>
                <c:pt idx="353">
                  <c:v>2827</c:v>
                </c:pt>
                <c:pt idx="354">
                  <c:v>2909</c:v>
                </c:pt>
                <c:pt idx="355">
                  <c:v>2908</c:v>
                </c:pt>
                <c:pt idx="356">
                  <c:v>2962</c:v>
                </c:pt>
                <c:pt idx="357">
                  <c:v>2951</c:v>
                </c:pt>
                <c:pt idx="358">
                  <c:v>2999</c:v>
                </c:pt>
                <c:pt idx="359">
                  <c:v>3035</c:v>
                </c:pt>
                <c:pt idx="360">
                  <c:v>3025</c:v>
                </c:pt>
                <c:pt idx="361">
                  <c:v>2986</c:v>
                </c:pt>
                <c:pt idx="362">
                  <c:v>2999</c:v>
                </c:pt>
                <c:pt idx="363">
                  <c:v>3020</c:v>
                </c:pt>
                <c:pt idx="364">
                  <c:v>2974</c:v>
                </c:pt>
                <c:pt idx="365">
                  <c:v>2974</c:v>
                </c:pt>
                <c:pt idx="366">
                  <c:v>2988</c:v>
                </c:pt>
                <c:pt idx="367">
                  <c:v>2959</c:v>
                </c:pt>
                <c:pt idx="368">
                  <c:v>2937</c:v>
                </c:pt>
                <c:pt idx="369">
                  <c:v>2917</c:v>
                </c:pt>
                <c:pt idx="370">
                  <c:v>2919</c:v>
                </c:pt>
                <c:pt idx="371">
                  <c:v>2896</c:v>
                </c:pt>
                <c:pt idx="372">
                  <c:v>2912</c:v>
                </c:pt>
                <c:pt idx="373">
                  <c:v>2943</c:v>
                </c:pt>
                <c:pt idx="374">
                  <c:v>2867</c:v>
                </c:pt>
                <c:pt idx="375">
                  <c:v>2850</c:v>
                </c:pt>
                <c:pt idx="376">
                  <c:v>2877</c:v>
                </c:pt>
                <c:pt idx="377">
                  <c:v>2932</c:v>
                </c:pt>
                <c:pt idx="378">
                  <c:v>2891</c:v>
                </c:pt>
                <c:pt idx="379">
                  <c:v>2872</c:v>
                </c:pt>
                <c:pt idx="380">
                  <c:v>2870</c:v>
                </c:pt>
                <c:pt idx="381">
                  <c:v>2881</c:v>
                </c:pt>
                <c:pt idx="382">
                  <c:v>2921</c:v>
                </c:pt>
                <c:pt idx="383">
                  <c:v>2937</c:v>
                </c:pt>
                <c:pt idx="384">
                  <c:v>2941</c:v>
                </c:pt>
                <c:pt idx="385">
                  <c:v>2936</c:v>
                </c:pt>
                <c:pt idx="386">
                  <c:v>2920</c:v>
                </c:pt>
                <c:pt idx="387">
                  <c:v>2915</c:v>
                </c:pt>
                <c:pt idx="388">
                  <c:v>2969</c:v>
                </c:pt>
                <c:pt idx="389">
                  <c:v>2919</c:v>
                </c:pt>
                <c:pt idx="390">
                  <c:v>2969</c:v>
                </c:pt>
                <c:pt idx="391">
                  <c:v>2822</c:v>
                </c:pt>
                <c:pt idx="392">
                  <c:v>2773</c:v>
                </c:pt>
                <c:pt idx="393">
                  <c:v>2818</c:v>
                </c:pt>
                <c:pt idx="394">
                  <c:v>2815</c:v>
                </c:pt>
                <c:pt idx="395">
                  <c:v>2794</c:v>
                </c:pt>
                <c:pt idx="396">
                  <c:v>2850</c:v>
                </c:pt>
                <c:pt idx="397">
                  <c:v>2825</c:v>
                </c:pt>
                <c:pt idx="398">
                  <c:v>2856</c:v>
                </c:pt>
                <c:pt idx="399">
                  <c:v>2804</c:v>
                </c:pt>
                <c:pt idx="400">
                  <c:v>2777</c:v>
                </c:pt>
                <c:pt idx="401">
                  <c:v>2789</c:v>
                </c:pt>
                <c:pt idx="402">
                  <c:v>2787</c:v>
                </c:pt>
                <c:pt idx="403">
                  <c:v>2826</c:v>
                </c:pt>
                <c:pt idx="404">
                  <c:v>2818</c:v>
                </c:pt>
                <c:pt idx="405">
                  <c:v>2779</c:v>
                </c:pt>
                <c:pt idx="406">
                  <c:v>2764</c:v>
                </c:pt>
                <c:pt idx="407">
                  <c:v>2765</c:v>
                </c:pt>
                <c:pt idx="408">
                  <c:v>2785</c:v>
                </c:pt>
                <c:pt idx="409">
                  <c:v>2853</c:v>
                </c:pt>
                <c:pt idx="410">
                  <c:v>2831</c:v>
                </c:pt>
                <c:pt idx="411">
                  <c:v>2728</c:v>
                </c:pt>
                <c:pt idx="412">
                  <c:v>2716</c:v>
                </c:pt>
                <c:pt idx="413">
                  <c:v>2753</c:v>
                </c:pt>
                <c:pt idx="414">
                  <c:v>2768</c:v>
                </c:pt>
                <c:pt idx="415">
                  <c:v>2796</c:v>
                </c:pt>
                <c:pt idx="416">
                  <c:v>2846</c:v>
                </c:pt>
                <c:pt idx="417">
                  <c:v>2805</c:v>
                </c:pt>
                <c:pt idx="418">
                  <c:v>2691</c:v>
                </c:pt>
                <c:pt idx="419">
                  <c:v>2743</c:v>
                </c:pt>
                <c:pt idx="420">
                  <c:v>2650</c:v>
                </c:pt>
                <c:pt idx="421">
                  <c:v>2630</c:v>
                </c:pt>
                <c:pt idx="422">
                  <c:v>2685</c:v>
                </c:pt>
                <c:pt idx="423">
                  <c:v>2678</c:v>
                </c:pt>
                <c:pt idx="424">
                  <c:v>2666</c:v>
                </c:pt>
                <c:pt idx="425">
                  <c:v>2669</c:v>
                </c:pt>
                <c:pt idx="426">
                  <c:v>2693</c:v>
                </c:pt>
                <c:pt idx="427">
                  <c:v>2694</c:v>
                </c:pt>
                <c:pt idx="428">
                  <c:v>2699</c:v>
                </c:pt>
                <c:pt idx="429">
                  <c:v>2706</c:v>
                </c:pt>
                <c:pt idx="430">
                  <c:v>2750</c:v>
                </c:pt>
                <c:pt idx="431">
                  <c:v>2721</c:v>
                </c:pt>
                <c:pt idx="432">
                  <c:v>2767</c:v>
                </c:pt>
                <c:pt idx="433">
                  <c:v>2771</c:v>
                </c:pt>
                <c:pt idx="434">
                  <c:v>2741</c:v>
                </c:pt>
                <c:pt idx="435">
                  <c:v>2718</c:v>
                </c:pt>
                <c:pt idx="436">
                  <c:v>2789</c:v>
                </c:pt>
                <c:pt idx="437">
                  <c:v>2859</c:v>
                </c:pt>
                <c:pt idx="438">
                  <c:v>2910</c:v>
                </c:pt>
                <c:pt idx="439">
                  <c:v>2881</c:v>
                </c:pt>
                <c:pt idx="440">
                  <c:v>2854</c:v>
                </c:pt>
                <c:pt idx="441">
                  <c:v>2827</c:v>
                </c:pt>
                <c:pt idx="442">
                  <c:v>2864</c:v>
                </c:pt>
                <c:pt idx="443">
                  <c:v>2842</c:v>
                </c:pt>
                <c:pt idx="444">
                  <c:v>2838</c:v>
                </c:pt>
                <c:pt idx="445">
                  <c:v>2741</c:v>
                </c:pt>
                <c:pt idx="446">
                  <c:v>2692</c:v>
                </c:pt>
                <c:pt idx="447">
                  <c:v>2697</c:v>
                </c:pt>
                <c:pt idx="448">
                  <c:v>2671</c:v>
                </c:pt>
                <c:pt idx="449">
                  <c:v>2685</c:v>
                </c:pt>
                <c:pt idx="450">
                  <c:v>2739</c:v>
                </c:pt>
                <c:pt idx="451">
                  <c:v>2664</c:v>
                </c:pt>
                <c:pt idx="452">
                  <c:v>2610</c:v>
                </c:pt>
                <c:pt idx="453">
                  <c:v>2795</c:v>
                </c:pt>
                <c:pt idx="454">
                  <c:v>2900</c:v>
                </c:pt>
                <c:pt idx="455">
                  <c:v>2940</c:v>
                </c:pt>
                <c:pt idx="456">
                  <c:v>2828</c:v>
                </c:pt>
                <c:pt idx="457">
                  <c:v>2842</c:v>
                </c:pt>
                <c:pt idx="458">
                  <c:v>2942</c:v>
                </c:pt>
                <c:pt idx="459">
                  <c:v>2900</c:v>
                </c:pt>
                <c:pt idx="460">
                  <c:v>2883</c:v>
                </c:pt>
                <c:pt idx="461">
                  <c:v>2921</c:v>
                </c:pt>
                <c:pt idx="462">
                  <c:v>2935</c:v>
                </c:pt>
                <c:pt idx="463">
                  <c:v>2948</c:v>
                </c:pt>
                <c:pt idx="464">
                  <c:v>2964</c:v>
                </c:pt>
                <c:pt idx="465">
                  <c:v>2910</c:v>
                </c:pt>
                <c:pt idx="466">
                  <c:v>2973</c:v>
                </c:pt>
                <c:pt idx="467">
                  <c:v>3050</c:v>
                </c:pt>
                <c:pt idx="468">
                  <c:v>3015</c:v>
                </c:pt>
                <c:pt idx="469">
                  <c:v>2972</c:v>
                </c:pt>
                <c:pt idx="470">
                  <c:v>2936</c:v>
                </c:pt>
                <c:pt idx="471">
                  <c:v>2954</c:v>
                </c:pt>
                <c:pt idx="472">
                  <c:v>2993</c:v>
                </c:pt>
                <c:pt idx="473">
                  <c:v>3000</c:v>
                </c:pt>
                <c:pt idx="474">
                  <c:v>2994</c:v>
                </c:pt>
                <c:pt idx="475">
                  <c:v>2917</c:v>
                </c:pt>
                <c:pt idx="476">
                  <c:v>2929</c:v>
                </c:pt>
                <c:pt idx="477">
                  <c:v>3010</c:v>
                </c:pt>
                <c:pt idx="478">
                  <c:v>2987</c:v>
                </c:pt>
                <c:pt idx="479">
                  <c:v>2988</c:v>
                </c:pt>
                <c:pt idx="480">
                  <c:v>2947</c:v>
                </c:pt>
                <c:pt idx="481">
                  <c:v>2926</c:v>
                </c:pt>
                <c:pt idx="482">
                  <c:v>2917</c:v>
                </c:pt>
                <c:pt idx="483">
                  <c:v>2868</c:v>
                </c:pt>
                <c:pt idx="484">
                  <c:v>2837</c:v>
                </c:pt>
                <c:pt idx="485">
                  <c:v>2861</c:v>
                </c:pt>
                <c:pt idx="486">
                  <c:v>2724</c:v>
                </c:pt>
                <c:pt idx="487">
                  <c:v>2623</c:v>
                </c:pt>
                <c:pt idx="488">
                  <c:v>2634</c:v>
                </c:pt>
                <c:pt idx="489">
                  <c:v>2634</c:v>
                </c:pt>
                <c:pt idx="490">
                  <c:v>2658</c:v>
                </c:pt>
                <c:pt idx="491">
                  <c:v>2631</c:v>
                </c:pt>
                <c:pt idx="492">
                  <c:v>2605</c:v>
                </c:pt>
                <c:pt idx="493">
                  <c:v>2662</c:v>
                </c:pt>
                <c:pt idx="494">
                  <c:v>2678</c:v>
                </c:pt>
                <c:pt idx="495">
                  <c:v>2671</c:v>
                </c:pt>
                <c:pt idx="496">
                  <c:v>2698</c:v>
                </c:pt>
                <c:pt idx="497">
                  <c:v>2658</c:v>
                </c:pt>
                <c:pt idx="498">
                  <c:v>2609</c:v>
                </c:pt>
                <c:pt idx="499">
                  <c:v>2629</c:v>
                </c:pt>
                <c:pt idx="500">
                  <c:v>2665</c:v>
                </c:pt>
                <c:pt idx="501">
                  <c:v>2649</c:v>
                </c:pt>
                <c:pt idx="502">
                  <c:v>2599</c:v>
                </c:pt>
                <c:pt idx="503">
                  <c:v>2580</c:v>
                </c:pt>
                <c:pt idx="504">
                  <c:v>2529</c:v>
                </c:pt>
                <c:pt idx="505">
                  <c:v>2497</c:v>
                </c:pt>
                <c:pt idx="506">
                  <c:v>2465</c:v>
                </c:pt>
                <c:pt idx="507">
                  <c:v>2526</c:v>
                </c:pt>
                <c:pt idx="508">
                  <c:v>2502</c:v>
                </c:pt>
                <c:pt idx="509">
                  <c:v>2393</c:v>
                </c:pt>
                <c:pt idx="510">
                  <c:v>2413</c:v>
                </c:pt>
                <c:pt idx="511">
                  <c:v>2416</c:v>
                </c:pt>
                <c:pt idx="512">
                  <c:v>2452</c:v>
                </c:pt>
                <c:pt idx="513">
                  <c:v>2504</c:v>
                </c:pt>
                <c:pt idx="514">
                  <c:v>2493</c:v>
                </c:pt>
                <c:pt idx="515">
                  <c:v>2508</c:v>
                </c:pt>
                <c:pt idx="516">
                  <c:v>2461</c:v>
                </c:pt>
                <c:pt idx="517">
                  <c:v>2429</c:v>
                </c:pt>
                <c:pt idx="518">
                  <c:v>2402</c:v>
                </c:pt>
                <c:pt idx="519">
                  <c:v>2403</c:v>
                </c:pt>
                <c:pt idx="520">
                  <c:v>2411</c:v>
                </c:pt>
                <c:pt idx="521">
                  <c:v>2397</c:v>
                </c:pt>
                <c:pt idx="522">
                  <c:v>2357</c:v>
                </c:pt>
                <c:pt idx="523">
                  <c:v>2369</c:v>
                </c:pt>
                <c:pt idx="524">
                  <c:v>2358</c:v>
                </c:pt>
                <c:pt idx="525">
                  <c:v>2385</c:v>
                </c:pt>
                <c:pt idx="526">
                  <c:v>2440</c:v>
                </c:pt>
                <c:pt idx="527">
                  <c:v>2440</c:v>
                </c:pt>
                <c:pt idx="528">
                  <c:v>2435</c:v>
                </c:pt>
                <c:pt idx="529">
                  <c:v>2378</c:v>
                </c:pt>
                <c:pt idx="530">
                  <c:v>2351</c:v>
                </c:pt>
                <c:pt idx="531">
                  <c:v>2314</c:v>
                </c:pt>
                <c:pt idx="532">
                  <c:v>2206</c:v>
                </c:pt>
                <c:pt idx="533">
                  <c:v>2224</c:v>
                </c:pt>
                <c:pt idx="534">
                  <c:v>2220</c:v>
                </c:pt>
                <c:pt idx="535">
                  <c:v>2227</c:v>
                </c:pt>
                <c:pt idx="536">
                  <c:v>2209</c:v>
                </c:pt>
                <c:pt idx="537">
                  <c:v>2235</c:v>
                </c:pt>
                <c:pt idx="538">
                  <c:v>2211</c:v>
                </c:pt>
                <c:pt idx="539">
                  <c:v>2195</c:v>
                </c:pt>
                <c:pt idx="540">
                  <c:v>2202</c:v>
                </c:pt>
                <c:pt idx="541">
                  <c:v>2197</c:v>
                </c:pt>
                <c:pt idx="542">
                  <c:v>2196</c:v>
                </c:pt>
                <c:pt idx="543">
                  <c:v>2156</c:v>
                </c:pt>
                <c:pt idx="544">
                  <c:v>2122</c:v>
                </c:pt>
                <c:pt idx="545">
                  <c:v>2091</c:v>
                </c:pt>
                <c:pt idx="546">
                  <c:v>2042</c:v>
                </c:pt>
                <c:pt idx="547">
                  <c:v>2044</c:v>
                </c:pt>
                <c:pt idx="548">
                  <c:v>2058</c:v>
                </c:pt>
                <c:pt idx="549">
                  <c:v>2064</c:v>
                </c:pt>
                <c:pt idx="550">
                  <c:v>2090</c:v>
                </c:pt>
                <c:pt idx="551">
                  <c:v>2057</c:v>
                </c:pt>
                <c:pt idx="552">
                  <c:v>2070</c:v>
                </c:pt>
                <c:pt idx="553">
                  <c:v>2066</c:v>
                </c:pt>
                <c:pt idx="554">
                  <c:v>2080</c:v>
                </c:pt>
                <c:pt idx="555">
                  <c:v>2085</c:v>
                </c:pt>
                <c:pt idx="556">
                  <c:v>2102</c:v>
                </c:pt>
                <c:pt idx="557">
                  <c:v>2070</c:v>
                </c:pt>
                <c:pt idx="558">
                  <c:v>2062</c:v>
                </c:pt>
                <c:pt idx="559">
                  <c:v>2029</c:v>
                </c:pt>
                <c:pt idx="560">
                  <c:v>2032</c:v>
                </c:pt>
                <c:pt idx="561">
                  <c:v>2013</c:v>
                </c:pt>
                <c:pt idx="562">
                  <c:v>2024</c:v>
                </c:pt>
                <c:pt idx="563">
                  <c:v>2049</c:v>
                </c:pt>
                <c:pt idx="564">
                  <c:v>2027</c:v>
                </c:pt>
                <c:pt idx="565">
                  <c:v>2044</c:v>
                </c:pt>
                <c:pt idx="566">
                  <c:v>2023</c:v>
                </c:pt>
                <c:pt idx="567">
                  <c:v>2043</c:v>
                </c:pt>
                <c:pt idx="568">
                  <c:v>2043</c:v>
                </c:pt>
                <c:pt idx="569">
                  <c:v>2054</c:v>
                </c:pt>
                <c:pt idx="570">
                  <c:v>2079</c:v>
                </c:pt>
                <c:pt idx="571">
                  <c:v>2094</c:v>
                </c:pt>
                <c:pt idx="572">
                  <c:v>2048</c:v>
                </c:pt>
                <c:pt idx="573">
                  <c:v>2037</c:v>
                </c:pt>
                <c:pt idx="574">
                  <c:v>2044</c:v>
                </c:pt>
                <c:pt idx="575">
                  <c:v>1946</c:v>
                </c:pt>
                <c:pt idx="576">
                  <c:v>1949</c:v>
                </c:pt>
                <c:pt idx="577">
                  <c:v>1944</c:v>
                </c:pt>
                <c:pt idx="578">
                  <c:v>1922</c:v>
                </c:pt>
                <c:pt idx="579">
                  <c:v>1884</c:v>
                </c:pt>
                <c:pt idx="580">
                  <c:v>1894</c:v>
                </c:pt>
                <c:pt idx="581">
                  <c:v>1896</c:v>
                </c:pt>
                <c:pt idx="582">
                  <c:v>1868</c:v>
                </c:pt>
                <c:pt idx="583">
                  <c:v>1865</c:v>
                </c:pt>
                <c:pt idx="584">
                  <c:v>1886</c:v>
                </c:pt>
                <c:pt idx="585">
                  <c:v>1908</c:v>
                </c:pt>
                <c:pt idx="586">
                  <c:v>1920</c:v>
                </c:pt>
                <c:pt idx="587">
                  <c:v>1917</c:v>
                </c:pt>
                <c:pt idx="588">
                  <c:v>1897</c:v>
                </c:pt>
                <c:pt idx="589">
                  <c:v>1890</c:v>
                </c:pt>
                <c:pt idx="590">
                  <c:v>1884</c:v>
                </c:pt>
                <c:pt idx="591">
                  <c:v>1885</c:v>
                </c:pt>
                <c:pt idx="592">
                  <c:v>1904</c:v>
                </c:pt>
                <c:pt idx="593">
                  <c:v>1856</c:v>
                </c:pt>
                <c:pt idx="594">
                  <c:v>1878</c:v>
                </c:pt>
                <c:pt idx="595">
                  <c:v>1903</c:v>
                </c:pt>
                <c:pt idx="596">
                  <c:v>1896</c:v>
                </c:pt>
                <c:pt idx="597">
                  <c:v>1881</c:v>
                </c:pt>
                <c:pt idx="598">
                  <c:v>1892</c:v>
                </c:pt>
                <c:pt idx="599">
                  <c:v>1889</c:v>
                </c:pt>
                <c:pt idx="600">
                  <c:v>1915</c:v>
                </c:pt>
                <c:pt idx="601">
                  <c:v>1910</c:v>
                </c:pt>
                <c:pt idx="602">
                  <c:v>1935</c:v>
                </c:pt>
                <c:pt idx="603">
                  <c:v>1944</c:v>
                </c:pt>
                <c:pt idx="604">
                  <c:v>1940</c:v>
                </c:pt>
                <c:pt idx="605">
                  <c:v>1943</c:v>
                </c:pt>
                <c:pt idx="606">
                  <c:v>1940</c:v>
                </c:pt>
                <c:pt idx="607">
                  <c:v>1934</c:v>
                </c:pt>
                <c:pt idx="608">
                  <c:v>1927</c:v>
                </c:pt>
                <c:pt idx="609">
                  <c:v>1907</c:v>
                </c:pt>
                <c:pt idx="610">
                  <c:v>1911</c:v>
                </c:pt>
                <c:pt idx="611">
                  <c:v>1916</c:v>
                </c:pt>
                <c:pt idx="612">
                  <c:v>1937</c:v>
                </c:pt>
                <c:pt idx="613">
                  <c:v>1891</c:v>
                </c:pt>
                <c:pt idx="614">
                  <c:v>1833</c:v>
                </c:pt>
                <c:pt idx="615">
                  <c:v>1841</c:v>
                </c:pt>
                <c:pt idx="616">
                  <c:v>1832</c:v>
                </c:pt>
                <c:pt idx="617">
                  <c:v>1831</c:v>
                </c:pt>
                <c:pt idx="618">
                  <c:v>1858</c:v>
                </c:pt>
                <c:pt idx="619">
                  <c:v>1845</c:v>
                </c:pt>
                <c:pt idx="620">
                  <c:v>1840</c:v>
                </c:pt>
                <c:pt idx="621">
                  <c:v>1840</c:v>
                </c:pt>
                <c:pt idx="622">
                  <c:v>1857</c:v>
                </c:pt>
                <c:pt idx="623">
                  <c:v>1862</c:v>
                </c:pt>
                <c:pt idx="624">
                  <c:v>1873</c:v>
                </c:pt>
                <c:pt idx="625">
                  <c:v>1877</c:v>
                </c:pt>
                <c:pt idx="626">
                  <c:v>1867</c:v>
                </c:pt>
                <c:pt idx="627">
                  <c:v>1894</c:v>
                </c:pt>
                <c:pt idx="628">
                  <c:v>1884</c:v>
                </c:pt>
                <c:pt idx="629">
                  <c:v>1882</c:v>
                </c:pt>
                <c:pt idx="630">
                  <c:v>1880</c:v>
                </c:pt>
                <c:pt idx="631">
                  <c:v>1895</c:v>
                </c:pt>
                <c:pt idx="632">
                  <c:v>1862</c:v>
                </c:pt>
                <c:pt idx="633">
                  <c:v>1844</c:v>
                </c:pt>
                <c:pt idx="634">
                  <c:v>1829</c:v>
                </c:pt>
                <c:pt idx="635">
                  <c:v>1826</c:v>
                </c:pt>
                <c:pt idx="636">
                  <c:v>1835</c:v>
                </c:pt>
                <c:pt idx="637">
                  <c:v>1748</c:v>
                </c:pt>
                <c:pt idx="638">
                  <c:v>1730</c:v>
                </c:pt>
                <c:pt idx="639">
                  <c:v>1690</c:v>
                </c:pt>
                <c:pt idx="640">
                  <c:v>1689</c:v>
                </c:pt>
                <c:pt idx="641">
                  <c:v>1684</c:v>
                </c:pt>
                <c:pt idx="642">
                  <c:v>1663</c:v>
                </c:pt>
                <c:pt idx="643">
                  <c:v>1673</c:v>
                </c:pt>
                <c:pt idx="644">
                  <c:v>1649</c:v>
                </c:pt>
                <c:pt idx="645">
                  <c:v>1637</c:v>
                </c:pt>
                <c:pt idx="646">
                  <c:v>1596</c:v>
                </c:pt>
                <c:pt idx="647">
                  <c:v>1590</c:v>
                </c:pt>
                <c:pt idx="648">
                  <c:v>1578</c:v>
                </c:pt>
                <c:pt idx="649">
                  <c:v>1575</c:v>
                </c:pt>
                <c:pt idx="650">
                  <c:v>1575</c:v>
                </c:pt>
                <c:pt idx="651">
                  <c:v>1569</c:v>
                </c:pt>
                <c:pt idx="652">
                  <c:v>1593</c:v>
                </c:pt>
                <c:pt idx="653">
                  <c:v>1612</c:v>
                </c:pt>
                <c:pt idx="654">
                  <c:v>1612</c:v>
                </c:pt>
                <c:pt idx="655">
                  <c:v>1600</c:v>
                </c:pt>
                <c:pt idx="656">
                  <c:v>1586</c:v>
                </c:pt>
                <c:pt idx="657">
                  <c:v>1568</c:v>
                </c:pt>
                <c:pt idx="658">
                  <c:v>1613</c:v>
                </c:pt>
                <c:pt idx="659">
                  <c:v>1613</c:v>
                </c:pt>
                <c:pt idx="660">
                  <c:v>1625</c:v>
                </c:pt>
                <c:pt idx="661">
                  <c:v>1611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1405.9187116564417</c:v>
                </c:pt>
                <c:pt idx="1">
                  <c:v>1348.2653374233128</c:v>
                </c:pt>
                <c:pt idx="2">
                  <c:v>1358.1487730061349</c:v>
                </c:pt>
                <c:pt idx="3">
                  <c:v>1382.0337423312883</c:v>
                </c:pt>
                <c:pt idx="4">
                  <c:v>1396.0352760736196</c:v>
                </c:pt>
                <c:pt idx="5">
                  <c:v>1382.8573619631902</c:v>
                </c:pt>
                <c:pt idx="6">
                  <c:v>1383.6809815950919</c:v>
                </c:pt>
                <c:pt idx="7">
                  <c:v>1344.9708588957055</c:v>
                </c:pt>
                <c:pt idx="8">
                  <c:v>1356.5015337423313</c:v>
                </c:pt>
                <c:pt idx="9">
                  <c:v>1366.3849693251534</c:v>
                </c:pt>
                <c:pt idx="10">
                  <c:v>1342.5</c:v>
                </c:pt>
                <c:pt idx="11">
                  <c:v>1354.8542944785277</c:v>
                </c:pt>
                <c:pt idx="12">
                  <c:v>1364.7377300613496</c:v>
                </c:pt>
                <c:pt idx="13">
                  <c:v>1337.5582822085889</c:v>
                </c:pt>
                <c:pt idx="14">
                  <c:v>1326.8512269938649</c:v>
                </c:pt>
                <c:pt idx="15">
                  <c:v>1322.7331288343557</c:v>
                </c:pt>
                <c:pt idx="16">
                  <c:v>1314.4969325153374</c:v>
                </c:pt>
                <c:pt idx="17">
                  <c:v>1314.4969325153374</c:v>
                </c:pt>
                <c:pt idx="18">
                  <c:v>1335.9110429447853</c:v>
                </c:pt>
                <c:pt idx="19">
                  <c:v>1335.0874233128834</c:v>
                </c:pt>
                <c:pt idx="20">
                  <c:v>1336.734662576687</c:v>
                </c:pt>
                <c:pt idx="21">
                  <c:v>1333.4401840490798</c:v>
                </c:pt>
                <c:pt idx="22">
                  <c:v>1358.9723926380368</c:v>
                </c:pt>
                <c:pt idx="23">
                  <c:v>1373.7975460122698</c:v>
                </c:pt>
                <c:pt idx="24">
                  <c:v>1371.3266871165645</c:v>
                </c:pt>
                <c:pt idx="25">
                  <c:v>1350.7361963190183</c:v>
                </c:pt>
                <c:pt idx="26">
                  <c:v>1323.5567484662577</c:v>
                </c:pt>
                <c:pt idx="27">
                  <c:v>1326.0276073619632</c:v>
                </c:pt>
                <c:pt idx="28">
                  <c:v>1298.0245398773006</c:v>
                </c:pt>
                <c:pt idx="29">
                  <c:v>1243.6656441717791</c:v>
                </c:pt>
                <c:pt idx="30">
                  <c:v>1233.782208588957</c:v>
                </c:pt>
                <c:pt idx="31">
                  <c:v>1246.1365030674847</c:v>
                </c:pt>
                <c:pt idx="32">
                  <c:v>1268.3742331288342</c:v>
                </c:pt>
                <c:pt idx="33">
                  <c:v>1256.8435582822085</c:v>
                </c:pt>
                <c:pt idx="34">
                  <c:v>1232.9585889570551</c:v>
                </c:pt>
                <c:pt idx="35">
                  <c:v>1256.0199386503066</c:v>
                </c:pt>
                <c:pt idx="36">
                  <c:v>1237.0766871165645</c:v>
                </c:pt>
                <c:pt idx="37">
                  <c:v>1240.3711656441717</c:v>
                </c:pt>
                <c:pt idx="38">
                  <c:v>1237.0766871165645</c:v>
                </c:pt>
                <c:pt idx="39">
                  <c:v>1226.3696319018404</c:v>
                </c:pt>
                <c:pt idx="40">
                  <c:v>1230.4877300613496</c:v>
                </c:pt>
                <c:pt idx="41">
                  <c:v>1227.1932515337423</c:v>
                </c:pt>
                <c:pt idx="42">
                  <c:v>1199.1901840490798</c:v>
                </c:pt>
                <c:pt idx="43">
                  <c:v>1168.7162576687117</c:v>
                </c:pt>
                <c:pt idx="44">
                  <c:v>1153.0674846625766</c:v>
                </c:pt>
                <c:pt idx="45">
                  <c:v>1176.95245398773</c:v>
                </c:pt>
                <c:pt idx="46">
                  <c:v>1159.6564417177913</c:v>
                </c:pt>
                <c:pt idx="47">
                  <c:v>1158.8328220858896</c:v>
                </c:pt>
                <c:pt idx="48">
                  <c:v>1155.5383435582821</c:v>
                </c:pt>
                <c:pt idx="49">
                  <c:v>1190.9539877300613</c:v>
                </c:pt>
                <c:pt idx="50">
                  <c:v>1213.1917177914111</c:v>
                </c:pt>
                <c:pt idx="51">
                  <c:v>1176.1288343558281</c:v>
                </c:pt>
                <c:pt idx="52">
                  <c:v>1182.717791411043</c:v>
                </c:pt>
                <c:pt idx="53">
                  <c:v>1214.0153374233128</c:v>
                </c:pt>
                <c:pt idx="54">
                  <c:v>1197.5429447852759</c:v>
                </c:pt>
                <c:pt idx="55">
                  <c:v>1214.8389570552147</c:v>
                </c:pt>
                <c:pt idx="56">
                  <c:v>1204.9555214723925</c:v>
                </c:pt>
                <c:pt idx="57">
                  <c:v>1205.7791411042945</c:v>
                </c:pt>
                <c:pt idx="58">
                  <c:v>1208.25</c:v>
                </c:pt>
                <c:pt idx="59">
                  <c:v>1223.075153374233</c:v>
                </c:pt>
                <c:pt idx="60">
                  <c:v>1237.0766871165645</c:v>
                </c:pt>
                <c:pt idx="61">
                  <c:v>1222.2515337423313</c:v>
                </c:pt>
                <c:pt idx="62">
                  <c:v>1209.8972392638036</c:v>
                </c:pt>
                <c:pt idx="63">
                  <c:v>1184.3650306748466</c:v>
                </c:pt>
                <c:pt idx="64">
                  <c:v>1148.9493865030674</c:v>
                </c:pt>
                <c:pt idx="65">
                  <c:v>1145.65490797546</c:v>
                </c:pt>
                <c:pt idx="66">
                  <c:v>1135.7714723926381</c:v>
                </c:pt>
                <c:pt idx="67">
                  <c:v>1107.7684049079753</c:v>
                </c:pt>
                <c:pt idx="68">
                  <c:v>1118.4754601226994</c:v>
                </c:pt>
                <c:pt idx="69">
                  <c:v>1116.0046012269938</c:v>
                </c:pt>
                <c:pt idx="70">
                  <c:v>1123.4171779141104</c:v>
                </c:pt>
                <c:pt idx="71">
                  <c:v>1108.5920245398772</c:v>
                </c:pt>
                <c:pt idx="72">
                  <c:v>1108.5920245398772</c:v>
                </c:pt>
                <c:pt idx="73">
                  <c:v>1106.9447852760736</c:v>
                </c:pt>
                <c:pt idx="74">
                  <c:v>1088.8251533742332</c:v>
                </c:pt>
                <c:pt idx="75">
                  <c:v>1117.6518404907974</c:v>
                </c:pt>
                <c:pt idx="76">
                  <c:v>1117.6518404907974</c:v>
                </c:pt>
                <c:pt idx="77">
                  <c:v>1111.0628834355828</c:v>
                </c:pt>
                <c:pt idx="78">
                  <c:v>1110.2392638036808</c:v>
                </c:pt>
                <c:pt idx="79">
                  <c:v>1114.3573619631902</c:v>
                </c:pt>
                <c:pt idx="80">
                  <c:v>1102.8266871165645</c:v>
                </c:pt>
                <c:pt idx="81">
                  <c:v>1111.8865030674847</c:v>
                </c:pt>
                <c:pt idx="82">
                  <c:v>1114.3573619631902</c:v>
                </c:pt>
                <c:pt idx="83">
                  <c:v>1092.1196319018404</c:v>
                </c:pt>
                <c:pt idx="84">
                  <c:v>1111.0628834355828</c:v>
                </c:pt>
                <c:pt idx="85">
                  <c:v>1102.0030674846626</c:v>
                </c:pt>
                <c:pt idx="86">
                  <c:v>1102.8266871165645</c:v>
                </c:pt>
                <c:pt idx="87">
                  <c:v>1118.4754601226994</c:v>
                </c:pt>
                <c:pt idx="88">
                  <c:v>1120.9463190184049</c:v>
                </c:pt>
                <c:pt idx="89">
                  <c:v>1148.1257668711655</c:v>
                </c:pt>
                <c:pt idx="90">
                  <c:v>1174.4815950920245</c:v>
                </c:pt>
                <c:pt idx="91">
                  <c:v>1262.6088957055215</c:v>
                </c:pt>
                <c:pt idx="92">
                  <c:v>1252.7254601226994</c:v>
                </c:pt>
                <c:pt idx="93">
                  <c:v>1247.7837423312883</c:v>
                </c:pt>
                <c:pt idx="94">
                  <c:v>1270.0214723926381</c:v>
                </c:pt>
                <c:pt idx="95">
                  <c:v>1287.3174846625766</c:v>
                </c:pt>
                <c:pt idx="96">
                  <c:v>1280.7285276073619</c:v>
                </c:pt>
                <c:pt idx="97">
                  <c:v>1277.4340490797545</c:v>
                </c:pt>
                <c:pt idx="98">
                  <c:v>1254.372699386503</c:v>
                </c:pt>
                <c:pt idx="99">
                  <c:v>1256.0199386503066</c:v>
                </c:pt>
                <c:pt idx="100">
                  <c:v>1223.075153374233</c:v>
                </c:pt>
                <c:pt idx="101">
                  <c:v>1246.1365030674847</c:v>
                </c:pt>
                <c:pt idx="102">
                  <c:v>1250.2546012269938</c:v>
                </c:pt>
                <c:pt idx="103">
                  <c:v>1235.4294478527606</c:v>
                </c:pt>
                <c:pt idx="104">
                  <c:v>1228.016871165644</c:v>
                </c:pt>
                <c:pt idx="105">
                  <c:v>1223.075153374233</c:v>
                </c:pt>
                <c:pt idx="106">
                  <c:v>1256.0199386503066</c:v>
                </c:pt>
                <c:pt idx="107">
                  <c:v>1271.6687116564417</c:v>
                </c:pt>
                <c:pt idx="108">
                  <c:v>1272.4923312883434</c:v>
                </c:pt>
                <c:pt idx="109">
                  <c:v>1270.8450920245398</c:v>
                </c:pt>
                <c:pt idx="110">
                  <c:v>1264.2561349693251</c:v>
                </c:pt>
                <c:pt idx="111">
                  <c:v>1277.4340490797545</c:v>
                </c:pt>
                <c:pt idx="112">
                  <c:v>1278.2576687116564</c:v>
                </c:pt>
                <c:pt idx="113">
                  <c:v>1247.7837423312883</c:v>
                </c:pt>
                <c:pt idx="114">
                  <c:v>1251.0782208588957</c:v>
                </c:pt>
                <c:pt idx="115">
                  <c:v>1220.6042944785277</c:v>
                </c:pt>
                <c:pt idx="116">
                  <c:v>1214.8389570552147</c:v>
                </c:pt>
                <c:pt idx="117">
                  <c:v>1223.8987730061349</c:v>
                </c:pt>
                <c:pt idx="118">
                  <c:v>1214.0153374233128</c:v>
                </c:pt>
                <c:pt idx="119">
                  <c:v>1209.8972392638036</c:v>
                </c:pt>
                <c:pt idx="120">
                  <c:v>1204.9555214723925</c:v>
                </c:pt>
                <c:pt idx="121">
                  <c:v>1182.717791411043</c:v>
                </c:pt>
                <c:pt idx="122">
                  <c:v>1178.5996932515336</c:v>
                </c:pt>
                <c:pt idx="123">
                  <c:v>1183.5414110429447</c:v>
                </c:pt>
                <c:pt idx="124">
                  <c:v>1186.8358895705521</c:v>
                </c:pt>
                <c:pt idx="125">
                  <c:v>1191.7776073619632</c:v>
                </c:pt>
                <c:pt idx="126">
                  <c:v>1179.4233128834355</c:v>
                </c:pt>
                <c:pt idx="127">
                  <c:v>1167.0690184049079</c:v>
                </c:pt>
                <c:pt idx="128">
                  <c:v>1153.0674846625766</c:v>
                </c:pt>
                <c:pt idx="129">
                  <c:v>1153.0674846625766</c:v>
                </c:pt>
                <c:pt idx="130">
                  <c:v>1153.0674846625766</c:v>
                </c:pt>
                <c:pt idx="131">
                  <c:v>1127.5352760736196</c:v>
                </c:pt>
                <c:pt idx="132">
                  <c:v>1104.4739263803681</c:v>
                </c:pt>
                <c:pt idx="133">
                  <c:v>1134.9478527607362</c:v>
                </c:pt>
                <c:pt idx="134">
                  <c:v>1153.8911042944785</c:v>
                </c:pt>
                <c:pt idx="135">
                  <c:v>1136.5950920245398</c:v>
                </c:pt>
                <c:pt idx="136">
                  <c:v>1148.9493865030674</c:v>
                </c:pt>
                <c:pt idx="137">
                  <c:v>1147.3021472392638</c:v>
                </c:pt>
                <c:pt idx="138">
                  <c:v>1155.5383435582821</c:v>
                </c:pt>
                <c:pt idx="139">
                  <c:v>1158.0092024539877</c:v>
                </c:pt>
                <c:pt idx="140">
                  <c:v>1189.3067484662577</c:v>
                </c:pt>
                <c:pt idx="141">
                  <c:v>1186.8358895705521</c:v>
                </c:pt>
                <c:pt idx="142">
                  <c:v>1186.0122699386502</c:v>
                </c:pt>
                <c:pt idx="143">
                  <c:v>1221.4279141104294</c:v>
                </c:pt>
                <c:pt idx="144">
                  <c:v>1219.7806748466257</c:v>
                </c:pt>
                <c:pt idx="145">
                  <c:v>1244.4892638036808</c:v>
                </c:pt>
                <c:pt idx="146">
                  <c:v>1248.6073619631902</c:v>
                </c:pt>
                <c:pt idx="147">
                  <c:v>1243.6656441717791</c:v>
                </c:pt>
                <c:pt idx="148">
                  <c:v>1331.7929447852759</c:v>
                </c:pt>
                <c:pt idx="149">
                  <c:v>1382.8573619631902</c:v>
                </c:pt>
                <c:pt idx="150">
                  <c:v>1372.9739263803681</c:v>
                </c:pt>
                <c:pt idx="151">
                  <c:v>1412.5076687116564</c:v>
                </c:pt>
                <c:pt idx="152">
                  <c:v>1470.1610429447853</c:v>
                </c:pt>
                <c:pt idx="153">
                  <c:v>1466.0429447852759</c:v>
                </c:pt>
                <c:pt idx="154">
                  <c:v>1464.3957055214723</c:v>
                </c:pt>
                <c:pt idx="155">
                  <c:v>1485.8098159509202</c:v>
                </c:pt>
                <c:pt idx="156">
                  <c:v>1486.6334355828221</c:v>
                </c:pt>
                <c:pt idx="157">
                  <c:v>1498.9877300613496</c:v>
                </c:pt>
                <c:pt idx="158">
                  <c:v>1489.1042944785274</c:v>
                </c:pt>
                <c:pt idx="159">
                  <c:v>1503.1058282208589</c:v>
                </c:pt>
                <c:pt idx="160">
                  <c:v>1493.2223926380368</c:v>
                </c:pt>
                <c:pt idx="161">
                  <c:v>1516.2837423312883</c:v>
                </c:pt>
                <c:pt idx="162">
                  <c:v>1481.6917177914111</c:v>
                </c:pt>
                <c:pt idx="163">
                  <c:v>1492.3987730061349</c:v>
                </c:pt>
                <c:pt idx="164">
                  <c:v>1491.575153374233</c:v>
                </c:pt>
                <c:pt idx="165">
                  <c:v>1505.5766871165642</c:v>
                </c:pt>
                <c:pt idx="166">
                  <c:v>1505.5766871165642</c:v>
                </c:pt>
                <c:pt idx="167">
                  <c:v>1497.340490797546</c:v>
                </c:pt>
                <c:pt idx="168">
                  <c:v>1486.6334355828221</c:v>
                </c:pt>
                <c:pt idx="169">
                  <c:v>1498.1641104294479</c:v>
                </c:pt>
                <c:pt idx="170">
                  <c:v>1472.6319018404906</c:v>
                </c:pt>
                <c:pt idx="171">
                  <c:v>1462.7484662576687</c:v>
                </c:pt>
                <c:pt idx="172">
                  <c:v>1417.4493865030674</c:v>
                </c:pt>
                <c:pt idx="173">
                  <c:v>1387.7990797546013</c:v>
                </c:pt>
                <c:pt idx="174">
                  <c:v>1416.6257668711655</c:v>
                </c:pt>
                <c:pt idx="175">
                  <c:v>1433.0981595092023</c:v>
                </c:pt>
                <c:pt idx="176">
                  <c:v>1403.4478527607362</c:v>
                </c:pt>
                <c:pt idx="177">
                  <c:v>1444.6288343558281</c:v>
                </c:pt>
                <c:pt idx="178">
                  <c:v>1444.6288343558281</c:v>
                </c:pt>
                <c:pt idx="179">
                  <c:v>1456.1595092024538</c:v>
                </c:pt>
                <c:pt idx="180">
                  <c:v>1450.3941717791411</c:v>
                </c:pt>
                <c:pt idx="181">
                  <c:v>1424.0383435582821</c:v>
                </c:pt>
                <c:pt idx="182">
                  <c:v>1400.1533742331287</c:v>
                </c:pt>
                <c:pt idx="183">
                  <c:v>1411.6840490797545</c:v>
                </c:pt>
                <c:pt idx="184">
                  <c:v>1418.2730061349694</c:v>
                </c:pt>
                <c:pt idx="185">
                  <c:v>1377.0920245398772</c:v>
                </c:pt>
                <c:pt idx="186">
                  <c:v>1344.1472392638036</c:v>
                </c:pt>
                <c:pt idx="187">
                  <c:v>1396.8588957055215</c:v>
                </c:pt>
                <c:pt idx="188">
                  <c:v>1400.9769938650306</c:v>
                </c:pt>
                <c:pt idx="189">
                  <c:v>1396.0352760736196</c:v>
                </c:pt>
                <c:pt idx="190">
                  <c:v>1400.1533742331287</c:v>
                </c:pt>
                <c:pt idx="191">
                  <c:v>1348.2653374233128</c:v>
                </c:pt>
                <c:pt idx="192">
                  <c:v>1353.2070552147238</c:v>
                </c:pt>
                <c:pt idx="193">
                  <c:v>1355.6779141104294</c:v>
                </c:pt>
                <c:pt idx="194">
                  <c:v>1353.2070552147238</c:v>
                </c:pt>
                <c:pt idx="195">
                  <c:v>1368.032208588957</c:v>
                </c:pt>
                <c:pt idx="196">
                  <c:v>1360.6196319018404</c:v>
                </c:pt>
                <c:pt idx="197">
                  <c:v>1359.7960122699385</c:v>
                </c:pt>
                <c:pt idx="198">
                  <c:v>1368.8558282208589</c:v>
                </c:pt>
                <c:pt idx="199">
                  <c:v>1360.6196319018404</c:v>
                </c:pt>
                <c:pt idx="200">
                  <c:v>1358.1487730061349</c:v>
                </c:pt>
                <c:pt idx="201">
                  <c:v>1325.2039877300613</c:v>
                </c:pt>
                <c:pt idx="202">
                  <c:v>1339.2055214723925</c:v>
                </c:pt>
                <c:pt idx="203">
                  <c:v>1321.0858895705521</c:v>
                </c:pt>
                <c:pt idx="204">
                  <c:v>1298.8481595092023</c:v>
                </c:pt>
                <c:pt idx="205">
                  <c:v>1255.1963190184049</c:v>
                </c:pt>
                <c:pt idx="206">
                  <c:v>1293.9064417177913</c:v>
                </c:pt>
                <c:pt idx="207">
                  <c:v>1336.734662576687</c:v>
                </c:pt>
                <c:pt idx="208">
                  <c:v>1335.9110429447853</c:v>
                </c:pt>
                <c:pt idx="209">
                  <c:v>1310.3788343558281</c:v>
                </c:pt>
                <c:pt idx="210">
                  <c:v>1279.0812883435583</c:v>
                </c:pt>
                <c:pt idx="211">
                  <c:v>1270.8450920245398</c:v>
                </c:pt>
                <c:pt idx="212">
                  <c:v>1264.2561349693251</c:v>
                </c:pt>
                <c:pt idx="213">
                  <c:v>1263.4325153374232</c:v>
                </c:pt>
                <c:pt idx="214">
                  <c:v>1259.314417177914</c:v>
                </c:pt>
                <c:pt idx="215">
                  <c:v>1270.0214723926381</c:v>
                </c:pt>
                <c:pt idx="216">
                  <c:v>1251.9018404907974</c:v>
                </c:pt>
                <c:pt idx="217">
                  <c:v>1240.3711656441717</c:v>
                </c:pt>
                <c:pt idx="218">
                  <c:v>1229.6641104294479</c:v>
                </c:pt>
                <c:pt idx="219">
                  <c:v>1241.1947852760736</c:v>
                </c:pt>
                <c:pt idx="220">
                  <c:v>1214.8389570552147</c:v>
                </c:pt>
                <c:pt idx="221">
                  <c:v>1193.4248466257668</c:v>
                </c:pt>
                <c:pt idx="222">
                  <c:v>1194.2484662576687</c:v>
                </c:pt>
                <c:pt idx="223">
                  <c:v>1208.25</c:v>
                </c:pt>
                <c:pt idx="224">
                  <c:v>1199.1901840490798</c:v>
                </c:pt>
                <c:pt idx="225">
                  <c:v>1176.1288343558281</c:v>
                </c:pt>
                <c:pt idx="226">
                  <c:v>1167.0690184049079</c:v>
                </c:pt>
                <c:pt idx="227">
                  <c:v>1184.3650306748466</c:v>
                </c:pt>
                <c:pt idx="228">
                  <c:v>1180.2469325153374</c:v>
                </c:pt>
                <c:pt idx="229">
                  <c:v>1134.1242331288342</c:v>
                </c:pt>
                <c:pt idx="230">
                  <c:v>1179.4233128834355</c:v>
                </c:pt>
                <c:pt idx="231">
                  <c:v>1170.3634969325153</c:v>
                </c:pt>
                <c:pt idx="232">
                  <c:v>1125.064417177914</c:v>
                </c:pt>
                <c:pt idx="233">
                  <c:v>1109.4156441717791</c:v>
                </c:pt>
                <c:pt idx="234">
                  <c:v>1158.0092024539877</c:v>
                </c:pt>
                <c:pt idx="235">
                  <c:v>1159.6564417177913</c:v>
                </c:pt>
                <c:pt idx="236">
                  <c:v>1188.4831288343557</c:v>
                </c:pt>
                <c:pt idx="237">
                  <c:v>1203.3082822085889</c:v>
                </c:pt>
                <c:pt idx="238">
                  <c:v>1181.8941717791411</c:v>
                </c:pt>
                <c:pt idx="239">
                  <c:v>1181.8941717791411</c:v>
                </c:pt>
                <c:pt idx="240">
                  <c:v>1197.5429447852759</c:v>
                </c:pt>
                <c:pt idx="241">
                  <c:v>1186.0122699386502</c:v>
                </c:pt>
                <c:pt idx="242">
                  <c:v>1169.5398773006134</c:v>
                </c:pt>
                <c:pt idx="243">
                  <c:v>1188.4831288343557</c:v>
                </c:pt>
                <c:pt idx="244">
                  <c:v>1211.5444785276072</c:v>
                </c:pt>
                <c:pt idx="245">
                  <c:v>1246.9601226993864</c:v>
                </c:pt>
                <c:pt idx="246">
                  <c:v>1275.7868098159508</c:v>
                </c:pt>
                <c:pt idx="247">
                  <c:v>1287.3174846625766</c:v>
                </c:pt>
                <c:pt idx="248">
                  <c:v>1337.5582822085889</c:v>
                </c:pt>
                <c:pt idx="249">
                  <c:v>1317.7914110429447</c:v>
                </c:pt>
                <c:pt idx="250">
                  <c:v>1344.9708588957055</c:v>
                </c:pt>
                <c:pt idx="251">
                  <c:v>1339.2055214723925</c:v>
                </c:pt>
                <c:pt idx="252">
                  <c:v>1349.9125766871166</c:v>
                </c:pt>
                <c:pt idx="253">
                  <c:v>1329.3220858895704</c:v>
                </c:pt>
                <c:pt idx="254">
                  <c:v>1312.0260736196319</c:v>
                </c:pt>
                <c:pt idx="255">
                  <c:v>1337.5582822085889</c:v>
                </c:pt>
                <c:pt idx="256">
                  <c:v>1326.0276073619632</c:v>
                </c:pt>
                <c:pt idx="257">
                  <c:v>1311.20245398773</c:v>
                </c:pt>
                <c:pt idx="258">
                  <c:v>1295.5536809815951</c:v>
                </c:pt>
                <c:pt idx="259">
                  <c:v>1309.5552147239264</c:v>
                </c:pt>
                <c:pt idx="260">
                  <c:v>1293.0828220858896</c:v>
                </c:pt>
                <c:pt idx="261">
                  <c:v>1256.0199386503066</c:v>
                </c:pt>
                <c:pt idx="262">
                  <c:v>1285.670245398773</c:v>
                </c:pt>
                <c:pt idx="263">
                  <c:v>1268.3742331288342</c:v>
                </c:pt>
                <c:pt idx="264">
                  <c:v>1259.314417177914</c:v>
                </c:pt>
                <c:pt idx="265">
                  <c:v>1255.1963190184049</c:v>
                </c:pt>
                <c:pt idx="266">
                  <c:v>1273.3159509202453</c:v>
                </c:pt>
                <c:pt idx="267">
                  <c:v>1265.9033742331287</c:v>
                </c:pt>
                <c:pt idx="268">
                  <c:v>1321.0858895705521</c:v>
                </c:pt>
                <c:pt idx="269">
                  <c:v>1300.4953987730062</c:v>
                </c:pt>
                <c:pt idx="270">
                  <c:v>1229.6641104294479</c:v>
                </c:pt>
                <c:pt idx="271">
                  <c:v>1209.8972392638036</c:v>
                </c:pt>
                <c:pt idx="272">
                  <c:v>1202.484662576687</c:v>
                </c:pt>
                <c:pt idx="273">
                  <c:v>1194.2484662576687</c:v>
                </c:pt>
                <c:pt idx="274">
                  <c:v>1205.7791411042945</c:v>
                </c:pt>
                <c:pt idx="275">
                  <c:v>1255.1963190184049</c:v>
                </c:pt>
                <c:pt idx="276">
                  <c:v>1278.2576687116564</c:v>
                </c:pt>
                <c:pt idx="277">
                  <c:v>1324.3803680981594</c:v>
                </c:pt>
                <c:pt idx="278">
                  <c:v>1316.967791411043</c:v>
                </c:pt>
                <c:pt idx="279">
                  <c:v>1355.6779141104294</c:v>
                </c:pt>
                <c:pt idx="280">
                  <c:v>1355.6779141104294</c:v>
                </c:pt>
                <c:pt idx="281">
                  <c:v>1329.3220858895704</c:v>
                </c:pt>
                <c:pt idx="282">
                  <c:v>1314.4969325153374</c:v>
                </c:pt>
                <c:pt idx="283">
                  <c:v>1326.8512269938649</c:v>
                </c:pt>
                <c:pt idx="284">
                  <c:v>1294.7300613496932</c:v>
                </c:pt>
                <c:pt idx="285">
                  <c:v>1333.4401840490798</c:v>
                </c:pt>
                <c:pt idx="286">
                  <c:v>1338.3819018404906</c:v>
                </c:pt>
                <c:pt idx="287">
                  <c:v>1362.266871165644</c:v>
                </c:pt>
                <c:pt idx="288">
                  <c:v>1447.9233128834355</c:v>
                </c:pt>
                <c:pt idx="289">
                  <c:v>1459.4539877300613</c:v>
                </c:pt>
                <c:pt idx="290">
                  <c:v>1462.7484662576687</c:v>
                </c:pt>
                <c:pt idx="291">
                  <c:v>1442.1579754601225</c:v>
                </c:pt>
                <c:pt idx="292">
                  <c:v>1441.3343558282209</c:v>
                </c:pt>
                <c:pt idx="293">
                  <c:v>1408.3895705521472</c:v>
                </c:pt>
                <c:pt idx="294">
                  <c:v>1432.2745398773006</c:v>
                </c:pt>
                <c:pt idx="295">
                  <c:v>1447.9233128834355</c:v>
                </c:pt>
                <c:pt idx="296">
                  <c:v>1447.9233128834355</c:v>
                </c:pt>
                <c:pt idx="297">
                  <c:v>1425.6855828220857</c:v>
                </c:pt>
                <c:pt idx="298">
                  <c:v>1418.2730061349694</c:v>
                </c:pt>
                <c:pt idx="299">
                  <c:v>1391.9171779141104</c:v>
                </c:pt>
                <c:pt idx="300">
                  <c:v>1326.8512269938649</c:v>
                </c:pt>
                <c:pt idx="301">
                  <c:v>1296.3773006134968</c:v>
                </c:pt>
                <c:pt idx="302">
                  <c:v>1298.8481595092023</c:v>
                </c:pt>
                <c:pt idx="303">
                  <c:v>1312.0260736196319</c:v>
                </c:pt>
                <c:pt idx="304">
                  <c:v>1335.9110429447853</c:v>
                </c:pt>
                <c:pt idx="305">
                  <c:v>1340.8527607361962</c:v>
                </c:pt>
                <c:pt idx="306">
                  <c:v>1366.3849693251534</c:v>
                </c:pt>
                <c:pt idx="307">
                  <c:v>1381.2101226993864</c:v>
                </c:pt>
                <c:pt idx="308">
                  <c:v>1395.2116564417177</c:v>
                </c:pt>
                <c:pt idx="309">
                  <c:v>1413.3312883435583</c:v>
                </c:pt>
                <c:pt idx="310">
                  <c:v>1438.0398773006134</c:v>
                </c:pt>
                <c:pt idx="311">
                  <c:v>1461.9248466257668</c:v>
                </c:pt>
                <c:pt idx="312">
                  <c:v>1463.5720858895704</c:v>
                </c:pt>
                <c:pt idx="313">
                  <c:v>1459.4539877300613</c:v>
                </c:pt>
                <c:pt idx="314">
                  <c:v>1438.8634969325153</c:v>
                </c:pt>
                <c:pt idx="315">
                  <c:v>1421.5674846625766</c:v>
                </c:pt>
                <c:pt idx="316">
                  <c:v>1425.6855828220857</c:v>
                </c:pt>
                <c:pt idx="317">
                  <c:v>1426.5092024539877</c:v>
                </c:pt>
                <c:pt idx="318">
                  <c:v>1396.8588957055215</c:v>
                </c:pt>
                <c:pt idx="319">
                  <c:v>1375.4447852760736</c:v>
                </c:pt>
                <c:pt idx="320">
                  <c:v>1395.2116564417177</c:v>
                </c:pt>
                <c:pt idx="321">
                  <c:v>1389.4463190184049</c:v>
                </c:pt>
                <c:pt idx="322">
                  <c:v>1393.564417177914</c:v>
                </c:pt>
                <c:pt idx="323">
                  <c:v>1410.8604294478528</c:v>
                </c:pt>
                <c:pt idx="324">
                  <c:v>1385.3282208588957</c:v>
                </c:pt>
                <c:pt idx="325">
                  <c:v>1414.15490797546</c:v>
                </c:pt>
                <c:pt idx="326">
                  <c:v>1437.2162576687117</c:v>
                </c:pt>
                <c:pt idx="327">
                  <c:v>1432.2745398773006</c:v>
                </c:pt>
                <c:pt idx="328">
                  <c:v>1457.8067484662577</c:v>
                </c:pt>
                <c:pt idx="329">
                  <c:v>1456.1595092024538</c:v>
                </c:pt>
                <c:pt idx="330">
                  <c:v>1456.9831288343557</c:v>
                </c:pt>
                <c:pt idx="331">
                  <c:v>1478.3972392638036</c:v>
                </c:pt>
                <c:pt idx="332">
                  <c:v>1512.9892638036808</c:v>
                </c:pt>
                <c:pt idx="333">
                  <c:v>1498.9877300613496</c:v>
                </c:pt>
                <c:pt idx="334">
                  <c:v>1484.9861963190183</c:v>
                </c:pt>
                <c:pt idx="335">
                  <c:v>1471.8082822085889</c:v>
                </c:pt>
                <c:pt idx="336">
                  <c:v>1460.2776073619632</c:v>
                </c:pt>
                <c:pt idx="337">
                  <c:v>1447.0996932515336</c:v>
                </c:pt>
                <c:pt idx="338">
                  <c:v>1412.5076687116564</c:v>
                </c:pt>
                <c:pt idx="339">
                  <c:v>1412.5076687116564</c:v>
                </c:pt>
                <c:pt idx="340">
                  <c:v>1433.0981595092023</c:v>
                </c:pt>
                <c:pt idx="341">
                  <c:v>1438.8634969325153</c:v>
                </c:pt>
                <c:pt idx="342">
                  <c:v>1428.1564417177913</c:v>
                </c:pt>
                <c:pt idx="343">
                  <c:v>1417.4493865030674</c:v>
                </c:pt>
                <c:pt idx="344">
                  <c:v>1388.622699386503</c:v>
                </c:pt>
                <c:pt idx="345">
                  <c:v>1371.3266871165645</c:v>
                </c:pt>
                <c:pt idx="346">
                  <c:v>1391.0935582822085</c:v>
                </c:pt>
                <c:pt idx="347">
                  <c:v>1431.4509202453987</c:v>
                </c:pt>
                <c:pt idx="348">
                  <c:v>1430.6273006134968</c:v>
                </c:pt>
                <c:pt idx="349">
                  <c:v>1409.2131901840489</c:v>
                </c:pt>
                <c:pt idx="350">
                  <c:v>1385.3282208588957</c:v>
                </c:pt>
                <c:pt idx="351">
                  <c:v>1392.7407975460121</c:v>
                </c:pt>
                <c:pt idx="352">
                  <c:v>1406.7423312883434</c:v>
                </c:pt>
                <c:pt idx="353">
                  <c:v>1407.5659509202453</c:v>
                </c:pt>
                <c:pt idx="354">
                  <c:v>1414.15490797546</c:v>
                </c:pt>
                <c:pt idx="355">
                  <c:v>1412.5076687116564</c:v>
                </c:pt>
                <c:pt idx="356">
                  <c:v>1402.6242331288342</c:v>
                </c:pt>
                <c:pt idx="357">
                  <c:v>1405.9187116564417</c:v>
                </c:pt>
                <c:pt idx="358">
                  <c:v>1391.9171779141104</c:v>
                </c:pt>
                <c:pt idx="359">
                  <c:v>1402.6242331288342</c:v>
                </c:pt>
                <c:pt idx="360">
                  <c:v>1396.8588957055215</c:v>
                </c:pt>
                <c:pt idx="361">
                  <c:v>1404.2714723926381</c:v>
                </c:pt>
                <c:pt idx="362">
                  <c:v>1402.6242331288342</c:v>
                </c:pt>
                <c:pt idx="363">
                  <c:v>1458.6303680981594</c:v>
                </c:pt>
                <c:pt idx="364">
                  <c:v>1488.2806748466257</c:v>
                </c:pt>
                <c:pt idx="365">
                  <c:v>1489.1042944785274</c:v>
                </c:pt>
                <c:pt idx="366">
                  <c:v>1495.6932515337423</c:v>
                </c:pt>
                <c:pt idx="367">
                  <c:v>1512.9892638036808</c:v>
                </c:pt>
                <c:pt idx="368">
                  <c:v>1527.814417177914</c:v>
                </c:pt>
                <c:pt idx="369">
                  <c:v>1549.2285276073619</c:v>
                </c:pt>
                <c:pt idx="370">
                  <c:v>1582.9969325153374</c:v>
                </c:pt>
                <c:pt idx="371">
                  <c:v>1573.1134969325153</c:v>
                </c:pt>
                <c:pt idx="372">
                  <c:v>1601.9401840490798</c:v>
                </c:pt>
                <c:pt idx="373">
                  <c:v>1620.0598159509202</c:v>
                </c:pt>
                <c:pt idx="374">
                  <c:v>1577.2315950920245</c:v>
                </c:pt>
                <c:pt idx="375">
                  <c:v>1573.1134969325153</c:v>
                </c:pt>
                <c:pt idx="376">
                  <c:v>1540.9923312883434</c:v>
                </c:pt>
                <c:pt idx="377">
                  <c:v>1599.4693251533743</c:v>
                </c:pt>
                <c:pt idx="378">
                  <c:v>1609.3527607361962</c:v>
                </c:pt>
                <c:pt idx="379">
                  <c:v>1601.1165644171779</c:v>
                </c:pt>
                <c:pt idx="380">
                  <c:v>1587.9386503067483</c:v>
                </c:pt>
                <c:pt idx="381">
                  <c:v>1625.0015337423313</c:v>
                </c:pt>
                <c:pt idx="382">
                  <c:v>1637.3558282208589</c:v>
                </c:pt>
                <c:pt idx="383">
                  <c:v>1652.1809815950919</c:v>
                </c:pt>
                <c:pt idx="384">
                  <c:v>1650.5337423312883</c:v>
                </c:pt>
                <c:pt idx="385">
                  <c:v>1646.4156441717791</c:v>
                </c:pt>
                <c:pt idx="386">
                  <c:v>1615.9417177914111</c:v>
                </c:pt>
                <c:pt idx="387">
                  <c:v>1634.0613496932515</c:v>
                </c:pt>
                <c:pt idx="388">
                  <c:v>1650.5337423312883</c:v>
                </c:pt>
                <c:pt idx="389">
                  <c:v>1656.2990797546011</c:v>
                </c:pt>
                <c:pt idx="390">
                  <c:v>1607.7055214723925</c:v>
                </c:pt>
                <c:pt idx="391">
                  <c:v>1634.8849693251534</c:v>
                </c:pt>
                <c:pt idx="392">
                  <c:v>1569.8190184049079</c:v>
                </c:pt>
                <c:pt idx="393">
                  <c:v>1579.70245398773</c:v>
                </c:pt>
                <c:pt idx="394">
                  <c:v>1603.5874233128834</c:v>
                </c:pt>
                <c:pt idx="395">
                  <c:v>1593.7039877300613</c:v>
                </c:pt>
                <c:pt idx="396">
                  <c:v>1599.4693251533743</c:v>
                </c:pt>
                <c:pt idx="397">
                  <c:v>1600.2929447852759</c:v>
                </c:pt>
                <c:pt idx="398">
                  <c:v>1612.6472392638036</c:v>
                </c:pt>
                <c:pt idx="399">
                  <c:v>1635.7085889570551</c:v>
                </c:pt>
                <c:pt idx="400">
                  <c:v>1658.7699386503066</c:v>
                </c:pt>
                <c:pt idx="401">
                  <c:v>1657.9463190184049</c:v>
                </c:pt>
                <c:pt idx="402">
                  <c:v>1685.9493865030674</c:v>
                </c:pt>
                <c:pt idx="403">
                  <c:v>1641.4739263803681</c:v>
                </c:pt>
                <c:pt idx="404">
                  <c:v>1612.6472392638036</c:v>
                </c:pt>
                <c:pt idx="405">
                  <c:v>1620.0598159509202</c:v>
                </c:pt>
                <c:pt idx="406">
                  <c:v>1624.1779141104294</c:v>
                </c:pt>
                <c:pt idx="407">
                  <c:v>1593.7039877300613</c:v>
                </c:pt>
                <c:pt idx="408">
                  <c:v>1615.9417177914111</c:v>
                </c:pt>
                <c:pt idx="409">
                  <c:v>1621.7070552147238</c:v>
                </c:pt>
                <c:pt idx="410">
                  <c:v>1574.7607361963189</c:v>
                </c:pt>
                <c:pt idx="411">
                  <c:v>1546.7576687116564</c:v>
                </c:pt>
                <c:pt idx="412">
                  <c:v>1574.7607361963189</c:v>
                </c:pt>
                <c:pt idx="413">
                  <c:v>1567.3481595092023</c:v>
                </c:pt>
                <c:pt idx="414">
                  <c:v>1698.3036809815951</c:v>
                </c:pt>
                <c:pt idx="415">
                  <c:v>1715.5996932515336</c:v>
                </c:pt>
                <c:pt idx="416">
                  <c:v>1719.717791411043</c:v>
                </c:pt>
                <c:pt idx="417">
                  <c:v>1700.7745398773006</c:v>
                </c:pt>
                <c:pt idx="418">
                  <c:v>1695.8328220858896</c:v>
                </c:pt>
                <c:pt idx="419">
                  <c:v>1704.8926380368098</c:v>
                </c:pt>
                <c:pt idx="420">
                  <c:v>1682.65490797546</c:v>
                </c:pt>
                <c:pt idx="421">
                  <c:v>1645.5920245398772</c:v>
                </c:pt>
                <c:pt idx="422">
                  <c:v>1741.1319018404906</c:v>
                </c:pt>
                <c:pt idx="423">
                  <c:v>1734.5429447852759</c:v>
                </c:pt>
                <c:pt idx="424">
                  <c:v>1736.1901840490798</c:v>
                </c:pt>
                <c:pt idx="425">
                  <c:v>1763.3696319018404</c:v>
                </c:pt>
                <c:pt idx="426">
                  <c:v>1768.3113496932515</c:v>
                </c:pt>
                <c:pt idx="427">
                  <c:v>1767.4877300613496</c:v>
                </c:pt>
                <c:pt idx="428">
                  <c:v>1791.372699386503</c:v>
                </c:pt>
                <c:pt idx="429">
                  <c:v>1754.3098159509202</c:v>
                </c:pt>
                <c:pt idx="430">
                  <c:v>1744.4263803680981</c:v>
                </c:pt>
                <c:pt idx="431">
                  <c:v>1727.1303680981594</c:v>
                </c:pt>
                <c:pt idx="432">
                  <c:v>1729.6012269938649</c:v>
                </c:pt>
                <c:pt idx="433">
                  <c:v>1738.6610429447851</c:v>
                </c:pt>
                <c:pt idx="434">
                  <c:v>1719.717791411043</c:v>
                </c:pt>
                <c:pt idx="435">
                  <c:v>1774.9003067484662</c:v>
                </c:pt>
                <c:pt idx="436">
                  <c:v>1824.3174846625766</c:v>
                </c:pt>
                <c:pt idx="437">
                  <c:v>1853.1441717791411</c:v>
                </c:pt>
                <c:pt idx="438">
                  <c:v>1891.0306748466257</c:v>
                </c:pt>
                <c:pt idx="439">
                  <c:v>1868.7929447852759</c:v>
                </c:pt>
                <c:pt idx="440">
                  <c:v>1858.0858895705521</c:v>
                </c:pt>
                <c:pt idx="441">
                  <c:v>1813.6104294478528</c:v>
                </c:pt>
                <c:pt idx="442">
                  <c:v>1874.5582822085889</c:v>
                </c:pt>
                <c:pt idx="443">
                  <c:v>1873.734662576687</c:v>
                </c:pt>
                <c:pt idx="444">
                  <c:v>1879.5</c:v>
                </c:pt>
                <c:pt idx="445">
                  <c:v>1827.611963190184</c:v>
                </c:pt>
                <c:pt idx="446">
                  <c:v>1809.4923312883434</c:v>
                </c:pt>
                <c:pt idx="447">
                  <c:v>1807.8450920245398</c:v>
                </c:pt>
                <c:pt idx="448">
                  <c:v>1804.5506134969323</c:v>
                </c:pt>
                <c:pt idx="449">
                  <c:v>1832.5536809815951</c:v>
                </c:pt>
                <c:pt idx="450">
                  <c:v>1891.8542944785274</c:v>
                </c:pt>
                <c:pt idx="451">
                  <c:v>1870.4401840490796</c:v>
                </c:pt>
                <c:pt idx="452">
                  <c:v>1889.3834355828219</c:v>
                </c:pt>
                <c:pt idx="453">
                  <c:v>2026.1042944785274</c:v>
                </c:pt>
                <c:pt idx="454">
                  <c:v>2106.8190184049081</c:v>
                </c:pt>
                <c:pt idx="455">
                  <c:v>2114.2315950920242</c:v>
                </c:pt>
                <c:pt idx="456">
                  <c:v>2059.0490797546013</c:v>
                </c:pt>
                <c:pt idx="457">
                  <c:v>2075.5214723926379</c:v>
                </c:pt>
                <c:pt idx="458">
                  <c:v>2122.467791411043</c:v>
                </c:pt>
                <c:pt idx="459">
                  <c:v>2062.3435582822085</c:v>
                </c:pt>
                <c:pt idx="460">
                  <c:v>2046.6947852760736</c:v>
                </c:pt>
                <c:pt idx="461">
                  <c:v>2047.5184049079753</c:v>
                </c:pt>
                <c:pt idx="462">
                  <c:v>2066.4616564417179</c:v>
                </c:pt>
                <c:pt idx="463">
                  <c:v>2060.6963190184047</c:v>
                </c:pt>
                <c:pt idx="464">
                  <c:v>2084.5812883435583</c:v>
                </c:pt>
                <c:pt idx="465">
                  <c:v>2012.1027607361962</c:v>
                </c:pt>
                <c:pt idx="466">
                  <c:v>2113.4079754601225</c:v>
                </c:pt>
                <c:pt idx="467">
                  <c:v>2115.8788343558281</c:v>
                </c:pt>
                <c:pt idx="468">
                  <c:v>2107.6426380368098</c:v>
                </c:pt>
                <c:pt idx="469">
                  <c:v>2128.2331288343557</c:v>
                </c:pt>
                <c:pt idx="470">
                  <c:v>2157.8834355828221</c:v>
                </c:pt>
                <c:pt idx="471">
                  <c:v>2159.5306748466255</c:v>
                </c:pt>
                <c:pt idx="472">
                  <c:v>2199.8880368098157</c:v>
                </c:pt>
                <c:pt idx="473">
                  <c:v>2185.8865030674847</c:v>
                </c:pt>
                <c:pt idx="474">
                  <c:v>2173.532208588957</c:v>
                </c:pt>
                <c:pt idx="475">
                  <c:v>2103.5245398773004</c:v>
                </c:pt>
                <c:pt idx="476">
                  <c:v>2110.1134969325153</c:v>
                </c:pt>
                <c:pt idx="477">
                  <c:v>2101.0536809815949</c:v>
                </c:pt>
                <c:pt idx="478">
                  <c:v>2105.9953987730059</c:v>
                </c:pt>
                <c:pt idx="479">
                  <c:v>2121.6441717791408</c:v>
                </c:pt>
                <c:pt idx="480">
                  <c:v>2129.8803680981596</c:v>
                </c:pt>
                <c:pt idx="481">
                  <c:v>2129.0567484662574</c:v>
                </c:pt>
                <c:pt idx="482">
                  <c:v>2124.9386503067485</c:v>
                </c:pt>
                <c:pt idx="483">
                  <c:v>2110.937116564417</c:v>
                </c:pt>
                <c:pt idx="484">
                  <c:v>2080.4631901840489</c:v>
                </c:pt>
                <c:pt idx="485">
                  <c:v>1988.2177914110428</c:v>
                </c:pt>
                <c:pt idx="486">
                  <c:v>2077.1687116564417</c:v>
                </c:pt>
                <c:pt idx="487">
                  <c:v>2044.2239263803681</c:v>
                </c:pt>
                <c:pt idx="488">
                  <c:v>2062.3435582822085</c:v>
                </c:pt>
                <c:pt idx="489">
                  <c:v>2082.1104294478528</c:v>
                </c:pt>
                <c:pt idx="490">
                  <c:v>2067.2852760736196</c:v>
                </c:pt>
                <c:pt idx="491">
                  <c:v>1994.8067484662577</c:v>
                </c:pt>
                <c:pt idx="492">
                  <c:v>1990.6886503067483</c:v>
                </c:pt>
                <c:pt idx="493">
                  <c:v>2007.1610429447851</c:v>
                </c:pt>
                <c:pt idx="494">
                  <c:v>2029.3987730061349</c:v>
                </c:pt>
                <c:pt idx="495">
                  <c:v>2042.5766871165642</c:v>
                </c:pt>
                <c:pt idx="496">
                  <c:v>2041.7530674846626</c:v>
                </c:pt>
                <c:pt idx="497">
                  <c:v>2026.9279141104294</c:v>
                </c:pt>
                <c:pt idx="498">
                  <c:v>1983.2760736196319</c:v>
                </c:pt>
                <c:pt idx="499">
                  <c:v>2017.0444785276072</c:v>
                </c:pt>
                <c:pt idx="500">
                  <c:v>2054.1073619631902</c:v>
                </c:pt>
                <c:pt idx="501">
                  <c:v>2038.4585889570551</c:v>
                </c:pt>
                <c:pt idx="502">
                  <c:v>2055.7546012269936</c:v>
                </c:pt>
                <c:pt idx="503">
                  <c:v>2012.1027607361962</c:v>
                </c:pt>
                <c:pt idx="504">
                  <c:v>2059.872699386503</c:v>
                </c:pt>
                <c:pt idx="505">
                  <c:v>2040.1058282208587</c:v>
                </c:pt>
                <c:pt idx="506">
                  <c:v>2022.8098159509202</c:v>
                </c:pt>
                <c:pt idx="507">
                  <c:v>2109.2898773006136</c:v>
                </c:pt>
                <c:pt idx="508">
                  <c:v>2109.2898773006136</c:v>
                </c:pt>
                <c:pt idx="509">
                  <c:v>2166.9432515337421</c:v>
                </c:pt>
                <c:pt idx="510">
                  <c:v>2183.4156441717791</c:v>
                </c:pt>
                <c:pt idx="511">
                  <c:v>2159.5306748466255</c:v>
                </c:pt>
                <c:pt idx="512">
                  <c:v>2112.5843558282209</c:v>
                </c:pt>
                <c:pt idx="513">
                  <c:v>2077.9923312883434</c:v>
                </c:pt>
                <c:pt idx="514">
                  <c:v>2129.8803680981596</c:v>
                </c:pt>
                <c:pt idx="515">
                  <c:v>2029.3987730061349</c:v>
                </c:pt>
                <c:pt idx="516">
                  <c:v>2007.984662576687</c:v>
                </c:pt>
                <c:pt idx="517">
                  <c:v>2111.7607361963187</c:v>
                </c:pt>
                <c:pt idx="518">
                  <c:v>2054.9309815950919</c:v>
                </c:pt>
                <c:pt idx="519">
                  <c:v>2044.2239263803681</c:v>
                </c:pt>
                <c:pt idx="520">
                  <c:v>2158.7070552147238</c:v>
                </c:pt>
                <c:pt idx="521">
                  <c:v>2122.467791411043</c:v>
                </c:pt>
                <c:pt idx="522">
                  <c:v>2114.2315950920242</c:v>
                </c:pt>
                <c:pt idx="523">
                  <c:v>2068.9325153374234</c:v>
                </c:pt>
                <c:pt idx="524">
                  <c:v>2028.575153374233</c:v>
                </c:pt>
                <c:pt idx="525">
                  <c:v>2001.3957055214723</c:v>
                </c:pt>
                <c:pt idx="526">
                  <c:v>1980.8052147239264</c:v>
                </c:pt>
                <c:pt idx="527">
                  <c:v>1950.3312883435583</c:v>
                </c:pt>
                <c:pt idx="528">
                  <c:v>1986.5705521472391</c:v>
                </c:pt>
                <c:pt idx="529">
                  <c:v>2007.1610429447851</c:v>
                </c:pt>
                <c:pt idx="530">
                  <c:v>2005.5138036809815</c:v>
                </c:pt>
                <c:pt idx="531">
                  <c:v>2093.6411042944783</c:v>
                </c:pt>
                <c:pt idx="532">
                  <c:v>2035.9877300613496</c:v>
                </c:pt>
                <c:pt idx="533">
                  <c:v>2010.4555214723925</c:v>
                </c:pt>
                <c:pt idx="534">
                  <c:v>2037.6349693251532</c:v>
                </c:pt>
                <c:pt idx="535">
                  <c:v>2047.5184049079753</c:v>
                </c:pt>
                <c:pt idx="536">
                  <c:v>2031.0460122699385</c:v>
                </c:pt>
                <c:pt idx="537">
                  <c:v>2088.6993865030672</c:v>
                </c:pt>
                <c:pt idx="538">
                  <c:v>2116.7024539877298</c:v>
                </c:pt>
                <c:pt idx="539">
                  <c:v>2095.2883435582821</c:v>
                </c:pt>
                <c:pt idx="540">
                  <c:v>2073.8742331288345</c:v>
                </c:pt>
                <c:pt idx="541">
                  <c:v>2090.3466257668711</c:v>
                </c:pt>
                <c:pt idx="542">
                  <c:v>2070.5797546012268</c:v>
                </c:pt>
                <c:pt idx="543">
                  <c:v>2115.0552147239264</c:v>
                </c:pt>
                <c:pt idx="544">
                  <c:v>2139.7638036809817</c:v>
                </c:pt>
                <c:pt idx="545">
                  <c:v>2134.8220858895706</c:v>
                </c:pt>
                <c:pt idx="546">
                  <c:v>2121.6441717791408</c:v>
                </c:pt>
                <c:pt idx="547">
                  <c:v>2090.3466257668711</c:v>
                </c:pt>
                <c:pt idx="548">
                  <c:v>2149.6472392638034</c:v>
                </c:pt>
                <c:pt idx="549">
                  <c:v>2139.7638036809817</c:v>
                </c:pt>
                <c:pt idx="550">
                  <c:v>2123.2914110429447</c:v>
                </c:pt>
                <c:pt idx="551">
                  <c:v>2103.5245398773004</c:v>
                </c:pt>
                <c:pt idx="552">
                  <c:v>2078.8159509202451</c:v>
                </c:pt>
                <c:pt idx="553">
                  <c:v>2090.3466257668711</c:v>
                </c:pt>
                <c:pt idx="554">
                  <c:v>2054.1073619631902</c:v>
                </c:pt>
                <c:pt idx="555">
                  <c:v>2062.3435582822085</c:v>
                </c:pt>
                <c:pt idx="556">
                  <c:v>2091.9938650306749</c:v>
                </c:pt>
                <c:pt idx="557">
                  <c:v>2124.9386503067485</c:v>
                </c:pt>
                <c:pt idx="558">
                  <c:v>2090.3466257668711</c:v>
                </c:pt>
                <c:pt idx="559">
                  <c:v>2017.8680981595091</c:v>
                </c:pt>
                <c:pt idx="560">
                  <c:v>2012.9263803680981</c:v>
                </c:pt>
                <c:pt idx="561">
                  <c:v>2024.4570552147238</c:v>
                </c:pt>
                <c:pt idx="562">
                  <c:v>2011.2791411042945</c:v>
                </c:pt>
                <c:pt idx="563">
                  <c:v>2012.9263803680981</c:v>
                </c:pt>
                <c:pt idx="564">
                  <c:v>1955.2730061349691</c:v>
                </c:pt>
                <c:pt idx="565">
                  <c:v>1948.6840490797545</c:v>
                </c:pt>
                <c:pt idx="566">
                  <c:v>1983.2760736196319</c:v>
                </c:pt>
                <c:pt idx="567">
                  <c:v>1971.7453987730059</c:v>
                </c:pt>
                <c:pt idx="568">
                  <c:v>1996.4539877300613</c:v>
                </c:pt>
                <c:pt idx="569">
                  <c:v>1968.4509202453987</c:v>
                </c:pt>
                <c:pt idx="570">
                  <c:v>1909.1503067484662</c:v>
                </c:pt>
                <c:pt idx="571">
                  <c:v>1872.9110429447851</c:v>
                </c:pt>
                <c:pt idx="572">
                  <c:v>1884.4417177914111</c:v>
                </c:pt>
                <c:pt idx="573">
                  <c:v>1904.2085889570551</c:v>
                </c:pt>
                <c:pt idx="574">
                  <c:v>1950.3312883435583</c:v>
                </c:pt>
                <c:pt idx="575">
                  <c:v>1891.0306748466257</c:v>
                </c:pt>
                <c:pt idx="576">
                  <c:v>1938.8006134969323</c:v>
                </c:pt>
                <c:pt idx="577">
                  <c:v>1909.1503067484662</c:v>
                </c:pt>
                <c:pt idx="578">
                  <c:v>1945.3895705521472</c:v>
                </c:pt>
                <c:pt idx="579">
                  <c:v>2166.1196319018404</c:v>
                </c:pt>
                <c:pt idx="580">
                  <c:v>2108.4662576687115</c:v>
                </c:pt>
                <c:pt idx="581">
                  <c:v>2157.8834355828221</c:v>
                </c:pt>
                <c:pt idx="582">
                  <c:v>2157.8834355828221</c:v>
                </c:pt>
                <c:pt idx="583">
                  <c:v>2177.6503067484664</c:v>
                </c:pt>
                <c:pt idx="584">
                  <c:v>2185.8865030674847</c:v>
                </c:pt>
                <c:pt idx="585">
                  <c:v>2194.122699386503</c:v>
                </c:pt>
                <c:pt idx="586">
                  <c:v>2174.3558282208587</c:v>
                </c:pt>
                <c:pt idx="587">
                  <c:v>2116.7024539877298</c:v>
                </c:pt>
                <c:pt idx="588">
                  <c:v>2100.2300613496932</c:v>
                </c:pt>
                <c:pt idx="589">
                  <c:v>2108.4662576687115</c:v>
                </c:pt>
                <c:pt idx="590">
                  <c:v>2063.9907975460123</c:v>
                </c:pt>
                <c:pt idx="591">
                  <c:v>2019.5153374233128</c:v>
                </c:pt>
                <c:pt idx="592">
                  <c:v>2037.6349693251532</c:v>
                </c:pt>
                <c:pt idx="593">
                  <c:v>2007.984662576687</c:v>
                </c:pt>
                <c:pt idx="594">
                  <c:v>1940.4478527607362</c:v>
                </c:pt>
                <c:pt idx="595">
                  <c:v>1923.9754601226994</c:v>
                </c:pt>
                <c:pt idx="596">
                  <c:v>1951.9785276073619</c:v>
                </c:pt>
                <c:pt idx="597">
                  <c:v>1915.7392638036808</c:v>
                </c:pt>
                <c:pt idx="598">
                  <c:v>1933.8588957055215</c:v>
                </c:pt>
                <c:pt idx="599">
                  <c:v>1895.9723926380368</c:v>
                </c:pt>
                <c:pt idx="600">
                  <c:v>1899.266871165644</c:v>
                </c:pt>
                <c:pt idx="601">
                  <c:v>1900.9141104294479</c:v>
                </c:pt>
                <c:pt idx="602">
                  <c:v>1892.6779141104294</c:v>
                </c:pt>
                <c:pt idx="603">
                  <c:v>1863.0276073619632</c:v>
                </c:pt>
                <c:pt idx="604">
                  <c:v>1858.0858895705521</c:v>
                </c:pt>
                <c:pt idx="605">
                  <c:v>1854.7914110429447</c:v>
                </c:pt>
                <c:pt idx="606">
                  <c:v>1843.2607361963189</c:v>
                </c:pt>
                <c:pt idx="607">
                  <c:v>1836.6717791411043</c:v>
                </c:pt>
                <c:pt idx="608">
                  <c:v>1793.8435582822085</c:v>
                </c:pt>
                <c:pt idx="609">
                  <c:v>1785.6073619631902</c:v>
                </c:pt>
                <c:pt idx="610">
                  <c:v>1744.4263803680981</c:v>
                </c:pt>
                <c:pt idx="611">
                  <c:v>1774.0766871165642</c:v>
                </c:pt>
                <c:pt idx="612">
                  <c:v>1759.2515337423313</c:v>
                </c:pt>
                <c:pt idx="613">
                  <c:v>1780.6656441717791</c:v>
                </c:pt>
                <c:pt idx="614">
                  <c:v>1780.6656441717791</c:v>
                </c:pt>
                <c:pt idx="615">
                  <c:v>1775.7239263803681</c:v>
                </c:pt>
                <c:pt idx="616">
                  <c:v>1746.0736196319017</c:v>
                </c:pt>
                <c:pt idx="617">
                  <c:v>1706.5398773006134</c:v>
                </c:pt>
                <c:pt idx="618">
                  <c:v>1685.1257668711655</c:v>
                </c:pt>
                <c:pt idx="619">
                  <c:v>1681.8312883435583</c:v>
                </c:pt>
                <c:pt idx="620">
                  <c:v>1607.7055214723925</c:v>
                </c:pt>
                <c:pt idx="621">
                  <c:v>1550.0521472392638</c:v>
                </c:pt>
                <c:pt idx="622">
                  <c:v>1546.7576687116564</c:v>
                </c:pt>
                <c:pt idx="623">
                  <c:v>1546.7576687116564</c:v>
                </c:pt>
                <c:pt idx="624">
                  <c:v>1550.0521472392638</c:v>
                </c:pt>
                <c:pt idx="625">
                  <c:v>1548.40490797546</c:v>
                </c:pt>
                <c:pt idx="626">
                  <c:v>1601.1165644171779</c:v>
                </c:pt>
                <c:pt idx="627">
                  <c:v>1573.1134969325153</c:v>
                </c:pt>
                <c:pt idx="628">
                  <c:v>1594.5276073619632</c:v>
                </c:pt>
                <c:pt idx="629">
                  <c:v>1604.4110429447851</c:v>
                </c:pt>
                <c:pt idx="630">
                  <c:v>1576.4079754601225</c:v>
                </c:pt>
                <c:pt idx="631">
                  <c:v>1607.7055214723925</c:v>
                </c:pt>
                <c:pt idx="632">
                  <c:v>1652.1809815950919</c:v>
                </c:pt>
                <c:pt idx="633">
                  <c:v>1620.8834355828221</c:v>
                </c:pt>
                <c:pt idx="634">
                  <c:v>1680.1840490797545</c:v>
                </c:pt>
                <c:pt idx="635">
                  <c:v>1737.8374233128834</c:v>
                </c:pt>
                <c:pt idx="636">
                  <c:v>1742.7791411042945</c:v>
                </c:pt>
                <c:pt idx="637">
                  <c:v>1719.717791411043</c:v>
                </c:pt>
                <c:pt idx="638">
                  <c:v>1749.3680981595091</c:v>
                </c:pt>
                <c:pt idx="639">
                  <c:v>1721.3650306748466</c:v>
                </c:pt>
                <c:pt idx="640">
                  <c:v>1734.5429447852759</c:v>
                </c:pt>
                <c:pt idx="641">
                  <c:v>1724.6595092024538</c:v>
                </c:pt>
                <c:pt idx="642">
                  <c:v>1718.0705521472391</c:v>
                </c:pt>
                <c:pt idx="643">
                  <c:v>1721.3650306748466</c:v>
                </c:pt>
                <c:pt idx="644">
                  <c:v>1663.7116564417177</c:v>
                </c:pt>
                <c:pt idx="645">
                  <c:v>1643.9447852760736</c:v>
                </c:pt>
                <c:pt idx="646">
                  <c:v>1653.8282208588957</c:v>
                </c:pt>
                <c:pt idx="647">
                  <c:v>1622.5306748466257</c:v>
                </c:pt>
                <c:pt idx="648">
                  <c:v>1619.2361963190183</c:v>
                </c:pt>
                <c:pt idx="649">
                  <c:v>1594.5276073619632</c:v>
                </c:pt>
                <c:pt idx="650">
                  <c:v>1561.5828220858896</c:v>
                </c:pt>
                <c:pt idx="651">
                  <c:v>1586.2914110429447</c:v>
                </c:pt>
                <c:pt idx="652">
                  <c:v>1568.1717791411043</c:v>
                </c:pt>
                <c:pt idx="653">
                  <c:v>1591.2331288343557</c:v>
                </c:pt>
                <c:pt idx="654">
                  <c:v>1624.1779141104294</c:v>
                </c:pt>
                <c:pt idx="655">
                  <c:v>1620.8834355828221</c:v>
                </c:pt>
                <c:pt idx="656">
                  <c:v>1584.6441717791411</c:v>
                </c:pt>
                <c:pt idx="657">
                  <c:v>1573.1134969325153</c:v>
                </c:pt>
                <c:pt idx="658">
                  <c:v>1592.8803680981594</c:v>
                </c:pt>
                <c:pt idx="659">
                  <c:v>1576.4079754601225</c:v>
                </c:pt>
                <c:pt idx="660">
                  <c:v>1625.825153374233</c:v>
                </c:pt>
                <c:pt idx="661">
                  <c:v>1611</c:v>
                </c:pt>
              </c:numCache>
            </c:numRef>
          </c:val>
        </c:ser>
        <c:marker val="1"/>
        <c:axId val="127730048"/>
        <c:axId val="127731584"/>
      </c:lineChart>
      <c:dateAx>
        <c:axId val="127730048"/>
        <c:scaling>
          <c:orientation val="minMax"/>
        </c:scaling>
        <c:axPos val="b"/>
        <c:numFmt formatCode="yyyy/mm/dd" sourceLinked="1"/>
        <c:tickLblPos val="nextTo"/>
        <c:crossAx val="127731584"/>
        <c:crosses val="autoZero"/>
        <c:auto val="1"/>
        <c:lblOffset val="100"/>
      </c:dateAx>
      <c:valAx>
        <c:axId val="127731584"/>
        <c:scaling>
          <c:orientation val="minMax"/>
          <c:max val="3405"/>
          <c:min val="1088.8251533742334"/>
        </c:scaling>
        <c:axPos val="l"/>
        <c:majorGridlines/>
        <c:numFmt formatCode="General" sourceLinked="1"/>
        <c:tickLblPos val="nextTo"/>
        <c:crossAx val="127730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11"/>
          <c:y val="3.0978629203754358E-2"/>
          <c:w val="0.16694356073421124"/>
          <c:h val="0.10937726973325443"/>
        </c:manualLayout>
      </c:layout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B42" sqref="B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1"/>
  <sheetViews>
    <sheetView showGridLines="0" zoomScale="115" zoomScaleNormal="115" workbookViewId="0">
      <selection activeCell="B4" sqref="B4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8" t="s">
        <v>164</v>
      </c>
      <c r="D1" s="13"/>
      <c r="H1" s="1"/>
      <c r="I1" s="13" t="s">
        <v>24</v>
      </c>
      <c r="J1" s="57"/>
      <c r="K1" s="242">
        <v>43816</v>
      </c>
      <c r="L1" s="243"/>
      <c r="M1" s="23"/>
      <c r="N1" s="13" t="s">
        <v>266</v>
      </c>
      <c r="P1" s="242">
        <f ca="1">TODAY()</f>
        <v>43816</v>
      </c>
      <c r="Q1" s="244"/>
      <c r="U1" s="58" t="s">
        <v>23</v>
      </c>
      <c r="V1" s="58"/>
    </row>
    <row r="2" spans="2:23" ht="16.5" customHeight="1" thickBot="1">
      <c r="J2" s="184">
        <f>SUM(J4:J64)</f>
        <v>8124300</v>
      </c>
      <c r="R2" s="128">
        <f ca="1">SUM(R4:R64)</f>
        <v>16629.555616438349</v>
      </c>
      <c r="S2" s="92">
        <f ca="1">SUM(S4:S64)</f>
        <v>7.7639068957820068E-3</v>
      </c>
    </row>
    <row r="3" spans="2:23" ht="24.75" thickBot="1">
      <c r="C3" s="59" t="s">
        <v>147</v>
      </c>
      <c r="D3" s="69" t="s">
        <v>171</v>
      </c>
      <c r="E3" s="61"/>
      <c r="F3" s="60" t="s">
        <v>69</v>
      </c>
      <c r="G3" s="62" t="s">
        <v>70</v>
      </c>
      <c r="H3" s="63" t="s">
        <v>148</v>
      </c>
      <c r="I3" s="63" t="s">
        <v>149</v>
      </c>
      <c r="J3" s="61" t="s">
        <v>22</v>
      </c>
      <c r="K3" s="61" t="s">
        <v>150</v>
      </c>
      <c r="L3" s="63" t="s">
        <v>151</v>
      </c>
      <c r="M3" s="64" t="s">
        <v>172</v>
      </c>
      <c r="N3" s="61" t="s">
        <v>152</v>
      </c>
      <c r="O3" s="64" t="s">
        <v>166</v>
      </c>
      <c r="P3" s="61" t="s">
        <v>259</v>
      </c>
      <c r="Q3" s="61" t="s">
        <v>153</v>
      </c>
      <c r="R3" s="64" t="s">
        <v>168</v>
      </c>
      <c r="S3" s="67" t="s">
        <v>169</v>
      </c>
      <c r="T3" s="66"/>
      <c r="U3" s="68" t="s">
        <v>265</v>
      </c>
      <c r="V3" s="68" t="s">
        <v>170</v>
      </c>
      <c r="W3" s="65" t="s">
        <v>167</v>
      </c>
    </row>
    <row r="4" spans="2:23" s="107" customFormat="1">
      <c r="B4" s="125" t="s">
        <v>274</v>
      </c>
      <c r="C4" s="234">
        <f>ROW()/2-1</f>
        <v>1</v>
      </c>
      <c r="D4" s="236">
        <v>43802</v>
      </c>
      <c r="E4" s="34" t="s">
        <v>155</v>
      </c>
      <c r="F4" s="34">
        <v>3861</v>
      </c>
      <c r="G4" s="56" t="s">
        <v>65</v>
      </c>
      <c r="H4" s="50">
        <v>616</v>
      </c>
      <c r="I4" s="50">
        <v>1700</v>
      </c>
      <c r="J4" s="51">
        <f t="shared" ref="J4:J5" si="0">H4*I4</f>
        <v>1047200</v>
      </c>
      <c r="K4" s="53" t="s">
        <v>160</v>
      </c>
      <c r="L4" s="50">
        <v>645</v>
      </c>
      <c r="M4" s="34">
        <v>770</v>
      </c>
      <c r="N4" s="147">
        <f ca="1">IF(OR(K4="現物",J4=0),0,IF(E4="売",J4*Fee_Refer!$B$12/365*V4, J4*Fee_Refer!$B$11/365*#REF!))</f>
        <v>441.83232876712322</v>
      </c>
      <c r="O4" s="53">
        <v>92</v>
      </c>
      <c r="P4" s="150">
        <f ca="1">IF(L4 &gt;0,(H4-L4)*I4-M4-N4-O4,0)</f>
        <v>-50603.832328767123</v>
      </c>
      <c r="Q4" s="52">
        <f t="shared" ref="Q4:Q5" ca="1" si="1">P4/J4</f>
        <v>-4.8322987326935754E-2</v>
      </c>
      <c r="R4" s="238">
        <f ca="1">P4+P5</f>
        <v>22297.584657534244</v>
      </c>
      <c r="S4" s="239">
        <f t="shared" ref="S4" ca="1" si="2">R4/(J4+J5)</f>
        <v>1.0665638887177961E-2</v>
      </c>
      <c r="U4" s="241">
        <f ca="1">$P$1</f>
        <v>43816</v>
      </c>
      <c r="V4" s="232">
        <f t="shared" ref="V4" ca="1" si="3">IF(U4&gt;D4,DATEDIF(D4,U4,"d"),0)</f>
        <v>14</v>
      </c>
      <c r="W4" s="233"/>
    </row>
    <row r="5" spans="2:23" s="107" customFormat="1">
      <c r="B5" s="125" t="s">
        <v>1025</v>
      </c>
      <c r="C5" s="235"/>
      <c r="D5" s="237">
        <v>43748</v>
      </c>
      <c r="E5" s="30" t="s">
        <v>156</v>
      </c>
      <c r="F5" s="30">
        <v>5703</v>
      </c>
      <c r="G5" s="55" t="s">
        <v>305</v>
      </c>
      <c r="H5" s="47">
        <v>222</v>
      </c>
      <c r="I5" s="47">
        <v>4700</v>
      </c>
      <c r="J5" s="48">
        <f t="shared" si="0"/>
        <v>1043400</v>
      </c>
      <c r="K5" s="148" t="s">
        <v>161</v>
      </c>
      <c r="L5" s="42">
        <v>238</v>
      </c>
      <c r="M5" s="32">
        <v>770</v>
      </c>
      <c r="N5" s="149">
        <f ca="1">IF(OR(K5="現物",J5=0),0,IF(E5="売",J5*Fee_Refer!$B$12/365*V5, J5*Fee_Refer!$B$11/365*V4))</f>
        <v>1120.5830136986301</v>
      </c>
      <c r="O5" s="136">
        <v>408</v>
      </c>
      <c r="P5" s="151">
        <f ca="1">IF(L5&gt;0,(L5-H5)*I5-M5-N5-O5,0)</f>
        <v>72901.416986301367</v>
      </c>
      <c r="Q5" s="49">
        <f t="shared" ca="1" si="1"/>
        <v>6.9869098127565046E-2</v>
      </c>
      <c r="R5" s="238"/>
      <c r="S5" s="240"/>
      <c r="U5" s="232"/>
      <c r="V5" s="232"/>
      <c r="W5" s="232"/>
    </row>
    <row r="6" spans="2:23" s="107" customFormat="1">
      <c r="B6" s="125" t="s">
        <v>274</v>
      </c>
      <c r="C6" s="234">
        <f>ROW()/2-1</f>
        <v>2</v>
      </c>
      <c r="D6" s="236">
        <v>43808</v>
      </c>
      <c r="E6" s="34" t="s">
        <v>262</v>
      </c>
      <c r="F6" s="34">
        <v>5991</v>
      </c>
      <c r="G6" s="56" t="s">
        <v>1288</v>
      </c>
      <c r="H6" s="50">
        <v>1013</v>
      </c>
      <c r="I6" s="50">
        <v>900</v>
      </c>
      <c r="J6" s="51">
        <f t="shared" ref="J6:J11" si="4">H6*I6</f>
        <v>911700</v>
      </c>
      <c r="K6" s="53" t="s">
        <v>1287</v>
      </c>
      <c r="L6" s="50">
        <v>1015</v>
      </c>
      <c r="M6" s="34">
        <v>770</v>
      </c>
      <c r="N6" s="147">
        <f ca="1">IF(OR(K6="現物",J6=0),0,IF(E6="売",J6*Fee_Refer!$B$12/365*V6, J6*Fee_Refer!$B$11/365*#REF!))</f>
        <v>219.8071232876712</v>
      </c>
      <c r="O6" s="53">
        <v>0</v>
      </c>
      <c r="P6" s="150">
        <f ca="1">IF(L6 &gt;0,(H6-L6)*I6-M6-N6-O6,0)</f>
        <v>-2789.8071232876714</v>
      </c>
      <c r="Q6" s="52">
        <f t="shared" ref="Q6:Q11" ca="1" si="5">P6/J6</f>
        <v>-3.0600056194885067E-3</v>
      </c>
      <c r="R6" s="238">
        <f ca="1">P6+P7</f>
        <v>4256.5654794520542</v>
      </c>
      <c r="S6" s="239">
        <f t="shared" ref="S6" ca="1" si="6">R6/(J6+J7)</f>
        <v>2.2851588980791616E-3</v>
      </c>
      <c r="U6" s="241">
        <f ca="1">$P$1</f>
        <v>43816</v>
      </c>
      <c r="V6" s="232">
        <f t="shared" ref="V6" ca="1" si="7">IF(U6&gt;D6,DATEDIF(D6,U6,"d"),0)</f>
        <v>8</v>
      </c>
      <c r="W6" s="233"/>
    </row>
    <row r="7" spans="2:23" s="107" customFormat="1">
      <c r="B7" s="125" t="s">
        <v>1025</v>
      </c>
      <c r="C7" s="235"/>
      <c r="D7" s="237">
        <v>43748</v>
      </c>
      <c r="E7" s="30" t="s">
        <v>264</v>
      </c>
      <c r="F7" s="30">
        <v>7267</v>
      </c>
      <c r="G7" s="55" t="s">
        <v>1289</v>
      </c>
      <c r="H7" s="47">
        <v>3170</v>
      </c>
      <c r="I7" s="47">
        <v>300</v>
      </c>
      <c r="J7" s="48">
        <f t="shared" si="4"/>
        <v>951000</v>
      </c>
      <c r="K7" s="148" t="s">
        <v>1287</v>
      </c>
      <c r="L7" s="42">
        <v>3198</v>
      </c>
      <c r="M7" s="32">
        <v>770</v>
      </c>
      <c r="N7" s="149">
        <f ca="1">IF(OR(K7="現物",J7=0),0,IF(E7="売",J7*Fee_Refer!$B$12/365*V7, J7*Fee_Refer!$B$11/365*V6))</f>
        <v>583.62739726027394</v>
      </c>
      <c r="O7" s="172">
        <v>0</v>
      </c>
      <c r="P7" s="151">
        <f ca="1">IF(L7&gt;0,(L7-H7)*I7-M7-N7-O7,0)</f>
        <v>7046.3726027397261</v>
      </c>
      <c r="Q7" s="49">
        <f t="shared" ca="1" si="5"/>
        <v>7.4094349135012888E-3</v>
      </c>
      <c r="R7" s="238"/>
      <c r="S7" s="240"/>
      <c r="U7" s="232"/>
      <c r="V7" s="232"/>
      <c r="W7" s="232"/>
    </row>
    <row r="8" spans="2:23" s="107" customFormat="1">
      <c r="B8" s="125" t="s">
        <v>274</v>
      </c>
      <c r="C8" s="234">
        <f>ROW()/2-1</f>
        <v>3</v>
      </c>
      <c r="D8" s="236">
        <v>43809</v>
      </c>
      <c r="E8" s="34" t="s">
        <v>262</v>
      </c>
      <c r="F8" s="34">
        <v>6471</v>
      </c>
      <c r="G8" s="56" t="s">
        <v>1292</v>
      </c>
      <c r="H8" s="50">
        <v>1067</v>
      </c>
      <c r="I8" s="50">
        <v>1000</v>
      </c>
      <c r="J8" s="51">
        <f t="shared" si="4"/>
        <v>1067000</v>
      </c>
      <c r="K8" s="53" t="s">
        <v>1294</v>
      </c>
      <c r="L8" s="50">
        <v>1070</v>
      </c>
      <c r="M8" s="34">
        <v>770</v>
      </c>
      <c r="N8" s="147">
        <f ca="1">IF(OR(K8="現物",J8=0),0,IF(E8="売",J8*Fee_Refer!$B$12/365*V8, J8*Fee_Refer!$B$11/365*#REF!))</f>
        <v>225.09315068493152</v>
      </c>
      <c r="O8" s="53">
        <v>0</v>
      </c>
      <c r="P8" s="150">
        <f ca="1">IF(L8 &gt;0,(H8-L8)*I8-M8-N8-O8,0)</f>
        <v>-3995.0931506849315</v>
      </c>
      <c r="Q8" s="52">
        <f t="shared" ca="1" si="5"/>
        <v>-3.7442297569680707E-3</v>
      </c>
      <c r="R8" s="238">
        <f ca="1">P8+P9</f>
        <v>8250.6657534246569</v>
      </c>
      <c r="S8" s="239">
        <f t="shared" ref="S8" ca="1" si="8">R8/(J8+J9)</f>
        <v>3.8286151988049452E-3</v>
      </c>
      <c r="U8" s="241">
        <f ca="1">$P$1</f>
        <v>43816</v>
      </c>
      <c r="V8" s="232">
        <f t="shared" ref="V8" ca="1" si="9">IF(U8&gt;D8,DATEDIF(D8,U8,"d"),0)</f>
        <v>7</v>
      </c>
      <c r="W8" s="233"/>
    </row>
    <row r="9" spans="2:23" s="107" customFormat="1">
      <c r="B9" s="125" t="s">
        <v>1025</v>
      </c>
      <c r="C9" s="235"/>
      <c r="D9" s="237">
        <v>43748</v>
      </c>
      <c r="E9" s="30" t="s">
        <v>264</v>
      </c>
      <c r="F9" s="30">
        <v>6473</v>
      </c>
      <c r="G9" s="55" t="s">
        <v>1293</v>
      </c>
      <c r="H9" s="47">
        <v>1360</v>
      </c>
      <c r="I9" s="47">
        <v>800</v>
      </c>
      <c r="J9" s="48">
        <f t="shared" si="4"/>
        <v>1088000</v>
      </c>
      <c r="K9" s="148" t="s">
        <v>1294</v>
      </c>
      <c r="L9" s="42">
        <v>1377</v>
      </c>
      <c r="M9" s="32">
        <v>770</v>
      </c>
      <c r="N9" s="149">
        <f ca="1">IF(OR(K9="現物",J9=0),0,IF(E9="売",J9*Fee_Refer!$B$12/365*V9, J9*Fee_Refer!$B$11/365*V8))</f>
        <v>584.24109589041097</v>
      </c>
      <c r="O9" s="173">
        <v>0</v>
      </c>
      <c r="P9" s="151">
        <f ca="1">IF(L9&gt;0,(L9-H9)*I9-M9-N9-O9,0)</f>
        <v>12245.758904109589</v>
      </c>
      <c r="Q9" s="49">
        <f t="shared" ca="1" si="5"/>
        <v>1.1255293110394842E-2</v>
      </c>
      <c r="R9" s="238"/>
      <c r="S9" s="240"/>
      <c r="U9" s="232"/>
      <c r="V9" s="232"/>
      <c r="W9" s="232"/>
    </row>
    <row r="10" spans="2:23" s="107" customFormat="1">
      <c r="B10" s="125" t="s">
        <v>274</v>
      </c>
      <c r="C10" s="234">
        <f>ROW()/2-1</f>
        <v>4</v>
      </c>
      <c r="D10" s="236">
        <v>43811</v>
      </c>
      <c r="E10" s="34" t="s">
        <v>262</v>
      </c>
      <c r="F10" s="34">
        <v>1860</v>
      </c>
      <c r="G10" s="56" t="s">
        <v>1296</v>
      </c>
      <c r="H10" s="50">
        <v>730</v>
      </c>
      <c r="I10" s="50">
        <v>1400</v>
      </c>
      <c r="J10" s="51">
        <f t="shared" si="4"/>
        <v>1022000</v>
      </c>
      <c r="K10" s="53" t="s">
        <v>1295</v>
      </c>
      <c r="L10" s="50">
        <v>741</v>
      </c>
      <c r="M10" s="34">
        <v>770</v>
      </c>
      <c r="N10" s="147">
        <f ca="1">IF(OR(K10="現物",J10=0),0,IF(E10="売",J10*Fee_Refer!$B$12/365*V10, J10*Fee_Refer!$B$11/365*#REF!))</f>
        <v>154</v>
      </c>
      <c r="O10" s="53">
        <v>0</v>
      </c>
      <c r="P10" s="150">
        <f ca="1">IF(L10 &gt;0,(H10-L10)*I10-M10-N10-O10,0)</f>
        <v>-16324</v>
      </c>
      <c r="Q10" s="52">
        <f t="shared" ca="1" si="5"/>
        <v>-1.5972602739726026E-2</v>
      </c>
      <c r="R10" s="238">
        <f ca="1">P10+P11</f>
        <v>-18175.260273972603</v>
      </c>
      <c r="S10" s="239">
        <f t="shared" ref="S10" ca="1" si="10">R10/(J10+J11)</f>
        <v>-9.0155060882800616E-3</v>
      </c>
      <c r="U10" s="241">
        <f ca="1">$P$1</f>
        <v>43816</v>
      </c>
      <c r="V10" s="232">
        <f t="shared" ref="V10" ca="1" si="11">IF(U10&gt;D10,DATEDIF(D10,U10,"d"),0)</f>
        <v>5</v>
      </c>
      <c r="W10" s="233"/>
    </row>
    <row r="11" spans="2:23" s="107" customFormat="1">
      <c r="B11" s="125" t="s">
        <v>1025</v>
      </c>
      <c r="C11" s="235"/>
      <c r="D11" s="237">
        <v>43748</v>
      </c>
      <c r="E11" s="30" t="s">
        <v>264</v>
      </c>
      <c r="F11" s="30">
        <v>5110</v>
      </c>
      <c r="G11" s="55" t="s">
        <v>1297</v>
      </c>
      <c r="H11" s="47">
        <v>1420</v>
      </c>
      <c r="I11" s="47">
        <v>700</v>
      </c>
      <c r="J11" s="48">
        <f t="shared" si="4"/>
        <v>994000</v>
      </c>
      <c r="K11" s="148" t="s">
        <v>1295</v>
      </c>
      <c r="L11" s="42">
        <v>1419</v>
      </c>
      <c r="M11" s="32">
        <v>770</v>
      </c>
      <c r="N11" s="149">
        <f ca="1">IF(OR(K11="現物",J11=0),0,IF(E11="売",J11*Fee_Refer!$B$12/365*V11, J11*Fee_Refer!$B$11/365*V10))</f>
        <v>381.2602739726027</v>
      </c>
      <c r="O11" s="183">
        <v>0</v>
      </c>
      <c r="P11" s="151">
        <f ca="1">IF(L11&gt;0,(L11-H11)*I11-M11-N11-O11,0)</f>
        <v>-1851.2602739726026</v>
      </c>
      <c r="Q11" s="49">
        <f t="shared" ca="1" si="5"/>
        <v>-1.862434883272236E-3</v>
      </c>
      <c r="R11" s="238"/>
      <c r="S11" s="240"/>
      <c r="U11" s="232"/>
      <c r="V11" s="232"/>
      <c r="W11" s="232"/>
    </row>
  </sheetData>
  <mergeCells count="30">
    <mergeCell ref="V10:V11"/>
    <mergeCell ref="W10:W11"/>
    <mergeCell ref="C10:C11"/>
    <mergeCell ref="D10:D11"/>
    <mergeCell ref="R10:R11"/>
    <mergeCell ref="S10:S11"/>
    <mergeCell ref="U10:U11"/>
    <mergeCell ref="V8:V9"/>
    <mergeCell ref="W8:W9"/>
    <mergeCell ref="C8:C9"/>
    <mergeCell ref="D8:D9"/>
    <mergeCell ref="R8:R9"/>
    <mergeCell ref="S8:S9"/>
    <mergeCell ref="U8:U9"/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topLeftCell="J1" zoomScaleNormal="100" workbookViewId="0">
      <selection activeCell="V4" sqref="V4:V5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8" t="s">
        <v>260</v>
      </c>
      <c r="R2" s="94">
        <f>SUM(R4:R1010)</f>
        <v>518323.01041095867</v>
      </c>
      <c r="S2" s="185"/>
      <c r="U2" s="58" t="s">
        <v>145</v>
      </c>
    </row>
    <row r="3" spans="2:29" ht="30" customHeight="1" thickBot="1">
      <c r="C3" s="59" t="s">
        <v>147</v>
      </c>
      <c r="D3" s="93" t="s">
        <v>171</v>
      </c>
      <c r="E3" s="61"/>
      <c r="F3" s="62" t="s">
        <v>69</v>
      </c>
      <c r="G3" s="62" t="s">
        <v>70</v>
      </c>
      <c r="H3" s="64" t="s">
        <v>273</v>
      </c>
      <c r="I3" s="64" t="s">
        <v>270</v>
      </c>
      <c r="J3" s="61" t="s">
        <v>22</v>
      </c>
      <c r="K3" s="61" t="s">
        <v>150</v>
      </c>
      <c r="L3" s="64" t="s">
        <v>271</v>
      </c>
      <c r="M3" s="64" t="s">
        <v>172</v>
      </c>
      <c r="N3" s="61" t="s">
        <v>152</v>
      </c>
      <c r="O3" s="64" t="s">
        <v>166</v>
      </c>
      <c r="P3" s="63" t="s">
        <v>272</v>
      </c>
      <c r="Q3" s="63" t="s">
        <v>154</v>
      </c>
      <c r="R3" s="64" t="s">
        <v>168</v>
      </c>
      <c r="S3" s="67" t="s">
        <v>169</v>
      </c>
      <c r="T3" s="66"/>
      <c r="U3" s="68" t="s">
        <v>261</v>
      </c>
      <c r="V3" s="68" t="s">
        <v>2333</v>
      </c>
      <c r="W3" s="68" t="s">
        <v>167</v>
      </c>
      <c r="AA3" s="68" t="s">
        <v>267</v>
      </c>
      <c r="AB3" s="68" t="s">
        <v>268</v>
      </c>
      <c r="AC3" s="68" t="s">
        <v>269</v>
      </c>
    </row>
    <row r="4" spans="2:29">
      <c r="B4" s="174"/>
      <c r="C4" s="253">
        <v>1</v>
      </c>
      <c r="D4" s="269">
        <v>43726</v>
      </c>
      <c r="E4" s="26" t="s">
        <v>262</v>
      </c>
      <c r="F4" s="26">
        <v>6472</v>
      </c>
      <c r="G4" s="54" t="s">
        <v>263</v>
      </c>
      <c r="H4" s="44">
        <v>320</v>
      </c>
      <c r="I4" s="27">
        <v>1200</v>
      </c>
      <c r="J4" s="45">
        <v>384000</v>
      </c>
      <c r="K4" s="38" t="s">
        <v>161</v>
      </c>
      <c r="L4" s="41">
        <v>313</v>
      </c>
      <c r="M4" s="28">
        <f>360+18+14</f>
        <v>392</v>
      </c>
      <c r="N4" s="29">
        <v>219</v>
      </c>
      <c r="O4" s="29">
        <v>60</v>
      </c>
      <c r="P4" s="26">
        <f>IF(L4 &gt;0,(H4-L4)*I4-M4-N4-O4,0)</f>
        <v>7729</v>
      </c>
      <c r="Q4" s="46">
        <f>P4/J4</f>
        <v>2.0127604166666667E-2</v>
      </c>
      <c r="R4" s="248">
        <f>P4+P5</f>
        <v>159</v>
      </c>
      <c r="S4" s="255">
        <f t="shared" ref="S4" si="0">R4/(J4+J5)</f>
        <v>2.1406645484409498E-4</v>
      </c>
      <c r="U4" s="261">
        <v>43742</v>
      </c>
      <c r="V4" s="265">
        <f>DATEDIF(D4,U4,"d")</f>
        <v>16</v>
      </c>
      <c r="W4" s="263" t="s">
        <v>1268</v>
      </c>
      <c r="AA4" s="248">
        <f>YEAR(U4)</f>
        <v>2019</v>
      </c>
      <c r="AB4" s="248">
        <f>MONTH(U4)</f>
        <v>10</v>
      </c>
      <c r="AC4" s="248" t="str">
        <f>IF(R4&gt;0,"○","☓")</f>
        <v>○</v>
      </c>
    </row>
    <row r="5" spans="2:29" ht="15" thickBot="1">
      <c r="B5" s="174"/>
      <c r="C5" s="235"/>
      <c r="D5" s="246"/>
      <c r="E5" s="30" t="s">
        <v>264</v>
      </c>
      <c r="F5" s="30">
        <v>6752</v>
      </c>
      <c r="G5" s="55" t="s">
        <v>105</v>
      </c>
      <c r="H5" s="47">
        <v>896.9</v>
      </c>
      <c r="I5" s="31">
        <v>400</v>
      </c>
      <c r="J5" s="48">
        <v>358760</v>
      </c>
      <c r="K5" s="39" t="s">
        <v>162</v>
      </c>
      <c r="L5" s="42">
        <v>880.4</v>
      </c>
      <c r="M5" s="32">
        <f>360+14+34</f>
        <v>408</v>
      </c>
      <c r="N5" s="33">
        <v>522</v>
      </c>
      <c r="O5" s="33">
        <f>200-160</f>
        <v>40</v>
      </c>
      <c r="P5" s="30">
        <f>IF(L5 &gt;0,(L5-H5)*I5-M5-N5-O5,0)</f>
        <v>-7570</v>
      </c>
      <c r="Q5" s="49">
        <f>P5/J5</f>
        <v>-2.1100457130114839E-2</v>
      </c>
      <c r="R5" s="240"/>
      <c r="S5" s="260"/>
      <c r="U5" s="262"/>
      <c r="V5" s="266"/>
      <c r="W5" s="264"/>
      <c r="AA5" s="240"/>
      <c r="AB5" s="240"/>
      <c r="AC5" s="240"/>
    </row>
    <row r="6" spans="2:29">
      <c r="B6" s="174"/>
      <c r="C6" s="253">
        <v>2</v>
      </c>
      <c r="D6" s="258">
        <v>43732</v>
      </c>
      <c r="E6" s="26" t="s">
        <v>155</v>
      </c>
      <c r="F6" s="26">
        <v>6305</v>
      </c>
      <c r="G6" s="54" t="s">
        <v>33</v>
      </c>
      <c r="H6" s="44">
        <v>2638</v>
      </c>
      <c r="I6" s="27">
        <v>300</v>
      </c>
      <c r="J6" s="45">
        <v>791400</v>
      </c>
      <c r="K6" s="38" t="s">
        <v>161</v>
      </c>
      <c r="L6" s="41">
        <v>2464</v>
      </c>
      <c r="M6" s="28">
        <f>700+35+28</f>
        <v>763</v>
      </c>
      <c r="N6" s="29">
        <v>477</v>
      </c>
      <c r="O6" s="29">
        <v>30</v>
      </c>
      <c r="P6" s="26">
        <f t="shared" ref="P6" si="1">IF(L6 &gt;0,(H6-L6)*I6-M6-N6-O6,0)</f>
        <v>50930</v>
      </c>
      <c r="Q6" s="46">
        <f t="shared" ref="Q6:Q33" si="2">P6/J6</f>
        <v>6.4354308819812994E-2</v>
      </c>
      <c r="R6" s="248">
        <f>P6+P7</f>
        <v>37649</v>
      </c>
      <c r="S6" s="239">
        <f t="shared" ref="S6" si="3">R6/(J6+J7)</f>
        <v>2.3845082019127242E-2</v>
      </c>
      <c r="T6" s="3"/>
      <c r="U6" s="267">
        <v>43748</v>
      </c>
      <c r="V6" s="268">
        <f>DATEDIF(D6,U6,"d")</f>
        <v>16</v>
      </c>
      <c r="W6" s="263" t="s">
        <v>1268</v>
      </c>
      <c r="AA6" s="248">
        <f t="shared" ref="AA6" si="4">YEAR(U6)</f>
        <v>2019</v>
      </c>
      <c r="AB6" s="248">
        <f t="shared" ref="AB6" si="5">MONTH(U6)</f>
        <v>10</v>
      </c>
      <c r="AC6" s="248" t="str">
        <f>IF(R6&gt;0,"○","☓")</f>
        <v>○</v>
      </c>
    </row>
    <row r="7" spans="2:29">
      <c r="B7" s="174"/>
      <c r="C7" s="235"/>
      <c r="D7" s="247"/>
      <c r="E7" s="30" t="s">
        <v>156</v>
      </c>
      <c r="F7" s="30">
        <v>3861</v>
      </c>
      <c r="G7" s="55" t="s">
        <v>65</v>
      </c>
      <c r="H7" s="47">
        <v>525</v>
      </c>
      <c r="I7" s="31">
        <v>1500</v>
      </c>
      <c r="J7" s="48">
        <v>787500</v>
      </c>
      <c r="K7" s="39" t="s">
        <v>162</v>
      </c>
      <c r="L7" s="42">
        <v>518</v>
      </c>
      <c r="M7" s="32">
        <f>700+28+95</f>
        <v>823</v>
      </c>
      <c r="N7" s="33">
        <v>1208</v>
      </c>
      <c r="O7" s="33">
        <v>750</v>
      </c>
      <c r="P7" s="30">
        <f t="shared" ref="P7" si="6">IF(L7 &gt;0,(L7-H7)*I7-M7-N7-O7,0)</f>
        <v>-13281</v>
      </c>
      <c r="Q7" s="49">
        <f t="shared" si="2"/>
        <v>-1.6864761904761903E-2</v>
      </c>
      <c r="R7" s="240"/>
      <c r="S7" s="240"/>
      <c r="T7" s="3"/>
      <c r="U7" s="267"/>
      <c r="V7" s="268"/>
      <c r="W7" s="264"/>
      <c r="AA7" s="240"/>
      <c r="AB7" s="240"/>
      <c r="AC7" s="240"/>
    </row>
    <row r="8" spans="2:29">
      <c r="B8" s="174"/>
      <c r="C8" s="234">
        <f>ROW()/2-1</f>
        <v>3</v>
      </c>
      <c r="D8" s="258">
        <v>43747</v>
      </c>
      <c r="E8" s="34" t="s">
        <v>163</v>
      </c>
      <c r="F8" s="34">
        <v>3099</v>
      </c>
      <c r="G8" s="56" t="s">
        <v>64</v>
      </c>
      <c r="H8" s="50">
        <v>872</v>
      </c>
      <c r="I8" s="34">
        <v>1200</v>
      </c>
      <c r="J8" s="34">
        <f t="shared" ref="J8:J11" si="7">H8*I8</f>
        <v>1046400</v>
      </c>
      <c r="K8" s="53" t="s">
        <v>160</v>
      </c>
      <c r="L8" s="50">
        <v>876</v>
      </c>
      <c r="M8" s="34">
        <f>700+35+35</f>
        <v>770</v>
      </c>
      <c r="N8" s="34">
        <v>220</v>
      </c>
      <c r="O8" s="53">
        <v>0</v>
      </c>
      <c r="P8" s="26">
        <f t="shared" ref="P8" si="8">IF(L8 &gt;0,(H8-L8)*I8-M8-N8-O8,0)</f>
        <v>-5790</v>
      </c>
      <c r="Q8" s="46">
        <f t="shared" si="2"/>
        <v>-5.5332568807339453E-3</v>
      </c>
      <c r="R8" s="238">
        <f>P8+P9</f>
        <v>63304</v>
      </c>
      <c r="S8" s="255">
        <f>R8/(J8+J9)</f>
        <v>3.0952474085663994E-2</v>
      </c>
      <c r="U8" s="257">
        <v>43753</v>
      </c>
      <c r="V8" s="235">
        <f t="shared" ref="V8" si="9">DATEDIF(D8,U8,"d")</f>
        <v>6</v>
      </c>
      <c r="W8" s="251" t="s">
        <v>1270</v>
      </c>
      <c r="AA8" s="248">
        <f t="shared" ref="AA8:AA10" si="10">YEAR(U8)</f>
        <v>2019</v>
      </c>
      <c r="AB8" s="248">
        <f t="shared" ref="AB8" si="11">MONTH(U8)</f>
        <v>10</v>
      </c>
      <c r="AC8" s="248" t="str">
        <f t="shared" ref="AC8:AC10" si="12">IF(R8&gt;0,"○","☓")</f>
        <v>○</v>
      </c>
    </row>
    <row r="9" spans="2:29">
      <c r="B9" s="174"/>
      <c r="C9" s="235"/>
      <c r="D9" s="247">
        <v>43747</v>
      </c>
      <c r="E9" s="30" t="s">
        <v>156</v>
      </c>
      <c r="F9" s="30">
        <v>7211</v>
      </c>
      <c r="G9" s="55" t="s">
        <v>30</v>
      </c>
      <c r="H9" s="47">
        <v>454</v>
      </c>
      <c r="I9" s="47">
        <v>2200</v>
      </c>
      <c r="J9" s="48">
        <f t="shared" si="7"/>
        <v>998800</v>
      </c>
      <c r="K9" s="39" t="s">
        <v>160</v>
      </c>
      <c r="L9" s="42">
        <v>486</v>
      </c>
      <c r="M9" s="32">
        <f>700+35+35</f>
        <v>770</v>
      </c>
      <c r="N9" s="33">
        <v>536</v>
      </c>
      <c r="O9" s="33">
        <v>0</v>
      </c>
      <c r="P9" s="30">
        <f t="shared" ref="P9" si="13">IF(L9 &gt;0,(L9-H9)*I9-M9-N9-O9,0)</f>
        <v>69094</v>
      </c>
      <c r="Q9" s="49">
        <f t="shared" si="2"/>
        <v>6.9177012414897876E-2</v>
      </c>
      <c r="R9" s="238"/>
      <c r="S9" s="240"/>
      <c r="U9" s="241"/>
      <c r="V9" s="232"/>
      <c r="W9" s="232"/>
      <c r="AA9" s="240"/>
      <c r="AB9" s="240"/>
      <c r="AC9" s="240"/>
    </row>
    <row r="10" spans="2:29">
      <c r="B10" s="174"/>
      <c r="C10" s="234">
        <f>ROW()/2-1</f>
        <v>4</v>
      </c>
      <c r="D10" s="258">
        <v>43753</v>
      </c>
      <c r="E10" s="129" t="s">
        <v>155</v>
      </c>
      <c r="F10" s="34">
        <v>7453</v>
      </c>
      <c r="G10" s="56" t="s">
        <v>104</v>
      </c>
      <c r="H10" s="50">
        <v>2127</v>
      </c>
      <c r="I10" s="34">
        <v>500</v>
      </c>
      <c r="J10" s="34">
        <f t="shared" si="7"/>
        <v>1063500</v>
      </c>
      <c r="K10" s="53" t="s">
        <v>160</v>
      </c>
      <c r="L10" s="50">
        <v>2298</v>
      </c>
      <c r="M10" s="34">
        <f>700+35+35</f>
        <v>770</v>
      </c>
      <c r="N10" s="34">
        <v>256</v>
      </c>
      <c r="O10" s="53">
        <v>0</v>
      </c>
      <c r="P10" s="26">
        <f t="shared" ref="P10" si="14">IF(L10 &gt;0,(H10-L10)*I10-M10-N10-O10,0)</f>
        <v>-86526</v>
      </c>
      <c r="Q10" s="46">
        <f t="shared" si="2"/>
        <v>-8.1359661495063476E-2</v>
      </c>
      <c r="R10" s="238">
        <f>P10+P11</f>
        <v>-93238.000000000029</v>
      </c>
      <c r="S10" s="239">
        <f t="shared" ref="S10" si="15">R10/(J10+J11)</f>
        <v>-4.3839777316989466E-2</v>
      </c>
      <c r="U10" s="256">
        <v>43759</v>
      </c>
      <c r="V10" s="232">
        <f>DATEDIF(D10,U10,"d")</f>
        <v>6</v>
      </c>
      <c r="W10" s="259" t="s">
        <v>279</v>
      </c>
      <c r="X10" s="1" t="s">
        <v>296</v>
      </c>
      <c r="AA10" s="248">
        <f t="shared" si="10"/>
        <v>2019</v>
      </c>
      <c r="AB10" s="248">
        <f t="shared" ref="AB10" si="16">MONTH(U10)</f>
        <v>10</v>
      </c>
      <c r="AC10" s="249" t="str">
        <f t="shared" si="12"/>
        <v>☓</v>
      </c>
    </row>
    <row r="11" spans="2:29">
      <c r="B11" s="174"/>
      <c r="C11" s="235"/>
      <c r="D11" s="247">
        <v>43748</v>
      </c>
      <c r="E11" s="130" t="s">
        <v>156</v>
      </c>
      <c r="F11" s="30">
        <v>8308</v>
      </c>
      <c r="G11" s="55" t="s">
        <v>102</v>
      </c>
      <c r="H11" s="47">
        <v>462.3</v>
      </c>
      <c r="I11" s="47">
        <v>2300</v>
      </c>
      <c r="J11" s="48">
        <f t="shared" si="7"/>
        <v>1063290</v>
      </c>
      <c r="K11" s="39" t="s">
        <v>160</v>
      </c>
      <c r="L11" s="42">
        <v>460</v>
      </c>
      <c r="M11" s="32">
        <f>700+35+35</f>
        <v>770</v>
      </c>
      <c r="N11" s="106">
        <v>652</v>
      </c>
      <c r="O11" s="106">
        <v>0</v>
      </c>
      <c r="P11" s="30">
        <f t="shared" ref="P11" si="17">IF(L11 &gt;0,(L11-H11)*I11-M11-N11-O11,0)</f>
        <v>-6712.0000000000264</v>
      </c>
      <c r="Q11" s="49">
        <f t="shared" si="2"/>
        <v>-6.3124829538508086E-3</v>
      </c>
      <c r="R11" s="238"/>
      <c r="S11" s="240"/>
      <c r="U11" s="257"/>
      <c r="V11" s="232"/>
      <c r="W11" s="259"/>
      <c r="X11" s="1" t="s">
        <v>297</v>
      </c>
      <c r="AA11" s="240"/>
      <c r="AB11" s="240"/>
      <c r="AC11" s="250"/>
    </row>
    <row r="12" spans="2:29">
      <c r="B12" s="174"/>
      <c r="C12" s="253">
        <f>ROW()/2-1</f>
        <v>5</v>
      </c>
      <c r="D12" s="246">
        <v>43742</v>
      </c>
      <c r="E12" s="26" t="s">
        <v>155</v>
      </c>
      <c r="F12" s="26">
        <v>8750</v>
      </c>
      <c r="G12" s="54" t="s">
        <v>32</v>
      </c>
      <c r="H12" s="44">
        <v>1635</v>
      </c>
      <c r="I12" s="27">
        <v>600</v>
      </c>
      <c r="J12" s="45">
        <f>H12*I12</f>
        <v>981000</v>
      </c>
      <c r="K12" s="38" t="s">
        <v>161</v>
      </c>
      <c r="L12" s="41">
        <v>1741.5</v>
      </c>
      <c r="M12" s="28">
        <f>700+35+35</f>
        <v>770</v>
      </c>
      <c r="N12" s="29">
        <v>502</v>
      </c>
      <c r="O12" s="29">
        <v>0</v>
      </c>
      <c r="P12" s="26">
        <f t="shared" ref="P12" si="18">IF(L12 &gt;0,(H12-L12)*I12-M12-N12-O12,0)</f>
        <v>-65172</v>
      </c>
      <c r="Q12" s="46">
        <f t="shared" si="2"/>
        <v>-6.6434250764525998E-2</v>
      </c>
      <c r="R12" s="254">
        <f>P12+P13</f>
        <v>-11052.999999999898</v>
      </c>
      <c r="S12" s="255">
        <f>R12/(J12+J13)</f>
        <v>-5.6554672757562954E-3</v>
      </c>
      <c r="U12" s="256">
        <v>43759</v>
      </c>
      <c r="V12" s="232">
        <f>DATEDIF(D12,U12,"d")</f>
        <v>17</v>
      </c>
      <c r="W12" s="252" t="s">
        <v>1268</v>
      </c>
      <c r="AA12" s="248">
        <f t="shared" ref="AA12" si="19">YEAR(U12)</f>
        <v>2019</v>
      </c>
      <c r="AB12" s="248">
        <f t="shared" ref="AB12" si="20">MONTH(U12)</f>
        <v>10</v>
      </c>
      <c r="AC12" s="249" t="str">
        <f t="shared" ref="AC12" si="21">IF(R12&gt;0,"○","☓")</f>
        <v>☓</v>
      </c>
    </row>
    <row r="13" spans="2:29">
      <c r="B13" s="25"/>
      <c r="C13" s="235"/>
      <c r="D13" s="247"/>
      <c r="E13" s="30" t="s">
        <v>156</v>
      </c>
      <c r="F13" s="30">
        <v>8002</v>
      </c>
      <c r="G13" s="55" t="s">
        <v>31</v>
      </c>
      <c r="H13" s="47">
        <v>695.28</v>
      </c>
      <c r="I13" s="31">
        <v>1400</v>
      </c>
      <c r="J13" s="48">
        <f>H13*I13</f>
        <v>973392</v>
      </c>
      <c r="K13" s="176" t="s">
        <v>1278</v>
      </c>
      <c r="L13" s="42">
        <v>734.7</v>
      </c>
      <c r="M13" s="32">
        <f>487+582</f>
        <v>1069</v>
      </c>
      <c r="N13" s="33">
        <v>0</v>
      </c>
      <c r="O13" s="33">
        <v>0</v>
      </c>
      <c r="P13" s="30">
        <f>IF(L13 &gt;0,(L13-H13)*I13-M13-N13-O13,0)</f>
        <v>54119.000000000102</v>
      </c>
      <c r="Q13" s="49">
        <f t="shared" si="2"/>
        <v>5.5598361194667822E-2</v>
      </c>
      <c r="R13" s="238"/>
      <c r="S13" s="240"/>
      <c r="U13" s="257"/>
      <c r="V13" s="232"/>
      <c r="W13" s="252"/>
      <c r="AA13" s="240"/>
      <c r="AB13" s="240"/>
      <c r="AC13" s="250"/>
    </row>
    <row r="14" spans="2:29" s="107" customFormat="1">
      <c r="B14" s="174"/>
      <c r="C14" s="234">
        <f>ROW()/2-1</f>
        <v>6</v>
      </c>
      <c r="D14" s="246">
        <v>43745</v>
      </c>
      <c r="E14" s="34" t="s">
        <v>155</v>
      </c>
      <c r="F14" s="34">
        <v>6770</v>
      </c>
      <c r="G14" s="56" t="s">
        <v>26</v>
      </c>
      <c r="H14" s="50">
        <v>2105</v>
      </c>
      <c r="I14" s="35">
        <v>400</v>
      </c>
      <c r="J14" s="51">
        <f t="shared" ref="J14:J19" si="22">H14*I14</f>
        <v>842000</v>
      </c>
      <c r="K14" s="40" t="s">
        <v>161</v>
      </c>
      <c r="L14" s="43">
        <v>2145</v>
      </c>
      <c r="M14" s="36">
        <f>700+35+35</f>
        <v>770</v>
      </c>
      <c r="N14" s="37">
        <v>431</v>
      </c>
      <c r="O14" s="37">
        <v>80</v>
      </c>
      <c r="P14" s="26">
        <f t="shared" ref="P14" si="23">IF(L14 &gt;0,(H14-L14)*I14-M14-N14-O14,0)</f>
        <v>-17281</v>
      </c>
      <c r="Q14" s="46">
        <f t="shared" si="2"/>
        <v>-2.052375296912114E-2</v>
      </c>
      <c r="R14" s="238">
        <f>P14+P15</f>
        <v>-1197.0000000000437</v>
      </c>
      <c r="S14" s="239">
        <f t="shared" ref="S14" si="24">R14/(J14+J15)</f>
        <v>-7.1541831052504275E-4</v>
      </c>
      <c r="U14" s="241">
        <v>43761</v>
      </c>
      <c r="V14" s="232">
        <f t="shared" ref="V14" si="25">DATEDIF(D14,U14,"d")</f>
        <v>16</v>
      </c>
      <c r="W14" s="252" t="s">
        <v>1268</v>
      </c>
      <c r="AA14" s="248">
        <f t="shared" ref="AA14" si="26">YEAR(U14)</f>
        <v>2019</v>
      </c>
      <c r="AB14" s="248">
        <f t="shared" ref="AB14" si="27">MONTH(U14)</f>
        <v>10</v>
      </c>
      <c r="AC14" s="249" t="str">
        <f t="shared" ref="AC14" si="28">IF(R14&gt;0,"○","☓")</f>
        <v>☓</v>
      </c>
    </row>
    <row r="15" spans="2:29" s="107" customFormat="1">
      <c r="B15" s="25"/>
      <c r="C15" s="235"/>
      <c r="D15" s="247">
        <v>43745</v>
      </c>
      <c r="E15" s="30" t="s">
        <v>156</v>
      </c>
      <c r="F15" s="30">
        <v>8601</v>
      </c>
      <c r="G15" s="55" t="s">
        <v>27</v>
      </c>
      <c r="H15" s="47">
        <v>488.91</v>
      </c>
      <c r="I15" s="31">
        <v>1700</v>
      </c>
      <c r="J15" s="48">
        <f t="shared" si="22"/>
        <v>831147</v>
      </c>
      <c r="K15" s="176" t="s">
        <v>146</v>
      </c>
      <c r="L15" s="42">
        <v>499</v>
      </c>
      <c r="M15" s="32">
        <f>487+582</f>
        <v>1069</v>
      </c>
      <c r="N15" s="172">
        <v>0</v>
      </c>
      <c r="O15" s="172">
        <v>0</v>
      </c>
      <c r="P15" s="30">
        <f t="shared" ref="P15" si="29">IF(L15 &gt;0,(L15-H15)*I15-M15-N15-O15,0)</f>
        <v>16083.999999999956</v>
      </c>
      <c r="Q15" s="49">
        <f t="shared" si="2"/>
        <v>1.9351570781101245E-2</v>
      </c>
      <c r="R15" s="238"/>
      <c r="S15" s="240"/>
      <c r="U15" s="232"/>
      <c r="V15" s="232"/>
      <c r="W15" s="252"/>
      <c r="AA15" s="240"/>
      <c r="AB15" s="240"/>
      <c r="AC15" s="250"/>
    </row>
    <row r="16" spans="2:29" s="107" customFormat="1">
      <c r="B16" s="174"/>
      <c r="C16" s="234">
        <f>ROW()/2-1</f>
        <v>7</v>
      </c>
      <c r="D16" s="246">
        <v>43745</v>
      </c>
      <c r="E16" s="34" t="s">
        <v>155</v>
      </c>
      <c r="F16" s="34">
        <v>5803</v>
      </c>
      <c r="G16" s="56" t="s">
        <v>28</v>
      </c>
      <c r="H16" s="50">
        <v>413</v>
      </c>
      <c r="I16" s="35">
        <v>1700</v>
      </c>
      <c r="J16" s="51">
        <f t="shared" si="22"/>
        <v>702100</v>
      </c>
      <c r="K16" s="40" t="s">
        <v>161</v>
      </c>
      <c r="L16" s="43">
        <v>459</v>
      </c>
      <c r="M16" s="36">
        <f>700+35+35</f>
        <v>770</v>
      </c>
      <c r="N16" s="37">
        <v>359</v>
      </c>
      <c r="O16" s="37">
        <v>85</v>
      </c>
      <c r="P16" s="26">
        <f t="shared" ref="P16" si="30">IF(L16 &gt;0,(H16-L16)*I16-M16-N16-O16,0)</f>
        <v>-79414</v>
      </c>
      <c r="Q16" s="46">
        <f t="shared" si="2"/>
        <v>-0.11310924369747899</v>
      </c>
      <c r="R16" s="238">
        <f>P16+P17</f>
        <v>-16483</v>
      </c>
      <c r="S16" s="239">
        <f>R16/(J16+J17)</f>
        <v>-1.1926054554663194E-2</v>
      </c>
      <c r="U16" s="241">
        <v>43761</v>
      </c>
      <c r="V16" s="232">
        <f t="shared" ref="V16" si="31">DATEDIF(D16,U16,"d")</f>
        <v>16</v>
      </c>
      <c r="W16" s="252" t="s">
        <v>1268</v>
      </c>
      <c r="AA16" s="248">
        <f t="shared" ref="AA16" si="32">YEAR(U16)</f>
        <v>2019</v>
      </c>
      <c r="AB16" s="248">
        <f t="shared" ref="AB16" si="33">MONTH(U16)</f>
        <v>10</v>
      </c>
      <c r="AC16" s="249" t="str">
        <f t="shared" ref="AC16" si="34">IF(R16&gt;0,"○","☓")</f>
        <v>☓</v>
      </c>
    </row>
    <row r="17" spans="2:29" s="107" customFormat="1">
      <c r="B17" s="25"/>
      <c r="C17" s="235"/>
      <c r="D17" s="247">
        <v>43745</v>
      </c>
      <c r="E17" s="30" t="s">
        <v>156</v>
      </c>
      <c r="F17" s="30">
        <v>7259</v>
      </c>
      <c r="G17" s="55" t="s">
        <v>29</v>
      </c>
      <c r="H17" s="47">
        <v>3400</v>
      </c>
      <c r="I17" s="47">
        <v>200</v>
      </c>
      <c r="J17" s="48">
        <f t="shared" si="22"/>
        <v>680000</v>
      </c>
      <c r="K17" s="176" t="s">
        <v>146</v>
      </c>
      <c r="L17" s="42">
        <v>3720</v>
      </c>
      <c r="M17" s="32">
        <f>487+582</f>
        <v>1069</v>
      </c>
      <c r="N17" s="172">
        <v>0</v>
      </c>
      <c r="O17" s="172">
        <v>0</v>
      </c>
      <c r="P17" s="30">
        <f t="shared" ref="P17" si="35">IF(L17 &gt;0,(L17-H17)*I17-M17-N17-O17,0)</f>
        <v>62931</v>
      </c>
      <c r="Q17" s="49">
        <f t="shared" si="2"/>
        <v>9.2545588235294116E-2</v>
      </c>
      <c r="R17" s="238"/>
      <c r="S17" s="240"/>
      <c r="U17" s="232"/>
      <c r="V17" s="232"/>
      <c r="W17" s="252"/>
      <c r="AA17" s="240"/>
      <c r="AB17" s="240"/>
      <c r="AC17" s="250"/>
    </row>
    <row r="18" spans="2:29" s="107" customFormat="1">
      <c r="B18" s="174"/>
      <c r="C18" s="234">
        <f>ROW()/2-1</f>
        <v>8</v>
      </c>
      <c r="D18" s="246">
        <v>43748</v>
      </c>
      <c r="E18" s="34" t="s">
        <v>155</v>
      </c>
      <c r="F18" s="34">
        <v>7186</v>
      </c>
      <c r="G18" s="56" t="s">
        <v>157</v>
      </c>
      <c r="H18" s="50">
        <v>410</v>
      </c>
      <c r="I18" s="34">
        <v>1800</v>
      </c>
      <c r="J18" s="34">
        <f t="shared" si="22"/>
        <v>738000</v>
      </c>
      <c r="K18" s="53" t="s">
        <v>160</v>
      </c>
      <c r="L18" s="50">
        <v>444</v>
      </c>
      <c r="M18" s="34">
        <f>700+35+35</f>
        <v>770</v>
      </c>
      <c r="N18" s="34">
        <v>355</v>
      </c>
      <c r="O18" s="53">
        <v>1350</v>
      </c>
      <c r="P18" s="26">
        <f t="shared" ref="P18" si="36">IF(L18 &gt;0,(H18-L18)*I18-M18-N18-O18,0)</f>
        <v>-63675</v>
      </c>
      <c r="Q18" s="46">
        <f t="shared" si="2"/>
        <v>-8.6280487804878042E-2</v>
      </c>
      <c r="R18" s="238">
        <f>P18+P19</f>
        <v>-4757</v>
      </c>
      <c r="S18" s="239">
        <f t="shared" ref="S18" si="37">R18/(J18+J19)</f>
        <v>-3.2102847887704143E-3</v>
      </c>
      <c r="U18" s="241">
        <v>43767</v>
      </c>
      <c r="V18" s="232">
        <f t="shared" ref="V18" si="38">DATEDIF(D18,U18,"d")</f>
        <v>19</v>
      </c>
      <c r="W18" s="252" t="s">
        <v>1268</v>
      </c>
      <c r="AA18" s="248">
        <f t="shared" ref="AA18" si="39">YEAR(U18)</f>
        <v>2019</v>
      </c>
      <c r="AB18" s="248">
        <f t="shared" ref="AB18" si="40">MONTH(U18)</f>
        <v>10</v>
      </c>
      <c r="AC18" s="249" t="str">
        <f t="shared" ref="AC18" si="41">IF(R18&gt;0,"○","☓")</f>
        <v>☓</v>
      </c>
    </row>
    <row r="19" spans="2:29" s="107" customFormat="1">
      <c r="B19" s="174"/>
      <c r="C19" s="235"/>
      <c r="D19" s="247">
        <v>43748</v>
      </c>
      <c r="E19" s="30" t="s">
        <v>156</v>
      </c>
      <c r="F19" s="30">
        <v>8309</v>
      </c>
      <c r="G19" s="55" t="s">
        <v>158</v>
      </c>
      <c r="H19" s="47">
        <v>3719</v>
      </c>
      <c r="I19" s="47">
        <v>200</v>
      </c>
      <c r="J19" s="48">
        <f t="shared" si="22"/>
        <v>743800</v>
      </c>
      <c r="K19" s="39" t="s">
        <v>160</v>
      </c>
      <c r="L19" s="42">
        <v>4022</v>
      </c>
      <c r="M19" s="32">
        <f>700+35+35</f>
        <v>770</v>
      </c>
      <c r="N19" s="131">
        <v>912</v>
      </c>
      <c r="O19" s="131">
        <v>0</v>
      </c>
      <c r="P19" s="30">
        <f t="shared" ref="P19" si="42">IF(L19 &gt;0,(L19-H19)*I19-M19-N19-O19,0)</f>
        <v>58918</v>
      </c>
      <c r="Q19" s="49">
        <f t="shared" si="2"/>
        <v>7.9212153804786231E-2</v>
      </c>
      <c r="R19" s="238"/>
      <c r="S19" s="240"/>
      <c r="U19" s="232"/>
      <c r="V19" s="232"/>
      <c r="W19" s="252"/>
      <c r="AA19" s="240"/>
      <c r="AB19" s="240"/>
      <c r="AC19" s="250"/>
    </row>
    <row r="20" spans="2:29">
      <c r="B20" s="174"/>
      <c r="C20" s="234">
        <f>ROW()/2-1</f>
        <v>9</v>
      </c>
      <c r="D20" s="246">
        <v>43782</v>
      </c>
      <c r="E20" s="34" t="s">
        <v>155</v>
      </c>
      <c r="F20" s="34">
        <v>1820</v>
      </c>
      <c r="G20" s="56" t="s">
        <v>122</v>
      </c>
      <c r="H20" s="50">
        <v>2431</v>
      </c>
      <c r="I20" s="34">
        <v>400</v>
      </c>
      <c r="J20" s="51">
        <f t="shared" ref="J20:J27" si="43">H20*I20</f>
        <v>972400</v>
      </c>
      <c r="K20" s="53" t="s">
        <v>160</v>
      </c>
      <c r="L20" s="50">
        <v>2375</v>
      </c>
      <c r="M20" s="34">
        <f>700+35+35</f>
        <v>770</v>
      </c>
      <c r="N20" s="34">
        <v>234</v>
      </c>
      <c r="O20" s="53">
        <v>0</v>
      </c>
      <c r="P20" s="26">
        <f t="shared" ref="P20" si="44">IF(L20 &gt;0,(H20-L20)*I20-M20-N20-O20,0)</f>
        <v>21396</v>
      </c>
      <c r="Q20" s="46">
        <f t="shared" si="2"/>
        <v>2.2003290826820239E-2</v>
      </c>
      <c r="R20" s="238">
        <f>P20+P21</f>
        <v>485995</v>
      </c>
      <c r="S20" s="239">
        <f>R20/(J20+J21)</f>
        <v>0.25451000559299347</v>
      </c>
      <c r="U20" s="241">
        <v>43789</v>
      </c>
      <c r="V20" s="232">
        <f>DATEDIF(D20,U20,"d")</f>
        <v>7</v>
      </c>
      <c r="W20" s="251" t="s">
        <v>298</v>
      </c>
      <c r="X20" s="1" t="s">
        <v>1013</v>
      </c>
      <c r="AA20" s="248">
        <f t="shared" ref="AA20" si="45">YEAR(U20)</f>
        <v>2019</v>
      </c>
      <c r="AB20" s="248">
        <f t="shared" ref="AB20" si="46">MONTH(U20)</f>
        <v>11</v>
      </c>
      <c r="AC20" s="248" t="str">
        <f t="shared" ref="AC20" si="47">IF(R20&gt;0,"○","☓")</f>
        <v>○</v>
      </c>
    </row>
    <row r="21" spans="2:29">
      <c r="B21" s="25"/>
      <c r="C21" s="235"/>
      <c r="D21" s="247">
        <v>43748</v>
      </c>
      <c r="E21" s="30" t="s">
        <v>156</v>
      </c>
      <c r="F21" s="30">
        <v>4508</v>
      </c>
      <c r="G21" s="55" t="s">
        <v>309</v>
      </c>
      <c r="H21" s="47">
        <v>1338.76</v>
      </c>
      <c r="I21" s="47">
        <v>700</v>
      </c>
      <c r="J21" s="48">
        <f t="shared" si="43"/>
        <v>937132</v>
      </c>
      <c r="K21" s="176" t="s">
        <v>146</v>
      </c>
      <c r="L21" s="42">
        <v>2004</v>
      </c>
      <c r="M21" s="32">
        <f>487+582</f>
        <v>1069</v>
      </c>
      <c r="N21" s="172">
        <v>0</v>
      </c>
      <c r="O21" s="172">
        <v>0</v>
      </c>
      <c r="P21" s="30">
        <f t="shared" ref="P21" si="48">IF(L21 &gt;0,(L21-H21)*I21-M21-N21-O21,0)</f>
        <v>464599</v>
      </c>
      <c r="Q21" s="49">
        <f t="shared" si="2"/>
        <v>0.49576687168936712</v>
      </c>
      <c r="R21" s="238"/>
      <c r="S21" s="240"/>
      <c r="U21" s="232"/>
      <c r="V21" s="232"/>
      <c r="W21" s="232"/>
      <c r="X21" s="107" t="s">
        <v>1012</v>
      </c>
      <c r="AA21" s="240"/>
      <c r="AB21" s="240"/>
      <c r="AC21" s="240"/>
    </row>
    <row r="22" spans="2:29" s="107" customFormat="1">
      <c r="B22" s="174"/>
      <c r="C22" s="234">
        <f>ROW()/2-1</f>
        <v>10</v>
      </c>
      <c r="D22" s="246">
        <v>43782</v>
      </c>
      <c r="E22" s="34" t="s">
        <v>155</v>
      </c>
      <c r="F22" s="34">
        <v>8002</v>
      </c>
      <c r="G22" s="56" t="s">
        <v>31</v>
      </c>
      <c r="H22" s="50">
        <v>814</v>
      </c>
      <c r="I22" s="34">
        <v>1300</v>
      </c>
      <c r="J22" s="51">
        <f t="shared" si="43"/>
        <v>1058200</v>
      </c>
      <c r="K22" s="53" t="s">
        <v>160</v>
      </c>
      <c r="L22" s="50">
        <v>794.1</v>
      </c>
      <c r="M22" s="34">
        <f>700+35+35</f>
        <v>770</v>
      </c>
      <c r="N22" s="34">
        <v>350</v>
      </c>
      <c r="O22" s="53">
        <v>0</v>
      </c>
      <c r="P22" s="26">
        <f t="shared" ref="P22" si="49">IF(L22 &gt;0,(H22-L22)*I22-M22-N22-O22,0)</f>
        <v>24749.999999999971</v>
      </c>
      <c r="Q22" s="46">
        <f t="shared" si="2"/>
        <v>2.3388773388773362E-2</v>
      </c>
      <c r="R22" s="238">
        <f>P22+P23</f>
        <v>60240.999999999913</v>
      </c>
      <c r="S22" s="239">
        <f>R22/(J22+J23)</f>
        <v>2.8847737807914758E-2</v>
      </c>
      <c r="U22" s="241">
        <v>43790</v>
      </c>
      <c r="V22" s="232">
        <f>DATEDIF(D22,U22,"d")</f>
        <v>8</v>
      </c>
      <c r="W22" s="251" t="s">
        <v>298</v>
      </c>
      <c r="AA22" s="248">
        <f t="shared" ref="AA22" si="50">YEAR(U22)</f>
        <v>2019</v>
      </c>
      <c r="AB22" s="248">
        <f t="shared" ref="AB22" si="51">MONTH(U22)</f>
        <v>11</v>
      </c>
      <c r="AC22" s="248" t="str">
        <f t="shared" ref="AC22" si="52">IF(R22&gt;0,"○","☓")</f>
        <v>○</v>
      </c>
    </row>
    <row r="23" spans="2:29" s="107" customFormat="1">
      <c r="B23" s="25"/>
      <c r="C23" s="235"/>
      <c r="D23" s="247">
        <v>43748</v>
      </c>
      <c r="E23" s="30" t="s">
        <v>156</v>
      </c>
      <c r="F23" s="30">
        <v>8601</v>
      </c>
      <c r="G23" s="55" t="s">
        <v>27</v>
      </c>
      <c r="H23" s="47">
        <v>515.02</v>
      </c>
      <c r="I23" s="47">
        <v>2000</v>
      </c>
      <c r="J23" s="48">
        <f t="shared" si="43"/>
        <v>1030040</v>
      </c>
      <c r="K23" s="176" t="s">
        <v>146</v>
      </c>
      <c r="L23" s="42">
        <v>533.29999999999995</v>
      </c>
      <c r="M23" s="32">
        <f>487+582</f>
        <v>1069</v>
      </c>
      <c r="N23" s="131">
        <v>0</v>
      </c>
      <c r="O23" s="172">
        <v>0</v>
      </c>
      <c r="P23" s="30">
        <f t="shared" ref="P23" si="53">IF(L23 &gt;0,(L23-H23)*I23-M23-N23-O23,0)</f>
        <v>35490.999999999942</v>
      </c>
      <c r="Q23" s="49">
        <f t="shared" si="2"/>
        <v>3.4455943458506409E-2</v>
      </c>
      <c r="R23" s="238"/>
      <c r="S23" s="240"/>
      <c r="U23" s="232"/>
      <c r="V23" s="232"/>
      <c r="W23" s="232"/>
      <c r="AA23" s="240"/>
      <c r="AB23" s="240"/>
      <c r="AC23" s="240"/>
    </row>
    <row r="24" spans="2:29" s="107" customFormat="1">
      <c r="B24" s="174"/>
      <c r="C24" s="234">
        <f>ROW()/2-1</f>
        <v>11</v>
      </c>
      <c r="D24" s="246">
        <v>43783</v>
      </c>
      <c r="E24" s="34" t="s">
        <v>155</v>
      </c>
      <c r="F24" s="34">
        <v>3105</v>
      </c>
      <c r="G24" s="56" t="s">
        <v>90</v>
      </c>
      <c r="H24" s="50">
        <v>970</v>
      </c>
      <c r="I24" s="34">
        <v>1100</v>
      </c>
      <c r="J24" s="51">
        <f t="shared" si="43"/>
        <v>1067000</v>
      </c>
      <c r="K24" s="53" t="s">
        <v>160</v>
      </c>
      <c r="L24" s="50">
        <v>999</v>
      </c>
      <c r="M24" s="34">
        <f t="shared" ref="M24:M30" si="54">700+35+35</f>
        <v>770</v>
      </c>
      <c r="N24" s="34">
        <v>514</v>
      </c>
      <c r="O24" s="53">
        <v>165</v>
      </c>
      <c r="P24" s="26">
        <f t="shared" ref="P24" si="55">IF(L24 &gt;0,(H24-L24)*I24-M24-N24-O24,0)</f>
        <v>-33349</v>
      </c>
      <c r="Q24" s="46">
        <f t="shared" si="2"/>
        <v>-3.1254920337394562E-2</v>
      </c>
      <c r="R24" s="238">
        <f>P24+P25</f>
        <v>-59214</v>
      </c>
      <c r="S24" s="239">
        <f>R24/(J24+J25)</f>
        <v>-2.7894290559638213E-2</v>
      </c>
      <c r="U24" s="241">
        <v>43798</v>
      </c>
      <c r="V24" s="232">
        <f>DATEDIF(D24,U24,"d")</f>
        <v>15</v>
      </c>
      <c r="W24" s="272" t="s">
        <v>279</v>
      </c>
      <c r="AA24" s="248">
        <f t="shared" ref="AA24" si="56">YEAR(U24)</f>
        <v>2019</v>
      </c>
      <c r="AB24" s="248">
        <f t="shared" ref="AB24" si="57">MONTH(U24)</f>
        <v>11</v>
      </c>
      <c r="AC24" s="248" t="str">
        <f t="shared" ref="AC24" si="58">IF(R24&gt;0,"○","☓")</f>
        <v>☓</v>
      </c>
    </row>
    <row r="25" spans="2:29" s="107" customFormat="1">
      <c r="B25" s="174"/>
      <c r="C25" s="235"/>
      <c r="D25" s="247">
        <v>43748</v>
      </c>
      <c r="E25" s="30" t="s">
        <v>156</v>
      </c>
      <c r="F25" s="30">
        <v>6301</v>
      </c>
      <c r="G25" s="55" t="s">
        <v>109</v>
      </c>
      <c r="H25" s="47">
        <v>2639.5</v>
      </c>
      <c r="I25" s="47">
        <v>400</v>
      </c>
      <c r="J25" s="48">
        <f t="shared" si="43"/>
        <v>1055800</v>
      </c>
      <c r="K25" s="39" t="s">
        <v>146</v>
      </c>
      <c r="L25" s="42">
        <v>2580</v>
      </c>
      <c r="M25" s="32">
        <f t="shared" si="54"/>
        <v>770</v>
      </c>
      <c r="N25" s="132">
        <v>1295</v>
      </c>
      <c r="O25" s="132">
        <v>0</v>
      </c>
      <c r="P25" s="30">
        <f t="shared" ref="P25" si="59">IF(L25 &gt;0,(L25-H25)*I25-M25-N25-O25,0)</f>
        <v>-25865</v>
      </c>
      <c r="Q25" s="49">
        <f t="shared" si="2"/>
        <v>-2.4498010986929341E-2</v>
      </c>
      <c r="R25" s="238"/>
      <c r="S25" s="240"/>
      <c r="U25" s="232"/>
      <c r="V25" s="232"/>
      <c r="W25" s="273"/>
      <c r="AA25" s="240"/>
      <c r="AB25" s="240"/>
      <c r="AC25" s="240"/>
    </row>
    <row r="26" spans="2:29" s="107" customFormat="1">
      <c r="B26" s="174"/>
      <c r="C26" s="234">
        <f>ROW()/2-1</f>
        <v>12</v>
      </c>
      <c r="D26" s="246">
        <v>43784</v>
      </c>
      <c r="E26" s="34" t="s">
        <v>155</v>
      </c>
      <c r="F26" s="34">
        <v>6770</v>
      </c>
      <c r="G26" s="56" t="s">
        <v>26</v>
      </c>
      <c r="H26" s="50">
        <v>2386</v>
      </c>
      <c r="I26" s="34">
        <v>400</v>
      </c>
      <c r="J26" s="51">
        <f t="shared" si="43"/>
        <v>954400</v>
      </c>
      <c r="K26" s="53" t="s">
        <v>1279</v>
      </c>
      <c r="L26" s="50">
        <v>2446</v>
      </c>
      <c r="M26" s="34">
        <f t="shared" si="54"/>
        <v>770</v>
      </c>
      <c r="N26" s="34">
        <v>320</v>
      </c>
      <c r="O26" s="53">
        <v>488</v>
      </c>
      <c r="P26" s="26">
        <f t="shared" ref="P26" si="60">IF(L26 &gt;0,(H26-L26)*I26-M26-N26-O26,0)</f>
        <v>-25578</v>
      </c>
      <c r="Q26" s="46">
        <f t="shared" si="2"/>
        <v>-2.680008382229673E-2</v>
      </c>
      <c r="R26" s="238">
        <f>P26+P27</f>
        <v>-23558</v>
      </c>
      <c r="S26" s="239">
        <f>R26/(J26+J27)</f>
        <v>-1.2410704878305763E-2</v>
      </c>
      <c r="U26" s="241">
        <v>43802</v>
      </c>
      <c r="V26" s="232">
        <f>DATEDIF(D26,U26,"d")</f>
        <v>18</v>
      </c>
      <c r="W26" s="270" t="s">
        <v>1268</v>
      </c>
      <c r="AA26" s="248">
        <f t="shared" ref="AA26" si="61">YEAR(U26)</f>
        <v>2019</v>
      </c>
      <c r="AB26" s="248">
        <f t="shared" ref="AB26" si="62">MONTH(U26)</f>
        <v>12</v>
      </c>
      <c r="AC26" s="248" t="str">
        <f t="shared" ref="AC26" si="63">IF(R26&gt;0,"○","☓")</f>
        <v>☓</v>
      </c>
    </row>
    <row r="27" spans="2:29" s="107" customFormat="1">
      <c r="B27" s="174"/>
      <c r="C27" s="235"/>
      <c r="D27" s="247">
        <v>43748</v>
      </c>
      <c r="E27" s="30" t="s">
        <v>156</v>
      </c>
      <c r="F27" s="30">
        <v>1911</v>
      </c>
      <c r="G27" s="55" t="s">
        <v>103</v>
      </c>
      <c r="H27" s="47">
        <v>1573</v>
      </c>
      <c r="I27" s="47">
        <v>600</v>
      </c>
      <c r="J27" s="48">
        <f t="shared" si="43"/>
        <v>943800</v>
      </c>
      <c r="K27" s="175" t="s">
        <v>161</v>
      </c>
      <c r="L27" s="42">
        <v>1579</v>
      </c>
      <c r="M27" s="32">
        <f t="shared" si="54"/>
        <v>770</v>
      </c>
      <c r="N27" s="133">
        <v>1230</v>
      </c>
      <c r="O27" s="133">
        <v>-420</v>
      </c>
      <c r="P27" s="30">
        <f t="shared" ref="P27" si="64">IF(L27 &gt;0,(L27-H27)*I27-M27-N27-O27,0)</f>
        <v>2020</v>
      </c>
      <c r="Q27" s="49">
        <f t="shared" si="2"/>
        <v>2.1402839584657766E-3</v>
      </c>
      <c r="R27" s="238"/>
      <c r="S27" s="240"/>
      <c r="U27" s="232"/>
      <c r="V27" s="232"/>
      <c r="W27" s="271"/>
      <c r="AA27" s="240"/>
      <c r="AB27" s="240"/>
      <c r="AC27" s="240"/>
    </row>
    <row r="28" spans="2:29" s="107" customFormat="1">
      <c r="B28" s="177"/>
      <c r="C28" s="234">
        <v>13</v>
      </c>
      <c r="D28" s="246">
        <v>43789</v>
      </c>
      <c r="E28" s="34" t="s">
        <v>155</v>
      </c>
      <c r="F28" s="34">
        <v>4182</v>
      </c>
      <c r="G28" s="56" t="s">
        <v>88</v>
      </c>
      <c r="H28" s="50">
        <v>1627</v>
      </c>
      <c r="I28" s="34">
        <v>600</v>
      </c>
      <c r="J28" s="51">
        <v>976200</v>
      </c>
      <c r="K28" s="53" t="s">
        <v>160</v>
      </c>
      <c r="L28" s="50">
        <v>1681</v>
      </c>
      <c r="M28" s="34">
        <f t="shared" si="54"/>
        <v>770</v>
      </c>
      <c r="N28" s="147">
        <v>558</v>
      </c>
      <c r="O28" s="53">
        <v>120</v>
      </c>
      <c r="P28" s="26">
        <f t="shared" ref="P28" si="65">IF(L28 &gt;0,(H28-L28)*I28-M28-N28-O28,0)</f>
        <v>-33848</v>
      </c>
      <c r="Q28" s="46">
        <f t="shared" si="2"/>
        <v>-3.4673222700266342E-2</v>
      </c>
      <c r="R28" s="238">
        <v>54150</v>
      </c>
      <c r="S28" s="239">
        <v>2.7799999999999998E-2</v>
      </c>
      <c r="U28" s="241">
        <v>43805</v>
      </c>
      <c r="V28" s="232">
        <v>15</v>
      </c>
      <c r="W28" s="251" t="s">
        <v>1244</v>
      </c>
      <c r="AA28" s="248">
        <f>YEAR(U28)</f>
        <v>2019</v>
      </c>
      <c r="AB28" s="248">
        <f>MONTH(U28)</f>
        <v>12</v>
      </c>
      <c r="AC28" s="248" t="str">
        <f>IF(R28&gt;0,"○","☓")</f>
        <v>○</v>
      </c>
    </row>
    <row r="29" spans="2:29" s="107" customFormat="1">
      <c r="B29" s="177"/>
      <c r="C29" s="235"/>
      <c r="D29" s="247">
        <v>43748</v>
      </c>
      <c r="E29" s="30" t="s">
        <v>156</v>
      </c>
      <c r="F29" s="30">
        <v>1824</v>
      </c>
      <c r="G29" s="55" t="s">
        <v>312</v>
      </c>
      <c r="H29" s="47">
        <v>973</v>
      </c>
      <c r="I29" s="47">
        <v>1000</v>
      </c>
      <c r="J29" s="48">
        <v>973000</v>
      </c>
      <c r="K29" s="148" t="s">
        <v>160</v>
      </c>
      <c r="L29" s="42">
        <v>1062</v>
      </c>
      <c r="M29" s="32">
        <f t="shared" si="54"/>
        <v>770</v>
      </c>
      <c r="N29" s="32">
        <v>1418</v>
      </c>
      <c r="O29" s="141">
        <v>0</v>
      </c>
      <c r="P29" s="30">
        <f t="shared" ref="P29" si="66">IF(L29 &gt;0,(L29-H29)*I29-M29-N29-O29,0)</f>
        <v>86812</v>
      </c>
      <c r="Q29" s="49">
        <f t="shared" si="2"/>
        <v>8.9220966084275433E-2</v>
      </c>
      <c r="R29" s="238"/>
      <c r="S29" s="240"/>
      <c r="U29" s="232"/>
      <c r="V29" s="232"/>
      <c r="W29" s="232"/>
      <c r="AA29" s="240"/>
      <c r="AB29" s="240"/>
      <c r="AC29" s="240"/>
    </row>
    <row r="30" spans="2:29" s="107" customFormat="1">
      <c r="B30" s="125"/>
      <c r="C30" s="234">
        <v>14</v>
      </c>
      <c r="D30" s="246">
        <v>43790</v>
      </c>
      <c r="E30" s="34" t="s">
        <v>155</v>
      </c>
      <c r="F30" s="34">
        <v>6995</v>
      </c>
      <c r="G30" s="56" t="s">
        <v>91</v>
      </c>
      <c r="H30" s="50">
        <v>2050</v>
      </c>
      <c r="I30" s="34">
        <v>500</v>
      </c>
      <c r="J30" s="51">
        <f t="shared" ref="J30:J33" si="67">H30*I30</f>
        <v>1025000</v>
      </c>
      <c r="K30" s="53" t="s">
        <v>160</v>
      </c>
      <c r="L30" s="50">
        <v>2176</v>
      </c>
      <c r="M30" s="34">
        <f t="shared" si="54"/>
        <v>770</v>
      </c>
      <c r="N30" s="147">
        <f>IF(OR(K30="現物",J30=0),0,IF(E30="売",J30*Fee_Refer!$B$12/365*V30, J30*Fee_Refer!$B$11/365*#REF!))</f>
        <v>556.02739726027391</v>
      </c>
      <c r="O30" s="53">
        <v>92</v>
      </c>
      <c r="P30" s="26">
        <f t="shared" ref="P30" si="68">IF(L30 &gt;0,(H30-L30)*I30-M30-N30-O30,0)</f>
        <v>-64418.027397260274</v>
      </c>
      <c r="Q30" s="46">
        <f t="shared" si="2"/>
        <v>-6.2846855997327103E-2</v>
      </c>
      <c r="R30" s="238">
        <f>P30+P31</f>
        <v>33712.972602739726</v>
      </c>
      <c r="S30" s="239">
        <f t="shared" ref="S30" si="69">R30/(J30+J31)</f>
        <v>1.6402146834066229E-2</v>
      </c>
      <c r="U30" s="241">
        <v>43808</v>
      </c>
      <c r="V30" s="232">
        <f t="shared" ref="V30" si="70">IF(U30&gt;D30,DATEDIF(D30,U30,"d"),0)</f>
        <v>18</v>
      </c>
      <c r="W30" s="245" t="s">
        <v>1269</v>
      </c>
      <c r="AA30" s="248">
        <f>YEAR(U30)</f>
        <v>2019</v>
      </c>
      <c r="AB30" s="248">
        <f>MONTH(U30)</f>
        <v>12</v>
      </c>
      <c r="AC30" s="248" t="str">
        <f>IF(R30&gt;0,"○","☓")</f>
        <v>○</v>
      </c>
    </row>
    <row r="31" spans="2:29" s="107" customFormat="1">
      <c r="B31" s="125"/>
      <c r="C31" s="235"/>
      <c r="D31" s="247">
        <v>43748</v>
      </c>
      <c r="E31" s="30" t="s">
        <v>156</v>
      </c>
      <c r="F31" s="30">
        <v>6472</v>
      </c>
      <c r="G31" s="55" t="s">
        <v>134</v>
      </c>
      <c r="H31" s="47">
        <v>322</v>
      </c>
      <c r="I31" s="47">
        <v>3200</v>
      </c>
      <c r="J31" s="48">
        <f t="shared" si="67"/>
        <v>1030400</v>
      </c>
      <c r="K31" s="176" t="s">
        <v>146</v>
      </c>
      <c r="L31" s="42">
        <v>353</v>
      </c>
      <c r="M31" s="32">
        <f>487+582</f>
        <v>1069</v>
      </c>
      <c r="N31" s="172">
        <v>0</v>
      </c>
      <c r="O31" s="172">
        <v>0</v>
      </c>
      <c r="P31" s="30">
        <f t="shared" ref="P31" si="71">IF(L31 &gt;0,(L31-H31)*I31-M31-N31-O31,0)</f>
        <v>98131</v>
      </c>
      <c r="Q31" s="49">
        <f t="shared" si="2"/>
        <v>9.5235830745341615E-2</v>
      </c>
      <c r="R31" s="238"/>
      <c r="S31" s="240"/>
      <c r="U31" s="232"/>
      <c r="V31" s="232"/>
      <c r="W31" s="232"/>
      <c r="AA31" s="240"/>
      <c r="AB31" s="240"/>
      <c r="AC31" s="240"/>
    </row>
    <row r="32" spans="2:29" s="107" customFormat="1">
      <c r="B32" s="125"/>
      <c r="C32" s="234">
        <v>15</v>
      </c>
      <c r="D32" s="246">
        <v>43791</v>
      </c>
      <c r="E32" s="34" t="s">
        <v>155</v>
      </c>
      <c r="F32" s="34">
        <v>8601</v>
      </c>
      <c r="G32" s="56" t="s">
        <v>27</v>
      </c>
      <c r="H32" s="50">
        <v>533.79999999999995</v>
      </c>
      <c r="I32" s="34">
        <v>2000</v>
      </c>
      <c r="J32" s="51">
        <f t="shared" si="67"/>
        <v>1067600</v>
      </c>
      <c r="K32" s="53" t="s">
        <v>160</v>
      </c>
      <c r="L32" s="50">
        <v>555</v>
      </c>
      <c r="M32" s="34">
        <f>700+35+35</f>
        <v>770</v>
      </c>
      <c r="N32" s="147">
        <f>IF(OR(K32="現物",J32=0),0,IF(E32="売",J32*Fee_Refer!$B$12/365*V32, J32*Fee_Refer!$B$11/365*#REF!))</f>
        <v>546.96219178082174</v>
      </c>
      <c r="O32" s="53">
        <v>92</v>
      </c>
      <c r="P32" s="26">
        <f t="shared" ref="P32" si="72">IF(L32 &gt;0,(H32-L32)*I32-M32-N32-O32,0)</f>
        <v>-43808.962191780913</v>
      </c>
      <c r="Q32" s="46">
        <f t="shared" si="2"/>
        <v>-4.1034996432915805E-2</v>
      </c>
      <c r="R32" s="238">
        <f>P32+P33</f>
        <v>-7387.9621917808836</v>
      </c>
      <c r="S32" s="239">
        <f t="shared" ref="S32" si="73">R32/(J32+J33)</f>
        <v>-3.4469872261972761E-3</v>
      </c>
      <c r="U32" s="241">
        <v>43808</v>
      </c>
      <c r="V32" s="232">
        <f t="shared" ref="V32" si="74">IF(U32&gt;D32,DATEDIF(D32,U32,"d"),0)</f>
        <v>17</v>
      </c>
      <c r="W32" s="245" t="s">
        <v>1269</v>
      </c>
      <c r="AA32" s="248">
        <f>YEAR(U32)</f>
        <v>2019</v>
      </c>
      <c r="AB32" s="248">
        <f>MONTH(U32)</f>
        <v>12</v>
      </c>
      <c r="AC32" s="248" t="str">
        <f>IF(R32&gt;0,"○","☓")</f>
        <v>☓</v>
      </c>
    </row>
    <row r="33" spans="2:29" s="107" customFormat="1">
      <c r="B33" s="125"/>
      <c r="C33" s="235"/>
      <c r="D33" s="247">
        <v>43748</v>
      </c>
      <c r="E33" s="30" t="s">
        <v>156</v>
      </c>
      <c r="F33" s="30">
        <v>8308</v>
      </c>
      <c r="G33" s="55" t="s">
        <v>102</v>
      </c>
      <c r="H33" s="47">
        <v>467.7</v>
      </c>
      <c r="I33" s="47">
        <v>2300</v>
      </c>
      <c r="J33" s="48">
        <f t="shared" si="67"/>
        <v>1075710</v>
      </c>
      <c r="K33" s="176" t="s">
        <v>146</v>
      </c>
      <c r="L33" s="42">
        <v>484</v>
      </c>
      <c r="M33" s="32">
        <f>487+582</f>
        <v>1069</v>
      </c>
      <c r="N33" s="172">
        <v>0</v>
      </c>
      <c r="O33" s="172">
        <v>0</v>
      </c>
      <c r="P33" s="30">
        <f t="shared" ref="P33" si="75">IF(L33 &gt;0,(L33-H33)*I33-M33-N33-O33,0)</f>
        <v>36421.000000000029</v>
      </c>
      <c r="Q33" s="49">
        <f t="shared" si="2"/>
        <v>3.3857638211042033E-2</v>
      </c>
      <c r="R33" s="238"/>
      <c r="S33" s="240"/>
      <c r="U33" s="232"/>
      <c r="V33" s="232"/>
      <c r="W33" s="232"/>
      <c r="AA33" s="240"/>
      <c r="AB33" s="240"/>
      <c r="AC33" s="240"/>
    </row>
  </sheetData>
  <autoFilter ref="B3:AC23"/>
  <mergeCells count="150"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C24:C25"/>
    <mergeCell ref="D24:D25"/>
    <mergeCell ref="R24:R25"/>
    <mergeCell ref="S24:S25"/>
    <mergeCell ref="U24:U25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D25" sqref="D25"/>
    </sheetView>
  </sheetViews>
  <sheetFormatPr defaultRowHeight="14.25"/>
  <cols>
    <col min="1" max="1" width="6" style="107" customWidth="1"/>
    <col min="2" max="2" width="6.5" style="107" customWidth="1"/>
    <col min="3" max="3" width="12.75" style="107" customWidth="1"/>
    <col min="4" max="4" width="9.875" style="107" customWidth="1"/>
    <col min="5" max="7" width="9" style="107"/>
    <col min="8" max="8" width="10.75" style="107" customWidth="1"/>
    <col min="9" max="10" width="9" style="107"/>
    <col min="11" max="11" width="10.625" style="107" customWidth="1"/>
    <col min="12" max="16384" width="9" style="107"/>
  </cols>
  <sheetData>
    <row r="1" spans="1:23" ht="21" customHeight="1" thickBot="1">
      <c r="A1" s="171" t="s">
        <v>1267</v>
      </c>
    </row>
    <row r="2" spans="1:23" ht="59.25" customHeight="1">
      <c r="A2" s="155" t="s">
        <v>1245</v>
      </c>
      <c r="B2" s="156" t="s">
        <v>1246</v>
      </c>
      <c r="C2" s="157" t="s">
        <v>1253</v>
      </c>
      <c r="D2" s="156" t="s">
        <v>1254</v>
      </c>
      <c r="E2" s="156" t="s">
        <v>1255</v>
      </c>
      <c r="F2" s="157" t="s">
        <v>1263</v>
      </c>
      <c r="G2" s="157" t="s">
        <v>1264</v>
      </c>
      <c r="H2" s="157" t="s">
        <v>1256</v>
      </c>
      <c r="I2" s="157" t="s">
        <v>1257</v>
      </c>
      <c r="J2" s="157" t="s">
        <v>1258</v>
      </c>
      <c r="K2" s="157" t="s">
        <v>1265</v>
      </c>
      <c r="L2" s="157" t="s">
        <v>1259</v>
      </c>
      <c r="M2" s="157" t="s">
        <v>1247</v>
      </c>
      <c r="N2" s="157" t="s">
        <v>1248</v>
      </c>
      <c r="O2" s="157" t="s">
        <v>1249</v>
      </c>
      <c r="P2" s="157" t="s">
        <v>1260</v>
      </c>
      <c r="Q2" s="158" t="s">
        <v>1261</v>
      </c>
      <c r="R2" s="158" t="s">
        <v>1250</v>
      </c>
      <c r="S2" s="159" t="s">
        <v>1251</v>
      </c>
      <c r="T2" s="159" t="s">
        <v>1252</v>
      </c>
      <c r="U2" s="159" t="s">
        <v>1266</v>
      </c>
      <c r="V2" s="160" t="s">
        <v>1262</v>
      </c>
      <c r="W2" s="154"/>
    </row>
    <row r="3" spans="1:23">
      <c r="A3" s="161">
        <v>2019</v>
      </c>
      <c r="B3" s="161">
        <v>10</v>
      </c>
      <c r="C3" s="162">
        <v>5000000</v>
      </c>
      <c r="D3" s="163">
        <v>-25615.999999999971</v>
      </c>
      <c r="E3" s="164">
        <f t="shared" ref="E3:E5" si="0">IF(D3 &lt;&gt; 0,D3/C3, 0)</f>
        <v>-5.1231999999999944E-3</v>
      </c>
      <c r="F3" s="163">
        <v>101112</v>
      </c>
      <c r="G3" s="163">
        <v>-126727.99999999997</v>
      </c>
      <c r="H3" s="161">
        <v>8</v>
      </c>
      <c r="I3" s="161">
        <v>3</v>
      </c>
      <c r="J3" s="161">
        <v>5</v>
      </c>
      <c r="K3" s="165">
        <f t="shared" ref="K3:K5" si="1">IF(H3&lt;&gt;0,I3/H3,0)</f>
        <v>0.375</v>
      </c>
      <c r="L3" s="166">
        <f t="shared" ref="L3:L5" si="2">IF(I3&lt;&gt;0,F3/I3,0)</f>
        <v>33704</v>
      </c>
      <c r="M3" s="167">
        <f t="shared" ref="M3:M5" si="3">IF(J3&lt;&gt;0,G3/J3,0)</f>
        <v>-25345.599999999995</v>
      </c>
      <c r="N3" s="168">
        <v>14</v>
      </c>
      <c r="O3" s="168">
        <v>-93238.000000000029</v>
      </c>
      <c r="P3" s="169">
        <f t="shared" ref="P3:P5" si="4">IF(C3&lt;&gt;0,O3/C3,0)</f>
        <v>-1.8647600000000007E-2</v>
      </c>
      <c r="Q3" s="170">
        <v>3</v>
      </c>
      <c r="R3" s="170">
        <v>5</v>
      </c>
      <c r="S3" s="170">
        <v>1</v>
      </c>
      <c r="T3" s="170">
        <v>1</v>
      </c>
      <c r="U3" s="170">
        <v>6</v>
      </c>
      <c r="V3" s="170">
        <f t="shared" ref="V3:V5" si="5">IF(H3&lt;&gt;0,H3-S3-T3-U3,0)</f>
        <v>0</v>
      </c>
    </row>
    <row r="4" spans="1:23">
      <c r="A4" s="161">
        <v>2019</v>
      </c>
      <c r="B4" s="161">
        <v>11</v>
      </c>
      <c r="C4" s="162">
        <f>IF(D3 &lt;&gt; 0,C3+D3, 0)</f>
        <v>4974384</v>
      </c>
      <c r="D4" s="163">
        <v>487021.99999999988</v>
      </c>
      <c r="E4" s="164">
        <f t="shared" si="0"/>
        <v>9.7905991978102194E-2</v>
      </c>
      <c r="F4" s="163">
        <v>546235.99999999988</v>
      </c>
      <c r="G4" s="163">
        <v>-59214</v>
      </c>
      <c r="H4" s="161">
        <v>3</v>
      </c>
      <c r="I4" s="161">
        <v>2</v>
      </c>
      <c r="J4" s="161">
        <v>1</v>
      </c>
      <c r="K4" s="165">
        <f t="shared" si="1"/>
        <v>0.66666666666666663</v>
      </c>
      <c r="L4" s="166">
        <f t="shared" si="2"/>
        <v>273117.99999999994</v>
      </c>
      <c r="M4" s="167">
        <f t="shared" si="3"/>
        <v>-59214</v>
      </c>
      <c r="N4" s="168">
        <v>10</v>
      </c>
      <c r="O4" s="168">
        <v>-59214</v>
      </c>
      <c r="P4" s="169">
        <f t="shared" si="4"/>
        <v>-1.190378547373906E-2</v>
      </c>
      <c r="Q4" s="170">
        <v>2</v>
      </c>
      <c r="R4" s="170">
        <v>1</v>
      </c>
      <c r="S4" s="170">
        <v>2</v>
      </c>
      <c r="T4" s="170">
        <v>1</v>
      </c>
      <c r="U4" s="170">
        <v>0</v>
      </c>
      <c r="V4" s="170">
        <f t="shared" si="5"/>
        <v>0</v>
      </c>
    </row>
    <row r="5" spans="1:23">
      <c r="A5" s="161">
        <v>2019</v>
      </c>
      <c r="B5" s="161">
        <v>12</v>
      </c>
      <c r="C5" s="162">
        <f>IF(D4 &lt;&gt; 0,C4+D4, 0)</f>
        <v>5461406</v>
      </c>
      <c r="D5" s="163">
        <v>56917.010410958843</v>
      </c>
      <c r="E5" s="164">
        <f t="shared" si="0"/>
        <v>1.0421677203811408E-2</v>
      </c>
      <c r="F5" s="163">
        <v>87862.972602739726</v>
      </c>
      <c r="G5" s="163">
        <v>-30945.962191780884</v>
      </c>
      <c r="H5" s="161">
        <v>4</v>
      </c>
      <c r="I5" s="161">
        <v>2</v>
      </c>
      <c r="J5" s="161">
        <v>2</v>
      </c>
      <c r="K5" s="165">
        <f t="shared" si="1"/>
        <v>0.5</v>
      </c>
      <c r="L5" s="166">
        <f t="shared" si="2"/>
        <v>43931.486301369863</v>
      </c>
      <c r="M5" s="167">
        <f t="shared" si="3"/>
        <v>-15472.981095890442</v>
      </c>
      <c r="N5" s="168">
        <v>17</v>
      </c>
      <c r="O5" s="168">
        <v>-23558</v>
      </c>
      <c r="P5" s="169">
        <f t="shared" si="4"/>
        <v>-4.3135412382818636E-3</v>
      </c>
      <c r="Q5" s="170">
        <v>2</v>
      </c>
      <c r="R5" s="170">
        <v>1</v>
      </c>
      <c r="S5" s="170">
        <v>1</v>
      </c>
      <c r="T5" s="170">
        <v>0</v>
      </c>
      <c r="U5" s="170">
        <v>3</v>
      </c>
      <c r="V5" s="170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E29" sqref="E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7" customFormat="1" ht="24.75" thickBot="1">
      <c r="C2" s="59" t="s">
        <v>147</v>
      </c>
      <c r="D2" s="69" t="s">
        <v>171</v>
      </c>
      <c r="E2" s="61"/>
      <c r="F2" s="60" t="s">
        <v>69</v>
      </c>
      <c r="G2" s="62" t="s">
        <v>70</v>
      </c>
      <c r="H2" s="63" t="s">
        <v>148</v>
      </c>
      <c r="I2" s="63" t="s">
        <v>149</v>
      </c>
      <c r="J2" s="61" t="s">
        <v>22</v>
      </c>
      <c r="K2" s="61" t="s">
        <v>150</v>
      </c>
      <c r="L2" s="63" t="s">
        <v>151</v>
      </c>
      <c r="M2" s="64" t="s">
        <v>172</v>
      </c>
      <c r="N2" s="61" t="s">
        <v>152</v>
      </c>
      <c r="O2" s="64" t="s">
        <v>166</v>
      </c>
      <c r="P2" s="61" t="s">
        <v>259</v>
      </c>
      <c r="Q2" s="61" t="s">
        <v>153</v>
      </c>
      <c r="R2" s="64" t="s">
        <v>168</v>
      </c>
      <c r="S2" s="67" t="s">
        <v>169</v>
      </c>
      <c r="T2" s="66"/>
      <c r="U2" s="68" t="s">
        <v>265</v>
      </c>
      <c r="V2" s="68" t="s">
        <v>170</v>
      </c>
      <c r="W2" s="65" t="s">
        <v>167</v>
      </c>
    </row>
    <row r="3" spans="2:23" s="107" customFormat="1">
      <c r="B3" s="125" t="s">
        <v>274</v>
      </c>
      <c r="C3" s="234">
        <f>ROW()/2-1</f>
        <v>0.5</v>
      </c>
      <c r="D3" s="236">
        <v>43807</v>
      </c>
      <c r="E3" s="34" t="s">
        <v>262</v>
      </c>
      <c r="F3" s="34">
        <v>3105</v>
      </c>
      <c r="G3" s="56" t="s">
        <v>1285</v>
      </c>
      <c r="H3" s="50"/>
      <c r="I3" s="50">
        <v>1000</v>
      </c>
      <c r="J3" s="51">
        <f t="shared" ref="J3:J4" si="0">H3*I3</f>
        <v>0</v>
      </c>
      <c r="K3" s="53" t="s">
        <v>1287</v>
      </c>
      <c r="L3" s="50"/>
      <c r="M3" s="34"/>
      <c r="N3" s="147">
        <f>IF(OR(K3="現物",J3=0),0,IF(E3="売",J3*Fee_Refer!$B$12/365*V3, J3*Fee_Refer!$B$11/365*#REF!))</f>
        <v>0</v>
      </c>
      <c r="O3" s="53">
        <v>0</v>
      </c>
      <c r="P3" s="150">
        <f>IF(L3 &gt;0,(H3-L3)*I3-M3-N3-O3,0)</f>
        <v>0</v>
      </c>
      <c r="Q3" s="52" t="e">
        <f t="shared" ref="Q3:Q4" si="1">P3/J3</f>
        <v>#DIV/0!</v>
      </c>
      <c r="R3" s="238">
        <f>P3+P4</f>
        <v>0</v>
      </c>
      <c r="S3" s="239" t="e">
        <f t="shared" ref="S3" si="2">R3/(J3+J4)</f>
        <v>#DIV/0!</v>
      </c>
      <c r="U3" s="241">
        <f>$P$1</f>
        <v>0</v>
      </c>
      <c r="V3" s="232">
        <f t="shared" ref="V3" si="3">IF(U3&gt;D3,DATEDIF(D3,U3,"d"),0)</f>
        <v>0</v>
      </c>
      <c r="W3" s="233"/>
    </row>
    <row r="4" spans="2:23" s="107" customFormat="1">
      <c r="B4" s="125" t="s">
        <v>1025</v>
      </c>
      <c r="C4" s="235"/>
      <c r="D4" s="237">
        <v>43748</v>
      </c>
      <c r="E4" s="30" t="s">
        <v>264</v>
      </c>
      <c r="F4" s="30">
        <v>7762</v>
      </c>
      <c r="G4" s="55" t="s">
        <v>1286</v>
      </c>
      <c r="H4" s="47"/>
      <c r="I4" s="47">
        <v>1700</v>
      </c>
      <c r="J4" s="48">
        <f t="shared" si="0"/>
        <v>0</v>
      </c>
      <c r="K4" s="148" t="s">
        <v>1287</v>
      </c>
      <c r="L4" s="42"/>
      <c r="M4" s="32"/>
      <c r="N4" s="149">
        <f>IF(OR(K4="現物",J4=0),0,IF(E4="売",J4*Fee_Refer!$B$12/365*V4, J4*Fee_Refer!$B$11/365*V3))</f>
        <v>0</v>
      </c>
      <c r="O4" s="172">
        <v>0</v>
      </c>
      <c r="P4" s="151">
        <f>IF(L4&gt;0,(L4-H4)*I4-M4-N4-O4,0)</f>
        <v>0</v>
      </c>
      <c r="Q4" s="49" t="e">
        <f t="shared" si="1"/>
        <v>#DIV/0!</v>
      </c>
      <c r="R4" s="238"/>
      <c r="S4" s="240"/>
      <c r="U4" s="232"/>
      <c r="V4" s="232"/>
      <c r="W4" s="232"/>
    </row>
    <row r="6" spans="2:23">
      <c r="C6" s="14">
        <v>43806</v>
      </c>
      <c r="D6" s="107" t="s">
        <v>1290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showGridLines="0" zoomScale="115" zoomScaleNormal="115" workbookViewId="0">
      <selection activeCell="F27" sqref="F27"/>
    </sheetView>
  </sheetViews>
  <sheetFormatPr defaultRowHeight="14.25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71</v>
      </c>
      <c r="G8" s="153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67</v>
      </c>
      <c r="C17" s="280" t="s">
        <v>2331</v>
      </c>
      <c r="D17" s="281"/>
      <c r="E17" s="281"/>
      <c r="F17" s="281"/>
      <c r="G17" s="282"/>
    </row>
    <row r="18" spans="2:9">
      <c r="B18" s="4" t="s">
        <v>66</v>
      </c>
      <c r="C18" s="276" t="str">
        <f>C17 &amp; "\master\" &amp; H18</f>
        <v>G:\Stock\pairs_trade\pair_trade\stock_data\master\master.csv</v>
      </c>
      <c r="D18" s="277"/>
      <c r="E18" s="277"/>
      <c r="F18" s="277"/>
      <c r="G18" s="277"/>
      <c r="H18" s="274" t="s">
        <v>1237</v>
      </c>
      <c r="I18" s="275"/>
    </row>
    <row r="19" spans="2:9">
      <c r="B19" s="4" t="s">
        <v>341</v>
      </c>
      <c r="C19" s="278" t="str">
        <f>C17 &amp; "\master\" &amp; H19</f>
        <v>G:\Stock\pairs_trade\pair_trade\stock_data\master\fiscal_data.csv</v>
      </c>
      <c r="D19" s="279"/>
      <c r="E19" s="279"/>
      <c r="F19" s="279"/>
      <c r="G19" s="279"/>
      <c r="H19" s="274" t="s">
        <v>1236</v>
      </c>
      <c r="I19" s="275"/>
    </row>
    <row r="20" spans="2:9">
      <c r="B20" s="4" t="s">
        <v>1345</v>
      </c>
      <c r="C20" s="191" t="str">
        <f>C17 &amp; "\master\" &amp; H20</f>
        <v>G:\Stock\pairs_trade\pair_trade\stock_data\master\gyakunipo_data.csv</v>
      </c>
      <c r="D20" s="192"/>
      <c r="E20" s="192"/>
      <c r="F20" s="192"/>
      <c r="G20" s="192"/>
      <c r="H20" s="274" t="s">
        <v>1346</v>
      </c>
      <c r="I20" s="275"/>
    </row>
    <row r="21" spans="2:9">
      <c r="B21" s="4" t="s">
        <v>2329</v>
      </c>
      <c r="C21" s="191" t="str">
        <f>C17 &amp; "\" &amp; H21</f>
        <v>G:\Stock\pairs_trade\pair_trade\stock_data\trade</v>
      </c>
      <c r="D21" s="192"/>
      <c r="E21" s="192"/>
      <c r="F21" s="192"/>
      <c r="G21" s="192"/>
      <c r="H21" s="274" t="s">
        <v>2330</v>
      </c>
      <c r="I21" s="275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A8" sqref="A8"/>
    </sheetView>
  </sheetViews>
  <sheetFormatPr defaultRowHeight="14.25"/>
  <cols>
    <col min="1" max="1" width="4" customWidth="1"/>
    <col min="2" max="2" width="4.25" style="107" customWidth="1"/>
    <col min="3" max="3" width="2.875" style="107" customWidth="1"/>
    <col min="4" max="4" width="2" style="107" customWidth="1"/>
    <col min="5" max="5" width="2.625" style="107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7" customWidth="1"/>
    <col min="13" max="13" width="10.75" style="107" hidden="1" customWidth="1"/>
    <col min="14" max="14" width="0.125" style="107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1"/>
      <c r="M1" s="101"/>
      <c r="N1" s="101"/>
    </row>
    <row r="2" spans="1:68">
      <c r="A2" s="107"/>
      <c r="E2" s="289" t="s">
        <v>1306</v>
      </c>
      <c r="F2" s="287" t="s">
        <v>2308</v>
      </c>
      <c r="G2" s="284"/>
      <c r="H2" s="284"/>
      <c r="I2" s="284"/>
      <c r="J2" s="284"/>
      <c r="K2" s="284"/>
      <c r="L2" s="188"/>
      <c r="M2" s="188"/>
      <c r="N2" s="187"/>
      <c r="O2" s="288" t="s">
        <v>280</v>
      </c>
      <c r="P2" s="284"/>
      <c r="Q2" s="284"/>
      <c r="R2" s="284"/>
      <c r="S2" s="284"/>
      <c r="T2" s="284"/>
      <c r="U2" s="284"/>
      <c r="V2" s="284"/>
      <c r="W2" s="285"/>
      <c r="X2" s="283" t="s">
        <v>1280</v>
      </c>
      <c r="Y2" s="284"/>
      <c r="Z2" s="284"/>
      <c r="AA2" s="284"/>
      <c r="AB2" s="284"/>
      <c r="AC2" s="284"/>
      <c r="AD2" s="284"/>
      <c r="AE2" s="285"/>
      <c r="AF2" s="286" t="s">
        <v>281</v>
      </c>
      <c r="AG2" s="284"/>
      <c r="AH2" s="284"/>
      <c r="AI2" s="284"/>
      <c r="AJ2" s="284"/>
      <c r="AK2" s="284"/>
      <c r="AL2" s="284"/>
      <c r="AM2" s="284"/>
      <c r="AN2" s="284"/>
      <c r="AO2" s="285"/>
      <c r="AP2" s="112" t="s">
        <v>282</v>
      </c>
      <c r="AQ2" s="113"/>
      <c r="AR2" s="113"/>
      <c r="AS2" s="114"/>
    </row>
    <row r="3" spans="1:68" s="17" customFormat="1" ht="28.5" customHeight="1" thickBot="1">
      <c r="A3" s="108"/>
      <c r="B3" s="108"/>
      <c r="C3" s="108"/>
      <c r="D3" s="108"/>
      <c r="E3" s="290"/>
      <c r="F3" s="110" t="s">
        <v>283</v>
      </c>
      <c r="G3" s="126" t="s">
        <v>284</v>
      </c>
      <c r="H3" s="126" t="s">
        <v>285</v>
      </c>
      <c r="I3" s="126" t="s">
        <v>286</v>
      </c>
      <c r="J3" s="126" t="s">
        <v>287</v>
      </c>
      <c r="K3" s="186" t="s">
        <v>340</v>
      </c>
      <c r="L3" s="186" t="s">
        <v>1305</v>
      </c>
      <c r="M3" s="186"/>
      <c r="N3" s="127"/>
      <c r="O3" s="111" t="s">
        <v>283</v>
      </c>
      <c r="P3" s="115" t="s">
        <v>284</v>
      </c>
      <c r="Q3" s="115" t="s">
        <v>285</v>
      </c>
      <c r="R3" s="115" t="s">
        <v>286</v>
      </c>
      <c r="S3" s="115" t="s">
        <v>287</v>
      </c>
      <c r="T3" s="189" t="s">
        <v>340</v>
      </c>
      <c r="U3" s="189" t="s">
        <v>1305</v>
      </c>
      <c r="V3" s="189"/>
      <c r="W3" s="116"/>
      <c r="X3" s="117" t="s">
        <v>1281</v>
      </c>
      <c r="Y3" s="118" t="s">
        <v>1282</v>
      </c>
      <c r="Z3" s="190" t="s">
        <v>2315</v>
      </c>
      <c r="AA3" s="190" t="s">
        <v>2316</v>
      </c>
      <c r="AB3" s="190" t="s">
        <v>2303</v>
      </c>
      <c r="AC3" s="118"/>
      <c r="AD3" s="118"/>
      <c r="AE3" s="119"/>
      <c r="AF3" s="120" t="s">
        <v>2304</v>
      </c>
      <c r="AG3" s="121" t="s">
        <v>288</v>
      </c>
      <c r="AH3" s="109" t="s">
        <v>289</v>
      </c>
      <c r="AI3" s="109" t="s">
        <v>290</v>
      </c>
      <c r="AJ3" s="109" t="s">
        <v>291</v>
      </c>
      <c r="AK3" s="121" t="s">
        <v>292</v>
      </c>
      <c r="AL3" s="121" t="s">
        <v>293</v>
      </c>
      <c r="AM3" s="109"/>
      <c r="AN3" s="121"/>
      <c r="AO3" s="122"/>
      <c r="AP3" s="123" t="s">
        <v>1283</v>
      </c>
      <c r="AQ3" s="124" t="s">
        <v>294</v>
      </c>
      <c r="AR3" s="124" t="s">
        <v>1284</v>
      </c>
      <c r="AS3" s="152" t="s">
        <v>295</v>
      </c>
    </row>
    <row r="4" spans="1:68">
      <c r="A4" s="125" t="s">
        <v>1342</v>
      </c>
      <c r="B4" s="125" t="s">
        <v>1344</v>
      </c>
      <c r="C4" s="125" t="s">
        <v>1343</v>
      </c>
      <c r="D4"/>
      <c r="E4">
        <v>1</v>
      </c>
      <c r="F4">
        <v>4042</v>
      </c>
      <c r="G4" s="107" t="s">
        <v>1310</v>
      </c>
      <c r="H4" s="107" t="s">
        <v>62</v>
      </c>
      <c r="I4">
        <v>1707</v>
      </c>
      <c r="J4">
        <v>500</v>
      </c>
      <c r="L4"/>
      <c r="M4"/>
      <c r="N4"/>
      <c r="O4">
        <v>1951</v>
      </c>
      <c r="P4" s="107" t="s">
        <v>1309</v>
      </c>
      <c r="Q4" s="107" t="s">
        <v>78</v>
      </c>
      <c r="R4">
        <v>2859</v>
      </c>
      <c r="S4">
        <v>300</v>
      </c>
      <c r="T4"/>
      <c r="U4"/>
      <c r="V4"/>
      <c r="W4"/>
      <c r="X4">
        <v>-2.01129245740049</v>
      </c>
      <c r="Y4">
        <v>-6.62</v>
      </c>
      <c r="Z4">
        <v>853500</v>
      </c>
      <c r="AA4">
        <v>857700</v>
      </c>
      <c r="AB4">
        <v>0.49</v>
      </c>
      <c r="AC4"/>
      <c r="AD4"/>
      <c r="AE4"/>
      <c r="AF4">
        <v>442222</v>
      </c>
      <c r="AG4">
        <v>24568</v>
      </c>
      <c r="AH4" s="134">
        <v>18</v>
      </c>
      <c r="AI4" s="134">
        <v>12</v>
      </c>
      <c r="AJ4" s="134" t="s">
        <v>1341</v>
      </c>
      <c r="AK4">
        <v>66.67</v>
      </c>
      <c r="AL4">
        <v>10</v>
      </c>
      <c r="AM4"/>
      <c r="AN4"/>
      <c r="AO4"/>
      <c r="AP4">
        <v>0.90234379917297303</v>
      </c>
      <c r="AQ4">
        <v>0.94005586292935805</v>
      </c>
      <c r="AR4">
        <v>5.3677926905130603E-2</v>
      </c>
      <c r="AS4">
        <v>2.5601143161935798E-5</v>
      </c>
    </row>
    <row r="5" spans="1:68" s="135" customFormat="1">
      <c r="A5" s="125" t="s">
        <v>1342</v>
      </c>
      <c r="B5" s="125" t="s">
        <v>1344</v>
      </c>
      <c r="C5" s="125" t="s">
        <v>1343</v>
      </c>
      <c r="D5"/>
      <c r="E5">
        <v>2</v>
      </c>
      <c r="F5">
        <v>7181</v>
      </c>
      <c r="G5" s="107" t="s">
        <v>137</v>
      </c>
      <c r="H5" s="107" t="s">
        <v>110</v>
      </c>
      <c r="I5">
        <v>1990</v>
      </c>
      <c r="J5">
        <v>500</v>
      </c>
      <c r="K5"/>
      <c r="L5" s="194">
        <v>0.05</v>
      </c>
      <c r="M5"/>
      <c r="N5"/>
      <c r="O5">
        <v>9956</v>
      </c>
      <c r="P5" s="107" t="s">
        <v>318</v>
      </c>
      <c r="Q5" s="107" t="s">
        <v>95</v>
      </c>
      <c r="R5">
        <v>2070</v>
      </c>
      <c r="S5">
        <v>500</v>
      </c>
      <c r="T5"/>
      <c r="U5"/>
      <c r="V5"/>
      <c r="W5"/>
      <c r="X5">
        <v>2.2624826861349598</v>
      </c>
      <c r="Y5">
        <v>6.19</v>
      </c>
      <c r="Z5">
        <v>995000</v>
      </c>
      <c r="AA5">
        <v>1035000</v>
      </c>
      <c r="AB5">
        <v>3.86</v>
      </c>
      <c r="AC5"/>
      <c r="AD5"/>
      <c r="AE5"/>
      <c r="AF5">
        <v>196402</v>
      </c>
      <c r="AG5">
        <v>15108</v>
      </c>
      <c r="AH5" s="134">
        <v>13</v>
      </c>
      <c r="AI5" s="134">
        <v>9</v>
      </c>
      <c r="AJ5" s="134" t="s">
        <v>1299</v>
      </c>
      <c r="AK5">
        <v>69.23</v>
      </c>
      <c r="AL5">
        <v>14</v>
      </c>
      <c r="AM5"/>
      <c r="AN5"/>
      <c r="AO5"/>
      <c r="AP5">
        <v>0.93082151940243996</v>
      </c>
      <c r="AQ5">
        <v>0.94713563227489395</v>
      </c>
      <c r="AR5">
        <v>7.0854084149129604E-3</v>
      </c>
      <c r="AS5">
        <v>0.13302352595310801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5" customFormat="1">
      <c r="A6" s="125" t="s">
        <v>1342</v>
      </c>
      <c r="B6" s="125" t="s">
        <v>1344</v>
      </c>
      <c r="C6" s="125" t="s">
        <v>1343</v>
      </c>
      <c r="D6"/>
      <c r="E6">
        <v>3</v>
      </c>
      <c r="F6">
        <v>5802</v>
      </c>
      <c r="G6" s="107" t="s">
        <v>131</v>
      </c>
      <c r="H6" s="107" t="s">
        <v>132</v>
      </c>
      <c r="I6">
        <v>1690.5</v>
      </c>
      <c r="J6">
        <v>600</v>
      </c>
      <c r="K6"/>
      <c r="L6"/>
      <c r="M6"/>
      <c r="N6"/>
      <c r="O6">
        <v>9072</v>
      </c>
      <c r="P6" s="107" t="s">
        <v>126</v>
      </c>
      <c r="Q6" s="107" t="s">
        <v>119</v>
      </c>
      <c r="R6">
        <v>2739</v>
      </c>
      <c r="S6">
        <v>400</v>
      </c>
      <c r="T6"/>
      <c r="U6"/>
      <c r="V6"/>
      <c r="W6"/>
      <c r="X6">
        <v>2.18042600144235</v>
      </c>
      <c r="Y6">
        <v>8.6</v>
      </c>
      <c r="Z6">
        <v>1014300</v>
      </c>
      <c r="AA6">
        <v>1095600</v>
      </c>
      <c r="AB6">
        <v>7.42</v>
      </c>
      <c r="AC6"/>
      <c r="AD6"/>
      <c r="AE6"/>
      <c r="AF6">
        <v>111309</v>
      </c>
      <c r="AG6">
        <v>5565</v>
      </c>
      <c r="AH6" s="134">
        <v>20</v>
      </c>
      <c r="AI6" s="134">
        <v>12</v>
      </c>
      <c r="AJ6" s="134" t="s">
        <v>1302</v>
      </c>
      <c r="AK6">
        <v>60</v>
      </c>
      <c r="AL6">
        <v>15</v>
      </c>
      <c r="AM6"/>
      <c r="AN6"/>
      <c r="AO6"/>
      <c r="AP6">
        <v>0.92068969045399696</v>
      </c>
      <c r="AQ6">
        <v>0.90932504911463896</v>
      </c>
      <c r="AR6">
        <v>6.4858499566239694E-2</v>
      </c>
      <c r="AS6">
        <v>2.9012766203050197E-4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135" customFormat="1">
      <c r="A7" s="125" t="s">
        <v>1342</v>
      </c>
      <c r="B7" s="125" t="s">
        <v>1344</v>
      </c>
      <c r="C7" s="125" t="s">
        <v>1343</v>
      </c>
      <c r="D7"/>
      <c r="E7">
        <v>4</v>
      </c>
      <c r="F7">
        <v>8377</v>
      </c>
      <c r="G7" s="107" t="s">
        <v>94</v>
      </c>
      <c r="H7" s="107" t="s">
        <v>82</v>
      </c>
      <c r="I7">
        <v>1172</v>
      </c>
      <c r="J7">
        <v>900</v>
      </c>
      <c r="K7"/>
      <c r="L7"/>
      <c r="M7"/>
      <c r="N7"/>
      <c r="O7">
        <v>7167</v>
      </c>
      <c r="P7" s="107" t="s">
        <v>100</v>
      </c>
      <c r="Q7" s="107" t="s">
        <v>82</v>
      </c>
      <c r="R7">
        <v>284</v>
      </c>
      <c r="S7">
        <v>3700</v>
      </c>
      <c r="T7"/>
      <c r="U7"/>
      <c r="V7"/>
      <c r="W7"/>
      <c r="X7">
        <v>-2.4789826255028302</v>
      </c>
      <c r="Y7">
        <v>-4.3499999999999996</v>
      </c>
      <c r="Z7">
        <v>1054800</v>
      </c>
      <c r="AA7">
        <v>1050800</v>
      </c>
      <c r="AB7">
        <v>0.38</v>
      </c>
      <c r="AC7"/>
      <c r="AD7"/>
      <c r="AE7"/>
      <c r="AF7">
        <v>96023</v>
      </c>
      <c r="AG7">
        <v>6001</v>
      </c>
      <c r="AH7" s="134">
        <v>16</v>
      </c>
      <c r="AI7" s="134">
        <v>11</v>
      </c>
      <c r="AJ7" s="134" t="s">
        <v>1300</v>
      </c>
      <c r="AK7">
        <v>68.75</v>
      </c>
      <c r="AL7">
        <v>16</v>
      </c>
      <c r="AM7"/>
      <c r="AN7"/>
      <c r="AO7"/>
      <c r="AP7">
        <v>0.91237744352002104</v>
      </c>
      <c r="AQ7">
        <v>0.90616084756202897</v>
      </c>
      <c r="AR7">
        <v>4.9546691768469597E-2</v>
      </c>
      <c r="AS7">
        <v>0.23117540046570301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5" customFormat="1">
      <c r="A8" s="125" t="s">
        <v>1342</v>
      </c>
      <c r="B8" s="125" t="s">
        <v>1344</v>
      </c>
      <c r="C8" s="125" t="s">
        <v>1343</v>
      </c>
      <c r="D8"/>
      <c r="E8">
        <v>5</v>
      </c>
      <c r="F8">
        <v>8002</v>
      </c>
      <c r="G8" s="107" t="s">
        <v>31</v>
      </c>
      <c r="H8" s="107" t="s">
        <v>101</v>
      </c>
      <c r="I8">
        <v>837.7</v>
      </c>
      <c r="J8">
        <v>1300</v>
      </c>
      <c r="K8"/>
      <c r="L8"/>
      <c r="M8"/>
      <c r="N8"/>
      <c r="O8">
        <v>9072</v>
      </c>
      <c r="P8" s="107" t="s">
        <v>126</v>
      </c>
      <c r="Q8" s="107" t="s">
        <v>119</v>
      </c>
      <c r="R8">
        <v>2739</v>
      </c>
      <c r="S8">
        <v>400</v>
      </c>
      <c r="T8"/>
      <c r="U8"/>
      <c r="V8"/>
      <c r="W8"/>
      <c r="X8">
        <v>2.1590845038233999</v>
      </c>
      <c r="Y8">
        <v>4.12</v>
      </c>
      <c r="Z8">
        <v>1089010</v>
      </c>
      <c r="AA8">
        <v>1095600</v>
      </c>
      <c r="AB8">
        <v>0.6</v>
      </c>
      <c r="AC8"/>
      <c r="AD8"/>
      <c r="AE8"/>
      <c r="AF8">
        <v>77791</v>
      </c>
      <c r="AG8">
        <v>4862</v>
      </c>
      <c r="AH8" s="134">
        <v>16</v>
      </c>
      <c r="AI8" s="134">
        <v>8</v>
      </c>
      <c r="AJ8" s="134" t="s">
        <v>1303</v>
      </c>
      <c r="AK8">
        <v>50</v>
      </c>
      <c r="AL8">
        <v>16</v>
      </c>
      <c r="AM8"/>
      <c r="AN8"/>
      <c r="AO8"/>
      <c r="AP8">
        <v>0.94190635641218001</v>
      </c>
      <c r="AQ8">
        <v>0.91161883023030499</v>
      </c>
      <c r="AR8">
        <v>0.126805220980795</v>
      </c>
      <c r="AS8">
        <v>2.00728460502293E-3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135" customFormat="1">
      <c r="A9" s="125" t="s">
        <v>1342</v>
      </c>
      <c r="B9" s="125" t="s">
        <v>1344</v>
      </c>
      <c r="C9" s="125" t="s">
        <v>1343</v>
      </c>
      <c r="D9"/>
      <c r="E9">
        <v>6</v>
      </c>
      <c r="F9">
        <v>8306</v>
      </c>
      <c r="G9" s="107" t="s">
        <v>144</v>
      </c>
      <c r="H9" s="107" t="s">
        <v>82</v>
      </c>
      <c r="I9">
        <v>595.70000000000005</v>
      </c>
      <c r="J9">
        <v>1800</v>
      </c>
      <c r="K9"/>
      <c r="L9"/>
      <c r="M9"/>
      <c r="N9"/>
      <c r="O9">
        <v>8411</v>
      </c>
      <c r="P9" s="107" t="s">
        <v>121</v>
      </c>
      <c r="Q9" s="107" t="s">
        <v>82</v>
      </c>
      <c r="R9">
        <v>170.7</v>
      </c>
      <c r="S9">
        <v>6300</v>
      </c>
      <c r="T9"/>
      <c r="U9"/>
      <c r="V9"/>
      <c r="W9"/>
      <c r="X9">
        <v>2.17366951874402</v>
      </c>
      <c r="Y9">
        <v>3.69</v>
      </c>
      <c r="Z9">
        <v>1072260</v>
      </c>
      <c r="AA9">
        <v>1075410</v>
      </c>
      <c r="AB9">
        <v>0.28999999999999998</v>
      </c>
      <c r="AC9"/>
      <c r="AD9"/>
      <c r="AE9"/>
      <c r="AF9">
        <v>-2779</v>
      </c>
      <c r="AG9">
        <v>-154</v>
      </c>
      <c r="AH9" s="134">
        <v>18</v>
      </c>
      <c r="AI9" s="134">
        <v>8</v>
      </c>
      <c r="AJ9" s="134" t="s">
        <v>1304</v>
      </c>
      <c r="AK9">
        <v>44.44</v>
      </c>
      <c r="AL9">
        <v>17</v>
      </c>
      <c r="AM9"/>
      <c r="AN9"/>
      <c r="AO9"/>
      <c r="AP9">
        <v>0.93360688554522098</v>
      </c>
      <c r="AQ9">
        <v>0.905401997467561</v>
      </c>
      <c r="AR9">
        <v>0.14212168881260201</v>
      </c>
      <c r="AS9">
        <v>0.15342205585340299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5" customFormat="1">
      <c r="A10" s="125" t="s">
        <v>1342</v>
      </c>
      <c r="B10" s="125" t="s">
        <v>1344</v>
      </c>
      <c r="C10" s="125" t="s">
        <v>1343</v>
      </c>
      <c r="D10"/>
      <c r="E10">
        <v>7</v>
      </c>
      <c r="F10">
        <v>7205</v>
      </c>
      <c r="G10" s="107" t="s">
        <v>117</v>
      </c>
      <c r="H10" s="107" t="s">
        <v>84</v>
      </c>
      <c r="I10">
        <v>1181</v>
      </c>
      <c r="J10">
        <v>900</v>
      </c>
      <c r="K10"/>
      <c r="L10" s="194">
        <v>0.05</v>
      </c>
      <c r="M10"/>
      <c r="N10"/>
      <c r="O10">
        <v>8002</v>
      </c>
      <c r="P10" s="107" t="s">
        <v>31</v>
      </c>
      <c r="Q10" s="107" t="s">
        <v>101</v>
      </c>
      <c r="R10">
        <v>837.7</v>
      </c>
      <c r="S10">
        <v>1300</v>
      </c>
      <c r="T10"/>
      <c r="U10"/>
      <c r="V10"/>
      <c r="W10"/>
      <c r="X10">
        <v>2.1734762655520101</v>
      </c>
      <c r="Y10">
        <v>8.49</v>
      </c>
      <c r="Z10">
        <v>1062900</v>
      </c>
      <c r="AA10">
        <v>1089010</v>
      </c>
      <c r="AB10">
        <v>2.46</v>
      </c>
      <c r="AC10"/>
      <c r="AD10"/>
      <c r="AE10"/>
      <c r="AF10">
        <v>-42476</v>
      </c>
      <c r="AG10">
        <v>-2655</v>
      </c>
      <c r="AH10" s="134">
        <v>16</v>
      </c>
      <c r="AI10" s="134">
        <v>7</v>
      </c>
      <c r="AJ10" s="134" t="s">
        <v>1291</v>
      </c>
      <c r="AK10">
        <v>43.75</v>
      </c>
      <c r="AL10">
        <v>16</v>
      </c>
      <c r="AM10"/>
      <c r="AN10"/>
      <c r="AO10"/>
      <c r="AP10">
        <v>0.95272662804973696</v>
      </c>
      <c r="AQ10">
        <v>0.90699121312063202</v>
      </c>
      <c r="AR10">
        <v>0.18368612457215</v>
      </c>
      <c r="AS10">
        <v>3.3537481627613101E-2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5" customFormat="1" ht="17.25" hidden="1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5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s="135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s="13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A7" sqref="A7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7"/>
      <c r="B1" s="197" t="s">
        <v>2343</v>
      </c>
      <c r="C1" s="195">
        <v>4042</v>
      </c>
      <c r="D1" s="196" t="s">
        <v>2344</v>
      </c>
      <c r="E1" s="194"/>
      <c r="F1" s="194"/>
      <c r="G1" s="194"/>
      <c r="H1" s="198" t="s">
        <v>2345</v>
      </c>
      <c r="I1" s="139">
        <v>1951</v>
      </c>
      <c r="J1" s="140" t="s">
        <v>2346</v>
      </c>
      <c r="N1" s="178"/>
      <c r="O1" s="199">
        <v>1</v>
      </c>
      <c r="P1" s="138" t="s">
        <v>2355</v>
      </c>
      <c r="Q1" s="200">
        <v>7</v>
      </c>
      <c r="R1" s="138"/>
      <c r="T1" s="178"/>
      <c r="U1" s="138" t="s">
        <v>2305</v>
      </c>
    </row>
    <row r="2" spans="1:24">
      <c r="B2" s="95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7"/>
      <c r="W2" s="180" t="s">
        <v>2347</v>
      </c>
      <c r="X2" s="179">
        <v>-2.01129245740049</v>
      </c>
    </row>
    <row r="3" spans="1:24">
      <c r="B3" s="9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9"/>
      <c r="W3" s="181" t="s">
        <v>2348</v>
      </c>
      <c r="X3" s="179">
        <v>-6.62</v>
      </c>
    </row>
    <row r="4" spans="1:24">
      <c r="B4" s="98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9"/>
      <c r="W4" s="181" t="s">
        <v>2349</v>
      </c>
      <c r="X4" s="179">
        <v>0.49</v>
      </c>
    </row>
    <row r="5" spans="1:24">
      <c r="B5" s="98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9"/>
      <c r="W5" s="180" t="s">
        <v>2350</v>
      </c>
      <c r="X5" s="179">
        <v>442222</v>
      </c>
    </row>
    <row r="6" spans="1:24" ht="15" customHeight="1">
      <c r="A6" s="210" t="s">
        <v>2306</v>
      </c>
      <c r="B6" s="9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9"/>
      <c r="W6" s="182" t="s">
        <v>2351</v>
      </c>
      <c r="X6" s="179">
        <v>0.90234379917297303</v>
      </c>
    </row>
    <row r="7" spans="1:24">
      <c r="A7" s="211">
        <v>0</v>
      </c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9"/>
      <c r="W7" s="182" t="s">
        <v>2352</v>
      </c>
      <c r="X7" s="179">
        <v>0.94005586292935805</v>
      </c>
    </row>
    <row r="8" spans="1:24">
      <c r="A8" s="210" t="s">
        <v>2307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9"/>
      <c r="W8" s="180" t="s">
        <v>2353</v>
      </c>
      <c r="X8" s="179">
        <v>5.3677926905130603E-2</v>
      </c>
    </row>
    <row r="9" spans="1:24">
      <c r="A9" s="211">
        <v>0.9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9"/>
      <c r="W9" s="180" t="s">
        <v>2354</v>
      </c>
      <c r="X9" s="179">
        <v>2.5601143161935798E-5</v>
      </c>
    </row>
    <row r="10" spans="1:24"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"/>
    </row>
    <row r="11" spans="1:24"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9"/>
    </row>
    <row r="12" spans="1:24"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9"/>
    </row>
    <row r="13" spans="1:24"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9"/>
    </row>
    <row r="14" spans="1:24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9"/>
    </row>
    <row r="15" spans="1:24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9"/>
    </row>
    <row r="16" spans="1:24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9"/>
    </row>
    <row r="17" spans="2:20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9"/>
    </row>
    <row r="18" spans="2:20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9"/>
    </row>
    <row r="19" spans="2:20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9"/>
    </row>
    <row r="20" spans="2:20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9"/>
    </row>
    <row r="21" spans="2:20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9"/>
    </row>
    <row r="22" spans="2:20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9"/>
    </row>
    <row r="23" spans="2:20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9"/>
    </row>
    <row r="24" spans="2:20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9"/>
    </row>
    <row r="25" spans="2:20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9"/>
    </row>
    <row r="26" spans="2:20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9"/>
    </row>
    <row r="27" spans="2:20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9"/>
    </row>
    <row r="28" spans="2:20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9"/>
    </row>
    <row r="29" spans="2:20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9"/>
    </row>
    <row r="30" spans="2:20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9"/>
    </row>
    <row r="31" spans="2:20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9"/>
    </row>
    <row r="32" spans="2:20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9"/>
    </row>
    <row r="33" spans="1:20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9"/>
    </row>
    <row r="34" spans="1:20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9"/>
    </row>
    <row r="35" spans="1:20"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9"/>
    </row>
    <row r="36" spans="1:20"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9"/>
    </row>
    <row r="37" spans="1:20"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9"/>
    </row>
    <row r="38" spans="1:20" ht="15" thickBot="1"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2"/>
    </row>
    <row r="40" spans="1:20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>
      <c r="A41" s="107"/>
      <c r="B41" s="107"/>
      <c r="C41" s="107"/>
      <c r="D41" s="107"/>
      <c r="E41" s="107"/>
      <c r="F41" s="107"/>
      <c r="G41" s="107"/>
      <c r="H41" s="107"/>
      <c r="I41" s="107"/>
      <c r="J41" s="107"/>
      <c r="L41" s="107" t="s">
        <v>275</v>
      </c>
      <c r="M41" s="107" t="s">
        <v>276</v>
      </c>
      <c r="N41" s="107" t="s">
        <v>277</v>
      </c>
      <c r="O41" s="107" t="s">
        <v>278</v>
      </c>
    </row>
    <row r="42" spans="1:20">
      <c r="A42" s="14"/>
    </row>
    <row r="43" spans="1:20">
      <c r="A43" s="14"/>
    </row>
    <row r="44" spans="1:20">
      <c r="A44" s="14"/>
    </row>
    <row r="45" spans="1:20">
      <c r="A45" s="14"/>
    </row>
    <row r="46" spans="1:20">
      <c r="A46" s="14"/>
    </row>
    <row r="47" spans="1:20">
      <c r="A47" s="14"/>
    </row>
    <row r="48" spans="1:20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9">
      <c r="A129" s="14"/>
    </row>
    <row r="130" spans="1:9">
      <c r="A130" s="14"/>
    </row>
    <row r="131" spans="1:9">
      <c r="A131" s="14"/>
    </row>
    <row r="132" spans="1:9">
      <c r="A132" s="14"/>
      <c r="I132" s="15"/>
    </row>
    <row r="133" spans="1:9">
      <c r="A133" s="14"/>
      <c r="I133" s="15"/>
    </row>
    <row r="134" spans="1:9">
      <c r="A134" s="14"/>
    </row>
    <row r="135" spans="1:9">
      <c r="A135" s="14"/>
    </row>
    <row r="136" spans="1:9">
      <c r="A136" s="14"/>
    </row>
    <row r="137" spans="1:9">
      <c r="A137" s="14"/>
    </row>
    <row r="138" spans="1:9">
      <c r="A138" s="14"/>
    </row>
    <row r="139" spans="1:9">
      <c r="A139" s="14"/>
    </row>
    <row r="140" spans="1:9">
      <c r="A140" s="14"/>
    </row>
    <row r="141" spans="1:9">
      <c r="A141" s="14"/>
    </row>
    <row r="142" spans="1:9">
      <c r="A142" s="14"/>
    </row>
    <row r="143" spans="1:9">
      <c r="A143" s="14"/>
    </row>
    <row r="144" spans="1:9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AF819"/>
  <sheetViews>
    <sheetView showGridLines="0" tabSelected="1" topLeftCell="A19" zoomScale="70" zoomScaleNormal="70" workbookViewId="0">
      <selection activeCell="AI13" sqref="AI13"/>
    </sheetView>
  </sheetViews>
  <sheetFormatPr defaultRowHeight="14.25"/>
  <cols>
    <col min="1" max="1" width="12" style="107" customWidth="1"/>
    <col min="2" max="2" width="12.125" style="107" customWidth="1"/>
    <col min="3" max="3" width="6" style="107" customWidth="1"/>
    <col min="4" max="4" width="7.25" style="107" customWidth="1"/>
    <col min="5" max="15" width="9" style="107"/>
    <col min="16" max="16" width="7.5" style="107" customWidth="1"/>
    <col min="17" max="19" width="9" style="107"/>
    <col min="20" max="20" width="2.75" style="107" customWidth="1"/>
    <col min="21" max="22" width="9" style="107"/>
    <col min="23" max="23" width="11.75" style="107" customWidth="1"/>
    <col min="24" max="24" width="15.75" style="107" customWidth="1"/>
    <col min="25" max="25" width="10.75" style="107" customWidth="1"/>
    <col min="26" max="16384" width="9" style="107"/>
  </cols>
  <sheetData>
    <row r="1" spans="1:31" ht="22.5" customHeight="1" thickBot="1">
      <c r="A1" s="137"/>
      <c r="B1" s="197"/>
      <c r="C1" s="195"/>
      <c r="D1" s="196"/>
      <c r="E1" s="194"/>
      <c r="F1" s="194"/>
      <c r="G1" s="194"/>
      <c r="H1" s="198"/>
      <c r="I1" s="139"/>
      <c r="J1" s="140"/>
      <c r="N1" s="178"/>
      <c r="O1" s="199"/>
      <c r="P1" s="138"/>
      <c r="Q1" s="229"/>
      <c r="R1" s="230"/>
      <c r="S1" s="10"/>
      <c r="T1" s="231"/>
      <c r="U1" s="138"/>
    </row>
    <row r="2" spans="1:31" ht="33" customHeight="1" thickBot="1">
      <c r="A2" s="137"/>
      <c r="B2" s="69" t="s">
        <v>2332</v>
      </c>
      <c r="C2" s="61"/>
      <c r="D2" s="60" t="s">
        <v>69</v>
      </c>
      <c r="E2" s="62" t="s">
        <v>70</v>
      </c>
      <c r="F2" s="63" t="s">
        <v>148</v>
      </c>
      <c r="G2" s="63" t="s">
        <v>149</v>
      </c>
      <c r="H2" s="61" t="s">
        <v>22</v>
      </c>
      <c r="I2" s="61" t="s">
        <v>150</v>
      </c>
      <c r="J2" s="63" t="s">
        <v>151</v>
      </c>
      <c r="K2" s="64" t="s">
        <v>172</v>
      </c>
      <c r="L2" s="61" t="s">
        <v>152</v>
      </c>
      <c r="M2" s="64" t="s">
        <v>166</v>
      </c>
      <c r="N2" s="61" t="s">
        <v>259</v>
      </c>
      <c r="O2" s="61" t="s">
        <v>153</v>
      </c>
      <c r="P2" s="64" t="s">
        <v>168</v>
      </c>
      <c r="Q2" s="67" t="s">
        <v>169</v>
      </c>
      <c r="R2" s="67" t="s">
        <v>2333</v>
      </c>
      <c r="S2" s="10"/>
      <c r="T2" s="10"/>
      <c r="U2" s="10"/>
    </row>
    <row r="3" spans="1:31" ht="22.5" customHeight="1">
      <c r="A3" s="137"/>
      <c r="B3" s="343">
        <v>43802</v>
      </c>
      <c r="C3" s="37" t="s">
        <v>155</v>
      </c>
      <c r="D3" s="37">
        <v>3861</v>
      </c>
      <c r="E3" s="330" t="s">
        <v>2356</v>
      </c>
      <c r="F3" s="331">
        <v>616</v>
      </c>
      <c r="G3" s="331">
        <v>1700</v>
      </c>
      <c r="H3" s="332">
        <f t="shared" ref="H3:H4" si="0">F3*G3</f>
        <v>1047200</v>
      </c>
      <c r="I3" s="333" t="s">
        <v>2358</v>
      </c>
      <c r="J3" s="331">
        <v>645</v>
      </c>
      <c r="K3" s="37">
        <v>770</v>
      </c>
      <c r="L3" s="334">
        <f>IF(OR(I3="現物",H3=0),0,IF(C3="売",H3*Fee_Refer!$B$12/365*T3, H3*Fee_Refer!$B$11/365*#REF!))</f>
        <v>0</v>
      </c>
      <c r="M3" s="333">
        <v>92</v>
      </c>
      <c r="N3" s="335">
        <v>-50603.832328767123</v>
      </c>
      <c r="O3" s="336">
        <v>-4.8322987326935754E-2</v>
      </c>
      <c r="P3" s="238">
        <v>22297.584657534244</v>
      </c>
      <c r="Q3" s="239">
        <v>1.0665638887177961E-2</v>
      </c>
      <c r="R3" s="238">
        <v>14</v>
      </c>
      <c r="S3" s="10"/>
      <c r="T3" s="10"/>
      <c r="U3" s="10"/>
    </row>
    <row r="4" spans="1:31" ht="22.5" customHeight="1">
      <c r="A4" s="137"/>
      <c r="B4" s="30"/>
      <c r="C4" s="228" t="s">
        <v>156</v>
      </c>
      <c r="D4" s="228">
        <v>5703</v>
      </c>
      <c r="E4" s="337" t="s">
        <v>2357</v>
      </c>
      <c r="F4" s="338">
        <v>222</v>
      </c>
      <c r="G4" s="338">
        <v>4700</v>
      </c>
      <c r="H4" s="339">
        <f t="shared" si="0"/>
        <v>1043400</v>
      </c>
      <c r="I4" s="340" t="s">
        <v>2359</v>
      </c>
      <c r="J4" s="341">
        <v>238</v>
      </c>
      <c r="K4" s="32">
        <v>770</v>
      </c>
      <c r="L4" s="149">
        <f>IF(OR(I4="現物",H4=0),0,IF(C4="売",H4*Fee_Refer!$B$12/365*T4, H4*Fee_Refer!$B$11/365*T3))</f>
        <v>0</v>
      </c>
      <c r="M4" s="228">
        <v>408</v>
      </c>
      <c r="N4" s="226">
        <v>72901.416986301367</v>
      </c>
      <c r="O4" s="227">
        <v>6.9869098127565046E-2</v>
      </c>
      <c r="P4" s="238"/>
      <c r="Q4" s="239"/>
      <c r="R4" s="238"/>
      <c r="S4" s="10"/>
      <c r="T4" s="10"/>
      <c r="U4" s="10"/>
    </row>
    <row r="5" spans="1:31" ht="22.5" customHeight="1" thickBot="1">
      <c r="A5" s="137"/>
      <c r="B5" s="197"/>
      <c r="C5" s="195"/>
      <c r="D5" s="196"/>
      <c r="E5" s="194"/>
      <c r="F5" s="194"/>
      <c r="G5" s="194"/>
      <c r="H5" s="198"/>
      <c r="I5" s="139"/>
      <c r="J5" s="140"/>
      <c r="N5" s="178"/>
      <c r="O5" s="199"/>
      <c r="P5" s="138"/>
      <c r="Q5" s="229"/>
    </row>
    <row r="6" spans="1:31">
      <c r="B6" s="95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7"/>
      <c r="Q6" s="10"/>
      <c r="R6" s="95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7"/>
    </row>
    <row r="7" spans="1:31"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9"/>
      <c r="Q7" s="10"/>
      <c r="R7" s="98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9"/>
    </row>
    <row r="8" spans="1:31">
      <c r="A8" s="210" t="s">
        <v>2319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9"/>
      <c r="Q8" s="10"/>
      <c r="R8" s="98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9"/>
    </row>
    <row r="9" spans="1:31">
      <c r="A9" s="344" t="s">
        <v>2342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9"/>
      <c r="Q9" s="10"/>
      <c r="R9" s="98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9"/>
    </row>
    <row r="10" spans="1:31" ht="15" customHeight="1">
      <c r="A10" s="210" t="s">
        <v>2306</v>
      </c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9"/>
      <c r="Q10" s="10"/>
      <c r="R10" s="98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9"/>
    </row>
    <row r="11" spans="1:31">
      <c r="A11" s="211">
        <v>3.6418695856423202</v>
      </c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9"/>
      <c r="Q11" s="10"/>
      <c r="R11" s="98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9"/>
    </row>
    <row r="12" spans="1:31">
      <c r="A12" s="210" t="s">
        <v>2307</v>
      </c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9"/>
      <c r="Q12" s="10"/>
      <c r="R12" s="98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9"/>
    </row>
    <row r="13" spans="1:31">
      <c r="A13" s="211">
        <v>2.2898103959054961</v>
      </c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9"/>
      <c r="Q13" s="10"/>
      <c r="R13" s="98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9"/>
    </row>
    <row r="14" spans="1:31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9"/>
      <c r="Q14" s="10"/>
      <c r="R14" s="98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9"/>
    </row>
    <row r="15" spans="1:31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9"/>
      <c r="Q15" s="10"/>
      <c r="R15" s="98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9"/>
    </row>
    <row r="16" spans="1:31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9"/>
      <c r="Q16" s="10"/>
      <c r="R16" s="98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9"/>
    </row>
    <row r="17" spans="2:31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9"/>
      <c r="Q17" s="10"/>
      <c r="R17" s="98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9"/>
    </row>
    <row r="18" spans="2:31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9"/>
      <c r="Q18" s="10"/>
      <c r="R18" s="98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9"/>
    </row>
    <row r="19" spans="2:31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9"/>
      <c r="Q19" s="10"/>
      <c r="R19" s="98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9"/>
    </row>
    <row r="20" spans="2:31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9"/>
      <c r="Q20" s="10"/>
      <c r="R20" s="98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9"/>
    </row>
    <row r="21" spans="2:31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9"/>
      <c r="Q21" s="10"/>
      <c r="R21" s="98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9"/>
    </row>
    <row r="22" spans="2:31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9"/>
      <c r="Q22" s="10"/>
      <c r="R22" s="98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9"/>
    </row>
    <row r="23" spans="2:31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9"/>
      <c r="Q23" s="10"/>
      <c r="R23" s="98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9"/>
    </row>
    <row r="24" spans="2:31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9"/>
      <c r="Q24" s="10"/>
      <c r="R24" s="98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9"/>
    </row>
    <row r="25" spans="2:31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9"/>
      <c r="Q25" s="10"/>
      <c r="R25" s="98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9"/>
    </row>
    <row r="26" spans="2:31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9"/>
      <c r="Q26" s="10"/>
      <c r="R26" s="98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9"/>
    </row>
    <row r="27" spans="2:31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9"/>
      <c r="Q27" s="10"/>
      <c r="R27" s="98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9"/>
    </row>
    <row r="28" spans="2:31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9"/>
      <c r="Q28" s="10"/>
      <c r="R28" s="98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9"/>
    </row>
    <row r="29" spans="2:31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9"/>
      <c r="Q29" s="10"/>
      <c r="R29" s="98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9"/>
    </row>
    <row r="30" spans="2:31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9"/>
      <c r="Q30" s="10"/>
      <c r="R30" s="98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9"/>
    </row>
    <row r="31" spans="2:31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9"/>
      <c r="Q31" s="10"/>
      <c r="R31" s="98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9"/>
    </row>
    <row r="32" spans="2:31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9"/>
      <c r="Q32" s="10"/>
      <c r="R32" s="98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9"/>
    </row>
    <row r="33" spans="1:31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9"/>
      <c r="Q33" s="10"/>
      <c r="R33" s="98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9"/>
    </row>
    <row r="34" spans="1:31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9"/>
      <c r="Q34" s="10"/>
      <c r="R34" s="98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9"/>
    </row>
    <row r="35" spans="1:31">
      <c r="A35" s="345">
        <f>B3</f>
        <v>43802</v>
      </c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9"/>
      <c r="Q35" s="10"/>
      <c r="R35" s="98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9"/>
    </row>
    <row r="36" spans="1:31">
      <c r="A36" s="345">
        <f>B3</f>
        <v>43802</v>
      </c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9"/>
      <c r="Q36" s="10"/>
      <c r="R36" s="98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9"/>
    </row>
    <row r="37" spans="1:31">
      <c r="A37" s="346">
        <v>0</v>
      </c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9"/>
      <c r="Q37" s="10"/>
      <c r="R37" s="98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9"/>
    </row>
    <row r="38" spans="1:31">
      <c r="A38" s="347">
        <v>1</v>
      </c>
      <c r="B38" s="98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9"/>
      <c r="Q38" s="10"/>
      <c r="R38" s="98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9"/>
    </row>
    <row r="39" spans="1:31">
      <c r="A39" s="10"/>
      <c r="B39" s="98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9"/>
      <c r="Q39" s="10"/>
      <c r="R39" s="98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9"/>
    </row>
    <row r="40" spans="1:31" ht="15" thickBot="1">
      <c r="B40" s="100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2"/>
      <c r="R40" s="100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2"/>
    </row>
    <row r="41" spans="1:31" ht="15" thickBot="1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7"/>
      <c r="R42" s="95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7"/>
    </row>
    <row r="43" spans="1:31">
      <c r="B43" s="98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9"/>
      <c r="R43" s="98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9"/>
    </row>
    <row r="44" spans="1:31">
      <c r="B44" s="98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9"/>
      <c r="R44" s="98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9"/>
    </row>
    <row r="45" spans="1:31">
      <c r="A45" s="107">
        <v>0.37763371150729336</v>
      </c>
      <c r="B45" s="98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9"/>
      <c r="R45" s="98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9"/>
    </row>
    <row r="46" spans="1:31">
      <c r="B46" s="98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9"/>
      <c r="R46" s="98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9"/>
    </row>
    <row r="47" spans="1:31">
      <c r="A47" s="107">
        <v>722</v>
      </c>
      <c r="B47" s="98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9"/>
      <c r="R47" s="98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9"/>
    </row>
    <row r="48" spans="1:31">
      <c r="B48" s="98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9"/>
      <c r="R48" s="98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9"/>
    </row>
    <row r="49" spans="1:31">
      <c r="A49" s="107">
        <v>474.00429184549358</v>
      </c>
      <c r="B49" s="98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9"/>
      <c r="R49" s="98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9"/>
    </row>
    <row r="50" spans="1:31">
      <c r="B50" s="98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9"/>
      <c r="R50" s="98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9"/>
    </row>
    <row r="51" spans="1:31">
      <c r="B51" s="98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9"/>
      <c r="R51" s="98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9"/>
    </row>
    <row r="52" spans="1:31">
      <c r="B52" s="98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9"/>
      <c r="R52" s="98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9"/>
    </row>
    <row r="53" spans="1:31">
      <c r="B53" s="98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9"/>
      <c r="R53" s="98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9"/>
    </row>
    <row r="54" spans="1:31">
      <c r="B54" s="98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9"/>
      <c r="R54" s="98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9"/>
    </row>
    <row r="55" spans="1:31">
      <c r="B55" s="98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9"/>
      <c r="R55" s="98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9"/>
    </row>
    <row r="56" spans="1:31">
      <c r="B56" s="98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9"/>
      <c r="R56" s="98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9"/>
    </row>
    <row r="57" spans="1:31">
      <c r="B57" s="98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9"/>
      <c r="R57" s="98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9"/>
    </row>
    <row r="58" spans="1:31">
      <c r="B58" s="98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9"/>
      <c r="R58" s="98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9"/>
    </row>
    <row r="59" spans="1:31">
      <c r="B59" s="98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9"/>
      <c r="R59" s="98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9"/>
    </row>
    <row r="60" spans="1:31">
      <c r="B60" s="98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9"/>
      <c r="R60" s="98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9"/>
    </row>
    <row r="61" spans="1:31">
      <c r="B61" s="98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9"/>
      <c r="R61" s="98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9"/>
    </row>
    <row r="62" spans="1:31">
      <c r="B62" s="98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9"/>
      <c r="R62" s="98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9"/>
    </row>
    <row r="63" spans="1:31">
      <c r="B63" s="98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9"/>
      <c r="R63" s="98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9"/>
    </row>
    <row r="64" spans="1:31">
      <c r="B64" s="98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9"/>
      <c r="R64" s="98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9"/>
    </row>
    <row r="65" spans="1:32">
      <c r="B65" s="98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9"/>
      <c r="R65" s="98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9"/>
    </row>
    <row r="66" spans="1:32">
      <c r="B66" s="98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9"/>
      <c r="R66" s="98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9"/>
    </row>
    <row r="67" spans="1:32">
      <c r="B67" s="98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9"/>
      <c r="R67" s="98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9"/>
    </row>
    <row r="68" spans="1:32">
      <c r="B68" s="98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9"/>
      <c r="R68" s="98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9"/>
    </row>
    <row r="69" spans="1:32">
      <c r="B69" s="98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9"/>
      <c r="R69" s="98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9"/>
    </row>
    <row r="70" spans="1:32">
      <c r="B70" s="98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9"/>
      <c r="R70" s="98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9"/>
    </row>
    <row r="71" spans="1:32">
      <c r="B71" s="98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9"/>
      <c r="R71" s="98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9"/>
    </row>
    <row r="72" spans="1:32">
      <c r="B72" s="98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9"/>
      <c r="R72" s="98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9"/>
    </row>
    <row r="73" spans="1:32">
      <c r="B73" s="98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9"/>
      <c r="R73" s="98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9"/>
    </row>
    <row r="74" spans="1:32">
      <c r="B74" s="98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9"/>
      <c r="R74" s="98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9"/>
    </row>
    <row r="75" spans="1:32">
      <c r="B75" s="98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9"/>
      <c r="R75" s="98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9"/>
    </row>
    <row r="76" spans="1:32">
      <c r="B76" s="98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9"/>
      <c r="R76" s="98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9"/>
    </row>
    <row r="77" spans="1:32">
      <c r="B77" s="98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9"/>
      <c r="R77" s="98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9"/>
    </row>
    <row r="78" spans="1:32" ht="15" thickBot="1">
      <c r="B78" s="100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2"/>
      <c r="R78" s="100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2"/>
    </row>
    <row r="79" spans="1:3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>
      <c r="A80" s="342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</row>
    <row r="81" spans="1:28">
      <c r="A81" s="107" t="s">
        <v>1238</v>
      </c>
      <c r="B81" s="107" t="s">
        <v>2334</v>
      </c>
      <c r="C81" s="107" t="s">
        <v>2335</v>
      </c>
      <c r="D81" s="107" t="s">
        <v>2336</v>
      </c>
      <c r="E81" s="107" t="s">
        <v>2337</v>
      </c>
      <c r="F81" s="107" t="s">
        <v>1239</v>
      </c>
      <c r="G81" s="107" t="s">
        <v>1240</v>
      </c>
      <c r="H81" s="107" t="s">
        <v>1241</v>
      </c>
      <c r="I81" s="107" t="s">
        <v>1242</v>
      </c>
      <c r="J81" s="107" t="s">
        <v>1243</v>
      </c>
      <c r="K81" s="107" t="s">
        <v>46</v>
      </c>
      <c r="L81" s="107" t="s">
        <v>48</v>
      </c>
      <c r="M81" s="107" t="s">
        <v>47</v>
      </c>
      <c r="N81" s="107" t="s">
        <v>49</v>
      </c>
      <c r="P81" s="107" t="s">
        <v>275</v>
      </c>
      <c r="Q81" s="107" t="s">
        <v>276</v>
      </c>
      <c r="R81" s="107" t="s">
        <v>277</v>
      </c>
      <c r="S81" s="107" t="s">
        <v>278</v>
      </c>
      <c r="U81" s="107" t="s">
        <v>2338</v>
      </c>
      <c r="V81" s="107" t="s">
        <v>2339</v>
      </c>
      <c r="W81" s="107" t="s">
        <v>2340</v>
      </c>
      <c r="X81" s="107" t="s">
        <v>2341</v>
      </c>
      <c r="Y81" s="107" t="s">
        <v>1238</v>
      </c>
      <c r="AA81" s="107" t="s">
        <v>2324</v>
      </c>
      <c r="AB81" s="107" t="s">
        <v>1307</v>
      </c>
    </row>
    <row r="82" spans="1:28">
      <c r="A82" s="14">
        <v>43816</v>
      </c>
      <c r="B82" s="107">
        <v>645</v>
      </c>
      <c r="C82" s="107">
        <v>645</v>
      </c>
      <c r="D82" s="107">
        <v>242</v>
      </c>
      <c r="E82" s="107">
        <v>238</v>
      </c>
      <c r="F82" s="107">
        <v>2.7100840336134402</v>
      </c>
      <c r="G82" s="107">
        <v>2.6705121663576898</v>
      </c>
      <c r="H82" s="107">
        <v>6.10613594376457E-2</v>
      </c>
      <c r="I82" s="107">
        <v>0.64806724940614002</v>
      </c>
      <c r="J82" s="107">
        <v>1.46</v>
      </c>
      <c r="K82" s="107">
        <v>0.97046362447595003</v>
      </c>
      <c r="L82" s="107">
        <v>2.4792145560752599E-2</v>
      </c>
      <c r="M82" s="107">
        <v>0.93308268076162704</v>
      </c>
      <c r="N82" s="107">
        <v>0.136615272884343</v>
      </c>
      <c r="P82" s="107">
        <v>2.7315735257953357</v>
      </c>
      <c r="Q82" s="107">
        <v>2.6094508069200439</v>
      </c>
      <c r="R82" s="107">
        <v>2.7926348852329812</v>
      </c>
      <c r="S82" s="107">
        <v>2.5483894474823985</v>
      </c>
      <c r="U82" s="107">
        <v>-50070</v>
      </c>
      <c r="V82" s="107">
        <v>74430</v>
      </c>
      <c r="W82" s="107">
        <v>24360</v>
      </c>
      <c r="X82" s="107">
        <v>1.1652157275423323</v>
      </c>
      <c r="Y82" s="14">
        <v>43816</v>
      </c>
      <c r="AA82" s="107">
        <v>645</v>
      </c>
      <c r="AB82" s="107">
        <v>630.24034334763951</v>
      </c>
    </row>
    <row r="83" spans="1:28">
      <c r="A83" s="14">
        <v>43815</v>
      </c>
      <c r="B83" s="107">
        <v>641</v>
      </c>
      <c r="C83" s="107">
        <v>643</v>
      </c>
      <c r="D83" s="107">
        <v>240</v>
      </c>
      <c r="E83" s="107">
        <v>240</v>
      </c>
      <c r="F83" s="107">
        <v>2.67916666666666</v>
      </c>
      <c r="G83" s="107">
        <v>2.66981049342332</v>
      </c>
      <c r="H83" s="107">
        <v>6.0904762728762198E-2</v>
      </c>
      <c r="I83" s="107">
        <v>0.15361973061138301</v>
      </c>
      <c r="J83" s="107">
        <v>0.35</v>
      </c>
      <c r="K83" s="107">
        <v>0.97014213129090898</v>
      </c>
      <c r="L83" s="107">
        <v>2.13211952492036E-2</v>
      </c>
      <c r="M83" s="107">
        <v>0.93292290844886405</v>
      </c>
      <c r="N83" s="107">
        <v>0.134543675273053</v>
      </c>
      <c r="P83" s="107">
        <v>2.7307152561520822</v>
      </c>
      <c r="Q83" s="107">
        <v>2.6089057306945578</v>
      </c>
      <c r="R83" s="107">
        <v>2.7916200188808444</v>
      </c>
      <c r="S83" s="107">
        <v>2.5480009679657956</v>
      </c>
      <c r="U83" s="107">
        <v>-46670</v>
      </c>
      <c r="V83" s="107">
        <v>83830</v>
      </c>
      <c r="W83" s="107">
        <v>37160</v>
      </c>
      <c r="X83" s="107">
        <v>1.7774801492394527</v>
      </c>
      <c r="Y83" s="14">
        <v>43815</v>
      </c>
      <c r="AA83" s="107">
        <v>643</v>
      </c>
      <c r="AB83" s="107">
        <v>635.53648068669531</v>
      </c>
    </row>
    <row r="84" spans="1:28">
      <c r="A84" s="14">
        <v>43812</v>
      </c>
      <c r="B84" s="107">
        <v>647</v>
      </c>
      <c r="C84" s="107">
        <v>643</v>
      </c>
      <c r="D84" s="107">
        <v>240</v>
      </c>
      <c r="E84" s="107">
        <v>241</v>
      </c>
      <c r="F84" s="107">
        <v>2.6680497925311202</v>
      </c>
      <c r="G84" s="107">
        <v>2.6694700216666498</v>
      </c>
      <c r="H84" s="107">
        <v>6.0922879551378997E-2</v>
      </c>
      <c r="I84" s="107">
        <v>-2.33119173943966E-2</v>
      </c>
      <c r="J84" s="107">
        <v>-0.05</v>
      </c>
      <c r="K84" s="107">
        <v>0.97023584076091496</v>
      </c>
      <c r="L84" s="107">
        <v>2.2207112329049001E-2</v>
      </c>
      <c r="M84" s="107">
        <v>0.93277602826754402</v>
      </c>
      <c r="N84" s="107">
        <v>0.13422418292183899</v>
      </c>
      <c r="P84" s="107">
        <v>2.7303929012180288</v>
      </c>
      <c r="Q84" s="107">
        <v>2.6085471421152708</v>
      </c>
      <c r="R84" s="107">
        <v>2.7913157807694078</v>
      </c>
      <c r="S84" s="107">
        <v>2.5476242625638919</v>
      </c>
      <c r="U84" s="107">
        <v>-46670</v>
      </c>
      <c r="V84" s="107">
        <v>88530</v>
      </c>
      <c r="W84" s="107">
        <v>41860</v>
      </c>
      <c r="X84" s="107">
        <v>2.0022959915813643</v>
      </c>
      <c r="Y84" s="14">
        <v>43812</v>
      </c>
      <c r="AA84" s="107">
        <v>643</v>
      </c>
      <c r="AB84" s="107">
        <v>638.18454935622321</v>
      </c>
    </row>
    <row r="85" spans="1:28">
      <c r="A85" s="14">
        <v>43811</v>
      </c>
      <c r="B85" s="107">
        <v>634</v>
      </c>
      <c r="C85" s="107">
        <v>631</v>
      </c>
      <c r="D85" s="107">
        <v>236</v>
      </c>
      <c r="E85" s="107">
        <v>236</v>
      </c>
      <c r="F85" s="107">
        <v>2.67372881355932</v>
      </c>
      <c r="G85" s="107">
        <v>2.6694515799884502</v>
      </c>
      <c r="H85" s="107">
        <v>6.0923516007497298E-2</v>
      </c>
      <c r="I85" s="107">
        <v>7.0206610700828606E-2</v>
      </c>
      <c r="J85" s="107">
        <v>0.16</v>
      </c>
      <c r="K85" s="107">
        <v>0.97075730171753305</v>
      </c>
      <c r="L85" s="107">
        <v>9.0222382000800499E-3</v>
      </c>
      <c r="M85" s="107">
        <v>0.93274893276833903</v>
      </c>
      <c r="N85" s="107">
        <v>0.13110614751712199</v>
      </c>
      <c r="P85" s="107">
        <v>2.7303750959959476</v>
      </c>
      <c r="Q85" s="107">
        <v>2.6085280639809527</v>
      </c>
      <c r="R85" s="107">
        <v>2.7912986120034446</v>
      </c>
      <c r="S85" s="107">
        <v>2.5476045479734557</v>
      </c>
      <c r="U85" s="107">
        <v>-26270</v>
      </c>
      <c r="V85" s="107">
        <v>65030</v>
      </c>
      <c r="W85" s="107">
        <v>38760</v>
      </c>
      <c r="X85" s="107">
        <v>1.8540132019515927</v>
      </c>
      <c r="Y85" s="14">
        <v>43811</v>
      </c>
      <c r="AA85" s="107">
        <v>631</v>
      </c>
      <c r="AB85" s="107">
        <v>624.94420600858371</v>
      </c>
    </row>
    <row r="86" spans="1:28">
      <c r="A86" s="14">
        <v>43810</v>
      </c>
      <c r="B86" s="107">
        <v>624</v>
      </c>
      <c r="C86" s="107">
        <v>624</v>
      </c>
      <c r="D86" s="107">
        <v>234</v>
      </c>
      <c r="E86" s="107">
        <v>235</v>
      </c>
      <c r="F86" s="107">
        <v>2.65531914893617</v>
      </c>
      <c r="G86" s="107">
        <v>2.6688663191962401</v>
      </c>
      <c r="H86" s="107">
        <v>6.1090223791715401E-2</v>
      </c>
      <c r="I86" s="107">
        <v>-0.22175676269033501</v>
      </c>
      <c r="J86" s="107">
        <v>-0.51</v>
      </c>
      <c r="K86" s="107">
        <v>0.97209058164223405</v>
      </c>
      <c r="L86" s="107">
        <v>1.4590736347319199E-2</v>
      </c>
      <c r="M86" s="107">
        <v>0.93275741872656104</v>
      </c>
      <c r="N86" s="107">
        <v>0.123592095598843</v>
      </c>
      <c r="P86" s="107">
        <v>2.7299565429879555</v>
      </c>
      <c r="Q86" s="107">
        <v>2.6077760954045246</v>
      </c>
      <c r="R86" s="107">
        <v>2.791046766779671</v>
      </c>
      <c r="S86" s="107">
        <v>2.5466858716128091</v>
      </c>
      <c r="U86" s="107">
        <v>-14370</v>
      </c>
      <c r="V86" s="107">
        <v>60330</v>
      </c>
      <c r="W86" s="107">
        <v>45960</v>
      </c>
      <c r="X86" s="107">
        <v>2.1984119391562231</v>
      </c>
      <c r="Y86" s="14">
        <v>43810</v>
      </c>
      <c r="AA86" s="107">
        <v>624</v>
      </c>
      <c r="AB86" s="107">
        <v>622.2961373390558</v>
      </c>
    </row>
    <row r="87" spans="1:28">
      <c r="A87" s="14">
        <v>43809</v>
      </c>
      <c r="B87" s="107">
        <v>629</v>
      </c>
      <c r="C87" s="107">
        <v>626</v>
      </c>
      <c r="D87" s="107">
        <v>236</v>
      </c>
      <c r="E87" s="107">
        <v>232</v>
      </c>
      <c r="F87" s="107">
        <v>2.69827586206896</v>
      </c>
      <c r="G87" s="107">
        <v>2.6690421743743298</v>
      </c>
      <c r="H87" s="107">
        <v>6.1069953463838401E-2</v>
      </c>
      <c r="I87" s="107">
        <v>0.47869182857553999</v>
      </c>
      <c r="J87" s="107">
        <v>1.08</v>
      </c>
      <c r="K87" s="107">
        <v>0.97175146424953796</v>
      </c>
      <c r="L87" s="107">
        <v>1.27879867942318E-2</v>
      </c>
      <c r="M87" s="107">
        <v>0.93259700289123504</v>
      </c>
      <c r="N87" s="107">
        <v>0.22148044281323001</v>
      </c>
      <c r="P87" s="107">
        <v>2.7301121278381681</v>
      </c>
      <c r="Q87" s="107">
        <v>2.6079722209104914</v>
      </c>
      <c r="R87" s="107">
        <v>2.7911820813020065</v>
      </c>
      <c r="S87" s="107">
        <v>2.546902267446653</v>
      </c>
      <c r="U87" s="107">
        <v>-17770</v>
      </c>
      <c r="V87" s="107">
        <v>46230</v>
      </c>
      <c r="W87" s="107">
        <v>28460</v>
      </c>
      <c r="X87" s="107">
        <v>1.3613316751171913</v>
      </c>
      <c r="Y87" s="14">
        <v>43809</v>
      </c>
      <c r="AA87" s="107">
        <v>626</v>
      </c>
      <c r="AB87" s="107">
        <v>614.3519313304721</v>
      </c>
    </row>
    <row r="88" spans="1:28">
      <c r="A88" s="14">
        <v>43808</v>
      </c>
      <c r="B88" s="107">
        <v>630</v>
      </c>
      <c r="C88" s="107">
        <v>636</v>
      </c>
      <c r="D88" s="107">
        <v>235</v>
      </c>
      <c r="E88" s="107">
        <v>236</v>
      </c>
      <c r="F88" s="107">
        <v>2.6949152542372801</v>
      </c>
      <c r="G88" s="107">
        <v>2.6682100904163102</v>
      </c>
      <c r="H88" s="107">
        <v>6.1091115276469501E-2</v>
      </c>
      <c r="I88" s="107">
        <v>0.43713662289706501</v>
      </c>
      <c r="J88" s="107">
        <v>0.99</v>
      </c>
      <c r="K88" s="107">
        <v>0.97179788798844102</v>
      </c>
      <c r="L88" s="107">
        <v>1.18407692268009E-2</v>
      </c>
      <c r="M88" s="107">
        <v>0.93256772591769499</v>
      </c>
      <c r="N88" s="107">
        <v>0.121042651222349</v>
      </c>
      <c r="P88" s="107">
        <v>2.7293012056927797</v>
      </c>
      <c r="Q88" s="107">
        <v>2.6071189751398407</v>
      </c>
      <c r="R88" s="107">
        <v>2.7903923209692492</v>
      </c>
      <c r="S88" s="107">
        <v>2.5460278598633712</v>
      </c>
      <c r="U88" s="107">
        <v>-34770</v>
      </c>
      <c r="V88" s="107">
        <v>65030</v>
      </c>
      <c r="W88" s="107">
        <v>30260</v>
      </c>
      <c r="X88" s="107">
        <v>1.4474313594183488</v>
      </c>
      <c r="Y88" s="14">
        <v>43808</v>
      </c>
      <c r="AA88" s="107">
        <v>636</v>
      </c>
      <c r="AB88" s="107">
        <v>624.94420600858371</v>
      </c>
    </row>
    <row r="89" spans="1:28">
      <c r="A89" s="14">
        <v>43805</v>
      </c>
      <c r="B89" s="107">
        <v>627</v>
      </c>
      <c r="C89" s="107">
        <v>618</v>
      </c>
      <c r="D89" s="107">
        <v>228</v>
      </c>
      <c r="E89" s="107">
        <v>230</v>
      </c>
      <c r="F89" s="107">
        <v>2.68695652173913</v>
      </c>
      <c r="G89" s="107">
        <v>2.6673234243670998</v>
      </c>
      <c r="H89" s="107">
        <v>6.11796070276239E-2</v>
      </c>
      <c r="I89" s="107">
        <v>0.32090917751662801</v>
      </c>
      <c r="J89" s="107">
        <v>0.73</v>
      </c>
      <c r="K89" s="107">
        <v>0.97078025271378099</v>
      </c>
      <c r="L89" s="107">
        <v>2.6848912255854399E-2</v>
      </c>
      <c r="M89" s="107">
        <v>0.93268752332557203</v>
      </c>
      <c r="N89" s="107">
        <v>0.111779506012744</v>
      </c>
      <c r="P89" s="107">
        <v>2.7285030313947236</v>
      </c>
      <c r="Q89" s="107">
        <v>2.606143817339476</v>
      </c>
      <c r="R89" s="107">
        <v>2.7896826384223474</v>
      </c>
      <c r="S89" s="107">
        <v>2.5449642103118522</v>
      </c>
      <c r="U89" s="107">
        <v>-4170</v>
      </c>
      <c r="V89" s="107">
        <v>36830</v>
      </c>
      <c r="W89" s="107">
        <v>32660</v>
      </c>
      <c r="X89" s="107">
        <v>1.5622309384865589</v>
      </c>
      <c r="Y89" s="14">
        <v>43805</v>
      </c>
      <c r="AA89" s="107">
        <v>618</v>
      </c>
      <c r="AB89" s="107">
        <v>609.05579399141629</v>
      </c>
    </row>
    <row r="90" spans="1:28">
      <c r="A90" s="14">
        <v>43804</v>
      </c>
      <c r="B90" s="107">
        <v>621</v>
      </c>
      <c r="C90" s="107">
        <v>623</v>
      </c>
      <c r="D90" s="107">
        <v>231</v>
      </c>
      <c r="E90" s="107">
        <v>229</v>
      </c>
      <c r="F90" s="107">
        <v>2.7205240174672398</v>
      </c>
      <c r="G90" s="107">
        <v>2.66670912378259</v>
      </c>
      <c r="H90" s="107">
        <v>6.1210686118303902E-2</v>
      </c>
      <c r="I90" s="107">
        <v>0.87917481566286604</v>
      </c>
      <c r="J90" s="107">
        <v>1.98</v>
      </c>
      <c r="K90" s="107">
        <v>0.969368315338621</v>
      </c>
      <c r="L90" s="107">
        <v>3.4979854187702497E-2</v>
      </c>
      <c r="M90" s="107">
        <v>0.932868996908779</v>
      </c>
      <c r="N90" s="107">
        <v>0.124799065053215</v>
      </c>
      <c r="P90" s="107">
        <v>2.7279198099008939</v>
      </c>
      <c r="Q90" s="107">
        <v>2.605498437664286</v>
      </c>
      <c r="R90" s="107">
        <v>2.7891304960191978</v>
      </c>
      <c r="S90" s="107">
        <v>2.5442877515459821</v>
      </c>
      <c r="U90" s="107">
        <v>-12670</v>
      </c>
      <c r="V90" s="107">
        <v>32130</v>
      </c>
      <c r="W90" s="107">
        <v>19460</v>
      </c>
      <c r="X90" s="107">
        <v>0.93083325361140345</v>
      </c>
      <c r="Y90" s="14">
        <v>43804</v>
      </c>
      <c r="AA90" s="107">
        <v>623</v>
      </c>
      <c r="AB90" s="107">
        <v>606.40772532188839</v>
      </c>
    </row>
    <row r="91" spans="1:28">
      <c r="A91" s="14">
        <v>43803</v>
      </c>
      <c r="B91" s="107">
        <v>603</v>
      </c>
      <c r="C91" s="107">
        <v>613</v>
      </c>
      <c r="D91" s="107">
        <v>220</v>
      </c>
      <c r="E91" s="107">
        <v>223</v>
      </c>
      <c r="F91" s="107">
        <v>2.7488789237668101</v>
      </c>
      <c r="G91" s="107">
        <v>2.6657688035496898</v>
      </c>
      <c r="H91" s="107">
        <v>6.0917752640236099E-2</v>
      </c>
      <c r="I91" s="107">
        <v>1.3643004972285699</v>
      </c>
      <c r="J91" s="107">
        <v>3.02</v>
      </c>
      <c r="K91" s="107">
        <v>0.96922686417720205</v>
      </c>
      <c r="L91" s="107">
        <v>2.6252387624553501E-2</v>
      </c>
      <c r="M91" s="107">
        <v>0.93326272537698696</v>
      </c>
      <c r="N91" s="107">
        <v>0.14092440366457701</v>
      </c>
      <c r="P91" s="107">
        <v>2.7266865561899261</v>
      </c>
      <c r="Q91" s="107">
        <v>2.6048510509094536</v>
      </c>
      <c r="R91" s="107">
        <v>2.7876043088301619</v>
      </c>
      <c r="S91" s="107">
        <v>2.5439332982692178</v>
      </c>
      <c r="U91" s="107">
        <v>4330</v>
      </c>
      <c r="V91" s="107">
        <v>3930</v>
      </c>
      <c r="W91" s="107">
        <v>8260</v>
      </c>
      <c r="X91" s="107">
        <v>0.39510188462642304</v>
      </c>
      <c r="Y91" s="14">
        <v>43803</v>
      </c>
      <c r="AA91" s="107">
        <v>613</v>
      </c>
      <c r="AB91" s="107">
        <v>590.51931330472098</v>
      </c>
    </row>
    <row r="92" spans="1:28">
      <c r="A92" s="14">
        <v>43802</v>
      </c>
      <c r="B92" s="107">
        <v>616</v>
      </c>
      <c r="C92" s="107">
        <v>615</v>
      </c>
      <c r="D92" s="107">
        <v>222</v>
      </c>
      <c r="E92" s="107">
        <v>223</v>
      </c>
      <c r="F92" s="107">
        <v>2.7578475336322801</v>
      </c>
      <c r="G92" s="107">
        <v>2.66423548165174</v>
      </c>
      <c r="H92" s="107">
        <v>6.02501707828179E-2</v>
      </c>
      <c r="I92" s="107">
        <v>1.55372259969155</v>
      </c>
      <c r="J92" s="107">
        <v>3.39</v>
      </c>
      <c r="K92" s="107">
        <v>0.96972232891769505</v>
      </c>
      <c r="L92" s="107">
        <v>2.1589024735174999E-2</v>
      </c>
      <c r="M92" s="107">
        <v>0.93362731980276903</v>
      </c>
      <c r="N92" s="107">
        <v>0.15439558360307801</v>
      </c>
      <c r="P92" s="107">
        <v>2.724485652434558</v>
      </c>
      <c r="Q92" s="107">
        <v>2.6039853108689219</v>
      </c>
      <c r="R92" s="107">
        <v>2.7847358232173756</v>
      </c>
      <c r="S92" s="107">
        <v>2.5437351400861044</v>
      </c>
      <c r="U92" s="107">
        <v>930</v>
      </c>
      <c r="V92" s="107">
        <v>3930</v>
      </c>
      <c r="W92" s="107">
        <v>4860</v>
      </c>
      <c r="X92" s="107">
        <v>0.2324691476131254</v>
      </c>
      <c r="Y92" s="14">
        <v>43802</v>
      </c>
      <c r="AA92" s="107">
        <v>615</v>
      </c>
      <c r="AB92" s="107">
        <v>590.51931330472098</v>
      </c>
    </row>
    <row r="93" spans="1:28">
      <c r="A93" s="14">
        <v>43801</v>
      </c>
      <c r="B93" s="107">
        <v>630</v>
      </c>
      <c r="C93" s="107">
        <v>632</v>
      </c>
      <c r="D93" s="107">
        <v>222</v>
      </c>
      <c r="E93" s="107">
        <v>227</v>
      </c>
      <c r="F93" s="107">
        <v>2.7841409691629901</v>
      </c>
      <c r="G93" s="107">
        <v>2.6628715886107202</v>
      </c>
      <c r="H93" s="107">
        <v>5.9265373867701199E-2</v>
      </c>
      <c r="I93" s="107">
        <v>2.0462096606862201</v>
      </c>
      <c r="J93" s="107">
        <v>4.3600000000000003</v>
      </c>
      <c r="K93" s="107">
        <v>0.96933627660508903</v>
      </c>
      <c r="L93" s="107">
        <v>1.49230508505192E-2</v>
      </c>
      <c r="M93" s="107">
        <v>0.93427708833533696</v>
      </c>
      <c r="N93" s="107">
        <v>0.16011947688527101</v>
      </c>
      <c r="P93" s="107">
        <v>2.7221369624784213</v>
      </c>
      <c r="Q93" s="107">
        <v>2.603606214743019</v>
      </c>
      <c r="R93" s="107">
        <v>2.7814023363461224</v>
      </c>
      <c r="S93" s="107">
        <v>2.5443408408753179</v>
      </c>
      <c r="U93" s="107">
        <v>-27970</v>
      </c>
      <c r="V93" s="107">
        <v>22730</v>
      </c>
      <c r="W93" s="107">
        <v>-5240</v>
      </c>
      <c r="X93" s="107">
        <v>-0.25064574763225872</v>
      </c>
      <c r="Y93" s="14">
        <v>43801</v>
      </c>
      <c r="AA93" s="107">
        <v>632</v>
      </c>
      <c r="AB93" s="107">
        <v>601.11158798283259</v>
      </c>
    </row>
    <row r="94" spans="1:28">
      <c r="A94" s="14">
        <v>43798</v>
      </c>
      <c r="B94" s="107">
        <v>627</v>
      </c>
      <c r="C94" s="107">
        <v>625</v>
      </c>
      <c r="D94" s="107">
        <v>223</v>
      </c>
      <c r="E94" s="107">
        <v>223</v>
      </c>
      <c r="F94" s="107">
        <v>2.8026905829596398</v>
      </c>
      <c r="G94" s="107">
        <v>2.6616695633023899</v>
      </c>
      <c r="H94" s="107">
        <v>5.7686799260123697E-2</v>
      </c>
      <c r="I94" s="107">
        <v>2.4445977496749101</v>
      </c>
      <c r="J94" s="107">
        <v>5.03</v>
      </c>
      <c r="K94" s="107">
        <v>0.971177562165084</v>
      </c>
      <c r="L94" s="107">
        <v>2.5138778604518599E-2</v>
      </c>
      <c r="M94" s="107">
        <v>0.93491987988067704</v>
      </c>
      <c r="N94" s="107">
        <v>0.164697431953403</v>
      </c>
      <c r="P94" s="107">
        <v>2.7193563625625137</v>
      </c>
      <c r="Q94" s="107">
        <v>2.6039827640422661</v>
      </c>
      <c r="R94" s="107">
        <v>2.7770431618226374</v>
      </c>
      <c r="S94" s="107">
        <v>2.5462959647821424</v>
      </c>
      <c r="AA94" s="107">
        <v>625</v>
      </c>
      <c r="AB94" s="107">
        <v>590.51931330472098</v>
      </c>
    </row>
    <row r="95" spans="1:28">
      <c r="A95" s="14">
        <v>43797</v>
      </c>
      <c r="B95" s="107">
        <v>627</v>
      </c>
      <c r="C95" s="107">
        <v>620</v>
      </c>
      <c r="D95" s="107">
        <v>228</v>
      </c>
      <c r="E95" s="107">
        <v>225</v>
      </c>
      <c r="F95" s="107">
        <v>2.7555555555555502</v>
      </c>
      <c r="G95" s="107">
        <v>2.66043878904508</v>
      </c>
      <c r="H95" s="107">
        <v>5.5612339616058798E-2</v>
      </c>
      <c r="I95" s="107">
        <v>1.71035362236417</v>
      </c>
      <c r="J95" s="107">
        <v>3.45</v>
      </c>
      <c r="K95" s="107">
        <v>0.97121122391420001</v>
      </c>
      <c r="L95" s="107">
        <v>3.9577486445580498E-2</v>
      </c>
      <c r="M95" s="107">
        <v>0.93551148776742499</v>
      </c>
      <c r="N95" s="107">
        <v>0.176311629807089</v>
      </c>
      <c r="P95" s="107">
        <v>2.7160511286611388</v>
      </c>
      <c r="Q95" s="107">
        <v>2.6048264494290212</v>
      </c>
      <c r="R95" s="107">
        <v>2.7716634682771977</v>
      </c>
      <c r="S95" s="107">
        <v>2.5492141098129624</v>
      </c>
      <c r="AA95" s="107">
        <v>620</v>
      </c>
      <c r="AB95" s="107">
        <v>595.81545064377679</v>
      </c>
    </row>
    <row r="96" spans="1:28">
      <c r="A96" s="14">
        <v>43796</v>
      </c>
      <c r="B96" s="107">
        <v>618</v>
      </c>
      <c r="C96" s="107">
        <v>623</v>
      </c>
      <c r="D96" s="107">
        <v>228</v>
      </c>
      <c r="E96" s="107">
        <v>229</v>
      </c>
      <c r="F96" s="107">
        <v>2.7205240174672398</v>
      </c>
      <c r="G96" s="107">
        <v>2.6599822013097998</v>
      </c>
      <c r="H96" s="107">
        <v>5.4966362206321902E-2</v>
      </c>
      <c r="I96" s="107">
        <v>1.10143392662939</v>
      </c>
      <c r="J96" s="107">
        <v>2.23</v>
      </c>
      <c r="K96" s="107">
        <v>0.97070590621318797</v>
      </c>
      <c r="L96" s="107">
        <v>3.9382422660561502E-2</v>
      </c>
      <c r="M96" s="107">
        <v>0.93560395978868505</v>
      </c>
      <c r="N96" s="107">
        <v>0.212939559674205</v>
      </c>
      <c r="P96" s="107">
        <v>2.7149485635161219</v>
      </c>
      <c r="Q96" s="107">
        <v>2.6050158391034777</v>
      </c>
      <c r="R96" s="107">
        <v>2.7699149257224436</v>
      </c>
      <c r="S96" s="107">
        <v>2.550049476897156</v>
      </c>
      <c r="AA96" s="107">
        <v>623</v>
      </c>
      <c r="AB96" s="107">
        <v>606.40772532188839</v>
      </c>
    </row>
    <row r="97" spans="1:28">
      <c r="A97" s="14">
        <v>43795</v>
      </c>
      <c r="B97" s="107">
        <v>619</v>
      </c>
      <c r="C97" s="107">
        <v>612</v>
      </c>
      <c r="D97" s="107">
        <v>228</v>
      </c>
      <c r="E97" s="107">
        <v>225</v>
      </c>
      <c r="F97" s="107">
        <v>2.72</v>
      </c>
      <c r="G97" s="107">
        <v>2.6595950725662698</v>
      </c>
      <c r="H97" s="107">
        <v>5.4639878302363699E-2</v>
      </c>
      <c r="I97" s="107">
        <v>1.1055099189544799</v>
      </c>
      <c r="J97" s="107">
        <v>2.2200000000000002</v>
      </c>
      <c r="K97" s="107">
        <v>0.97086511708985501</v>
      </c>
      <c r="L97" s="107">
        <v>3.6499304030880697E-2</v>
      </c>
      <c r="M97" s="107">
        <v>0.93522394291747901</v>
      </c>
      <c r="N97" s="107">
        <v>0.25313616227310498</v>
      </c>
      <c r="P97" s="107">
        <v>2.7142349508686334</v>
      </c>
      <c r="Q97" s="107">
        <v>2.6049551942639062</v>
      </c>
      <c r="R97" s="107">
        <v>2.768874829170997</v>
      </c>
      <c r="S97" s="107">
        <v>2.5503153159615426</v>
      </c>
      <c r="AA97" s="107">
        <v>612</v>
      </c>
      <c r="AB97" s="107">
        <v>595.81545064377679</v>
      </c>
    </row>
    <row r="98" spans="1:28">
      <c r="A98" s="14">
        <v>43794</v>
      </c>
      <c r="B98" s="107">
        <v>604</v>
      </c>
      <c r="C98" s="107">
        <v>610</v>
      </c>
      <c r="D98" s="107">
        <v>226</v>
      </c>
      <c r="E98" s="107">
        <v>225</v>
      </c>
      <c r="F98" s="107">
        <v>2.7111111111111099</v>
      </c>
      <c r="G98" s="107">
        <v>2.6604298551749599</v>
      </c>
      <c r="H98" s="107">
        <v>5.6017265686387201E-2</v>
      </c>
      <c r="I98" s="107">
        <v>0.90474348069545796</v>
      </c>
      <c r="J98" s="107">
        <v>1.87</v>
      </c>
      <c r="K98" s="107">
        <v>0.97108586594749402</v>
      </c>
      <c r="L98" s="107">
        <v>3.6688562785285303E-2</v>
      </c>
      <c r="M98" s="107">
        <v>0.93369565089385798</v>
      </c>
      <c r="N98" s="107">
        <v>0.185956177811716</v>
      </c>
      <c r="P98" s="107">
        <v>2.7164471208613472</v>
      </c>
      <c r="Q98" s="107">
        <v>2.6044125894885726</v>
      </c>
      <c r="R98" s="107">
        <v>2.7724643865477341</v>
      </c>
      <c r="S98" s="107">
        <v>2.5483953238021857</v>
      </c>
      <c r="AA98" s="107">
        <v>610</v>
      </c>
      <c r="AB98" s="107">
        <v>595.81545064377679</v>
      </c>
    </row>
    <row r="99" spans="1:28">
      <c r="A99" s="14">
        <v>43791</v>
      </c>
      <c r="B99" s="107">
        <v>595</v>
      </c>
      <c r="C99" s="107">
        <v>601</v>
      </c>
      <c r="D99" s="107">
        <v>222</v>
      </c>
      <c r="E99" s="107">
        <v>222</v>
      </c>
      <c r="F99" s="107">
        <v>2.7072072072072002</v>
      </c>
      <c r="G99" s="107">
        <v>2.66147468948295</v>
      </c>
      <c r="H99" s="107">
        <v>5.7659563916434502E-2</v>
      </c>
      <c r="I99" s="107">
        <v>0.79314713150671301</v>
      </c>
      <c r="J99" s="107">
        <v>1.69</v>
      </c>
      <c r="K99" s="107">
        <v>0.97103349996743404</v>
      </c>
      <c r="L99" s="107">
        <v>3.7734490039338098E-2</v>
      </c>
      <c r="M99" s="107">
        <v>0.93374630197686004</v>
      </c>
      <c r="N99" s="107">
        <v>0.18782040897588201</v>
      </c>
      <c r="P99" s="107">
        <v>2.7191342533993845</v>
      </c>
      <c r="Q99" s="107">
        <v>2.6038151255665154</v>
      </c>
      <c r="R99" s="107">
        <v>2.7767938173158191</v>
      </c>
      <c r="S99" s="107">
        <v>2.5461555616500808</v>
      </c>
      <c r="AA99" s="107">
        <v>601</v>
      </c>
      <c r="AB99" s="107">
        <v>587.87124463519308</v>
      </c>
    </row>
    <row r="100" spans="1:28">
      <c r="A100" s="14">
        <v>43790</v>
      </c>
      <c r="B100" s="107">
        <v>596</v>
      </c>
      <c r="C100" s="107">
        <v>591</v>
      </c>
      <c r="D100" s="107">
        <v>225</v>
      </c>
      <c r="E100" s="107">
        <v>227</v>
      </c>
      <c r="F100" s="107">
        <v>2.6035242290748899</v>
      </c>
      <c r="G100" s="107">
        <v>2.6632127727438801</v>
      </c>
      <c r="H100" s="107">
        <v>6.08863550504367E-2</v>
      </c>
      <c r="I100" s="107">
        <v>-0.980327096597433</v>
      </c>
      <c r="J100" s="107">
        <v>-2.29</v>
      </c>
      <c r="K100" s="107">
        <v>0.97279648115126705</v>
      </c>
      <c r="L100" s="107">
        <v>7.4288617753124897E-2</v>
      </c>
      <c r="M100" s="107">
        <v>0.93308742568458902</v>
      </c>
      <c r="N100" s="107">
        <v>0.13962956395338799</v>
      </c>
      <c r="P100" s="107">
        <v>2.7240991277943167</v>
      </c>
      <c r="Q100" s="107">
        <v>2.6023264176934435</v>
      </c>
      <c r="R100" s="107">
        <v>2.7849854828447533</v>
      </c>
      <c r="S100" s="107">
        <v>2.5414400626430069</v>
      </c>
      <c r="AA100" s="107">
        <v>591</v>
      </c>
      <c r="AB100" s="107">
        <v>601.11158798283259</v>
      </c>
    </row>
    <row r="101" spans="1:28">
      <c r="A101" s="14">
        <v>43789</v>
      </c>
      <c r="B101" s="107">
        <v>612</v>
      </c>
      <c r="C101" s="107">
        <v>606</v>
      </c>
      <c r="D101" s="107">
        <v>230</v>
      </c>
      <c r="E101" s="107">
        <v>226</v>
      </c>
      <c r="F101" s="107">
        <v>2.68141592920353</v>
      </c>
      <c r="G101" s="107">
        <v>2.66623244968955</v>
      </c>
      <c r="H101" s="107">
        <v>6.3414771214686999E-2</v>
      </c>
      <c r="I101" s="107">
        <v>0.239431274814245</v>
      </c>
      <c r="J101" s="107">
        <v>0.56999999999999995</v>
      </c>
      <c r="K101" s="107">
        <v>0.97238283664772696</v>
      </c>
      <c r="L101" s="107">
        <v>0.26972348584068501</v>
      </c>
      <c r="M101" s="107">
        <v>0.93209406654344895</v>
      </c>
      <c r="N101" s="107">
        <v>0.15572396418801401</v>
      </c>
      <c r="P101" s="107">
        <v>2.7296472209042371</v>
      </c>
      <c r="Q101" s="107">
        <v>2.6028176784748629</v>
      </c>
      <c r="R101" s="107">
        <v>2.7930619921189241</v>
      </c>
      <c r="S101" s="107">
        <v>2.5394029072601758</v>
      </c>
      <c r="AA101" s="107">
        <v>606</v>
      </c>
      <c r="AB101" s="107">
        <v>598.46351931330469</v>
      </c>
    </row>
    <row r="102" spans="1:28">
      <c r="A102" s="14">
        <v>43788</v>
      </c>
      <c r="B102" s="107">
        <v>622</v>
      </c>
      <c r="C102" s="107">
        <v>617</v>
      </c>
      <c r="D102" s="107">
        <v>231</v>
      </c>
      <c r="E102" s="107">
        <v>233</v>
      </c>
      <c r="F102" s="107">
        <v>2.6480686695278899</v>
      </c>
      <c r="G102" s="107">
        <v>2.6671631641294402</v>
      </c>
      <c r="H102" s="107">
        <v>6.4138889519163605E-2</v>
      </c>
      <c r="I102" s="107">
        <v>-0.29770541312285997</v>
      </c>
      <c r="J102" s="107">
        <v>-0.72</v>
      </c>
      <c r="K102" s="107">
        <v>0.97221919370400001</v>
      </c>
      <c r="L102" s="107">
        <v>0.28095077348814901</v>
      </c>
      <c r="M102" s="107">
        <v>0.93224784440450603</v>
      </c>
      <c r="N102" s="107">
        <v>7.8185546353587002E-2</v>
      </c>
      <c r="P102" s="107">
        <v>2.7313020536486037</v>
      </c>
      <c r="Q102" s="107">
        <v>2.6030242746102767</v>
      </c>
      <c r="R102" s="107">
        <v>2.7954409431677676</v>
      </c>
      <c r="S102" s="107">
        <v>2.5388853850911128</v>
      </c>
      <c r="AA102" s="107">
        <v>617</v>
      </c>
      <c r="AB102" s="107">
        <v>617</v>
      </c>
    </row>
    <row r="103" spans="1:28">
      <c r="A103" s="14">
        <v>43787</v>
      </c>
      <c r="B103" s="107">
        <v>632</v>
      </c>
      <c r="C103" s="107">
        <v>627</v>
      </c>
      <c r="D103" s="107">
        <v>233</v>
      </c>
      <c r="E103" s="107">
        <v>233</v>
      </c>
      <c r="F103" s="107">
        <v>2.69098712446351</v>
      </c>
      <c r="G103" s="107">
        <v>2.6668402913491902</v>
      </c>
      <c r="H103" s="107">
        <v>6.4294957807398301E-2</v>
      </c>
      <c r="I103" s="107">
        <v>0.37556340244692799</v>
      </c>
      <c r="J103" s="107">
        <v>0.9</v>
      </c>
      <c r="K103" s="107">
        <v>0.97116466001748403</v>
      </c>
      <c r="L103" s="107">
        <v>0.253343226552946</v>
      </c>
      <c r="M103" s="107">
        <v>0.93254280959423896</v>
      </c>
      <c r="N103" s="107">
        <v>5.6134310170542698E-2</v>
      </c>
      <c r="P103" s="107">
        <v>2.7311352491565883</v>
      </c>
      <c r="Q103" s="107">
        <v>2.6025453335417921</v>
      </c>
      <c r="R103" s="107">
        <v>2.7954302069639869</v>
      </c>
      <c r="S103" s="107">
        <v>2.5382503757343935</v>
      </c>
      <c r="AA103" s="107">
        <v>627</v>
      </c>
      <c r="AB103" s="107">
        <v>617</v>
      </c>
    </row>
    <row r="104" spans="1:28">
      <c r="A104" s="14">
        <v>43784</v>
      </c>
      <c r="B104" s="107">
        <v>613</v>
      </c>
      <c r="C104" s="107">
        <v>627</v>
      </c>
      <c r="D104" s="107">
        <v>229</v>
      </c>
      <c r="E104" s="107">
        <v>231</v>
      </c>
      <c r="F104" s="107">
        <v>2.71428571428571</v>
      </c>
      <c r="G104" s="107">
        <v>2.66606749666215</v>
      </c>
      <c r="H104" s="107">
        <v>6.4348381263798493E-2</v>
      </c>
      <c r="I104" s="107">
        <v>0.74933070073491903</v>
      </c>
      <c r="J104" s="107">
        <v>1.78</v>
      </c>
      <c r="K104" s="107">
        <v>0.96994715964173694</v>
      </c>
      <c r="L104" s="107">
        <v>0.27189403787163502</v>
      </c>
      <c r="M104" s="107">
        <v>0.93246853310758604</v>
      </c>
      <c r="N104" s="107">
        <v>7.1771568352986898E-2</v>
      </c>
      <c r="P104" s="107">
        <v>2.7304158779259486</v>
      </c>
      <c r="Q104" s="107">
        <v>2.6017191153983514</v>
      </c>
      <c r="R104" s="107">
        <v>2.7947642591897468</v>
      </c>
      <c r="S104" s="107">
        <v>2.5373707341345533</v>
      </c>
      <c r="AA104" s="107">
        <v>627</v>
      </c>
      <c r="AB104" s="107">
        <v>611.7038626609442</v>
      </c>
    </row>
    <row r="105" spans="1:28">
      <c r="A105" s="14">
        <v>43783</v>
      </c>
      <c r="B105" s="107">
        <v>632</v>
      </c>
      <c r="C105" s="107">
        <v>608</v>
      </c>
      <c r="D105" s="107">
        <v>234</v>
      </c>
      <c r="E105" s="107">
        <v>230</v>
      </c>
      <c r="F105" s="107">
        <v>2.6434782608695602</v>
      </c>
      <c r="G105" s="107">
        <v>2.66499014264362</v>
      </c>
      <c r="H105" s="107">
        <v>6.4208326365331803E-2</v>
      </c>
      <c r="I105" s="107">
        <v>-0.335032588322904</v>
      </c>
      <c r="J105" s="107">
        <v>-0.81</v>
      </c>
      <c r="K105" s="107">
        <v>0.96975359755009105</v>
      </c>
      <c r="L105" s="107">
        <v>0.30023395716621998</v>
      </c>
      <c r="M105" s="107">
        <v>0.93136954610288603</v>
      </c>
      <c r="N105" s="107">
        <v>0.24668323942686499</v>
      </c>
      <c r="P105" s="107">
        <v>2.7291984690089519</v>
      </c>
      <c r="Q105" s="107">
        <v>2.6007818162782881</v>
      </c>
      <c r="R105" s="107">
        <v>2.7934067953742838</v>
      </c>
      <c r="S105" s="107">
        <v>2.5365734899129562</v>
      </c>
      <c r="AA105" s="107">
        <v>608</v>
      </c>
      <c r="AB105" s="107">
        <v>609.05579399141629</v>
      </c>
    </row>
    <row r="106" spans="1:28">
      <c r="A106" s="14">
        <v>43782</v>
      </c>
      <c r="B106" s="107">
        <v>650</v>
      </c>
      <c r="C106" s="107">
        <v>639</v>
      </c>
      <c r="D106" s="107">
        <v>235</v>
      </c>
      <c r="E106" s="107">
        <v>236</v>
      </c>
      <c r="F106" s="107">
        <v>2.7076271186440599</v>
      </c>
      <c r="G106" s="107">
        <v>2.6649775516540499</v>
      </c>
      <c r="H106" s="107">
        <v>6.4212635967063003E-2</v>
      </c>
      <c r="I106" s="107">
        <v>0.66419274567537701</v>
      </c>
      <c r="J106" s="107">
        <v>1.58</v>
      </c>
      <c r="K106" s="107">
        <v>0.96714372841151697</v>
      </c>
      <c r="L106" s="107">
        <v>0.32797254562553801</v>
      </c>
      <c r="M106" s="107">
        <v>0.92965006361172797</v>
      </c>
      <c r="N106" s="107">
        <v>0.17970650154892001</v>
      </c>
      <c r="P106" s="107">
        <v>2.7291901876211129</v>
      </c>
      <c r="Q106" s="107">
        <v>2.600764915686987</v>
      </c>
      <c r="R106" s="107">
        <v>2.7934028235881758</v>
      </c>
      <c r="S106" s="107">
        <v>2.536552279719924</v>
      </c>
      <c r="AA106" s="107">
        <v>639</v>
      </c>
      <c r="AB106" s="107">
        <v>624.94420600858371</v>
      </c>
    </row>
    <row r="107" spans="1:28">
      <c r="A107" s="14">
        <v>43781</v>
      </c>
      <c r="B107" s="107">
        <v>638</v>
      </c>
      <c r="C107" s="107">
        <v>651</v>
      </c>
      <c r="D107" s="107">
        <v>232</v>
      </c>
      <c r="E107" s="107">
        <v>235</v>
      </c>
      <c r="F107" s="107">
        <v>2.77021276595744</v>
      </c>
      <c r="G107" s="107">
        <v>2.6630941458243398</v>
      </c>
      <c r="H107" s="107">
        <v>6.5000798672520801E-2</v>
      </c>
      <c r="I107" s="107">
        <v>1.64795852236796</v>
      </c>
      <c r="J107" s="107">
        <v>3.87</v>
      </c>
      <c r="K107" s="107">
        <v>0.964177080350757</v>
      </c>
      <c r="L107" s="107">
        <v>0.296452111161987</v>
      </c>
      <c r="M107" s="107">
        <v>0.92663412757916197</v>
      </c>
      <c r="N107" s="107">
        <v>0.15251413228784699</v>
      </c>
      <c r="P107" s="107">
        <v>2.7280949444968607</v>
      </c>
      <c r="Q107" s="107">
        <v>2.5980933471518188</v>
      </c>
      <c r="R107" s="107">
        <v>2.7930957431693813</v>
      </c>
      <c r="S107" s="107">
        <v>2.5330925484792983</v>
      </c>
      <c r="AA107" s="107">
        <v>651</v>
      </c>
      <c r="AB107" s="107">
        <v>622.2961373390558</v>
      </c>
    </row>
    <row r="108" spans="1:28">
      <c r="A108" s="14">
        <v>43780</v>
      </c>
      <c r="B108" s="107">
        <v>638</v>
      </c>
      <c r="C108" s="107">
        <v>634</v>
      </c>
      <c r="D108" s="107">
        <v>231</v>
      </c>
      <c r="E108" s="107">
        <v>233</v>
      </c>
      <c r="F108" s="107">
        <v>2.72103004291845</v>
      </c>
      <c r="G108" s="107">
        <v>2.6606925101461099</v>
      </c>
      <c r="H108" s="107">
        <v>6.4322664894475495E-2</v>
      </c>
      <c r="I108" s="107">
        <v>0.93804466701326294</v>
      </c>
      <c r="J108" s="107">
        <v>2.2200000000000002</v>
      </c>
      <c r="K108" s="107">
        <v>0.95961492676800797</v>
      </c>
      <c r="L108" s="107">
        <v>0.24396972395595501</v>
      </c>
      <c r="M108" s="107">
        <v>0.92344419312690296</v>
      </c>
      <c r="N108" s="107">
        <v>0.22435301931576601</v>
      </c>
      <c r="P108" s="107">
        <v>2.7250151750405855</v>
      </c>
      <c r="Q108" s="107">
        <v>2.5963698452516342</v>
      </c>
      <c r="R108" s="107">
        <v>2.7893378399350608</v>
      </c>
      <c r="S108" s="107">
        <v>2.5320471803571589</v>
      </c>
      <c r="AA108" s="107">
        <v>634</v>
      </c>
      <c r="AB108" s="107">
        <v>617</v>
      </c>
    </row>
    <row r="109" spans="1:28">
      <c r="A109" s="14">
        <v>43777</v>
      </c>
      <c r="B109" s="107">
        <v>637</v>
      </c>
      <c r="C109" s="107">
        <v>629</v>
      </c>
      <c r="D109" s="107">
        <v>229</v>
      </c>
      <c r="E109" s="107">
        <v>230</v>
      </c>
      <c r="F109" s="107">
        <v>2.7347826086956499</v>
      </c>
      <c r="G109" s="107">
        <v>2.6585383944490402</v>
      </c>
      <c r="H109" s="107">
        <v>6.4967938511866094E-2</v>
      </c>
      <c r="I109" s="107">
        <v>1.17356677759874</v>
      </c>
      <c r="J109" s="107">
        <v>2.79</v>
      </c>
      <c r="K109" s="107">
        <v>0.954431661693524</v>
      </c>
      <c r="L109" s="107">
        <v>4.2963295223242902E-2</v>
      </c>
      <c r="M109" s="107">
        <v>0.92102341014633404</v>
      </c>
      <c r="N109" s="107">
        <v>0.19168692273552099</v>
      </c>
      <c r="P109" s="107">
        <v>2.7235063329609064</v>
      </c>
      <c r="Q109" s="107">
        <v>2.5935704559371739</v>
      </c>
      <c r="R109" s="107">
        <v>2.7884742714727722</v>
      </c>
      <c r="S109" s="107">
        <v>2.5286025174253082</v>
      </c>
      <c r="AA109" s="107">
        <v>629</v>
      </c>
      <c r="AB109" s="107">
        <v>609.05579399141629</v>
      </c>
    </row>
    <row r="110" spans="1:28">
      <c r="A110" s="14">
        <v>43776</v>
      </c>
      <c r="B110" s="107">
        <v>624</v>
      </c>
      <c r="C110" s="107">
        <v>627</v>
      </c>
      <c r="D110" s="107">
        <v>222</v>
      </c>
      <c r="E110" s="107">
        <v>228</v>
      </c>
      <c r="F110" s="107">
        <v>2.75</v>
      </c>
      <c r="G110" s="107">
        <v>2.6558563901597099</v>
      </c>
      <c r="H110" s="107">
        <v>6.5910175950165198E-2</v>
      </c>
      <c r="I110" s="107">
        <v>1.42836228978464</v>
      </c>
      <c r="J110" s="107">
        <v>3.42</v>
      </c>
      <c r="K110" s="107">
        <v>0.94848778399367495</v>
      </c>
      <c r="L110" s="107">
        <v>9.5526778151546601E-2</v>
      </c>
      <c r="M110" s="107">
        <v>0.91938920551048198</v>
      </c>
      <c r="N110" s="107">
        <v>0.12871930804634901</v>
      </c>
      <c r="P110" s="107">
        <v>2.7217665661098751</v>
      </c>
      <c r="Q110" s="107">
        <v>2.5899462142095446</v>
      </c>
      <c r="R110" s="107">
        <v>2.7876767420600403</v>
      </c>
      <c r="S110" s="107">
        <v>2.5240360382593794</v>
      </c>
      <c r="AA110" s="107">
        <v>627</v>
      </c>
      <c r="AB110" s="107">
        <v>603.75965665236049</v>
      </c>
    </row>
    <row r="111" spans="1:28">
      <c r="A111" s="14">
        <v>43775</v>
      </c>
      <c r="B111" s="107">
        <v>622</v>
      </c>
      <c r="C111" s="107">
        <v>629</v>
      </c>
      <c r="D111" s="107">
        <v>220</v>
      </c>
      <c r="E111" s="107">
        <v>223</v>
      </c>
      <c r="F111" s="107">
        <v>2.8206278026905802</v>
      </c>
      <c r="G111" s="107">
        <v>2.6528405171438401</v>
      </c>
      <c r="H111" s="107">
        <v>6.6703577207341505E-2</v>
      </c>
      <c r="I111" s="107">
        <v>2.51541660239887</v>
      </c>
      <c r="J111" s="107">
        <v>5.95</v>
      </c>
      <c r="K111" s="107">
        <v>0.94941193560774295</v>
      </c>
      <c r="L111" s="107">
        <v>0.595920602644333</v>
      </c>
      <c r="M111" s="107">
        <v>0.91924871238162398</v>
      </c>
      <c r="N111" s="107">
        <v>8.4513838367470007E-2</v>
      </c>
      <c r="P111" s="107">
        <v>2.7195440943511815</v>
      </c>
      <c r="Q111" s="107">
        <v>2.5861369399364986</v>
      </c>
      <c r="R111" s="107">
        <v>2.7862476715585229</v>
      </c>
      <c r="S111" s="107">
        <v>2.5194333627291572</v>
      </c>
      <c r="AA111" s="107">
        <v>629</v>
      </c>
      <c r="AB111" s="107">
        <v>590.51931330472098</v>
      </c>
    </row>
    <row r="112" spans="1:28">
      <c r="A112" s="14">
        <v>43774</v>
      </c>
      <c r="B112" s="107">
        <v>571</v>
      </c>
      <c r="C112" s="107">
        <v>602</v>
      </c>
      <c r="D112" s="107">
        <v>215</v>
      </c>
      <c r="E112" s="107">
        <v>219</v>
      </c>
      <c r="F112" s="107">
        <v>2.7488584474885802</v>
      </c>
      <c r="G112" s="107">
        <v>2.6487973638326001</v>
      </c>
      <c r="H112" s="107">
        <v>6.5591709366629905E-2</v>
      </c>
      <c r="I112" s="107">
        <v>1.52551419412904</v>
      </c>
      <c r="J112" s="107">
        <v>3.64</v>
      </c>
      <c r="K112" s="107">
        <v>0.94794194168575396</v>
      </c>
      <c r="L112" s="107">
        <v>0.56506647427425105</v>
      </c>
      <c r="M112" s="107">
        <v>0.91893070897810403</v>
      </c>
      <c r="N112" s="107">
        <v>9.9582274043316404E-2</v>
      </c>
      <c r="P112" s="107">
        <v>2.71438907319923</v>
      </c>
      <c r="Q112" s="107">
        <v>2.5832056544659703</v>
      </c>
      <c r="R112" s="107">
        <v>2.7799807825658598</v>
      </c>
      <c r="S112" s="107">
        <v>2.5176139450993404</v>
      </c>
      <c r="AA112" s="107">
        <v>602</v>
      </c>
      <c r="AB112" s="107">
        <v>579.92703862660949</v>
      </c>
    </row>
    <row r="113" spans="1:28">
      <c r="A113" s="14">
        <v>43770</v>
      </c>
      <c r="B113" s="107">
        <v>560</v>
      </c>
      <c r="C113" s="107">
        <v>557</v>
      </c>
      <c r="D113" s="107">
        <v>209</v>
      </c>
      <c r="E113" s="107">
        <v>211</v>
      </c>
      <c r="F113" s="107">
        <v>2.6398104265402802</v>
      </c>
      <c r="G113" s="107">
        <v>2.64599649257873</v>
      </c>
      <c r="H113" s="107">
        <v>6.5744026464206198E-2</v>
      </c>
      <c r="I113" s="107">
        <v>-9.4093203156896704E-2</v>
      </c>
      <c r="J113" s="107">
        <v>-0.23</v>
      </c>
      <c r="K113" s="107">
        <v>0.93263898998480199</v>
      </c>
      <c r="L113" s="107">
        <v>0.84597226579057705</v>
      </c>
      <c r="M113" s="107">
        <v>0.91803220274776798</v>
      </c>
      <c r="N113" s="107">
        <v>0.41792478167047797</v>
      </c>
      <c r="P113" s="107">
        <v>2.7117405190429364</v>
      </c>
      <c r="Q113" s="107">
        <v>2.5802524661145236</v>
      </c>
      <c r="R113" s="107">
        <v>2.7774845455071424</v>
      </c>
      <c r="S113" s="107">
        <v>2.5145084396503177</v>
      </c>
      <c r="AA113" s="107">
        <v>557</v>
      </c>
      <c r="AB113" s="107">
        <v>558.74248927038627</v>
      </c>
    </row>
    <row r="114" spans="1:28">
      <c r="A114" s="14">
        <v>43769</v>
      </c>
      <c r="B114" s="107">
        <v>570</v>
      </c>
      <c r="C114" s="107">
        <v>565</v>
      </c>
      <c r="D114" s="107">
        <v>212</v>
      </c>
      <c r="E114" s="107">
        <v>212</v>
      </c>
      <c r="F114" s="107">
        <v>2.6650943396226401</v>
      </c>
      <c r="G114" s="107">
        <v>2.6451178608045698</v>
      </c>
      <c r="H114" s="107">
        <v>6.6259151102929598E-2</v>
      </c>
      <c r="I114" s="107">
        <v>0.301490110958963</v>
      </c>
      <c r="J114" s="107">
        <v>0.75</v>
      </c>
      <c r="K114" s="107">
        <v>0.91615117925462097</v>
      </c>
      <c r="L114" s="107">
        <v>0.96829110265787699</v>
      </c>
      <c r="M114" s="107">
        <v>0.91242136449712197</v>
      </c>
      <c r="N114" s="107">
        <v>0.80804953653875899</v>
      </c>
      <c r="P114" s="107">
        <v>2.7113770119074996</v>
      </c>
      <c r="Q114" s="107">
        <v>2.57885870970164</v>
      </c>
      <c r="R114" s="107">
        <v>2.7776361630104289</v>
      </c>
      <c r="S114" s="107">
        <v>2.5125995585987106</v>
      </c>
      <c r="AA114" s="107">
        <v>565</v>
      </c>
      <c r="AB114" s="107">
        <v>561.39055793991417</v>
      </c>
    </row>
    <row r="115" spans="1:28">
      <c r="A115" s="14">
        <v>43768</v>
      </c>
      <c r="B115" s="107">
        <v>569</v>
      </c>
      <c r="C115" s="107">
        <v>574</v>
      </c>
      <c r="D115" s="107">
        <v>215</v>
      </c>
      <c r="E115" s="107">
        <v>214</v>
      </c>
      <c r="F115" s="107">
        <v>2.6822429906542</v>
      </c>
      <c r="G115" s="107">
        <v>2.6439692345218799</v>
      </c>
      <c r="H115" s="107">
        <v>6.66484464982319E-2</v>
      </c>
      <c r="I115" s="107">
        <v>0.57426328959274797</v>
      </c>
      <c r="J115" s="107">
        <v>1.43</v>
      </c>
      <c r="K115" s="107">
        <v>0.89966157419318904</v>
      </c>
      <c r="L115" s="107">
        <v>0.97603270906352502</v>
      </c>
      <c r="M115" s="107">
        <v>0.90353649137574799</v>
      </c>
      <c r="N115" s="107">
        <v>0.93405453958430695</v>
      </c>
      <c r="P115" s="107">
        <v>2.7106176810201119</v>
      </c>
      <c r="Q115" s="107">
        <v>2.5773207880236479</v>
      </c>
      <c r="R115" s="107">
        <v>2.7772661275183439</v>
      </c>
      <c r="S115" s="107">
        <v>2.510672341525416</v>
      </c>
      <c r="AA115" s="107">
        <v>574</v>
      </c>
      <c r="AB115" s="107">
        <v>566.68669527896998</v>
      </c>
    </row>
    <row r="116" spans="1:28">
      <c r="A116" s="14">
        <v>43767</v>
      </c>
      <c r="B116" s="107">
        <v>576</v>
      </c>
      <c r="C116" s="107">
        <v>571</v>
      </c>
      <c r="D116" s="107">
        <v>215</v>
      </c>
      <c r="E116" s="107">
        <v>215</v>
      </c>
      <c r="F116" s="107">
        <v>2.6558139534883698</v>
      </c>
      <c r="G116" s="107">
        <v>2.64304657435664</v>
      </c>
      <c r="H116" s="107">
        <v>6.6591173679937998E-2</v>
      </c>
      <c r="I116" s="107">
        <v>0.19172779853823799</v>
      </c>
      <c r="J116" s="107">
        <v>0.48</v>
      </c>
      <c r="K116" s="107">
        <v>0.89219011871296405</v>
      </c>
      <c r="L116" s="107">
        <v>0.869365558580247</v>
      </c>
      <c r="M116" s="107">
        <v>0.88881062652562703</v>
      </c>
      <c r="N116" s="107">
        <v>0.982536672609577</v>
      </c>
      <c r="P116" s="107">
        <v>2.7096377480365779</v>
      </c>
      <c r="Q116" s="107">
        <v>2.5764554006767022</v>
      </c>
      <c r="R116" s="107">
        <v>2.7762289217165161</v>
      </c>
      <c r="S116" s="107">
        <v>2.5098642269967639</v>
      </c>
      <c r="AA116" s="107">
        <v>571</v>
      </c>
      <c r="AB116" s="107">
        <v>569.33476394849788</v>
      </c>
    </row>
    <row r="117" spans="1:28">
      <c r="A117" s="14">
        <v>43766</v>
      </c>
      <c r="B117" s="107">
        <v>575</v>
      </c>
      <c r="C117" s="107">
        <v>571</v>
      </c>
      <c r="D117" s="107">
        <v>216</v>
      </c>
      <c r="E117" s="107">
        <v>213</v>
      </c>
      <c r="F117" s="107">
        <v>2.68075117370892</v>
      </c>
      <c r="G117" s="107">
        <v>2.6429573590703601</v>
      </c>
      <c r="H117" s="107">
        <v>6.6578489878366703E-2</v>
      </c>
      <c r="I117" s="107">
        <v>0.567658033512081</v>
      </c>
      <c r="J117" s="107">
        <v>1.41</v>
      </c>
      <c r="K117" s="107">
        <v>0.89355707601815404</v>
      </c>
      <c r="L117" s="107">
        <v>0.264432014599633</v>
      </c>
      <c r="M117" s="107">
        <v>0.87758541015754699</v>
      </c>
      <c r="N117" s="107">
        <v>0.96580483018771501</v>
      </c>
      <c r="P117" s="107">
        <v>2.7095358489487267</v>
      </c>
      <c r="Q117" s="107">
        <v>2.5763788691919935</v>
      </c>
      <c r="R117" s="107">
        <v>2.7761143388270937</v>
      </c>
      <c r="S117" s="107">
        <v>2.5098003793136265</v>
      </c>
      <c r="AA117" s="107">
        <v>571</v>
      </c>
      <c r="AB117" s="107">
        <v>564.03862660944208</v>
      </c>
    </row>
    <row r="118" spans="1:28">
      <c r="A118" s="14">
        <v>43763</v>
      </c>
      <c r="B118" s="107">
        <v>575</v>
      </c>
      <c r="C118" s="107">
        <v>573</v>
      </c>
      <c r="D118" s="107">
        <v>214</v>
      </c>
      <c r="E118" s="107">
        <v>215</v>
      </c>
      <c r="F118" s="107">
        <v>2.66511627906976</v>
      </c>
      <c r="G118" s="107">
        <v>2.6420637954953001</v>
      </c>
      <c r="H118" s="107">
        <v>6.6514950921386803E-2</v>
      </c>
      <c r="I118" s="107">
        <v>0.34657596908867999</v>
      </c>
      <c r="J118" s="107">
        <v>0.86</v>
      </c>
      <c r="K118" s="107">
        <v>0.89450494283922899</v>
      </c>
      <c r="L118" s="107">
        <v>0.24377866991628599</v>
      </c>
      <c r="M118" s="107">
        <v>0.86725895463524205</v>
      </c>
      <c r="N118" s="107">
        <v>0.96804481472404202</v>
      </c>
      <c r="P118" s="107">
        <v>2.7085787464166868</v>
      </c>
      <c r="Q118" s="107">
        <v>2.5755488445739134</v>
      </c>
      <c r="R118" s="107">
        <v>2.7750936973380735</v>
      </c>
      <c r="S118" s="107">
        <v>2.5090338936525267</v>
      </c>
      <c r="AA118" s="107">
        <v>573</v>
      </c>
      <c r="AB118" s="107">
        <v>569.33476394849788</v>
      </c>
    </row>
    <row r="119" spans="1:28">
      <c r="A119" s="14">
        <v>43762</v>
      </c>
      <c r="B119" s="107">
        <v>565</v>
      </c>
      <c r="C119" s="107">
        <v>576</v>
      </c>
      <c r="D119" s="107">
        <v>210</v>
      </c>
      <c r="E119" s="107">
        <v>215</v>
      </c>
      <c r="F119" s="107">
        <v>2.67906976744186</v>
      </c>
      <c r="G119" s="107">
        <v>2.6422970277164</v>
      </c>
      <c r="H119" s="107">
        <v>6.6625950333704498E-2</v>
      </c>
      <c r="I119" s="107">
        <v>0.55192818325710302</v>
      </c>
      <c r="J119" s="107">
        <v>1.37</v>
      </c>
      <c r="K119" s="107">
        <v>0.89775266619149496</v>
      </c>
      <c r="L119" s="107">
        <v>0.26239178747504599</v>
      </c>
      <c r="M119" s="107">
        <v>0.86031763955681695</v>
      </c>
      <c r="N119" s="107">
        <v>0.96102635410979498</v>
      </c>
      <c r="P119" s="107">
        <v>2.7089229780501043</v>
      </c>
      <c r="Q119" s="107">
        <v>2.5756710773826956</v>
      </c>
      <c r="R119" s="107">
        <v>2.7755489283838091</v>
      </c>
      <c r="S119" s="107">
        <v>2.5090451270489909</v>
      </c>
      <c r="AA119" s="107">
        <v>576</v>
      </c>
      <c r="AB119" s="107">
        <v>569.33476394849788</v>
      </c>
    </row>
    <row r="120" spans="1:28">
      <c r="A120" s="14">
        <v>43761</v>
      </c>
      <c r="B120" s="107">
        <v>564</v>
      </c>
      <c r="C120" s="107">
        <v>558</v>
      </c>
      <c r="D120" s="107">
        <v>206</v>
      </c>
      <c r="E120" s="107">
        <v>209</v>
      </c>
      <c r="F120" s="107">
        <v>2.6698564593301399</v>
      </c>
      <c r="G120" s="107">
        <v>2.64186345380568</v>
      </c>
      <c r="H120" s="107">
        <v>6.6490907991966705E-2</v>
      </c>
      <c r="I120" s="107">
        <v>0.421005012111486</v>
      </c>
      <c r="J120" s="107">
        <v>1.05</v>
      </c>
      <c r="K120" s="107">
        <v>0.90453542558723599</v>
      </c>
      <c r="L120" s="107">
        <v>0.23079600960653299</v>
      </c>
      <c r="M120" s="107">
        <v>0.85475292556442495</v>
      </c>
      <c r="N120" s="107">
        <v>0.97541913982900497</v>
      </c>
      <c r="P120" s="107">
        <v>2.7083543617976469</v>
      </c>
      <c r="Q120" s="107">
        <v>2.5753725458137131</v>
      </c>
      <c r="R120" s="107">
        <v>2.7748452697896133</v>
      </c>
      <c r="S120" s="107">
        <v>2.5088816378217467</v>
      </c>
      <c r="AA120" s="107">
        <v>558</v>
      </c>
      <c r="AB120" s="107">
        <v>553.44635193133047</v>
      </c>
    </row>
    <row r="121" spans="1:28">
      <c r="A121" s="14">
        <v>43759</v>
      </c>
      <c r="B121" s="107">
        <v>552</v>
      </c>
      <c r="C121" s="107">
        <v>554</v>
      </c>
      <c r="D121" s="107">
        <v>204</v>
      </c>
      <c r="E121" s="107">
        <v>205</v>
      </c>
      <c r="F121" s="107">
        <v>2.7024390243902401</v>
      </c>
      <c r="G121" s="107">
        <v>2.64166962300042</v>
      </c>
      <c r="H121" s="107">
        <v>6.64301832015423E-2</v>
      </c>
      <c r="I121" s="107">
        <v>0.91478599728450405</v>
      </c>
      <c r="J121" s="107">
        <v>2.25</v>
      </c>
      <c r="K121" s="107">
        <v>0.91645353991682799</v>
      </c>
      <c r="L121" s="107">
        <v>0.20781871201743701</v>
      </c>
      <c r="M121" s="107">
        <v>0.84550657985310695</v>
      </c>
      <c r="N121" s="107">
        <v>0.97442762892786905</v>
      </c>
      <c r="P121" s="107">
        <v>2.7080998062019623</v>
      </c>
      <c r="Q121" s="107">
        <v>2.5752394397988776</v>
      </c>
      <c r="R121" s="107">
        <v>2.7745299894035047</v>
      </c>
      <c r="S121" s="107">
        <v>2.5088092565973352</v>
      </c>
      <c r="AA121" s="107">
        <v>554</v>
      </c>
      <c r="AB121" s="107">
        <v>542.85407725321886</v>
      </c>
    </row>
    <row r="122" spans="1:28">
      <c r="A122" s="14">
        <v>43756</v>
      </c>
      <c r="B122" s="107">
        <v>545</v>
      </c>
      <c r="C122" s="107">
        <v>543</v>
      </c>
      <c r="D122" s="107">
        <v>201</v>
      </c>
      <c r="E122" s="107">
        <v>202</v>
      </c>
      <c r="F122" s="107">
        <v>2.6881188118811798</v>
      </c>
      <c r="G122" s="107">
        <v>2.6409113642786002</v>
      </c>
      <c r="H122" s="107">
        <v>6.6055720027452303E-2</v>
      </c>
      <c r="I122" s="107">
        <v>0.714661010173957</v>
      </c>
      <c r="J122" s="107">
        <v>1.76</v>
      </c>
      <c r="K122" s="107">
        <v>0.92189580024888595</v>
      </c>
      <c r="L122" s="107">
        <v>0.19646671940318</v>
      </c>
      <c r="M122" s="107">
        <v>0.83963827378162403</v>
      </c>
      <c r="N122" s="107">
        <v>0.95778108429505504</v>
      </c>
      <c r="P122" s="107">
        <v>2.7069670843060525</v>
      </c>
      <c r="Q122" s="107">
        <v>2.5748556442511479</v>
      </c>
      <c r="R122" s="107">
        <v>2.7730228043335048</v>
      </c>
      <c r="S122" s="107">
        <v>2.5087999242236956</v>
      </c>
      <c r="AA122" s="107">
        <v>543</v>
      </c>
      <c r="AB122" s="107">
        <v>534.90987124463516</v>
      </c>
    </row>
    <row r="123" spans="1:28">
      <c r="A123" s="14">
        <v>43755</v>
      </c>
      <c r="B123" s="107">
        <v>548</v>
      </c>
      <c r="C123" s="107">
        <v>541</v>
      </c>
      <c r="D123" s="107">
        <v>202</v>
      </c>
      <c r="E123" s="107">
        <v>200</v>
      </c>
      <c r="F123" s="107">
        <v>2.7050000000000001</v>
      </c>
      <c r="G123" s="107">
        <v>2.6406634854134601</v>
      </c>
      <c r="H123" s="107">
        <v>6.5912832909998303E-2</v>
      </c>
      <c r="I123" s="107">
        <v>0.97608480391652797</v>
      </c>
      <c r="J123" s="107">
        <v>2.38</v>
      </c>
      <c r="K123" s="107">
        <v>0.92411656240512896</v>
      </c>
      <c r="L123" s="107">
        <v>0.184641018505389</v>
      </c>
      <c r="M123" s="107">
        <v>0.83411514003193499</v>
      </c>
      <c r="N123" s="107">
        <v>0.91186906893386099</v>
      </c>
      <c r="P123" s="107">
        <v>2.7065763183234584</v>
      </c>
      <c r="Q123" s="107">
        <v>2.5747506525034618</v>
      </c>
      <c r="R123" s="107">
        <v>2.7724891512334566</v>
      </c>
      <c r="S123" s="107">
        <v>2.5088378195934635</v>
      </c>
      <c r="AA123" s="107">
        <v>541</v>
      </c>
      <c r="AB123" s="107">
        <v>529.61373390557935</v>
      </c>
    </row>
    <row r="124" spans="1:28">
      <c r="A124" s="14">
        <v>43754</v>
      </c>
      <c r="B124" s="107">
        <v>553</v>
      </c>
      <c r="C124" s="107">
        <v>549</v>
      </c>
      <c r="D124" s="107">
        <v>205</v>
      </c>
      <c r="E124" s="107">
        <v>202</v>
      </c>
      <c r="F124" s="107">
        <v>2.71782178217821</v>
      </c>
      <c r="G124" s="107">
        <v>2.64022802442055</v>
      </c>
      <c r="H124" s="107">
        <v>6.5593458527712006E-2</v>
      </c>
      <c r="I124" s="107">
        <v>1.18294963399258</v>
      </c>
      <c r="J124" s="107">
        <v>2.85</v>
      </c>
      <c r="K124" s="107">
        <v>0.92971378738701005</v>
      </c>
      <c r="L124" s="107">
        <v>0.22853806459380899</v>
      </c>
      <c r="M124" s="107">
        <v>0.83070367419476099</v>
      </c>
      <c r="N124" s="107">
        <v>0.74726301232354597</v>
      </c>
      <c r="P124" s="107">
        <v>2.7058214829482621</v>
      </c>
      <c r="Q124" s="107">
        <v>2.574634565892838</v>
      </c>
      <c r="R124" s="107">
        <v>2.7714149414759741</v>
      </c>
      <c r="S124" s="107">
        <v>2.509041107365126</v>
      </c>
      <c r="AA124" s="107">
        <v>549</v>
      </c>
      <c r="AB124" s="107">
        <v>534.90987124463516</v>
      </c>
    </row>
    <row r="125" spans="1:28">
      <c r="A125" s="14">
        <v>43753</v>
      </c>
      <c r="B125" s="107">
        <v>555</v>
      </c>
      <c r="C125" s="107">
        <v>546</v>
      </c>
      <c r="D125" s="107">
        <v>205</v>
      </c>
      <c r="E125" s="107">
        <v>204</v>
      </c>
      <c r="F125" s="107">
        <v>2.6764705882352899</v>
      </c>
      <c r="G125" s="107">
        <v>2.6397191163868898</v>
      </c>
      <c r="H125" s="107">
        <v>6.5135940116610697E-2</v>
      </c>
      <c r="I125" s="107">
        <v>0.56422724202039698</v>
      </c>
      <c r="J125" s="107">
        <v>1.37</v>
      </c>
      <c r="K125" s="107">
        <v>0.93282566901876496</v>
      </c>
      <c r="L125" s="107">
        <v>0.201694884086878</v>
      </c>
      <c r="M125" s="107">
        <v>0.82593175121248397</v>
      </c>
      <c r="N125" s="107">
        <v>0.83798378160848297</v>
      </c>
      <c r="P125" s="107">
        <v>2.7048550565035003</v>
      </c>
      <c r="Q125" s="107">
        <v>2.5745831762702793</v>
      </c>
      <c r="R125" s="107">
        <v>2.7699909966201113</v>
      </c>
      <c r="S125" s="107">
        <v>2.5094472361536684</v>
      </c>
      <c r="AA125" s="107">
        <v>546</v>
      </c>
      <c r="AB125" s="107">
        <v>540.20600858369096</v>
      </c>
    </row>
    <row r="126" spans="1:28">
      <c r="A126" s="14">
        <v>43749</v>
      </c>
      <c r="B126" s="107">
        <v>530</v>
      </c>
      <c r="C126" s="107">
        <v>543</v>
      </c>
      <c r="D126" s="107">
        <v>201</v>
      </c>
      <c r="E126" s="107">
        <v>201</v>
      </c>
      <c r="F126" s="107">
        <v>2.7014925373134302</v>
      </c>
      <c r="G126" s="107">
        <v>2.6397799683138699</v>
      </c>
      <c r="H126" s="107">
        <v>6.5172367683370397E-2</v>
      </c>
      <c r="I126" s="107">
        <v>0.94691310432947196</v>
      </c>
      <c r="J126" s="107">
        <v>2.2799999999999998</v>
      </c>
      <c r="K126" s="107">
        <v>0.93864430341481497</v>
      </c>
      <c r="L126" s="107">
        <v>0.28781656158730501</v>
      </c>
      <c r="M126" s="107">
        <v>0.814827322853238</v>
      </c>
      <c r="N126" s="107">
        <v>0.98843319575307298</v>
      </c>
      <c r="P126" s="107">
        <v>2.7049523359972403</v>
      </c>
      <c r="Q126" s="107">
        <v>2.5746076006304994</v>
      </c>
      <c r="R126" s="107">
        <v>2.7701247036806107</v>
      </c>
      <c r="S126" s="107">
        <v>2.509435232947129</v>
      </c>
      <c r="AA126" s="107">
        <v>543</v>
      </c>
      <c r="AB126" s="107">
        <v>532.26180257510725</v>
      </c>
    </row>
    <row r="127" spans="1:28">
      <c r="A127" s="14">
        <v>43748</v>
      </c>
      <c r="B127" s="107">
        <v>518</v>
      </c>
      <c r="C127" s="107">
        <v>520</v>
      </c>
      <c r="D127" s="107">
        <v>201</v>
      </c>
      <c r="E127" s="107">
        <v>199</v>
      </c>
      <c r="F127" s="107">
        <v>2.6130653266331598</v>
      </c>
      <c r="G127" s="107">
        <v>2.6386753220536399</v>
      </c>
      <c r="H127" s="107">
        <v>6.4818164128621E-2</v>
      </c>
      <c r="I127" s="107">
        <v>-0.39510522651739399</v>
      </c>
      <c r="J127" s="107">
        <v>-0.98</v>
      </c>
      <c r="K127" s="107">
        <v>0.94299496386791004</v>
      </c>
      <c r="L127" s="107">
        <v>0.21556629799825699</v>
      </c>
      <c r="M127" s="107">
        <v>0.80774722473609695</v>
      </c>
      <c r="N127" s="107">
        <v>0.99053213871761303</v>
      </c>
      <c r="P127" s="107">
        <v>2.703493486182261</v>
      </c>
      <c r="Q127" s="107">
        <v>2.5738571579250187</v>
      </c>
      <c r="R127" s="107">
        <v>2.7683116503108818</v>
      </c>
      <c r="S127" s="107">
        <v>2.5090389937963979</v>
      </c>
      <c r="AA127" s="107">
        <v>520</v>
      </c>
      <c r="AB127" s="107">
        <v>526.96566523605145</v>
      </c>
    </row>
    <row r="128" spans="1:28">
      <c r="A128" s="14">
        <v>43747</v>
      </c>
      <c r="B128" s="107">
        <v>513</v>
      </c>
      <c r="C128" s="107">
        <v>512</v>
      </c>
      <c r="D128" s="107">
        <v>199</v>
      </c>
      <c r="E128" s="107">
        <v>201</v>
      </c>
      <c r="F128" s="107">
        <v>2.54726368159203</v>
      </c>
      <c r="G128" s="107">
        <v>2.63869320809401</v>
      </c>
      <c r="H128" s="107">
        <v>6.4811279508689104E-2</v>
      </c>
      <c r="I128" s="107">
        <v>-1.41070392677126</v>
      </c>
      <c r="J128" s="107">
        <v>-3.59</v>
      </c>
      <c r="K128" s="107">
        <v>0.947817966133498</v>
      </c>
      <c r="L128" s="107">
        <v>0.32032877412566502</v>
      </c>
      <c r="M128" s="107">
        <v>0.80125533270270599</v>
      </c>
      <c r="N128" s="107">
        <v>0.99107703455608598</v>
      </c>
      <c r="P128" s="107">
        <v>2.7035044876026992</v>
      </c>
      <c r="Q128" s="107">
        <v>2.5738819285853207</v>
      </c>
      <c r="R128" s="107">
        <v>2.768315767111388</v>
      </c>
      <c r="S128" s="107">
        <v>2.5090706490766319</v>
      </c>
      <c r="AA128" s="107">
        <v>512</v>
      </c>
      <c r="AB128" s="107">
        <v>532.26180257510725</v>
      </c>
    </row>
    <row r="129" spans="1:28">
      <c r="A129" s="14">
        <v>43746</v>
      </c>
      <c r="B129" s="107">
        <v>514</v>
      </c>
      <c r="C129" s="107">
        <v>521</v>
      </c>
      <c r="D129" s="107">
        <v>199</v>
      </c>
      <c r="E129" s="107">
        <v>199</v>
      </c>
      <c r="F129" s="107">
        <v>2.6180904522613</v>
      </c>
      <c r="G129" s="107">
        <v>2.6388343755350401</v>
      </c>
      <c r="H129" s="107">
        <v>6.4623238058809096E-2</v>
      </c>
      <c r="I129" s="107">
        <v>-0.320997893278964</v>
      </c>
      <c r="J129" s="107">
        <v>-0.79</v>
      </c>
      <c r="K129" s="107">
        <v>0.95099813233281405</v>
      </c>
      <c r="L129" s="107">
        <v>0.30526865058860098</v>
      </c>
      <c r="M129" s="107">
        <v>0.79339028713438697</v>
      </c>
      <c r="N129" s="107">
        <v>0.99289676637490198</v>
      </c>
      <c r="P129" s="107">
        <v>2.7034576135938493</v>
      </c>
      <c r="Q129" s="107">
        <v>2.5742111374762309</v>
      </c>
      <c r="R129" s="107">
        <v>2.768080851652658</v>
      </c>
      <c r="S129" s="107">
        <v>2.5095878994174221</v>
      </c>
      <c r="AA129" s="107">
        <v>521</v>
      </c>
      <c r="AB129" s="107">
        <v>526.96566523605145</v>
      </c>
    </row>
    <row r="130" spans="1:28">
      <c r="A130" s="14">
        <v>43745</v>
      </c>
      <c r="B130" s="107">
        <v>507</v>
      </c>
      <c r="C130" s="107">
        <v>508</v>
      </c>
      <c r="D130" s="107">
        <v>196</v>
      </c>
      <c r="E130" s="107">
        <v>197</v>
      </c>
      <c r="F130" s="107">
        <v>2.5786802030456801</v>
      </c>
      <c r="G130" s="107">
        <v>2.6385483515777199</v>
      </c>
      <c r="H130" s="107">
        <v>6.4761742822161295E-2</v>
      </c>
      <c r="I130" s="107">
        <v>-0.92443695804239001</v>
      </c>
      <c r="J130" s="107">
        <v>-2.3199999999999998</v>
      </c>
      <c r="K130" s="107">
        <v>0.95353666453337305</v>
      </c>
      <c r="L130" s="107">
        <v>0.41172495797483899</v>
      </c>
      <c r="M130" s="107">
        <v>0.79157594015323196</v>
      </c>
      <c r="N130" s="107">
        <v>0.992992949775377</v>
      </c>
      <c r="P130" s="107">
        <v>2.7033100943998813</v>
      </c>
      <c r="Q130" s="107">
        <v>2.5737866087555585</v>
      </c>
      <c r="R130" s="107">
        <v>2.7680718372220428</v>
      </c>
      <c r="S130" s="107">
        <v>2.5090248659333971</v>
      </c>
      <c r="AA130" s="107">
        <v>508</v>
      </c>
      <c r="AB130" s="107">
        <v>521.66952789699576</v>
      </c>
    </row>
    <row r="131" spans="1:28">
      <c r="A131" s="14">
        <v>43742</v>
      </c>
      <c r="B131" s="107">
        <v>509</v>
      </c>
      <c r="C131" s="107">
        <v>512</v>
      </c>
      <c r="D131" s="107">
        <v>195</v>
      </c>
      <c r="E131" s="107">
        <v>196</v>
      </c>
      <c r="F131" s="107">
        <v>2.6122448979591799</v>
      </c>
      <c r="G131" s="107">
        <v>2.63897114367564</v>
      </c>
      <c r="H131" s="107">
        <v>6.4472377859263394E-2</v>
      </c>
      <c r="I131" s="107">
        <v>-0.41453792467224099</v>
      </c>
      <c r="J131" s="107">
        <v>-1.02</v>
      </c>
      <c r="K131" s="107">
        <v>0.95646195489386898</v>
      </c>
      <c r="L131" s="107">
        <v>0.31859284728008502</v>
      </c>
      <c r="M131" s="107">
        <v>0.78530286168262697</v>
      </c>
      <c r="N131" s="107">
        <v>0.99219180880973201</v>
      </c>
      <c r="P131" s="107">
        <v>2.7034435215349033</v>
      </c>
      <c r="Q131" s="107">
        <v>2.5744987658163767</v>
      </c>
      <c r="R131" s="107">
        <v>2.7679158993941666</v>
      </c>
      <c r="S131" s="107">
        <v>2.5100263879571134</v>
      </c>
      <c r="AA131" s="107">
        <v>512</v>
      </c>
      <c r="AB131" s="107">
        <v>519.02145922746786</v>
      </c>
    </row>
    <row r="132" spans="1:28">
      <c r="A132" s="14">
        <v>43741</v>
      </c>
      <c r="B132" s="107">
        <v>506</v>
      </c>
      <c r="C132" s="107">
        <v>506</v>
      </c>
      <c r="D132" s="107">
        <v>193</v>
      </c>
      <c r="E132" s="107">
        <v>195</v>
      </c>
      <c r="F132" s="107">
        <v>2.5948717948717901</v>
      </c>
      <c r="G132" s="107">
        <v>2.6383862259478699</v>
      </c>
      <c r="H132" s="107">
        <v>6.4909709166134102E-2</v>
      </c>
      <c r="I132" s="107">
        <v>-0.67038400934293796</v>
      </c>
      <c r="J132" s="107">
        <v>-1.68</v>
      </c>
      <c r="K132" s="107">
        <v>0.95748494321499</v>
      </c>
      <c r="L132" s="107">
        <v>0.39499529070823303</v>
      </c>
      <c r="M132" s="107">
        <v>0.78251941358951405</v>
      </c>
      <c r="N132" s="107">
        <v>0.98617695073159595</v>
      </c>
      <c r="P132" s="107">
        <v>2.7032959351140038</v>
      </c>
      <c r="Q132" s="107">
        <v>2.5734765167817359</v>
      </c>
      <c r="R132" s="107">
        <v>2.7682056442801382</v>
      </c>
      <c r="S132" s="107">
        <v>2.5085668076156016</v>
      </c>
      <c r="AA132" s="107">
        <v>506</v>
      </c>
      <c r="AB132" s="107">
        <v>516.37339055793996</v>
      </c>
    </row>
    <row r="133" spans="1:28">
      <c r="A133" s="14">
        <v>43740</v>
      </c>
      <c r="B133" s="107">
        <v>521</v>
      </c>
      <c r="C133" s="107">
        <v>521</v>
      </c>
      <c r="D133" s="107">
        <v>196</v>
      </c>
      <c r="E133" s="107">
        <v>198</v>
      </c>
      <c r="F133" s="107">
        <v>2.6313131313131302</v>
      </c>
      <c r="G133" s="107">
        <v>2.6383178498794901</v>
      </c>
      <c r="H133" s="107">
        <v>6.49581942997116E-2</v>
      </c>
      <c r="I133" s="107">
        <v>-0.107834256199383</v>
      </c>
      <c r="J133" s="107">
        <v>-0.27</v>
      </c>
      <c r="K133" s="107">
        <v>0.95926715623579695</v>
      </c>
      <c r="L133" s="107">
        <v>0.33912624480596698</v>
      </c>
      <c r="M133" s="107">
        <v>0.78029423619603699</v>
      </c>
      <c r="N133" s="107">
        <v>0.98380356906871702</v>
      </c>
      <c r="P133" s="107">
        <v>2.7032760441792019</v>
      </c>
      <c r="Q133" s="107">
        <v>2.5733596555797784</v>
      </c>
      <c r="R133" s="107">
        <v>2.7682342384789131</v>
      </c>
      <c r="S133" s="107">
        <v>2.5084014612800671</v>
      </c>
      <c r="AA133" s="107">
        <v>521</v>
      </c>
      <c r="AB133" s="107">
        <v>524.31759656652355</v>
      </c>
    </row>
    <row r="134" spans="1:28">
      <c r="A134" s="14">
        <v>43739</v>
      </c>
      <c r="B134" s="107">
        <v>508</v>
      </c>
      <c r="C134" s="107">
        <v>524</v>
      </c>
      <c r="D134" s="107">
        <v>195</v>
      </c>
      <c r="E134" s="107">
        <v>199</v>
      </c>
      <c r="F134" s="107">
        <v>2.6331658291457201</v>
      </c>
      <c r="G134" s="107">
        <v>2.6372194903981501</v>
      </c>
      <c r="H134" s="107">
        <v>6.5758858927905603E-2</v>
      </c>
      <c r="I134" s="107">
        <v>-6.1644336877459002E-2</v>
      </c>
      <c r="J134" s="107">
        <v>-0.15</v>
      </c>
      <c r="K134" s="107">
        <v>0.96103750461326298</v>
      </c>
      <c r="L134" s="107">
        <v>0.32087944737039698</v>
      </c>
      <c r="M134" s="107">
        <v>0.77947891032340899</v>
      </c>
      <c r="N134" s="107">
        <v>0.97506111727330302</v>
      </c>
      <c r="P134" s="107">
        <v>2.7029783493260555</v>
      </c>
      <c r="Q134" s="107">
        <v>2.5714606314702446</v>
      </c>
      <c r="R134" s="107">
        <v>2.7687372082539614</v>
      </c>
      <c r="S134" s="107">
        <v>2.5057017725423387</v>
      </c>
      <c r="AA134" s="107">
        <v>524</v>
      </c>
      <c r="AB134" s="107">
        <v>526.96566523605145</v>
      </c>
    </row>
    <row r="135" spans="1:28">
      <c r="A135" s="14">
        <v>43738</v>
      </c>
      <c r="B135" s="107">
        <v>509</v>
      </c>
      <c r="C135" s="107">
        <v>504</v>
      </c>
      <c r="D135" s="107">
        <v>196</v>
      </c>
      <c r="E135" s="107">
        <v>194</v>
      </c>
      <c r="F135" s="107">
        <v>2.5979381443298899</v>
      </c>
      <c r="G135" s="107">
        <v>2.6360909220995601</v>
      </c>
      <c r="H135" s="107">
        <v>6.6540427625659995E-2</v>
      </c>
      <c r="I135" s="107">
        <v>-0.57337740575252905</v>
      </c>
      <c r="J135" s="107">
        <v>-1.47</v>
      </c>
      <c r="K135" s="107">
        <v>0.96317191563124005</v>
      </c>
      <c r="L135" s="107">
        <v>0.40218505564565898</v>
      </c>
      <c r="M135" s="107">
        <v>0.77773447449591404</v>
      </c>
      <c r="N135" s="107">
        <v>0.973660675435573</v>
      </c>
      <c r="P135" s="107">
        <v>2.7026313497252201</v>
      </c>
      <c r="Q135" s="107">
        <v>2.5695504944739</v>
      </c>
      <c r="R135" s="107">
        <v>2.7691717773508802</v>
      </c>
      <c r="S135" s="107">
        <v>2.50301006684824</v>
      </c>
      <c r="AA135" s="107">
        <v>504</v>
      </c>
      <c r="AB135" s="107">
        <v>513.72532188841205</v>
      </c>
    </row>
    <row r="136" spans="1:28">
      <c r="A136" s="14">
        <v>43735</v>
      </c>
      <c r="B136" s="107">
        <v>520</v>
      </c>
      <c r="C136" s="107">
        <v>513</v>
      </c>
      <c r="D136" s="107">
        <v>198</v>
      </c>
      <c r="E136" s="107">
        <v>196</v>
      </c>
      <c r="F136" s="107">
        <v>2.6173469387755102</v>
      </c>
      <c r="G136" s="107">
        <v>2.6347850801751602</v>
      </c>
      <c r="H136" s="107">
        <v>6.8216259160303799E-2</v>
      </c>
      <c r="I136" s="107">
        <v>-0.25563027955951301</v>
      </c>
      <c r="J136" s="107">
        <v>-0.67</v>
      </c>
      <c r="K136" s="107">
        <v>0.96418526982647101</v>
      </c>
      <c r="L136" s="107">
        <v>0.41329680771376998</v>
      </c>
      <c r="M136" s="107">
        <v>0.776603882840736</v>
      </c>
      <c r="N136" s="107">
        <v>0.96729743459381101</v>
      </c>
      <c r="P136" s="107">
        <v>2.7030013393354642</v>
      </c>
      <c r="Q136" s="107">
        <v>2.5665688210148563</v>
      </c>
      <c r="R136" s="107">
        <v>2.7712175984957677</v>
      </c>
      <c r="S136" s="107">
        <v>2.4983525618545528</v>
      </c>
      <c r="AA136" s="107">
        <v>513</v>
      </c>
      <c r="AB136" s="107">
        <v>519.02145922746786</v>
      </c>
    </row>
    <row r="137" spans="1:28">
      <c r="A137" s="14">
        <v>43734</v>
      </c>
      <c r="B137" s="107">
        <v>517</v>
      </c>
      <c r="C137" s="107">
        <v>527</v>
      </c>
      <c r="D137" s="107">
        <v>205</v>
      </c>
      <c r="E137" s="107">
        <v>204</v>
      </c>
      <c r="F137" s="107">
        <v>2.5833333333333299</v>
      </c>
      <c r="G137" s="107">
        <v>2.6325481854172499</v>
      </c>
      <c r="H137" s="107">
        <v>7.1426509446295902E-2</v>
      </c>
      <c r="I137" s="107">
        <v>-0.68902781985909201</v>
      </c>
      <c r="J137" s="107">
        <v>-1.91</v>
      </c>
      <c r="K137" s="107">
        <v>0.96564978892216002</v>
      </c>
      <c r="L137" s="107">
        <v>0.200409198774505</v>
      </c>
      <c r="M137" s="107">
        <v>0.77565699827148604</v>
      </c>
      <c r="N137" s="107">
        <v>0.95804004411797805</v>
      </c>
      <c r="P137" s="107">
        <v>2.7039746948635459</v>
      </c>
      <c r="Q137" s="107">
        <v>2.5611216759709539</v>
      </c>
      <c r="R137" s="107">
        <v>2.7754012043098415</v>
      </c>
      <c r="S137" s="107">
        <v>2.4896951665246583</v>
      </c>
      <c r="AA137" s="107">
        <v>527</v>
      </c>
      <c r="AB137" s="107">
        <v>540.20600858369096</v>
      </c>
    </row>
    <row r="138" spans="1:28">
      <c r="A138" s="14">
        <v>43733</v>
      </c>
      <c r="B138" s="107">
        <v>504</v>
      </c>
      <c r="C138" s="107">
        <v>509</v>
      </c>
      <c r="D138" s="107">
        <v>202</v>
      </c>
      <c r="E138" s="107">
        <v>204</v>
      </c>
      <c r="F138" s="107">
        <v>2.4950980392156801</v>
      </c>
      <c r="G138" s="107">
        <v>2.6301712515213298</v>
      </c>
      <c r="H138" s="107">
        <v>7.5853763539172697E-2</v>
      </c>
      <c r="I138" s="107">
        <v>-1.78070547858705</v>
      </c>
      <c r="J138" s="107">
        <v>-5.41</v>
      </c>
      <c r="K138" s="107">
        <v>0.96908608606573199</v>
      </c>
      <c r="L138" s="107">
        <v>0.373264810369421</v>
      </c>
      <c r="M138" s="107">
        <v>0.77425723430010096</v>
      </c>
      <c r="N138" s="107">
        <v>0.95441166562301405</v>
      </c>
      <c r="P138" s="107">
        <v>2.7060250150605025</v>
      </c>
      <c r="Q138" s="107">
        <v>2.5543174879821571</v>
      </c>
      <c r="R138" s="107">
        <v>2.7818787785996753</v>
      </c>
      <c r="S138" s="107">
        <v>2.4784637244429844</v>
      </c>
      <c r="AA138" s="107">
        <v>509</v>
      </c>
      <c r="AB138" s="107">
        <v>540.20600858369096</v>
      </c>
    </row>
    <row r="139" spans="1:28">
      <c r="A139" s="14">
        <v>43732</v>
      </c>
      <c r="B139" s="107">
        <v>525</v>
      </c>
      <c r="C139" s="107">
        <v>521</v>
      </c>
      <c r="D139" s="107">
        <v>203</v>
      </c>
      <c r="E139" s="107">
        <v>204</v>
      </c>
      <c r="F139" s="107">
        <v>2.5539215686274499</v>
      </c>
      <c r="G139" s="107">
        <v>2.63029408226283</v>
      </c>
      <c r="H139" s="107">
        <v>7.5642102194137903E-2</v>
      </c>
      <c r="I139" s="107">
        <v>-1.0096561494201599</v>
      </c>
      <c r="J139" s="107">
        <v>-2.99</v>
      </c>
      <c r="K139" s="107">
        <v>0.970657564665934</v>
      </c>
      <c r="L139" s="107">
        <v>0.38629853604530601</v>
      </c>
      <c r="M139" s="107">
        <v>0.77476558301146803</v>
      </c>
      <c r="N139" s="107">
        <v>0.90892530272361904</v>
      </c>
      <c r="P139" s="107">
        <v>2.7059361844569678</v>
      </c>
      <c r="Q139" s="107">
        <v>2.5546519800686922</v>
      </c>
      <c r="R139" s="107">
        <v>2.7815782866511056</v>
      </c>
      <c r="S139" s="107">
        <v>2.4790098778745544</v>
      </c>
      <c r="AA139" s="107">
        <v>521</v>
      </c>
      <c r="AB139" s="107">
        <v>540.20600858369096</v>
      </c>
    </row>
    <row r="140" spans="1:28">
      <c r="A140" s="14">
        <v>43728</v>
      </c>
      <c r="B140" s="107">
        <v>525</v>
      </c>
      <c r="C140" s="107">
        <v>521</v>
      </c>
      <c r="D140" s="107">
        <v>202</v>
      </c>
      <c r="E140" s="107">
        <v>203</v>
      </c>
      <c r="F140" s="107">
        <v>2.5665024630541802</v>
      </c>
      <c r="G140" s="107">
        <v>2.6290149039248201</v>
      </c>
      <c r="H140" s="107">
        <v>7.7705866887779099E-2</v>
      </c>
      <c r="I140" s="107">
        <v>-0.80447517509739197</v>
      </c>
      <c r="J140" s="107">
        <v>-2.44</v>
      </c>
      <c r="K140" s="107">
        <v>0.97342843537607704</v>
      </c>
      <c r="L140" s="107">
        <v>0.27565063171763099</v>
      </c>
      <c r="M140" s="107">
        <v>0.77509646381042596</v>
      </c>
      <c r="N140" s="107">
        <v>0.89011844560859699</v>
      </c>
      <c r="P140" s="107">
        <v>2.7067207708125993</v>
      </c>
      <c r="Q140" s="107">
        <v>2.5513090370370408</v>
      </c>
      <c r="R140" s="107">
        <v>2.7844266377003781</v>
      </c>
      <c r="S140" s="107">
        <v>2.473603170149262</v>
      </c>
      <c r="AA140" s="107">
        <v>521</v>
      </c>
      <c r="AB140" s="107">
        <v>537.55793991416306</v>
      </c>
    </row>
    <row r="141" spans="1:28">
      <c r="A141" s="14">
        <v>43727</v>
      </c>
      <c r="B141" s="107">
        <v>508</v>
      </c>
      <c r="C141" s="107">
        <v>517</v>
      </c>
      <c r="D141" s="107">
        <v>197</v>
      </c>
      <c r="E141" s="107">
        <v>200</v>
      </c>
      <c r="F141" s="107">
        <v>2.585</v>
      </c>
      <c r="G141" s="107">
        <v>2.6276109630381201</v>
      </c>
      <c r="H141" s="107">
        <v>7.9747018709794004E-2</v>
      </c>
      <c r="I141" s="107">
        <v>-0.53432672126833203</v>
      </c>
      <c r="J141" s="107">
        <v>-1.65</v>
      </c>
      <c r="K141" s="107">
        <v>0.97436655682077</v>
      </c>
      <c r="L141" s="107">
        <v>0.12202515973958999</v>
      </c>
      <c r="M141" s="107">
        <v>0.77331439490345599</v>
      </c>
      <c r="N141" s="107">
        <v>0.93001018294008198</v>
      </c>
      <c r="P141" s="107">
        <v>2.7073579817479141</v>
      </c>
      <c r="Q141" s="107">
        <v>2.5478639443283262</v>
      </c>
      <c r="R141" s="107">
        <v>2.787105000457708</v>
      </c>
      <c r="S141" s="107">
        <v>2.4681169256185322</v>
      </c>
      <c r="AA141" s="107">
        <v>517</v>
      </c>
      <c r="AB141" s="107">
        <v>529.61373390557935</v>
      </c>
    </row>
    <row r="142" spans="1:28">
      <c r="A142" s="14">
        <v>43726</v>
      </c>
      <c r="B142" s="107">
        <v>520</v>
      </c>
      <c r="C142" s="107">
        <v>514</v>
      </c>
      <c r="D142" s="107">
        <v>200</v>
      </c>
      <c r="E142" s="107">
        <v>198</v>
      </c>
      <c r="F142" s="107">
        <v>2.5959595959595898</v>
      </c>
      <c r="G142" s="107">
        <v>2.6265371535143101</v>
      </c>
      <c r="H142" s="107">
        <v>8.0848166701983304E-2</v>
      </c>
      <c r="I142" s="107">
        <v>-0.37820965894546099</v>
      </c>
      <c r="J142" s="107">
        <v>-1.18</v>
      </c>
      <c r="K142" s="107">
        <v>0.97539242719794195</v>
      </c>
      <c r="L142" s="107">
        <v>0.10606053982024601</v>
      </c>
      <c r="M142" s="107">
        <v>0.77057771761231197</v>
      </c>
      <c r="N142" s="107">
        <v>0.95076950320897902</v>
      </c>
      <c r="P142" s="107">
        <v>2.7073853202162934</v>
      </c>
      <c r="Q142" s="107">
        <v>2.5456889868123267</v>
      </c>
      <c r="R142" s="107">
        <v>2.7882334869182768</v>
      </c>
      <c r="S142" s="107">
        <v>2.4648408201103433</v>
      </c>
      <c r="AA142" s="107">
        <v>514</v>
      </c>
      <c r="AB142" s="107">
        <v>524.31759656652355</v>
      </c>
    </row>
    <row r="143" spans="1:28">
      <c r="A143" s="14">
        <v>43725</v>
      </c>
      <c r="B143" s="107">
        <v>522</v>
      </c>
      <c r="C143" s="107">
        <v>522</v>
      </c>
      <c r="D143" s="107">
        <v>201</v>
      </c>
      <c r="E143" s="107">
        <v>203</v>
      </c>
      <c r="F143" s="107">
        <v>2.5714285714285698</v>
      </c>
      <c r="G143" s="107">
        <v>2.6246200110754301</v>
      </c>
      <c r="H143" s="107">
        <v>8.3220498227863204E-2</v>
      </c>
      <c r="I143" s="107">
        <v>-0.63916271567161598</v>
      </c>
      <c r="J143" s="107">
        <v>-2.0699999999999998</v>
      </c>
      <c r="K143" s="107">
        <v>0.976475099956715</v>
      </c>
      <c r="L143" s="107">
        <v>0.135897152135771</v>
      </c>
      <c r="M143" s="107">
        <v>0.76813872494748803</v>
      </c>
      <c r="N143" s="107">
        <v>0.94513249293341595</v>
      </c>
      <c r="P143" s="107">
        <v>2.7078405093032933</v>
      </c>
      <c r="Q143" s="107">
        <v>2.5413995128475668</v>
      </c>
      <c r="R143" s="107">
        <v>2.7910610075311566</v>
      </c>
      <c r="S143" s="107">
        <v>2.4581790146197036</v>
      </c>
      <c r="AA143" s="107">
        <v>522</v>
      </c>
      <c r="AB143" s="107">
        <v>537.55793991416306</v>
      </c>
    </row>
    <row r="144" spans="1:28">
      <c r="A144" s="14">
        <v>43721</v>
      </c>
      <c r="B144" s="107">
        <v>524</v>
      </c>
      <c r="C144" s="107">
        <v>526</v>
      </c>
      <c r="D144" s="107">
        <v>200</v>
      </c>
      <c r="E144" s="107">
        <v>201</v>
      </c>
      <c r="F144" s="107">
        <v>2.6169154228855702</v>
      </c>
      <c r="G144" s="107">
        <v>2.62309291747937</v>
      </c>
      <c r="H144" s="107">
        <v>8.5209606488803796E-2</v>
      </c>
      <c r="I144" s="107">
        <v>-7.2497630823089201E-2</v>
      </c>
      <c r="J144" s="107">
        <v>-0.24</v>
      </c>
      <c r="K144" s="107">
        <v>0.97698800441019196</v>
      </c>
      <c r="L144" s="107">
        <v>0.24835141563378901</v>
      </c>
      <c r="M144" s="107">
        <v>0.76463839177553605</v>
      </c>
      <c r="N144" s="107">
        <v>0.94483031299993003</v>
      </c>
      <c r="P144" s="107">
        <v>2.7083025239681739</v>
      </c>
      <c r="Q144" s="107">
        <v>2.5378833109905661</v>
      </c>
      <c r="R144" s="107">
        <v>2.7935121304569774</v>
      </c>
      <c r="S144" s="107">
        <v>2.4526737045017626</v>
      </c>
      <c r="AA144" s="107">
        <v>526</v>
      </c>
      <c r="AB144" s="107">
        <v>532.26180257510725</v>
      </c>
    </row>
    <row r="145" spans="1:28">
      <c r="A145" s="14">
        <v>43720</v>
      </c>
      <c r="B145" s="107">
        <v>530</v>
      </c>
      <c r="C145" s="107">
        <v>519</v>
      </c>
      <c r="D145" s="107">
        <v>200</v>
      </c>
      <c r="E145" s="107">
        <v>199</v>
      </c>
      <c r="F145" s="107">
        <v>2.6080402010050201</v>
      </c>
      <c r="G145" s="107">
        <v>2.62144820826436</v>
      </c>
      <c r="H145" s="107">
        <v>8.6493771245616496E-2</v>
      </c>
      <c r="I145" s="107">
        <v>-0.15501702684770199</v>
      </c>
      <c r="J145" s="107">
        <v>-0.51</v>
      </c>
      <c r="K145" s="107">
        <v>0.97690205684382403</v>
      </c>
      <c r="L145" s="107">
        <v>7.2340765650034198E-3</v>
      </c>
      <c r="M145" s="107">
        <v>0.76172447752230699</v>
      </c>
      <c r="N145" s="107">
        <v>0.92490494810331003</v>
      </c>
      <c r="P145" s="107">
        <v>2.7079419795099766</v>
      </c>
      <c r="Q145" s="107">
        <v>2.5349544370187433</v>
      </c>
      <c r="R145" s="107">
        <v>2.7944357507555928</v>
      </c>
      <c r="S145" s="107">
        <v>2.4484606657731272</v>
      </c>
      <c r="AA145" s="107">
        <v>519</v>
      </c>
      <c r="AB145" s="107">
        <v>526.96566523605145</v>
      </c>
    </row>
    <row r="146" spans="1:28">
      <c r="A146" s="14">
        <v>43719</v>
      </c>
      <c r="B146" s="107">
        <v>516</v>
      </c>
      <c r="C146" s="107">
        <v>524</v>
      </c>
      <c r="D146" s="107">
        <v>196</v>
      </c>
      <c r="E146" s="107">
        <v>197</v>
      </c>
      <c r="F146" s="107">
        <v>2.6598984771573599</v>
      </c>
      <c r="G146" s="107">
        <v>2.6207547986877402</v>
      </c>
      <c r="H146" s="107">
        <v>8.6806378750602597E-2</v>
      </c>
      <c r="I146" s="107">
        <v>0.45093089969890399</v>
      </c>
      <c r="J146" s="107">
        <v>1.47</v>
      </c>
      <c r="K146" s="107">
        <v>0.97668437673073405</v>
      </c>
      <c r="L146" s="107">
        <v>0.35195915763445601</v>
      </c>
      <c r="M146" s="107">
        <v>0.75782249729294804</v>
      </c>
      <c r="N146" s="107">
        <v>0.93593047301927401</v>
      </c>
      <c r="P146" s="107">
        <v>2.7075611774383428</v>
      </c>
      <c r="Q146" s="107">
        <v>2.5339484199371376</v>
      </c>
      <c r="R146" s="107">
        <v>2.7943675561889454</v>
      </c>
      <c r="S146" s="107">
        <v>2.447142041186535</v>
      </c>
      <c r="AA146" s="107">
        <v>524</v>
      </c>
      <c r="AB146" s="107">
        <v>521.66952789699576</v>
      </c>
    </row>
    <row r="147" spans="1:28">
      <c r="A147" s="14">
        <v>43718</v>
      </c>
      <c r="B147" s="107">
        <v>511</v>
      </c>
      <c r="C147" s="107">
        <v>511</v>
      </c>
      <c r="D147" s="107">
        <v>190</v>
      </c>
      <c r="E147" s="107">
        <v>194</v>
      </c>
      <c r="F147" s="107">
        <v>2.6340206185567001</v>
      </c>
      <c r="G147" s="107">
        <v>2.61798125692816</v>
      </c>
      <c r="H147" s="107">
        <v>8.8811382412928602E-2</v>
      </c>
      <c r="I147" s="107">
        <v>0.18060029235854</v>
      </c>
      <c r="J147" s="107">
        <v>0.61</v>
      </c>
      <c r="K147" s="107">
        <v>0.97528796956068298</v>
      </c>
      <c r="L147" s="107">
        <v>0.30323541961057299</v>
      </c>
      <c r="M147" s="107">
        <v>0.75367008488252096</v>
      </c>
      <c r="N147" s="107">
        <v>0.94944898539439704</v>
      </c>
      <c r="P147" s="107">
        <v>2.7067926393410886</v>
      </c>
      <c r="Q147" s="107">
        <v>2.5291698745152313</v>
      </c>
      <c r="R147" s="107">
        <v>2.7956040217540172</v>
      </c>
      <c r="S147" s="107">
        <v>2.4403584921023027</v>
      </c>
      <c r="AA147" s="107">
        <v>511</v>
      </c>
      <c r="AB147" s="107">
        <v>513.72532188841205</v>
      </c>
    </row>
    <row r="148" spans="1:28">
      <c r="A148" s="14">
        <v>43717</v>
      </c>
      <c r="B148" s="107">
        <v>502</v>
      </c>
      <c r="C148" s="107">
        <v>508</v>
      </c>
      <c r="D148" s="107">
        <v>188</v>
      </c>
      <c r="E148" s="107">
        <v>189</v>
      </c>
      <c r="F148" s="107">
        <v>2.6878306878306799</v>
      </c>
      <c r="G148" s="107">
        <v>2.6159165375696198</v>
      </c>
      <c r="H148" s="107">
        <v>9.0203630588645306E-2</v>
      </c>
      <c r="I148" s="107">
        <v>0.79724230379385896</v>
      </c>
      <c r="J148" s="107">
        <v>2.68</v>
      </c>
      <c r="K148" s="107">
        <v>0.97188873407647702</v>
      </c>
      <c r="L148" s="107">
        <v>0.528708903624168</v>
      </c>
      <c r="M148" s="107">
        <v>0.74941227478408901</v>
      </c>
      <c r="N148" s="107">
        <v>0.94944953767164997</v>
      </c>
      <c r="P148" s="107">
        <v>2.7061201681582649</v>
      </c>
      <c r="Q148" s="107">
        <v>2.5257129069809747</v>
      </c>
      <c r="R148" s="107">
        <v>2.7963237987469105</v>
      </c>
      <c r="S148" s="107">
        <v>2.4355092763923292</v>
      </c>
      <c r="AA148" s="107">
        <v>508</v>
      </c>
      <c r="AB148" s="107">
        <v>500.48497854077254</v>
      </c>
    </row>
    <row r="149" spans="1:28">
      <c r="A149" s="14">
        <v>43714</v>
      </c>
      <c r="B149" s="107">
        <v>515</v>
      </c>
      <c r="C149" s="107">
        <v>503</v>
      </c>
      <c r="D149" s="107">
        <v>189</v>
      </c>
      <c r="E149" s="107">
        <v>187</v>
      </c>
      <c r="F149" s="107">
        <v>2.6898395721925099</v>
      </c>
      <c r="G149" s="107">
        <v>2.6125856821175502</v>
      </c>
      <c r="H149" s="107">
        <v>9.2079443675377903E-2</v>
      </c>
      <c r="I149" s="107">
        <v>0.83899171184515497</v>
      </c>
      <c r="J149" s="107">
        <v>2.87</v>
      </c>
      <c r="K149" s="107">
        <v>0.96619991175754605</v>
      </c>
      <c r="L149" s="107">
        <v>0.67004733360562097</v>
      </c>
      <c r="M149" s="107">
        <v>0.74509503922342302</v>
      </c>
      <c r="N149" s="107">
        <v>0.939368904853079</v>
      </c>
      <c r="P149" s="107">
        <v>2.7046651257929279</v>
      </c>
      <c r="Q149" s="107">
        <v>2.5205062384421724</v>
      </c>
      <c r="R149" s="107">
        <v>2.7967445694683057</v>
      </c>
      <c r="S149" s="107">
        <v>2.4284267947667946</v>
      </c>
      <c r="AA149" s="107">
        <v>503</v>
      </c>
      <c r="AB149" s="107">
        <v>495.18884120171674</v>
      </c>
    </row>
    <row r="150" spans="1:28">
      <c r="A150" s="14">
        <v>43713</v>
      </c>
      <c r="B150" s="107">
        <v>492</v>
      </c>
      <c r="C150" s="107">
        <v>508</v>
      </c>
      <c r="D150" s="107">
        <v>185</v>
      </c>
      <c r="E150" s="107">
        <v>190</v>
      </c>
      <c r="F150" s="107">
        <v>2.6736842105263099</v>
      </c>
      <c r="G150" s="107">
        <v>2.6101095842403899</v>
      </c>
      <c r="H150" s="107">
        <v>9.2464836844787499E-2</v>
      </c>
      <c r="I150" s="107">
        <v>0.68755462568588599</v>
      </c>
      <c r="J150" s="107">
        <v>2.38</v>
      </c>
      <c r="K150" s="107">
        <v>0.96468436069074104</v>
      </c>
      <c r="L150" s="107">
        <v>0.53663134151113301</v>
      </c>
      <c r="M150" s="107">
        <v>0.74113316667588802</v>
      </c>
      <c r="N150" s="107">
        <v>0.92444539245287705</v>
      </c>
      <c r="P150" s="107">
        <v>2.7025744210851772</v>
      </c>
      <c r="Q150" s="107">
        <v>2.5176447473956025</v>
      </c>
      <c r="R150" s="107">
        <v>2.795039257929965</v>
      </c>
      <c r="S150" s="107">
        <v>2.4251799105508147</v>
      </c>
      <c r="AA150" s="107">
        <v>508</v>
      </c>
      <c r="AB150" s="107">
        <v>503.13304721030045</v>
      </c>
    </row>
    <row r="151" spans="1:28">
      <c r="A151" s="14">
        <v>43712</v>
      </c>
      <c r="B151" s="107">
        <v>490</v>
      </c>
      <c r="C151" s="107">
        <v>487</v>
      </c>
      <c r="D151" s="107">
        <v>183</v>
      </c>
      <c r="E151" s="107">
        <v>183</v>
      </c>
      <c r="F151" s="107">
        <v>2.6612021857923498</v>
      </c>
      <c r="G151" s="107">
        <v>2.6077937947667</v>
      </c>
      <c r="H151" s="107">
        <v>9.3016925006345105E-2</v>
      </c>
      <c r="I151" s="107">
        <v>0.57417927997511597</v>
      </c>
      <c r="J151" s="107">
        <v>2.0099999999999998</v>
      </c>
      <c r="K151" s="107">
        <v>0.96148853609041496</v>
      </c>
      <c r="L151" s="107">
        <v>0.68382427058125494</v>
      </c>
      <c r="M151" s="107">
        <v>0.73658905263346997</v>
      </c>
      <c r="N151" s="107">
        <v>0.91570254831313402</v>
      </c>
      <c r="P151" s="107">
        <v>2.7008107197730453</v>
      </c>
      <c r="Q151" s="107">
        <v>2.5147768697603547</v>
      </c>
      <c r="R151" s="107">
        <v>2.7938276447793902</v>
      </c>
      <c r="S151" s="107">
        <v>2.4217599447540099</v>
      </c>
      <c r="AA151" s="107">
        <v>487</v>
      </c>
      <c r="AB151" s="107">
        <v>484.59656652360513</v>
      </c>
    </row>
    <row r="152" spans="1:28">
      <c r="A152" s="14">
        <v>43711</v>
      </c>
      <c r="B152" s="107">
        <v>491</v>
      </c>
      <c r="C152" s="107">
        <v>496</v>
      </c>
      <c r="D152" s="107">
        <v>186</v>
      </c>
      <c r="E152" s="107">
        <v>184</v>
      </c>
      <c r="F152" s="107">
        <v>2.6956521739130399</v>
      </c>
      <c r="G152" s="107">
        <v>2.6059222100672499</v>
      </c>
      <c r="H152" s="107">
        <v>9.3335100846138705E-2</v>
      </c>
      <c r="I152" s="107">
        <v>0.96137426361929801</v>
      </c>
      <c r="J152" s="107">
        <v>3.33</v>
      </c>
      <c r="K152" s="107">
        <v>0.95814649843029698</v>
      </c>
      <c r="L152" s="107">
        <v>0.71078843610542197</v>
      </c>
      <c r="M152" s="107">
        <v>0.73233559241371704</v>
      </c>
      <c r="N152" s="107">
        <v>0.91060171705508997</v>
      </c>
      <c r="P152" s="107">
        <v>2.6992573109133886</v>
      </c>
      <c r="Q152" s="107">
        <v>2.5125871092211112</v>
      </c>
      <c r="R152" s="107">
        <v>2.7925924117595273</v>
      </c>
      <c r="S152" s="107">
        <v>2.4192520083749725</v>
      </c>
      <c r="AA152" s="107">
        <v>496</v>
      </c>
      <c r="AB152" s="107">
        <v>487.24463519313304</v>
      </c>
    </row>
    <row r="153" spans="1:28">
      <c r="A153" s="14">
        <v>43710</v>
      </c>
      <c r="B153" s="107">
        <v>493</v>
      </c>
      <c r="C153" s="107">
        <v>491</v>
      </c>
      <c r="D153" s="107">
        <v>183</v>
      </c>
      <c r="E153" s="107">
        <v>185</v>
      </c>
      <c r="F153" s="107">
        <v>2.65405405405405</v>
      </c>
      <c r="G153" s="107">
        <v>2.60345068862632</v>
      </c>
      <c r="H153" s="107">
        <v>9.3380538337069094E-2</v>
      </c>
      <c r="I153" s="107">
        <v>0.54190483722707405</v>
      </c>
      <c r="J153" s="107">
        <v>1.91</v>
      </c>
      <c r="K153" s="107">
        <v>0.95572443723016298</v>
      </c>
      <c r="L153" s="107">
        <v>0.641534815998962</v>
      </c>
      <c r="M153" s="107">
        <v>0.72834655021745598</v>
      </c>
      <c r="N153" s="107">
        <v>0.87357612164933796</v>
      </c>
      <c r="P153" s="107">
        <v>2.6968312269633889</v>
      </c>
      <c r="Q153" s="107">
        <v>2.5100701502892511</v>
      </c>
      <c r="R153" s="107">
        <v>2.7902117653004583</v>
      </c>
      <c r="S153" s="107">
        <v>2.4166896119521817</v>
      </c>
      <c r="AA153" s="107">
        <v>491</v>
      </c>
      <c r="AB153" s="107">
        <v>489.89270386266094</v>
      </c>
    </row>
    <row r="154" spans="1:28">
      <c r="A154" s="14">
        <v>43707</v>
      </c>
      <c r="B154" s="107">
        <v>491</v>
      </c>
      <c r="C154" s="107">
        <v>495</v>
      </c>
      <c r="D154" s="107">
        <v>182</v>
      </c>
      <c r="E154" s="107">
        <v>184</v>
      </c>
      <c r="F154" s="107">
        <v>2.6902173913043401</v>
      </c>
      <c r="G154" s="107">
        <v>2.6028684960441302</v>
      </c>
      <c r="H154" s="107">
        <v>9.31991700561388E-2</v>
      </c>
      <c r="I154" s="107">
        <v>0.93722825222152994</v>
      </c>
      <c r="J154" s="107">
        <v>3.25</v>
      </c>
      <c r="K154" s="107">
        <v>0.95161463731867202</v>
      </c>
      <c r="L154" s="107">
        <v>0.75839139351354001</v>
      </c>
      <c r="M154" s="107">
        <v>0.72461064665031005</v>
      </c>
      <c r="N154" s="107">
        <v>0.88444606532064496</v>
      </c>
      <c r="P154" s="107">
        <v>2.6960676661002689</v>
      </c>
      <c r="Q154" s="107">
        <v>2.5096693259879914</v>
      </c>
      <c r="R154" s="107">
        <v>2.7892668361564077</v>
      </c>
      <c r="S154" s="107">
        <v>2.4164701559318527</v>
      </c>
      <c r="AA154" s="107">
        <v>495</v>
      </c>
      <c r="AB154" s="107">
        <v>487.24463519313304</v>
      </c>
    </row>
    <row r="155" spans="1:28">
      <c r="A155" s="14">
        <v>43706</v>
      </c>
      <c r="B155" s="107">
        <v>487</v>
      </c>
      <c r="C155" s="107">
        <v>486</v>
      </c>
      <c r="D155" s="107">
        <v>181</v>
      </c>
      <c r="E155" s="107">
        <v>181</v>
      </c>
      <c r="F155" s="107">
        <v>2.6850828729281702</v>
      </c>
      <c r="G155" s="107">
        <v>2.6010667274369101</v>
      </c>
      <c r="H155" s="107">
        <v>9.2798446608098606E-2</v>
      </c>
      <c r="I155" s="107">
        <v>0.90536155035089605</v>
      </c>
      <c r="J155" s="107">
        <v>3.13</v>
      </c>
      <c r="K155" s="107">
        <v>0.94727500857284297</v>
      </c>
      <c r="L155" s="107">
        <v>0.74801016132200104</v>
      </c>
      <c r="M155" s="107">
        <v>0.72039899602969804</v>
      </c>
      <c r="N155" s="107">
        <v>0.869060866284037</v>
      </c>
      <c r="P155" s="107">
        <v>2.6938651740450088</v>
      </c>
      <c r="Q155" s="107">
        <v>2.5082682808288115</v>
      </c>
      <c r="R155" s="107">
        <v>2.7866636206531075</v>
      </c>
      <c r="S155" s="107">
        <v>2.4154698342207128</v>
      </c>
      <c r="AA155" s="107">
        <v>486</v>
      </c>
      <c r="AB155" s="107">
        <v>479.30042918454933</v>
      </c>
    </row>
    <row r="156" spans="1:28">
      <c r="A156" s="14">
        <v>43705</v>
      </c>
      <c r="B156" s="107">
        <v>484</v>
      </c>
      <c r="C156" s="107">
        <v>482</v>
      </c>
      <c r="D156" s="107">
        <v>182</v>
      </c>
      <c r="E156" s="107">
        <v>180</v>
      </c>
      <c r="F156" s="107">
        <v>2.67777777777777</v>
      </c>
      <c r="G156" s="107">
        <v>2.6004868614025902</v>
      </c>
      <c r="H156" s="107">
        <v>9.2406696599219795E-2</v>
      </c>
      <c r="I156" s="107">
        <v>0.83642116015041001</v>
      </c>
      <c r="J156" s="107">
        <v>2.89</v>
      </c>
      <c r="K156" s="107">
        <v>0.94391681020798102</v>
      </c>
      <c r="L156" s="107">
        <v>0.64765122823622501</v>
      </c>
      <c r="M156" s="107">
        <v>0.71562356490355195</v>
      </c>
      <c r="N156" s="107">
        <v>0.85543979342721499</v>
      </c>
      <c r="P156" s="107">
        <v>2.6928935580018099</v>
      </c>
      <c r="Q156" s="107">
        <v>2.5080801648033706</v>
      </c>
      <c r="R156" s="107">
        <v>2.7853002546010299</v>
      </c>
      <c r="S156" s="107">
        <v>2.4156734682041505</v>
      </c>
      <c r="AA156" s="107">
        <v>482</v>
      </c>
      <c r="AB156" s="107">
        <v>476.65236051502148</v>
      </c>
    </row>
    <row r="157" spans="1:28">
      <c r="A157" s="14">
        <v>43704</v>
      </c>
      <c r="B157" s="107">
        <v>479</v>
      </c>
      <c r="C157" s="107">
        <v>481</v>
      </c>
      <c r="D157" s="107">
        <v>182</v>
      </c>
      <c r="E157" s="107">
        <v>181</v>
      </c>
      <c r="F157" s="107">
        <v>2.65745856353591</v>
      </c>
      <c r="G157" s="107">
        <v>2.5991019982785901</v>
      </c>
      <c r="H157" s="107">
        <v>9.2015452458310096E-2</v>
      </c>
      <c r="I157" s="107">
        <v>0.63420397007507401</v>
      </c>
      <c r="J157" s="107">
        <v>2.2000000000000002</v>
      </c>
      <c r="K157" s="107">
        <v>0.94161355860950202</v>
      </c>
      <c r="L157" s="107">
        <v>0.53436830375838895</v>
      </c>
      <c r="M157" s="107">
        <v>0.70952500530796803</v>
      </c>
      <c r="N157" s="107">
        <v>0.883484905581714</v>
      </c>
      <c r="P157" s="107">
        <v>2.6911174507369</v>
      </c>
      <c r="Q157" s="107">
        <v>2.5070865458202802</v>
      </c>
      <c r="R157" s="107">
        <v>2.7831329031952103</v>
      </c>
      <c r="S157" s="107">
        <v>2.4150710933619699</v>
      </c>
      <c r="AA157" s="107">
        <v>481</v>
      </c>
      <c r="AB157" s="107">
        <v>479.30042918454933</v>
      </c>
    </row>
    <row r="158" spans="1:28">
      <c r="A158" s="14">
        <v>43703</v>
      </c>
      <c r="B158" s="107">
        <v>472</v>
      </c>
      <c r="C158" s="107">
        <v>475</v>
      </c>
      <c r="D158" s="107">
        <v>178</v>
      </c>
      <c r="E158" s="107">
        <v>179</v>
      </c>
      <c r="F158" s="107">
        <v>2.6536312849161998</v>
      </c>
      <c r="G158" s="107">
        <v>2.5992056981181402</v>
      </c>
      <c r="H158" s="107">
        <v>9.2085516747275303E-2</v>
      </c>
      <c r="I158" s="107">
        <v>0.59103308229699603</v>
      </c>
      <c r="J158" s="107">
        <v>2.0499999999999998</v>
      </c>
      <c r="K158" s="107">
        <v>0.93609114688670103</v>
      </c>
      <c r="L158" s="107">
        <v>0.65158793668438797</v>
      </c>
      <c r="M158" s="107">
        <v>0.70233610969551596</v>
      </c>
      <c r="N158" s="107">
        <v>0.89002844498935296</v>
      </c>
      <c r="P158" s="107">
        <v>2.6912912148654153</v>
      </c>
      <c r="Q158" s="107">
        <v>2.507120181370865</v>
      </c>
      <c r="R158" s="107">
        <v>2.7833767316126909</v>
      </c>
      <c r="S158" s="107">
        <v>2.4150346646235894</v>
      </c>
      <c r="AA158" s="107">
        <v>475</v>
      </c>
      <c r="AB158" s="107">
        <v>474.00429184549358</v>
      </c>
    </row>
    <row r="159" spans="1:28">
      <c r="A159" s="14">
        <v>43700</v>
      </c>
      <c r="B159" s="107">
        <v>478</v>
      </c>
      <c r="C159" s="107">
        <v>488</v>
      </c>
      <c r="D159" s="107">
        <v>181</v>
      </c>
      <c r="E159" s="107">
        <v>183</v>
      </c>
      <c r="F159" s="107">
        <v>2.6666666666666599</v>
      </c>
      <c r="G159" s="107">
        <v>2.5994372232658698</v>
      </c>
      <c r="H159" s="107">
        <v>9.2243757874546306E-2</v>
      </c>
      <c r="I159" s="107">
        <v>0.728823770300281</v>
      </c>
      <c r="J159" s="107">
        <v>2.52</v>
      </c>
      <c r="K159" s="107">
        <v>0.93212516119162603</v>
      </c>
      <c r="L159" s="107">
        <v>0.54962501325428703</v>
      </c>
      <c r="M159" s="107">
        <v>0.69537837277905301</v>
      </c>
      <c r="N159" s="107">
        <v>0.87763802405371505</v>
      </c>
      <c r="P159" s="107">
        <v>2.6916809811404159</v>
      </c>
      <c r="Q159" s="107">
        <v>2.5071934653913237</v>
      </c>
      <c r="R159" s="107">
        <v>2.7839247390149624</v>
      </c>
      <c r="S159" s="107">
        <v>2.4149497075167772</v>
      </c>
      <c r="AA159" s="107">
        <v>488</v>
      </c>
      <c r="AB159" s="107">
        <v>484.59656652360513</v>
      </c>
    </row>
    <row r="160" spans="1:28">
      <c r="A160" s="14">
        <v>43699</v>
      </c>
      <c r="B160" s="107">
        <v>481</v>
      </c>
      <c r="C160" s="107">
        <v>476</v>
      </c>
      <c r="D160" s="107">
        <v>181</v>
      </c>
      <c r="E160" s="107">
        <v>181</v>
      </c>
      <c r="F160" s="107">
        <v>2.6298342541436401</v>
      </c>
      <c r="G160" s="107">
        <v>2.5996059996371801</v>
      </c>
      <c r="H160" s="107">
        <v>9.2378094124756102E-2</v>
      </c>
      <c r="I160" s="107">
        <v>0.32722318849360299</v>
      </c>
      <c r="J160" s="107">
        <v>1.1499999999999999</v>
      </c>
      <c r="K160" s="107">
        <v>0.92551194424198802</v>
      </c>
      <c r="L160" s="107">
        <v>0.67417409061994804</v>
      </c>
      <c r="M160" s="107">
        <v>0.68828375116353702</v>
      </c>
      <c r="N160" s="107">
        <v>0.82551170632170201</v>
      </c>
      <c r="P160" s="107">
        <v>2.6919840937619361</v>
      </c>
      <c r="Q160" s="107">
        <v>2.507227905512424</v>
      </c>
      <c r="R160" s="107">
        <v>2.7843621878866922</v>
      </c>
      <c r="S160" s="107">
        <v>2.414849811387668</v>
      </c>
      <c r="AA160" s="107">
        <v>476</v>
      </c>
      <c r="AB160" s="107">
        <v>479.30042918454933</v>
      </c>
    </row>
    <row r="161" spans="1:28">
      <c r="A161" s="14">
        <v>43698</v>
      </c>
      <c r="B161" s="107">
        <v>480</v>
      </c>
      <c r="C161" s="107">
        <v>483</v>
      </c>
      <c r="D161" s="107">
        <v>182</v>
      </c>
      <c r="E161" s="107">
        <v>181</v>
      </c>
      <c r="F161" s="107">
        <v>2.6685082872928101</v>
      </c>
      <c r="G161" s="107">
        <v>2.6006526540263701</v>
      </c>
      <c r="H161" s="107">
        <v>9.3156080129036395E-2</v>
      </c>
      <c r="I161" s="107">
        <v>0.72840799196841699</v>
      </c>
      <c r="J161" s="107">
        <v>2.54</v>
      </c>
      <c r="K161" s="107">
        <v>0.92108114019695397</v>
      </c>
      <c r="L161" s="107">
        <v>0.49661063935738398</v>
      </c>
      <c r="M161" s="107">
        <v>0.68149192739402498</v>
      </c>
      <c r="N161" s="107">
        <v>0.81607099006097295</v>
      </c>
      <c r="P161" s="107">
        <v>2.6938087341554064</v>
      </c>
      <c r="Q161" s="107">
        <v>2.5074965738973338</v>
      </c>
      <c r="R161" s="107">
        <v>2.7869648142844428</v>
      </c>
      <c r="S161" s="107">
        <v>2.4143404937682975</v>
      </c>
      <c r="AA161" s="107">
        <v>483</v>
      </c>
      <c r="AB161" s="107">
        <v>479.30042918454933</v>
      </c>
    </row>
    <row r="162" spans="1:28">
      <c r="A162" s="14">
        <v>43697</v>
      </c>
      <c r="B162" s="107">
        <v>481</v>
      </c>
      <c r="C162" s="107">
        <v>485</v>
      </c>
      <c r="D162" s="107">
        <v>188</v>
      </c>
      <c r="E162" s="107">
        <v>184</v>
      </c>
      <c r="F162" s="107">
        <v>2.6358695652173898</v>
      </c>
      <c r="G162" s="107">
        <v>2.60131744148832</v>
      </c>
      <c r="H162" s="107">
        <v>9.3813528602173499E-2</v>
      </c>
      <c r="I162" s="107">
        <v>0.36830640786990898</v>
      </c>
      <c r="J162" s="107">
        <v>1.31</v>
      </c>
      <c r="K162" s="107">
        <v>0.91621582432269999</v>
      </c>
      <c r="L162" s="107">
        <v>0.47811748154958</v>
      </c>
      <c r="M162" s="107">
        <v>0.67293300943848899</v>
      </c>
      <c r="N162" s="107">
        <v>0.86888041257265303</v>
      </c>
      <c r="P162" s="107">
        <v>2.6951309700904935</v>
      </c>
      <c r="Q162" s="107">
        <v>2.5075039128861465</v>
      </c>
      <c r="R162" s="107">
        <v>2.788944498692667</v>
      </c>
      <c r="S162" s="107">
        <v>2.413690384283973</v>
      </c>
      <c r="AA162" s="107">
        <v>485</v>
      </c>
      <c r="AB162" s="107">
        <v>487.24463519313304</v>
      </c>
    </row>
    <row r="163" spans="1:28">
      <c r="A163" s="14">
        <v>43696</v>
      </c>
      <c r="B163" s="107">
        <v>485</v>
      </c>
      <c r="C163" s="107">
        <v>481</v>
      </c>
      <c r="D163" s="107">
        <v>183</v>
      </c>
      <c r="E163" s="107">
        <v>183</v>
      </c>
      <c r="F163" s="107">
        <v>2.6284153005464401</v>
      </c>
      <c r="G163" s="107">
        <v>2.60217791206275</v>
      </c>
      <c r="H163" s="107">
        <v>9.4420498999934294E-2</v>
      </c>
      <c r="I163" s="107">
        <v>0.27787809598118401</v>
      </c>
      <c r="J163" s="107">
        <v>1</v>
      </c>
      <c r="K163" s="107">
        <v>0.91088928310396799</v>
      </c>
      <c r="L163" s="107">
        <v>0.58115317927710897</v>
      </c>
      <c r="M163" s="107">
        <v>0.66314206116722296</v>
      </c>
      <c r="N163" s="107">
        <v>0.86896379010898706</v>
      </c>
      <c r="P163" s="107">
        <v>2.6965984110626842</v>
      </c>
      <c r="Q163" s="107">
        <v>2.5077574130628157</v>
      </c>
      <c r="R163" s="107">
        <v>2.7910189100626184</v>
      </c>
      <c r="S163" s="107">
        <v>2.4133369140628815</v>
      </c>
      <c r="AA163" s="107">
        <v>481</v>
      </c>
      <c r="AB163" s="107">
        <v>484.59656652360513</v>
      </c>
    </row>
    <row r="164" spans="1:28">
      <c r="A164" s="14">
        <v>43693</v>
      </c>
      <c r="B164" s="107">
        <v>469</v>
      </c>
      <c r="C164" s="107">
        <v>478</v>
      </c>
      <c r="D164" s="107">
        <v>178</v>
      </c>
      <c r="E164" s="107">
        <v>181</v>
      </c>
      <c r="F164" s="107">
        <v>2.64088397790055</v>
      </c>
      <c r="G164" s="107">
        <v>2.6027775360124501</v>
      </c>
      <c r="H164" s="107">
        <v>9.4727516496632899E-2</v>
      </c>
      <c r="I164" s="107">
        <v>0.40227426303792901</v>
      </c>
      <c r="J164" s="107">
        <v>1.44</v>
      </c>
      <c r="K164" s="107">
        <v>0.90393334585885798</v>
      </c>
      <c r="L164" s="107">
        <v>0.54083230132024995</v>
      </c>
      <c r="M164" s="107">
        <v>0.65210276379360999</v>
      </c>
      <c r="N164" s="107">
        <v>0.87225536389323399</v>
      </c>
      <c r="P164" s="107">
        <v>2.6975050525090829</v>
      </c>
      <c r="Q164" s="107">
        <v>2.5080500195158173</v>
      </c>
      <c r="R164" s="107">
        <v>2.7922325690057157</v>
      </c>
      <c r="S164" s="107">
        <v>2.4133225030191845</v>
      </c>
      <c r="AA164" s="107">
        <v>478</v>
      </c>
      <c r="AB164" s="107">
        <v>479.30042918454933</v>
      </c>
    </row>
    <row r="165" spans="1:28">
      <c r="A165" s="14">
        <v>43692</v>
      </c>
      <c r="B165" s="107">
        <v>470</v>
      </c>
      <c r="C165" s="107">
        <v>477</v>
      </c>
      <c r="D165" s="107">
        <v>177</v>
      </c>
      <c r="E165" s="107">
        <v>180</v>
      </c>
      <c r="F165" s="107">
        <v>2.65</v>
      </c>
      <c r="G165" s="107">
        <v>2.6022747443494398</v>
      </c>
      <c r="H165" s="107">
        <v>9.4623941678711895E-2</v>
      </c>
      <c r="I165" s="107">
        <v>0.50436765583707499</v>
      </c>
      <c r="J165" s="107">
        <v>1.8</v>
      </c>
      <c r="K165" s="107">
        <v>0.89385376626009905</v>
      </c>
      <c r="L165" s="107">
        <v>0.50233958453786498</v>
      </c>
      <c r="M165" s="107">
        <v>0.63986325680463396</v>
      </c>
      <c r="N165" s="107">
        <v>0.86629979286088998</v>
      </c>
      <c r="P165" s="107">
        <v>2.6968986860281516</v>
      </c>
      <c r="Q165" s="107">
        <v>2.507650802670728</v>
      </c>
      <c r="R165" s="107">
        <v>2.7915226277068634</v>
      </c>
      <c r="S165" s="107">
        <v>2.4130268609920162</v>
      </c>
      <c r="AA165" s="107">
        <v>477</v>
      </c>
      <c r="AB165" s="107">
        <v>476.65236051502148</v>
      </c>
    </row>
    <row r="166" spans="1:28">
      <c r="A166" s="14">
        <v>43691</v>
      </c>
      <c r="B166" s="107">
        <v>485</v>
      </c>
      <c r="C166" s="107">
        <v>482</v>
      </c>
      <c r="D166" s="107">
        <v>183</v>
      </c>
      <c r="E166" s="107">
        <v>183</v>
      </c>
      <c r="F166" s="107">
        <v>2.63387978142076</v>
      </c>
      <c r="G166" s="107">
        <v>2.6025147443494401</v>
      </c>
      <c r="H166" s="107">
        <v>9.4767404003320399E-2</v>
      </c>
      <c r="I166" s="107">
        <v>0.33096862155496198</v>
      </c>
      <c r="J166" s="107">
        <v>1.19</v>
      </c>
      <c r="K166" s="107">
        <v>0.883528920925998</v>
      </c>
      <c r="L166" s="107">
        <v>0.55825935593876796</v>
      </c>
      <c r="M166" s="107">
        <v>0.62816867880753302</v>
      </c>
      <c r="N166" s="107">
        <v>0.84497362864683101</v>
      </c>
      <c r="P166" s="107">
        <v>2.6972821483527607</v>
      </c>
      <c r="Q166" s="107">
        <v>2.5077473403461195</v>
      </c>
      <c r="R166" s="107">
        <v>2.7920495523560809</v>
      </c>
      <c r="S166" s="107">
        <v>2.4129799363427993</v>
      </c>
      <c r="AA166" s="107">
        <v>482</v>
      </c>
      <c r="AB166" s="107">
        <v>484.59656652360513</v>
      </c>
    </row>
    <row r="167" spans="1:28">
      <c r="A167" s="14">
        <v>43690</v>
      </c>
      <c r="B167" s="107">
        <v>490</v>
      </c>
      <c r="C167" s="107">
        <v>478</v>
      </c>
      <c r="D167" s="107">
        <v>181</v>
      </c>
      <c r="E167" s="107">
        <v>180</v>
      </c>
      <c r="F167" s="107">
        <v>2.6555555555555501</v>
      </c>
      <c r="G167" s="107">
        <v>2.6026685916197398</v>
      </c>
      <c r="H167" s="107">
        <v>9.4827544610792694E-2</v>
      </c>
      <c r="I167" s="107">
        <v>0.55771731887480203</v>
      </c>
      <c r="J167" s="107">
        <v>1.99</v>
      </c>
      <c r="K167" s="107">
        <v>0.86609076404047902</v>
      </c>
      <c r="L167" s="107">
        <v>0.59682550854789596</v>
      </c>
      <c r="M167" s="107">
        <v>0.61589301135368402</v>
      </c>
      <c r="N167" s="107">
        <v>0.85735627761984801</v>
      </c>
      <c r="P167" s="107">
        <v>2.6974961362305327</v>
      </c>
      <c r="Q167" s="107">
        <v>2.5078410470089469</v>
      </c>
      <c r="R167" s="107">
        <v>2.7923236808413252</v>
      </c>
      <c r="S167" s="107">
        <v>2.4130135023981545</v>
      </c>
      <c r="AA167" s="107">
        <v>478</v>
      </c>
      <c r="AB167" s="107">
        <v>476.65236051502148</v>
      </c>
    </row>
    <row r="168" spans="1:28">
      <c r="A168" s="14">
        <v>43686</v>
      </c>
      <c r="B168" s="107">
        <v>499</v>
      </c>
      <c r="C168" s="107">
        <v>493</v>
      </c>
      <c r="D168" s="107">
        <v>184</v>
      </c>
      <c r="E168" s="107">
        <v>183</v>
      </c>
      <c r="F168" s="107">
        <v>2.6939890710382501</v>
      </c>
      <c r="G168" s="107">
        <v>2.6029238348147401</v>
      </c>
      <c r="H168" s="107">
        <v>9.4995170007562996E-2</v>
      </c>
      <c r="I168" s="107">
        <v>0.95863017263146999</v>
      </c>
      <c r="J168" s="107">
        <v>3.38</v>
      </c>
      <c r="K168" s="107">
        <v>0.844326581356171</v>
      </c>
      <c r="L168" s="107">
        <v>0.33997678656444202</v>
      </c>
      <c r="M168" s="107">
        <v>0.60307795362133398</v>
      </c>
      <c r="N168" s="107">
        <v>0.88892273595147198</v>
      </c>
      <c r="P168" s="107">
        <v>2.6979190048223032</v>
      </c>
      <c r="Q168" s="107">
        <v>2.507928664807177</v>
      </c>
      <c r="R168" s="107">
        <v>2.7929141748298663</v>
      </c>
      <c r="S168" s="107">
        <v>2.4129334947996139</v>
      </c>
      <c r="AA168" s="107">
        <v>493</v>
      </c>
      <c r="AB168" s="107">
        <v>484.59656652360513</v>
      </c>
    </row>
    <row r="169" spans="1:28">
      <c r="A169" s="14">
        <v>43685</v>
      </c>
      <c r="B169" s="107">
        <v>493</v>
      </c>
      <c r="C169" s="107">
        <v>496</v>
      </c>
      <c r="D169" s="107">
        <v>182</v>
      </c>
      <c r="E169" s="107">
        <v>183</v>
      </c>
      <c r="F169" s="107">
        <v>2.7103825136611999</v>
      </c>
      <c r="G169" s="107">
        <v>2.60311946609853</v>
      </c>
      <c r="H169" s="107">
        <v>9.5197399340787803E-2</v>
      </c>
      <c r="I169" s="107">
        <v>1.1267434646894201</v>
      </c>
      <c r="J169" s="107">
        <v>3.96</v>
      </c>
      <c r="K169" s="107">
        <v>0.81460639521219202</v>
      </c>
      <c r="L169" s="107">
        <v>0.56368918428438297</v>
      </c>
      <c r="M169" s="107">
        <v>0.58989527529054597</v>
      </c>
      <c r="N169" s="107">
        <v>0.90472687363039295</v>
      </c>
      <c r="P169" s="107">
        <v>2.6983168654393177</v>
      </c>
      <c r="Q169" s="107">
        <v>2.5079220667577422</v>
      </c>
      <c r="R169" s="107">
        <v>2.7935142647801054</v>
      </c>
      <c r="S169" s="107">
        <v>2.4127246674169545</v>
      </c>
      <c r="AA169" s="107">
        <v>496</v>
      </c>
      <c r="AB169" s="107">
        <v>484.59656652360513</v>
      </c>
    </row>
    <row r="170" spans="1:28">
      <c r="A170" s="14">
        <v>43684</v>
      </c>
      <c r="B170" s="107">
        <v>502</v>
      </c>
      <c r="C170" s="107">
        <v>498</v>
      </c>
      <c r="D170" s="107">
        <v>185</v>
      </c>
      <c r="E170" s="107">
        <v>183</v>
      </c>
      <c r="F170" s="107">
        <v>2.7213114754098302</v>
      </c>
      <c r="G170" s="107">
        <v>2.6033010325830501</v>
      </c>
      <c r="H170" s="107">
        <v>9.5414543455978301E-2</v>
      </c>
      <c r="I170" s="107">
        <v>1.23681818884587</v>
      </c>
      <c r="J170" s="107">
        <v>4.34</v>
      </c>
      <c r="K170" s="107">
        <v>0.77310925913394202</v>
      </c>
      <c r="L170" s="107">
        <v>0.35951621071807799</v>
      </c>
      <c r="M170" s="107">
        <v>0.57801058073869904</v>
      </c>
      <c r="N170" s="107">
        <v>0.88192062480678102</v>
      </c>
      <c r="P170" s="107">
        <v>2.6987155760390285</v>
      </c>
      <c r="Q170" s="107">
        <v>2.5078864891270718</v>
      </c>
      <c r="R170" s="107">
        <v>2.7941301194950068</v>
      </c>
      <c r="S170" s="107">
        <v>2.4124719456710935</v>
      </c>
      <c r="AA170" s="107">
        <v>498</v>
      </c>
      <c r="AB170" s="107">
        <v>484.59656652360513</v>
      </c>
    </row>
    <row r="171" spans="1:28">
      <c r="A171" s="14">
        <v>43683</v>
      </c>
      <c r="B171" s="107">
        <v>493</v>
      </c>
      <c r="C171" s="107">
        <v>506</v>
      </c>
      <c r="D171" s="107">
        <v>177</v>
      </c>
      <c r="E171" s="107">
        <v>188</v>
      </c>
      <c r="F171" s="107">
        <v>2.6914893617021201</v>
      </c>
      <c r="G171" s="107">
        <v>2.60426555682626</v>
      </c>
      <c r="H171" s="107">
        <v>9.6955792442717501E-2</v>
      </c>
      <c r="I171" s="107">
        <v>0.89962448532810302</v>
      </c>
      <c r="J171" s="107">
        <v>3.24</v>
      </c>
      <c r="K171" s="107">
        <v>0.72285724014758401</v>
      </c>
      <c r="L171" s="107">
        <v>0.87643636350555099</v>
      </c>
      <c r="M171" s="107">
        <v>0.567060829284732</v>
      </c>
      <c r="N171" s="107">
        <v>0.85389185390424205</v>
      </c>
      <c r="P171" s="107">
        <v>2.7012213492689776</v>
      </c>
      <c r="Q171" s="107">
        <v>2.5073097643835425</v>
      </c>
      <c r="R171" s="107">
        <v>2.7981771417116952</v>
      </c>
      <c r="S171" s="107">
        <v>2.4103539719408249</v>
      </c>
      <c r="AA171" s="107">
        <v>506</v>
      </c>
      <c r="AB171" s="107">
        <v>497.83690987124464</v>
      </c>
    </row>
    <row r="172" spans="1:28">
      <c r="A172" s="14">
        <v>43682</v>
      </c>
      <c r="B172" s="107">
        <v>526</v>
      </c>
      <c r="C172" s="107">
        <v>512</v>
      </c>
      <c r="D172" s="107">
        <v>189</v>
      </c>
      <c r="E172" s="107">
        <v>184</v>
      </c>
      <c r="F172" s="107">
        <v>2.7826086956521698</v>
      </c>
      <c r="G172" s="107">
        <v>2.6062652108653599</v>
      </c>
      <c r="H172" s="107">
        <v>0.100225536466881</v>
      </c>
      <c r="I172" s="15">
        <v>1.7594666090421001</v>
      </c>
      <c r="J172" s="107">
        <v>6.34</v>
      </c>
      <c r="K172" s="107">
        <v>0.65131330975033297</v>
      </c>
      <c r="L172" s="107">
        <v>0.90465991041378302</v>
      </c>
      <c r="M172" s="107">
        <v>0.55643142193788697</v>
      </c>
      <c r="N172" s="107">
        <v>0.88561775444850999</v>
      </c>
      <c r="P172" s="107">
        <v>2.706490747332241</v>
      </c>
      <c r="Q172" s="107">
        <v>2.5060396743984787</v>
      </c>
      <c r="R172" s="107">
        <v>2.8067162837991217</v>
      </c>
      <c r="S172" s="107">
        <v>2.405814137931598</v>
      </c>
      <c r="AA172" s="107">
        <v>512</v>
      </c>
      <c r="AB172" s="107">
        <v>487.24463519313304</v>
      </c>
    </row>
    <row r="173" spans="1:28">
      <c r="A173" s="14">
        <v>43679</v>
      </c>
      <c r="B173" s="107">
        <v>550</v>
      </c>
      <c r="C173" s="107">
        <v>530</v>
      </c>
      <c r="D173" s="107">
        <v>194</v>
      </c>
      <c r="E173" s="107">
        <v>190</v>
      </c>
      <c r="F173" s="107">
        <v>2.7894736842105199</v>
      </c>
      <c r="G173" s="107">
        <v>2.6067981701921501</v>
      </c>
      <c r="H173" s="107">
        <v>0.10126275399969099</v>
      </c>
      <c r="I173" s="15">
        <v>1.80397536905753</v>
      </c>
      <c r="J173" s="107">
        <v>6.55</v>
      </c>
      <c r="K173" s="107">
        <v>0.577237767591399</v>
      </c>
      <c r="L173" s="107">
        <v>0.913856403088947</v>
      </c>
      <c r="M173" s="107">
        <v>0.54914267204630596</v>
      </c>
      <c r="N173" s="107">
        <v>0.85333486320346696</v>
      </c>
      <c r="P173" s="107">
        <v>2.708060924191841</v>
      </c>
      <c r="Q173" s="107">
        <v>2.5055354161924592</v>
      </c>
      <c r="R173" s="107">
        <v>2.8093236781915323</v>
      </c>
      <c r="S173" s="107">
        <v>2.4042726621927679</v>
      </c>
      <c r="AA173" s="107">
        <v>530</v>
      </c>
      <c r="AB173" s="107">
        <v>503.13304721030045</v>
      </c>
    </row>
    <row r="174" spans="1:28">
      <c r="A174" s="14">
        <v>43678</v>
      </c>
      <c r="B174" s="107">
        <v>562</v>
      </c>
      <c r="C174" s="107">
        <v>559</v>
      </c>
      <c r="D174" s="107">
        <v>200</v>
      </c>
      <c r="E174" s="107">
        <v>197</v>
      </c>
      <c r="F174" s="107">
        <v>2.8375634517766399</v>
      </c>
      <c r="G174" s="107">
        <v>2.60707830601558</v>
      </c>
      <c r="H174" s="107">
        <v>0.101795385399191</v>
      </c>
      <c r="I174" s="107">
        <v>2.26420033538081</v>
      </c>
      <c r="J174" s="107">
        <v>8.1199999999999992</v>
      </c>
      <c r="K174" s="107">
        <v>0.54608782236605402</v>
      </c>
      <c r="L174" s="107">
        <v>0.92707177952480202</v>
      </c>
      <c r="M174" s="107">
        <v>0.54579410143611395</v>
      </c>
      <c r="N174" s="107">
        <v>0.84128009578942897</v>
      </c>
      <c r="P174" s="107">
        <v>2.7088736914147709</v>
      </c>
      <c r="Q174" s="107">
        <v>2.5052829206163891</v>
      </c>
      <c r="R174" s="107">
        <v>2.8106690768139622</v>
      </c>
      <c r="S174" s="107">
        <v>2.4034875352171978</v>
      </c>
      <c r="AA174" s="107">
        <v>559</v>
      </c>
      <c r="AB174" s="107">
        <v>521.66952789699576</v>
      </c>
    </row>
    <row r="175" spans="1:28">
      <c r="A175" s="14">
        <v>43677</v>
      </c>
      <c r="B175" s="107">
        <v>559</v>
      </c>
      <c r="C175" s="107">
        <v>566</v>
      </c>
      <c r="D175" s="107">
        <v>205</v>
      </c>
      <c r="E175" s="107">
        <v>200</v>
      </c>
      <c r="F175" s="107">
        <v>2.83</v>
      </c>
      <c r="G175" s="107">
        <v>2.6071107933252202</v>
      </c>
      <c r="H175" s="107">
        <v>0.101869299961465</v>
      </c>
      <c r="I175" s="107">
        <v>2.1879919343618601</v>
      </c>
      <c r="J175" s="107">
        <v>7.88</v>
      </c>
      <c r="K175" s="107">
        <v>0.52845226308623405</v>
      </c>
      <c r="L175" s="107">
        <v>0.92585267752520894</v>
      </c>
      <c r="M175" s="107">
        <v>0.54102456435648505</v>
      </c>
      <c r="N175" s="107">
        <v>0.74895503152985499</v>
      </c>
      <c r="P175" s="107">
        <v>2.7089800932866854</v>
      </c>
      <c r="Q175" s="107">
        <v>2.505241493363755</v>
      </c>
      <c r="R175" s="107">
        <v>2.8108493932481502</v>
      </c>
      <c r="S175" s="107">
        <v>2.4033721934022902</v>
      </c>
      <c r="AA175" s="107">
        <v>566</v>
      </c>
      <c r="AB175" s="107">
        <v>529.61373390557935</v>
      </c>
    </row>
    <row r="176" spans="1:28">
      <c r="A176" s="14">
        <v>43676</v>
      </c>
      <c r="B176" s="107">
        <v>570</v>
      </c>
      <c r="C176" s="107">
        <v>564</v>
      </c>
      <c r="D176" s="107">
        <v>218</v>
      </c>
      <c r="E176" s="107">
        <v>205</v>
      </c>
      <c r="F176" s="107">
        <v>2.75121951219512</v>
      </c>
      <c r="G176" s="107">
        <v>2.6072974599918899</v>
      </c>
      <c r="H176" s="107">
        <v>0.10228951429164</v>
      </c>
      <c r="I176" s="107">
        <v>1.4070068980178101</v>
      </c>
      <c r="J176" s="107">
        <v>5.23</v>
      </c>
      <c r="K176" s="107">
        <v>0.49720225166825999</v>
      </c>
      <c r="L176" s="107">
        <v>0.91989237227565002</v>
      </c>
      <c r="M176" s="107">
        <v>0.53231538844066795</v>
      </c>
      <c r="N176" s="107">
        <v>0.70935864592692399</v>
      </c>
      <c r="P176" s="107">
        <v>2.7095869742835297</v>
      </c>
      <c r="Q176" s="107">
        <v>2.5050079457002501</v>
      </c>
      <c r="R176" s="107">
        <v>2.8118764885751699</v>
      </c>
      <c r="S176" s="107">
        <v>2.4027184314086099</v>
      </c>
      <c r="AA176" s="107">
        <v>564</v>
      </c>
      <c r="AB176" s="107">
        <v>542.85407725321886</v>
      </c>
    </row>
    <row r="177" spans="1:28">
      <c r="A177" s="14">
        <v>43675</v>
      </c>
      <c r="B177" s="107">
        <v>572</v>
      </c>
      <c r="C177" s="107">
        <v>572</v>
      </c>
      <c r="D177" s="107">
        <v>218</v>
      </c>
      <c r="E177" s="107">
        <v>218</v>
      </c>
      <c r="F177" s="107">
        <v>2.6238532110091701</v>
      </c>
      <c r="G177" s="107">
        <v>2.60774994982929</v>
      </c>
      <c r="H177" s="107">
        <v>0.102997779334978</v>
      </c>
      <c r="I177" s="107">
        <v>0.15634571234309499</v>
      </c>
      <c r="J177" s="107">
        <v>0.61</v>
      </c>
      <c r="K177" s="107">
        <v>0.473168976298042</v>
      </c>
      <c r="L177" s="107">
        <v>0.92186544535860204</v>
      </c>
      <c r="M177" s="107">
        <v>0.52599033349281898</v>
      </c>
      <c r="N177" s="107">
        <v>0.71562652974210095</v>
      </c>
      <c r="P177" s="107">
        <v>2.7107477291642681</v>
      </c>
      <c r="Q177" s="107">
        <v>2.5047521704943119</v>
      </c>
      <c r="R177" s="107">
        <v>2.8137455084992462</v>
      </c>
      <c r="S177" s="107">
        <v>2.4017543911593338</v>
      </c>
      <c r="AA177" s="107">
        <v>572</v>
      </c>
      <c r="AB177" s="107">
        <v>577.27896995708159</v>
      </c>
    </row>
    <row r="178" spans="1:28">
      <c r="A178" s="14">
        <v>43672</v>
      </c>
      <c r="B178" s="107">
        <v>581</v>
      </c>
      <c r="C178" s="107">
        <v>574</v>
      </c>
      <c r="D178" s="107">
        <v>223</v>
      </c>
      <c r="E178" s="107">
        <v>218</v>
      </c>
      <c r="F178" s="107">
        <v>2.6330275229357798</v>
      </c>
      <c r="G178" s="107">
        <v>2.6104185736824999</v>
      </c>
      <c r="H178" s="107">
        <v>0.105931508927749</v>
      </c>
      <c r="I178" s="107">
        <v>0.213429880137921</v>
      </c>
      <c r="J178" s="107">
        <v>0.86</v>
      </c>
      <c r="K178" s="107">
        <v>0.44925266730382302</v>
      </c>
      <c r="L178" s="107">
        <v>0.92381763248799098</v>
      </c>
      <c r="M178" s="107">
        <v>0.52102528910199397</v>
      </c>
      <c r="N178" s="107">
        <v>0.73401056532110198</v>
      </c>
      <c r="P178" s="107">
        <v>2.7163500826102487</v>
      </c>
      <c r="Q178" s="107">
        <v>2.504487064754751</v>
      </c>
      <c r="R178" s="107">
        <v>2.822281591537998</v>
      </c>
      <c r="S178" s="107">
        <v>2.3985555558270018</v>
      </c>
      <c r="AA178" s="107">
        <v>574</v>
      </c>
      <c r="AB178" s="107">
        <v>577.27896995708159</v>
      </c>
    </row>
    <row r="179" spans="1:28">
      <c r="A179" s="14">
        <v>43671</v>
      </c>
      <c r="B179" s="107">
        <v>587</v>
      </c>
      <c r="C179" s="107">
        <v>582</v>
      </c>
      <c r="D179" s="107">
        <v>223</v>
      </c>
      <c r="E179" s="107">
        <v>221</v>
      </c>
      <c r="F179" s="107">
        <v>2.63348416289592</v>
      </c>
      <c r="G179" s="107">
        <v>2.61321180251054</v>
      </c>
      <c r="H179" s="107">
        <v>0.109202316552873</v>
      </c>
      <c r="I179" s="107">
        <v>0.18564038772531599</v>
      </c>
      <c r="J179" s="107">
        <v>0.77</v>
      </c>
      <c r="K179" s="107">
        <v>0.50063830961202205</v>
      </c>
      <c r="L179" s="107">
        <v>0.942835893087969</v>
      </c>
      <c r="M179" s="107">
        <v>0.51671649006904996</v>
      </c>
      <c r="N179" s="107">
        <v>0.73606368650312004</v>
      </c>
      <c r="P179" s="107">
        <v>2.722414119063413</v>
      </c>
      <c r="Q179" s="107">
        <v>2.5040094859576669</v>
      </c>
      <c r="R179" s="107">
        <v>2.8316164356162861</v>
      </c>
      <c r="S179" s="107">
        <v>2.3948071694047939</v>
      </c>
      <c r="AA179" s="107">
        <v>582</v>
      </c>
      <c r="AB179" s="107">
        <v>585.22317596566518</v>
      </c>
    </row>
    <row r="180" spans="1:28">
      <c r="A180" s="14">
        <v>43670</v>
      </c>
      <c r="B180" s="107">
        <v>587</v>
      </c>
      <c r="C180" s="107">
        <v>584</v>
      </c>
      <c r="D180" s="107">
        <v>225</v>
      </c>
      <c r="E180" s="107">
        <v>221</v>
      </c>
      <c r="F180" s="107">
        <v>2.6425339366515801</v>
      </c>
      <c r="G180" s="107">
        <v>2.6164922546357898</v>
      </c>
      <c r="H180" s="107">
        <v>0.113377652342684</v>
      </c>
      <c r="I180" s="107">
        <v>0.22968972701145601</v>
      </c>
      <c r="J180" s="107">
        <v>0.99</v>
      </c>
      <c r="K180" s="107">
        <v>0.55769966969182705</v>
      </c>
      <c r="L180" s="107">
        <v>0.95923891483935697</v>
      </c>
      <c r="M180" s="107">
        <v>0.51216009112917205</v>
      </c>
      <c r="N180" s="107">
        <v>0.73938572665608304</v>
      </c>
      <c r="P180" s="107">
        <v>2.729869906978474</v>
      </c>
      <c r="Q180" s="107">
        <v>2.5031146022931057</v>
      </c>
      <c r="R180" s="107">
        <v>2.8432475593211577</v>
      </c>
      <c r="S180" s="107">
        <v>2.389736949950422</v>
      </c>
      <c r="AA180" s="107">
        <v>584</v>
      </c>
      <c r="AB180" s="107">
        <v>585.22317596566518</v>
      </c>
    </row>
    <row r="181" spans="1:28">
      <c r="A181" s="14">
        <v>43669</v>
      </c>
      <c r="B181" s="107">
        <v>574</v>
      </c>
      <c r="C181" s="107">
        <v>580</v>
      </c>
      <c r="D181" s="107">
        <v>223</v>
      </c>
      <c r="E181" s="107">
        <v>226</v>
      </c>
      <c r="F181" s="107">
        <v>2.5663716814159199</v>
      </c>
      <c r="G181" s="107">
        <v>2.6194231111889401</v>
      </c>
      <c r="H181" s="107">
        <v>0.11680237587275399</v>
      </c>
      <c r="I181" s="107">
        <v>-0.45419820767007002</v>
      </c>
      <c r="J181" s="107">
        <v>-2.0699999999999998</v>
      </c>
      <c r="K181" s="107">
        <v>0.59717469764345699</v>
      </c>
      <c r="L181" s="107">
        <v>0.91528285137884802</v>
      </c>
      <c r="M181" s="107">
        <v>0.507950195550399</v>
      </c>
      <c r="N181" s="107">
        <v>0.74037081657721904</v>
      </c>
      <c r="P181" s="107">
        <v>2.7362254870616942</v>
      </c>
      <c r="Q181" s="107">
        <v>2.502620735316186</v>
      </c>
      <c r="R181" s="107">
        <v>2.8530278629344483</v>
      </c>
      <c r="S181" s="107">
        <v>2.3858183594434319</v>
      </c>
      <c r="AA181" s="107">
        <v>580</v>
      </c>
      <c r="AB181" s="107">
        <v>598.46351931330469</v>
      </c>
    </row>
    <row r="182" spans="1:28">
      <c r="A182" s="14">
        <v>43668</v>
      </c>
      <c r="B182" s="107">
        <v>581</v>
      </c>
      <c r="C182" s="107">
        <v>575</v>
      </c>
      <c r="D182" s="107">
        <v>225</v>
      </c>
      <c r="E182" s="107">
        <v>222</v>
      </c>
      <c r="F182" s="107">
        <v>2.5900900900900901</v>
      </c>
      <c r="G182" s="107">
        <v>2.62290029535442</v>
      </c>
      <c r="H182" s="107">
        <v>0.11903182660837</v>
      </c>
      <c r="I182" s="107">
        <v>-0.27564228995899798</v>
      </c>
      <c r="J182" s="107">
        <v>-1.27</v>
      </c>
      <c r="K182" s="107">
        <v>0.62511976007783898</v>
      </c>
      <c r="L182" s="107">
        <v>0.81705362729384901</v>
      </c>
      <c r="M182" s="107">
        <v>0.50310824425516198</v>
      </c>
      <c r="N182" s="107">
        <v>0.75358038709272701</v>
      </c>
      <c r="P182" s="107">
        <v>2.7419321219627899</v>
      </c>
      <c r="Q182" s="107">
        <v>2.5038684687460502</v>
      </c>
      <c r="R182" s="107">
        <v>2.8609639485711602</v>
      </c>
      <c r="S182" s="107">
        <v>2.3848366421376799</v>
      </c>
      <c r="AA182" s="107">
        <v>575</v>
      </c>
      <c r="AB182" s="107">
        <v>587.87124463519308</v>
      </c>
    </row>
    <row r="183" spans="1:28">
      <c r="A183" s="14">
        <v>43665</v>
      </c>
      <c r="B183" s="107">
        <v>568</v>
      </c>
      <c r="C183" s="107">
        <v>581</v>
      </c>
      <c r="D183" s="107">
        <v>224</v>
      </c>
      <c r="E183" s="107">
        <v>227</v>
      </c>
      <c r="F183" s="107">
        <v>2.55947136563876</v>
      </c>
      <c r="G183" s="107">
        <v>2.6260517112331101</v>
      </c>
      <c r="H183" s="107">
        <v>0.121229962356722</v>
      </c>
      <c r="I183" s="107">
        <v>-0.54920701367893798</v>
      </c>
      <c r="J183" s="107">
        <v>-2.6</v>
      </c>
      <c r="K183" s="107">
        <v>0.65663463766896701</v>
      </c>
      <c r="L183" s="107">
        <v>0.81844505058599104</v>
      </c>
      <c r="M183" s="107">
        <v>0.49961517730678801</v>
      </c>
      <c r="N183" s="107">
        <v>0.73718654331611699</v>
      </c>
      <c r="P183" s="107">
        <v>2.747281673589832</v>
      </c>
      <c r="Q183" s="107">
        <v>2.5048217488763882</v>
      </c>
      <c r="R183" s="107">
        <v>2.8685116359465539</v>
      </c>
      <c r="S183" s="107">
        <v>2.3835917865196663</v>
      </c>
      <c r="AA183" s="107">
        <v>581</v>
      </c>
      <c r="AB183" s="107">
        <v>601.11158798283259</v>
      </c>
    </row>
    <row r="184" spans="1:28">
      <c r="A184" s="14">
        <v>43664</v>
      </c>
      <c r="B184" s="107">
        <v>577</v>
      </c>
      <c r="C184" s="107">
        <v>565</v>
      </c>
      <c r="D184" s="107">
        <v>230</v>
      </c>
      <c r="E184" s="107">
        <v>223</v>
      </c>
      <c r="F184" s="107">
        <v>2.5336322869955099</v>
      </c>
      <c r="G184" s="107">
        <v>2.6293551452334301</v>
      </c>
      <c r="H184" s="107">
        <v>0.122736931103167</v>
      </c>
      <c r="I184" s="107">
        <v>-0.77990265340310905</v>
      </c>
      <c r="J184" s="107">
        <v>-3.78</v>
      </c>
      <c r="K184" s="107">
        <v>0.67035004515252095</v>
      </c>
      <c r="L184" s="107">
        <v>0.80494808527432404</v>
      </c>
      <c r="M184" s="107">
        <v>0.49407350307490799</v>
      </c>
      <c r="N184" s="107">
        <v>0.76065136209872897</v>
      </c>
      <c r="P184" s="107">
        <v>2.7520920763365972</v>
      </c>
      <c r="Q184" s="107">
        <v>2.5066182141302629</v>
      </c>
      <c r="R184" s="107">
        <v>2.874829007439764</v>
      </c>
      <c r="S184" s="107">
        <v>2.3838812830270961</v>
      </c>
      <c r="AA184" s="107">
        <v>565</v>
      </c>
      <c r="AB184" s="107">
        <v>590.51931330472098</v>
      </c>
    </row>
    <row r="185" spans="1:28">
      <c r="A185" s="14">
        <v>43663</v>
      </c>
      <c r="B185" s="107">
        <v>577</v>
      </c>
      <c r="C185" s="107">
        <v>583</v>
      </c>
      <c r="D185" s="107">
        <v>228</v>
      </c>
      <c r="E185" s="107">
        <v>231</v>
      </c>
      <c r="F185" s="107">
        <v>2.5238095238095202</v>
      </c>
      <c r="G185" s="107">
        <v>2.6326452768316599</v>
      </c>
      <c r="H185" s="107">
        <v>0.123432249167681</v>
      </c>
      <c r="I185" s="107">
        <v>-0.88174487426122095</v>
      </c>
      <c r="J185" s="107">
        <v>-4.3099999999999996</v>
      </c>
      <c r="K185" s="107">
        <v>0.69150715537238705</v>
      </c>
      <c r="L185" s="107">
        <v>0.81507839282725003</v>
      </c>
      <c r="M185" s="107">
        <v>0.49218403449645098</v>
      </c>
      <c r="N185" s="107">
        <v>0.74367882348136605</v>
      </c>
      <c r="P185" s="107">
        <v>2.7560775259993409</v>
      </c>
      <c r="Q185" s="107">
        <v>2.509213027663979</v>
      </c>
      <c r="R185" s="107">
        <v>2.8795097751670218</v>
      </c>
      <c r="S185" s="107">
        <v>2.3857807784962981</v>
      </c>
      <c r="AA185" s="107">
        <v>583</v>
      </c>
      <c r="AB185" s="107">
        <v>611.7038626609442</v>
      </c>
    </row>
    <row r="186" spans="1:28">
      <c r="A186" s="14">
        <v>43662</v>
      </c>
      <c r="B186" s="107">
        <v>585</v>
      </c>
      <c r="C186" s="107">
        <v>579</v>
      </c>
      <c r="D186" s="107">
        <v>232</v>
      </c>
      <c r="E186" s="107">
        <v>230</v>
      </c>
      <c r="F186" s="107">
        <v>2.5173913043478202</v>
      </c>
      <c r="G186" s="107">
        <v>2.6364573711700698</v>
      </c>
      <c r="H186" s="107">
        <v>0.124423102753843</v>
      </c>
      <c r="I186" s="107">
        <v>-0.95694500608784305</v>
      </c>
      <c r="J186" s="107">
        <v>-4.7300000000000004</v>
      </c>
      <c r="K186" s="107">
        <v>0.72477633770129601</v>
      </c>
      <c r="L186" s="107">
        <v>0.83824699573846195</v>
      </c>
      <c r="M186" s="107">
        <v>0.489665466063048</v>
      </c>
      <c r="N186" s="107">
        <v>0.75141610075874199</v>
      </c>
      <c r="P186" s="107">
        <v>2.7608804739239128</v>
      </c>
      <c r="Q186" s="107">
        <v>2.5120342684162269</v>
      </c>
      <c r="R186" s="107">
        <v>2.8853035766777557</v>
      </c>
      <c r="S186" s="107">
        <v>2.387611165662384</v>
      </c>
      <c r="AA186" s="107">
        <v>579</v>
      </c>
      <c r="AB186" s="107">
        <v>609.05579399141629</v>
      </c>
    </row>
    <row r="187" spans="1:28">
      <c r="A187" s="14">
        <v>43658</v>
      </c>
      <c r="B187" s="107">
        <v>590</v>
      </c>
      <c r="C187" s="107">
        <v>589</v>
      </c>
      <c r="D187" s="107">
        <v>232</v>
      </c>
      <c r="E187" s="107">
        <v>232</v>
      </c>
      <c r="F187" s="107">
        <v>2.53879310344827</v>
      </c>
      <c r="G187" s="107">
        <v>2.6407673197814199</v>
      </c>
      <c r="H187" s="107">
        <v>0.12581482369171901</v>
      </c>
      <c r="I187" s="107">
        <v>-0.81051034640410002</v>
      </c>
      <c r="J187" s="107">
        <v>-4.0199999999999996</v>
      </c>
      <c r="K187" s="107">
        <v>0.76564232075237104</v>
      </c>
      <c r="L187" s="107">
        <v>0.87242818490386898</v>
      </c>
      <c r="M187" s="107">
        <v>0.48791325979783201</v>
      </c>
      <c r="N187" s="107">
        <v>0.80464879372819298</v>
      </c>
      <c r="P187" s="107">
        <v>2.7665821434731388</v>
      </c>
      <c r="Q187" s="107">
        <v>2.514952496089701</v>
      </c>
      <c r="R187" s="107">
        <v>2.8923969671648577</v>
      </c>
      <c r="S187" s="107">
        <v>2.389137672397982</v>
      </c>
      <c r="AA187" s="107">
        <v>589</v>
      </c>
      <c r="AB187" s="107">
        <v>614.3519313304721</v>
      </c>
    </row>
    <row r="188" spans="1:28">
      <c r="A188" s="14">
        <v>43657</v>
      </c>
      <c r="B188" s="107">
        <v>583</v>
      </c>
      <c r="C188" s="107">
        <v>592</v>
      </c>
      <c r="D188" s="107">
        <v>228</v>
      </c>
      <c r="E188" s="107">
        <v>230</v>
      </c>
      <c r="F188" s="107">
        <v>2.5739130434782602</v>
      </c>
      <c r="G188" s="107">
        <v>2.6452365282666102</v>
      </c>
      <c r="H188" s="107">
        <v>0.12804665089953499</v>
      </c>
      <c r="I188" s="107">
        <v>-0.55701171633383895</v>
      </c>
      <c r="J188" s="107">
        <v>-2.77</v>
      </c>
      <c r="K188" s="107">
        <v>0.76451958739767401</v>
      </c>
      <c r="L188" s="107">
        <v>0.91900731127900204</v>
      </c>
      <c r="M188" s="107">
        <v>0.48558925857240298</v>
      </c>
      <c r="N188" s="107">
        <v>0.80013892045762203</v>
      </c>
      <c r="P188" s="107">
        <v>2.7732831791661452</v>
      </c>
      <c r="Q188" s="107">
        <v>2.5171898773670751</v>
      </c>
      <c r="R188" s="107">
        <v>2.9013298300656802</v>
      </c>
      <c r="S188" s="107">
        <v>2.3891432264675401</v>
      </c>
      <c r="AA188" s="107">
        <v>592</v>
      </c>
      <c r="AB188" s="107">
        <v>609.05579399141629</v>
      </c>
    </row>
    <row r="189" spans="1:28">
      <c r="A189" s="14">
        <v>43656</v>
      </c>
      <c r="B189" s="107">
        <v>592</v>
      </c>
      <c r="C189" s="107">
        <v>588</v>
      </c>
      <c r="D189" s="107">
        <v>228</v>
      </c>
      <c r="E189" s="107">
        <v>228</v>
      </c>
      <c r="F189" s="107">
        <v>2.57894736842105</v>
      </c>
      <c r="G189" s="107">
        <v>2.6485133161021999</v>
      </c>
      <c r="H189" s="107">
        <v>0.129317763676672</v>
      </c>
      <c r="I189" s="107">
        <v>-0.53794579880828497</v>
      </c>
      <c r="J189" s="107">
        <v>-2.7</v>
      </c>
      <c r="K189" s="107">
        <v>0.769706879730644</v>
      </c>
      <c r="L189" s="107">
        <v>0.88424517317719797</v>
      </c>
      <c r="M189" s="107">
        <v>0.48223438171095501</v>
      </c>
      <c r="N189" s="107">
        <v>0.80943220385495296</v>
      </c>
      <c r="P189" s="107">
        <v>2.7778310797788719</v>
      </c>
      <c r="Q189" s="107">
        <v>2.5191955524255278</v>
      </c>
      <c r="R189" s="107">
        <v>2.9071488434555439</v>
      </c>
      <c r="S189" s="107">
        <v>2.3898777887488558</v>
      </c>
      <c r="AA189" s="107">
        <v>588</v>
      </c>
      <c r="AB189" s="107">
        <v>603.75965665236049</v>
      </c>
    </row>
    <row r="190" spans="1:28">
      <c r="A190" s="14">
        <v>43655</v>
      </c>
      <c r="B190" s="107">
        <v>604</v>
      </c>
      <c r="C190" s="107">
        <v>601</v>
      </c>
      <c r="D190" s="107">
        <v>230</v>
      </c>
      <c r="E190" s="107">
        <v>230</v>
      </c>
      <c r="F190" s="107">
        <v>2.61304347826086</v>
      </c>
      <c r="G190" s="107">
        <v>2.6515929159282101</v>
      </c>
      <c r="H190" s="107">
        <v>0.13037033649617</v>
      </c>
      <c r="I190" s="107">
        <v>-0.29569178620993902</v>
      </c>
      <c r="J190" s="107">
        <v>-1.48</v>
      </c>
      <c r="K190" s="107">
        <v>0.77788692274264604</v>
      </c>
      <c r="L190" s="107">
        <v>0.84420386795024005</v>
      </c>
      <c r="M190" s="107">
        <v>0.47891309178307601</v>
      </c>
      <c r="N190" s="107">
        <v>0.77828736508858098</v>
      </c>
      <c r="P190" s="107">
        <v>2.7819632524243803</v>
      </c>
      <c r="Q190" s="107">
        <v>2.52122257943204</v>
      </c>
      <c r="R190" s="107">
        <v>2.9123335889205499</v>
      </c>
      <c r="S190" s="107">
        <v>2.3908522429358703</v>
      </c>
      <c r="AA190" s="107">
        <v>601</v>
      </c>
      <c r="AB190" s="107">
        <v>609.05579399141629</v>
      </c>
    </row>
    <row r="191" spans="1:28">
      <c r="A191" s="14">
        <v>43654</v>
      </c>
      <c r="B191" s="107">
        <v>605</v>
      </c>
      <c r="C191" s="107">
        <v>604</v>
      </c>
      <c r="D191" s="107">
        <v>231</v>
      </c>
      <c r="E191" s="107">
        <v>228</v>
      </c>
      <c r="F191" s="107">
        <v>2.6491228070175401</v>
      </c>
      <c r="G191" s="107">
        <v>2.6545301139958402</v>
      </c>
      <c r="H191" s="107">
        <v>0.131940811633945</v>
      </c>
      <c r="I191" s="107">
        <v>-4.0982823368588897E-2</v>
      </c>
      <c r="J191" s="107">
        <v>-0.2</v>
      </c>
      <c r="K191" s="107">
        <v>0.79227885136731802</v>
      </c>
      <c r="L191" s="107">
        <v>0.76793115685477398</v>
      </c>
      <c r="M191" s="107">
        <v>0.47577569188612301</v>
      </c>
      <c r="N191" s="107">
        <v>0.77467636869659595</v>
      </c>
      <c r="P191" s="107">
        <v>2.7864709256297853</v>
      </c>
      <c r="Q191" s="107">
        <v>2.522589302361895</v>
      </c>
      <c r="R191" s="107">
        <v>2.9184117372637299</v>
      </c>
      <c r="S191" s="107">
        <v>2.3906484907279504</v>
      </c>
      <c r="AA191" s="107">
        <v>604</v>
      </c>
      <c r="AB191" s="107">
        <v>603.75965665236049</v>
      </c>
    </row>
    <row r="192" spans="1:28">
      <c r="A192" s="14">
        <v>43651</v>
      </c>
      <c r="B192" s="107">
        <v>610</v>
      </c>
      <c r="C192" s="107">
        <v>609</v>
      </c>
      <c r="D192" s="107">
        <v>231</v>
      </c>
      <c r="E192" s="107">
        <v>233</v>
      </c>
      <c r="F192" s="107">
        <v>2.61373390557939</v>
      </c>
      <c r="G192" s="107">
        <v>2.6570236026193599</v>
      </c>
      <c r="H192" s="107">
        <v>0.133572098830226</v>
      </c>
      <c r="I192" s="107">
        <v>-0.32409236224541499</v>
      </c>
      <c r="J192" s="107">
        <v>-1.66</v>
      </c>
      <c r="K192" s="107">
        <v>0.80155874493295998</v>
      </c>
      <c r="L192" s="107">
        <v>0.75187757517031995</v>
      </c>
      <c r="M192" s="107">
        <v>0.47419382473869798</v>
      </c>
      <c r="N192" s="107">
        <v>0.75182404694942495</v>
      </c>
      <c r="P192" s="107">
        <v>2.7905957014495857</v>
      </c>
      <c r="Q192" s="107">
        <v>2.5234515037891341</v>
      </c>
      <c r="R192" s="107">
        <v>2.9241678002798119</v>
      </c>
      <c r="S192" s="107">
        <v>2.3898794049589078</v>
      </c>
      <c r="AA192" s="107">
        <v>609</v>
      </c>
      <c r="AB192" s="107">
        <v>617</v>
      </c>
    </row>
    <row r="193" spans="1:28">
      <c r="A193" s="14">
        <v>43650</v>
      </c>
      <c r="B193" s="107">
        <v>615</v>
      </c>
      <c r="C193" s="107">
        <v>617</v>
      </c>
      <c r="D193" s="107">
        <v>233</v>
      </c>
      <c r="E193" s="107">
        <v>230</v>
      </c>
      <c r="F193" s="107">
        <v>2.6826086956521702</v>
      </c>
      <c r="G193" s="107">
        <v>2.65898053990071</v>
      </c>
      <c r="H193" s="107">
        <v>0.133998006711116</v>
      </c>
      <c r="I193" s="107">
        <v>0.17633214352507001</v>
      </c>
      <c r="J193" s="107">
        <v>0.88</v>
      </c>
      <c r="K193" s="107">
        <v>0.82388734966127497</v>
      </c>
      <c r="L193" s="107">
        <v>0.229573358828251</v>
      </c>
      <c r="M193" s="107">
        <v>0.47221488511716397</v>
      </c>
      <c r="N193" s="107">
        <v>0.75281190656661001</v>
      </c>
      <c r="P193" s="107">
        <v>2.7929785466118262</v>
      </c>
      <c r="Q193" s="107">
        <v>2.5249825331895939</v>
      </c>
      <c r="R193" s="107">
        <v>2.9269765533229419</v>
      </c>
      <c r="S193" s="107">
        <v>2.3909845264784781</v>
      </c>
      <c r="AA193" s="107">
        <v>617</v>
      </c>
      <c r="AB193" s="107">
        <v>609.05579399141629</v>
      </c>
    </row>
    <row r="194" spans="1:28">
      <c r="A194" s="14">
        <v>43649</v>
      </c>
      <c r="B194" s="107">
        <v>617</v>
      </c>
      <c r="C194" s="107">
        <v>614</v>
      </c>
      <c r="D194" s="107">
        <v>233</v>
      </c>
      <c r="E194" s="107">
        <v>232</v>
      </c>
      <c r="F194" s="107">
        <v>2.6465517241379302</v>
      </c>
      <c r="G194" s="107">
        <v>2.6605793707373899</v>
      </c>
      <c r="H194" s="107">
        <v>0.13498216139138999</v>
      </c>
      <c r="I194" s="107">
        <v>-0.103922225387942</v>
      </c>
      <c r="J194" s="107">
        <v>-0.53</v>
      </c>
      <c r="K194" s="107">
        <v>0.83236985160141197</v>
      </c>
      <c r="L194" s="107">
        <v>0.62594177341962698</v>
      </c>
      <c r="M194" s="107">
        <v>0.47006599772051699</v>
      </c>
      <c r="N194" s="107">
        <v>0.73390950855530002</v>
      </c>
      <c r="P194" s="107">
        <v>2.7955615321287799</v>
      </c>
      <c r="Q194" s="107">
        <v>2.525597209346</v>
      </c>
      <c r="R194" s="107">
        <v>2.9305436935201699</v>
      </c>
      <c r="S194" s="107">
        <v>2.39061504795461</v>
      </c>
      <c r="AA194" s="107">
        <v>614</v>
      </c>
      <c r="AB194" s="107">
        <v>614.3519313304721</v>
      </c>
    </row>
    <row r="195" spans="1:28">
      <c r="A195" s="14">
        <v>43648</v>
      </c>
      <c r="B195" s="107">
        <v>629</v>
      </c>
      <c r="C195" s="107">
        <v>624</v>
      </c>
      <c r="D195" s="107">
        <v>236</v>
      </c>
      <c r="E195" s="107">
        <v>235</v>
      </c>
      <c r="F195" s="107">
        <v>2.65531914893617</v>
      </c>
      <c r="G195" s="107">
        <v>2.66320505789382</v>
      </c>
      <c r="H195" s="107">
        <v>0.136589504414068</v>
      </c>
      <c r="I195" s="107">
        <v>-5.77343697927509E-2</v>
      </c>
      <c r="J195" s="107">
        <v>-0.3</v>
      </c>
      <c r="K195" s="107">
        <v>0.84448635604147604</v>
      </c>
      <c r="L195" s="107">
        <v>0.56870922874441399</v>
      </c>
      <c r="M195" s="107">
        <v>0.46852133799040901</v>
      </c>
      <c r="N195" s="107">
        <v>0.75361722351164895</v>
      </c>
      <c r="P195" s="107">
        <v>2.7997945623078881</v>
      </c>
      <c r="Q195" s="107">
        <v>2.5266155534797519</v>
      </c>
      <c r="R195" s="107">
        <v>2.9363840667219558</v>
      </c>
      <c r="S195" s="107">
        <v>2.3900260490656842</v>
      </c>
      <c r="AA195" s="107">
        <v>624</v>
      </c>
      <c r="AB195" s="107">
        <v>622.2961373390558</v>
      </c>
    </row>
    <row r="196" spans="1:28">
      <c r="A196" s="14">
        <v>43647</v>
      </c>
      <c r="B196" s="107">
        <v>630</v>
      </c>
      <c r="C196" s="107">
        <v>627</v>
      </c>
      <c r="D196" s="107">
        <v>239</v>
      </c>
      <c r="E196" s="107">
        <v>237</v>
      </c>
      <c r="F196" s="107">
        <v>2.64556962025316</v>
      </c>
      <c r="G196" s="107">
        <v>2.6654409205687699</v>
      </c>
      <c r="H196" s="107">
        <v>0.13780914758382201</v>
      </c>
      <c r="I196" s="107">
        <v>-0.14419434895292799</v>
      </c>
      <c r="J196" s="107">
        <v>-0.75</v>
      </c>
      <c r="K196" s="107">
        <v>0.84656824523784702</v>
      </c>
      <c r="L196" s="107">
        <v>0.621559835931219</v>
      </c>
      <c r="M196" s="107">
        <v>0.467804926578754</v>
      </c>
      <c r="N196" s="107">
        <v>0.75963641930024295</v>
      </c>
      <c r="P196" s="107">
        <v>2.8032500681525918</v>
      </c>
      <c r="Q196" s="107">
        <v>2.527631772984948</v>
      </c>
      <c r="R196" s="107">
        <v>2.9410592157364137</v>
      </c>
      <c r="S196" s="107">
        <v>2.3898226254011261</v>
      </c>
      <c r="AA196" s="107">
        <v>627</v>
      </c>
      <c r="AB196" s="107">
        <v>627.59227467811161</v>
      </c>
    </row>
    <row r="197" spans="1:28">
      <c r="A197" s="14">
        <v>43644</v>
      </c>
      <c r="B197" s="107">
        <v>624</v>
      </c>
      <c r="C197" s="107">
        <v>622</v>
      </c>
      <c r="D197" s="107">
        <v>233</v>
      </c>
      <c r="E197" s="107">
        <v>233</v>
      </c>
      <c r="F197" s="107">
        <v>2.6695278969956999</v>
      </c>
      <c r="G197" s="107">
        <v>2.6677060008824198</v>
      </c>
      <c r="H197" s="107">
        <v>0.13885605693917399</v>
      </c>
      <c r="I197" s="107">
        <v>1.3120753631122899E-2</v>
      </c>
      <c r="J197" s="107">
        <v>7.0000000000000007E-2</v>
      </c>
      <c r="K197" s="107">
        <v>0.84529564602273999</v>
      </c>
      <c r="L197" s="107">
        <v>0.59415732401254995</v>
      </c>
      <c r="M197" s="107">
        <v>0.46587795964765699</v>
      </c>
      <c r="N197" s="107">
        <v>0.79038671596598098</v>
      </c>
      <c r="P197" s="107">
        <v>2.8065620578215937</v>
      </c>
      <c r="Q197" s="107">
        <v>2.5288499439432459</v>
      </c>
      <c r="R197" s="107">
        <v>2.9454181147607676</v>
      </c>
      <c r="S197" s="107">
        <v>2.389993887004072</v>
      </c>
      <c r="AA197" s="107">
        <v>622</v>
      </c>
      <c r="AB197" s="107">
        <v>617</v>
      </c>
    </row>
    <row r="198" spans="1:28">
      <c r="A198" s="14">
        <v>43643</v>
      </c>
      <c r="B198" s="107">
        <v>625</v>
      </c>
      <c r="C198" s="107">
        <v>628</v>
      </c>
      <c r="D198" s="107">
        <v>234</v>
      </c>
      <c r="E198" s="107">
        <v>235</v>
      </c>
      <c r="F198" s="107">
        <v>2.6723404255319099</v>
      </c>
      <c r="G198" s="107">
        <v>2.6688765912655699</v>
      </c>
      <c r="H198" s="107">
        <v>0.13923602548684599</v>
      </c>
      <c r="I198" s="107">
        <v>2.4877428483249201E-2</v>
      </c>
      <c r="J198" s="107">
        <v>0.13</v>
      </c>
      <c r="K198" s="107">
        <v>0.84271402940074902</v>
      </c>
      <c r="L198" s="107">
        <v>0.59291082289541097</v>
      </c>
      <c r="M198" s="107">
        <v>0.46544916708526402</v>
      </c>
      <c r="N198" s="107">
        <v>0.76126649438955096</v>
      </c>
      <c r="P198" s="107">
        <v>2.8081126167524157</v>
      </c>
      <c r="Q198" s="107">
        <v>2.529640565778724</v>
      </c>
      <c r="R198" s="107">
        <v>2.9473486422392616</v>
      </c>
      <c r="S198" s="107">
        <v>2.3904045402918781</v>
      </c>
      <c r="AA198" s="107">
        <v>628</v>
      </c>
      <c r="AB198" s="107">
        <v>622.2961373390558</v>
      </c>
    </row>
    <row r="199" spans="1:28">
      <c r="A199" s="14">
        <v>43642</v>
      </c>
      <c r="B199" s="107">
        <v>615</v>
      </c>
      <c r="C199" s="107">
        <v>619</v>
      </c>
      <c r="D199" s="107">
        <v>232</v>
      </c>
      <c r="E199" s="107">
        <v>231</v>
      </c>
      <c r="F199" s="107">
        <v>2.6796536796536699</v>
      </c>
      <c r="G199" s="107">
        <v>2.66996760781403</v>
      </c>
      <c r="H199" s="107">
        <v>0.139579054519124</v>
      </c>
      <c r="I199" s="107">
        <v>6.9394880721988197E-2</v>
      </c>
      <c r="J199" s="107">
        <v>0.36</v>
      </c>
      <c r="K199" s="107">
        <v>0.85074602908628905</v>
      </c>
      <c r="L199" s="107">
        <v>0.55036738799229301</v>
      </c>
      <c r="M199" s="107">
        <v>0.46393815388715198</v>
      </c>
      <c r="N199" s="107">
        <v>0.75322441823137698</v>
      </c>
      <c r="P199" s="107">
        <v>2.8095466623331538</v>
      </c>
      <c r="Q199" s="107">
        <v>2.5303885532949062</v>
      </c>
      <c r="R199" s="107">
        <v>2.949125716852278</v>
      </c>
      <c r="S199" s="107">
        <v>2.390809498775782</v>
      </c>
      <c r="AA199" s="107">
        <v>619</v>
      </c>
      <c r="AB199" s="107">
        <v>611.7038626609442</v>
      </c>
    </row>
    <row r="200" spans="1:28">
      <c r="A200" s="14">
        <v>43641</v>
      </c>
      <c r="B200" s="107">
        <v>620</v>
      </c>
      <c r="C200" s="107">
        <v>622</v>
      </c>
      <c r="D200" s="107">
        <v>236</v>
      </c>
      <c r="E200" s="107">
        <v>232</v>
      </c>
      <c r="F200" s="107">
        <v>2.6810344827586201</v>
      </c>
      <c r="G200" s="107">
        <v>2.6707962691345002</v>
      </c>
      <c r="H200" s="107">
        <v>0.13981838110861</v>
      </c>
      <c r="I200" s="107">
        <v>7.3225090599253806E-2</v>
      </c>
      <c r="J200" s="107">
        <v>0.38</v>
      </c>
      <c r="K200" s="107">
        <v>0.86116812688259703</v>
      </c>
      <c r="L200" s="107">
        <v>0.42832859254239403</v>
      </c>
      <c r="M200" s="107">
        <v>0.46174210569461099</v>
      </c>
      <c r="N200" s="107">
        <v>0.69934501928863402</v>
      </c>
      <c r="P200" s="107">
        <v>2.8106146502431102</v>
      </c>
      <c r="Q200" s="107">
        <v>2.5309778880258902</v>
      </c>
      <c r="R200" s="107">
        <v>2.9504330313517202</v>
      </c>
      <c r="S200" s="107">
        <v>2.3911595069172802</v>
      </c>
      <c r="AA200" s="107">
        <v>622</v>
      </c>
      <c r="AB200" s="107">
        <v>614.3519313304721</v>
      </c>
    </row>
    <row r="201" spans="1:28">
      <c r="A201" s="14">
        <v>43640</v>
      </c>
      <c r="B201" s="107">
        <v>619</v>
      </c>
      <c r="C201" s="107">
        <v>618</v>
      </c>
      <c r="D201" s="107">
        <v>238</v>
      </c>
      <c r="E201" s="107">
        <v>236</v>
      </c>
      <c r="F201" s="107">
        <v>2.6186440677966099</v>
      </c>
      <c r="G201" s="107">
        <v>2.6716472222587599</v>
      </c>
      <c r="H201" s="107">
        <v>0.14007208553395001</v>
      </c>
      <c r="I201" s="107">
        <v>-0.37839912399466202</v>
      </c>
      <c r="J201" s="107">
        <v>-2.02</v>
      </c>
      <c r="K201" s="107">
        <v>0.86176981119239104</v>
      </c>
      <c r="L201" s="107">
        <v>0.46928398650860598</v>
      </c>
      <c r="M201" s="107">
        <v>0.46012324021574502</v>
      </c>
      <c r="N201" s="107">
        <v>0.666701240592115</v>
      </c>
      <c r="P201" s="107">
        <v>2.8117193077927101</v>
      </c>
      <c r="Q201" s="107">
        <v>2.5315751367248098</v>
      </c>
      <c r="R201" s="107">
        <v>2.9517913933266602</v>
      </c>
      <c r="S201" s="107">
        <v>2.3915030511908597</v>
      </c>
      <c r="AA201" s="107">
        <v>618</v>
      </c>
      <c r="AB201" s="107">
        <v>624.94420600858371</v>
      </c>
    </row>
    <row r="202" spans="1:28">
      <c r="A202" s="14">
        <v>43637</v>
      </c>
      <c r="B202" s="107">
        <v>622</v>
      </c>
      <c r="C202" s="107">
        <v>617</v>
      </c>
      <c r="D202" s="107">
        <v>241</v>
      </c>
      <c r="E202" s="107">
        <v>236</v>
      </c>
      <c r="F202" s="107">
        <v>2.6144067796610102</v>
      </c>
      <c r="G202" s="107">
        <v>2.67261272682906</v>
      </c>
      <c r="H202" s="107">
        <v>0.13995292887843799</v>
      </c>
      <c r="I202" s="107">
        <v>-0.41589659919587901</v>
      </c>
      <c r="J202" s="107">
        <v>-2.23</v>
      </c>
      <c r="K202" s="107">
        <v>0.86505261418280399</v>
      </c>
      <c r="L202" s="107">
        <v>0.47517085256253599</v>
      </c>
      <c r="M202" s="107">
        <v>0.45788096021504099</v>
      </c>
      <c r="N202" s="107">
        <v>0.73118645118122705</v>
      </c>
      <c r="P202" s="107">
        <v>2.8125656557074978</v>
      </c>
      <c r="Q202" s="107">
        <v>2.5326597979506222</v>
      </c>
      <c r="R202" s="107">
        <v>2.9525185845859361</v>
      </c>
      <c r="S202" s="107">
        <v>2.392706869072184</v>
      </c>
      <c r="AA202" s="107">
        <v>617</v>
      </c>
      <c r="AB202" s="107">
        <v>624.94420600858371</v>
      </c>
    </row>
    <row r="203" spans="1:28">
      <c r="A203" s="14">
        <v>43636</v>
      </c>
      <c r="B203" s="107">
        <v>618</v>
      </c>
      <c r="C203" s="107">
        <v>619</v>
      </c>
      <c r="D203" s="107">
        <v>239</v>
      </c>
      <c r="E203" s="107">
        <v>242</v>
      </c>
      <c r="F203" s="107">
        <v>2.5578512396694202</v>
      </c>
      <c r="G203" s="107">
        <v>2.6737593678775702</v>
      </c>
      <c r="H203" s="107">
        <v>0.139823580938404</v>
      </c>
      <c r="I203" s="107">
        <v>-0.82895980370589795</v>
      </c>
      <c r="J203" s="107">
        <v>-4.53</v>
      </c>
      <c r="K203" s="107">
        <v>0.86664387907227802</v>
      </c>
      <c r="L203" s="107">
        <v>0.51978108431619896</v>
      </c>
      <c r="M203" s="107">
        <v>0.45990752501027099</v>
      </c>
      <c r="N203" s="107">
        <v>0.65393946526047397</v>
      </c>
      <c r="P203" s="107">
        <v>2.813582948815974</v>
      </c>
      <c r="Q203" s="107">
        <v>2.5339357869391663</v>
      </c>
      <c r="R203" s="107">
        <v>2.9534065297543783</v>
      </c>
      <c r="S203" s="107">
        <v>2.394112206000762</v>
      </c>
      <c r="AA203" s="107">
        <v>619</v>
      </c>
      <c r="AB203" s="107">
        <v>640.83261802575112</v>
      </c>
    </row>
    <row r="204" spans="1:28">
      <c r="A204" s="14">
        <v>43635</v>
      </c>
      <c r="B204" s="107">
        <v>610</v>
      </c>
      <c r="C204" s="107">
        <v>618</v>
      </c>
      <c r="D204" s="107">
        <v>234</v>
      </c>
      <c r="E204" s="107">
        <v>238</v>
      </c>
      <c r="F204" s="107">
        <v>2.5966386554621801</v>
      </c>
      <c r="G204" s="107">
        <v>2.6762805350221202</v>
      </c>
      <c r="H204" s="107">
        <v>0.13941503238971101</v>
      </c>
      <c r="I204" s="107">
        <v>-0.57125747629072199</v>
      </c>
      <c r="J204" s="107">
        <v>-3.07</v>
      </c>
      <c r="K204" s="107">
        <v>0.863569950746782</v>
      </c>
      <c r="L204" s="107">
        <v>0.47058081569848098</v>
      </c>
      <c r="M204" s="107">
        <v>0.46016433846437899</v>
      </c>
      <c r="N204" s="107">
        <v>0.65645089887983898</v>
      </c>
      <c r="P204" s="107">
        <v>2.8156955674118311</v>
      </c>
      <c r="Q204" s="107">
        <v>2.5368655026324092</v>
      </c>
      <c r="R204" s="107">
        <v>2.9551105998015421</v>
      </c>
      <c r="S204" s="107">
        <v>2.3974504702426982</v>
      </c>
      <c r="AA204" s="107">
        <v>618</v>
      </c>
      <c r="AB204" s="107">
        <v>630.24034334763951</v>
      </c>
    </row>
    <row r="205" spans="1:28">
      <c r="A205" s="14">
        <v>43634</v>
      </c>
      <c r="B205" s="107">
        <v>601</v>
      </c>
      <c r="C205" s="107">
        <v>603</v>
      </c>
      <c r="D205" s="107">
        <v>233</v>
      </c>
      <c r="E205" s="107">
        <v>231</v>
      </c>
      <c r="F205" s="107">
        <v>2.61038961038961</v>
      </c>
      <c r="G205" s="107">
        <v>2.6785439321842599</v>
      </c>
      <c r="H205" s="107">
        <v>0.139481641747805</v>
      </c>
      <c r="I205" s="107">
        <v>-0.48862574988816299</v>
      </c>
      <c r="J205" s="107">
        <v>-2.61</v>
      </c>
      <c r="K205" s="107">
        <v>0.86151296259737897</v>
      </c>
      <c r="L205" s="107">
        <v>0.47187970080980401</v>
      </c>
      <c r="M205" s="107">
        <v>0.457822371820575</v>
      </c>
      <c r="N205" s="107">
        <v>0.69769184229095305</v>
      </c>
      <c r="P205" s="107">
        <v>2.818025573932065</v>
      </c>
      <c r="Q205" s="107">
        <v>2.5390622904364548</v>
      </c>
      <c r="R205" s="107">
        <v>2.9575072156798701</v>
      </c>
      <c r="S205" s="107">
        <v>2.3995806486886497</v>
      </c>
      <c r="AA205" s="107">
        <v>603</v>
      </c>
      <c r="AB205" s="107">
        <v>611.7038626609442</v>
      </c>
    </row>
    <row r="206" spans="1:28">
      <c r="A206" s="14">
        <v>43633</v>
      </c>
      <c r="B206" s="107">
        <v>605</v>
      </c>
      <c r="C206" s="107">
        <v>601</v>
      </c>
      <c r="D206" s="107">
        <v>233</v>
      </c>
      <c r="E206" s="107">
        <v>234</v>
      </c>
      <c r="F206" s="107">
        <v>2.5683760683760601</v>
      </c>
      <c r="G206" s="107">
        <v>2.6797820978126698</v>
      </c>
      <c r="H206" s="107">
        <v>0.13928317095918499</v>
      </c>
      <c r="I206" s="107">
        <v>-0.799852765193374</v>
      </c>
      <c r="J206" s="107">
        <v>-4.34</v>
      </c>
      <c r="K206" s="107">
        <v>0.85612928341274896</v>
      </c>
      <c r="L206" s="107">
        <v>0.47447695546867302</v>
      </c>
      <c r="M206" s="107">
        <v>0.45698967465920798</v>
      </c>
      <c r="N206" s="107">
        <v>0.632077089986675</v>
      </c>
      <c r="P206" s="107">
        <v>2.8190652687718547</v>
      </c>
      <c r="Q206" s="107">
        <v>2.540498926853485</v>
      </c>
      <c r="R206" s="107">
        <v>2.95834843973104</v>
      </c>
      <c r="S206" s="107">
        <v>2.4012157558942997</v>
      </c>
      <c r="AA206" s="107">
        <v>601</v>
      </c>
      <c r="AB206" s="107">
        <v>619.6480686695279</v>
      </c>
    </row>
    <row r="207" spans="1:28">
      <c r="A207" s="14">
        <v>43630</v>
      </c>
      <c r="B207" s="107">
        <v>609</v>
      </c>
      <c r="C207" s="107">
        <v>606</v>
      </c>
      <c r="D207" s="107">
        <v>237</v>
      </c>
      <c r="E207" s="107">
        <v>234</v>
      </c>
      <c r="F207" s="107">
        <v>2.5897435897435899</v>
      </c>
      <c r="G207" s="107">
        <v>2.6817584061047701</v>
      </c>
      <c r="H207" s="107">
        <v>0.13873891012746101</v>
      </c>
      <c r="I207" s="107">
        <v>-0.66322285706761497</v>
      </c>
      <c r="J207" s="107">
        <v>-3.55</v>
      </c>
      <c r="K207" s="107">
        <v>0.84771504158659905</v>
      </c>
      <c r="L207" s="107">
        <v>0.56616905439532095</v>
      </c>
      <c r="M207" s="107">
        <v>0.456179855790245</v>
      </c>
      <c r="N207" s="107">
        <v>0.65358650300051002</v>
      </c>
      <c r="P207" s="107">
        <v>2.8204973162322311</v>
      </c>
      <c r="Q207" s="107">
        <v>2.5430194959773091</v>
      </c>
      <c r="R207" s="107">
        <v>2.9592362263596921</v>
      </c>
      <c r="S207" s="107">
        <v>2.4042805858498482</v>
      </c>
      <c r="AA207" s="107">
        <v>606</v>
      </c>
      <c r="AB207" s="107">
        <v>619.6480686695279</v>
      </c>
    </row>
    <row r="208" spans="1:28">
      <c r="A208" s="14">
        <v>43629</v>
      </c>
      <c r="B208" s="107">
        <v>598</v>
      </c>
      <c r="C208" s="107">
        <v>599</v>
      </c>
      <c r="D208" s="107">
        <v>236</v>
      </c>
      <c r="E208" s="107">
        <v>235</v>
      </c>
      <c r="F208" s="107">
        <v>2.5489361702127602</v>
      </c>
      <c r="G208" s="107">
        <v>2.6832557024592099</v>
      </c>
      <c r="H208" s="107">
        <v>0.13834319143627899</v>
      </c>
      <c r="I208" s="107">
        <v>-0.97091537973021502</v>
      </c>
      <c r="J208" s="107">
        <v>-5.27</v>
      </c>
      <c r="K208" s="107">
        <v>0.83600172886950697</v>
      </c>
      <c r="L208" s="107">
        <v>0.60248826089861895</v>
      </c>
      <c r="M208" s="107">
        <v>0.455547499193239</v>
      </c>
      <c r="N208" s="107">
        <v>0.68494142844439898</v>
      </c>
      <c r="P208" s="107">
        <v>2.821598893895489</v>
      </c>
      <c r="Q208" s="107">
        <v>2.5449125110229307</v>
      </c>
      <c r="R208" s="107">
        <v>2.9599420853317677</v>
      </c>
      <c r="S208" s="107">
        <v>2.406569319586652</v>
      </c>
      <c r="AA208" s="107">
        <v>599</v>
      </c>
      <c r="AB208" s="107">
        <v>622.2961373390558</v>
      </c>
    </row>
    <row r="209" spans="1:28">
      <c r="A209" s="14">
        <v>43628</v>
      </c>
      <c r="B209" s="107">
        <v>605</v>
      </c>
      <c r="C209" s="107">
        <v>604</v>
      </c>
      <c r="D209" s="107">
        <v>238</v>
      </c>
      <c r="E209" s="107">
        <v>237</v>
      </c>
      <c r="F209" s="107">
        <v>2.5485232067510499</v>
      </c>
      <c r="G209" s="107">
        <v>2.6857179742880599</v>
      </c>
      <c r="H209" s="107">
        <v>0.13757187985021899</v>
      </c>
      <c r="I209" s="107">
        <v>-0.99725879799260697</v>
      </c>
      <c r="J209" s="107">
        <v>-5.38</v>
      </c>
      <c r="K209" s="107">
        <v>0.83050505921783702</v>
      </c>
      <c r="L209" s="107">
        <v>0.87866432913646397</v>
      </c>
      <c r="M209" s="107">
        <v>0.459245840591129</v>
      </c>
      <c r="N209" s="107">
        <v>0.70228831590556295</v>
      </c>
      <c r="P209" s="107">
        <v>2.8232898541382787</v>
      </c>
      <c r="Q209" s="107">
        <v>2.5481460944378411</v>
      </c>
      <c r="R209" s="107">
        <v>2.9608617339884979</v>
      </c>
      <c r="S209" s="107">
        <v>2.4105742145876219</v>
      </c>
      <c r="AA209" s="107">
        <v>604</v>
      </c>
      <c r="AB209" s="107">
        <v>627.59227467811161</v>
      </c>
    </row>
    <row r="210" spans="1:28">
      <c r="A210" s="14">
        <v>43627</v>
      </c>
      <c r="B210" s="107">
        <v>589</v>
      </c>
      <c r="C210" s="107">
        <v>595</v>
      </c>
      <c r="D210" s="107">
        <v>237</v>
      </c>
      <c r="E210" s="107">
        <v>238</v>
      </c>
      <c r="F210" s="107">
        <v>2.5</v>
      </c>
      <c r="G210" s="107">
        <v>2.6879125282526899</v>
      </c>
      <c r="H210" s="107">
        <v>0.136675705409357</v>
      </c>
      <c r="I210" s="107">
        <v>-1.3748787883690201</v>
      </c>
      <c r="J210" s="107">
        <v>-7.52</v>
      </c>
      <c r="K210" s="107">
        <v>0.82418353499194197</v>
      </c>
      <c r="L210" s="107">
        <v>0.83115836537381005</v>
      </c>
      <c r="M210" s="107">
        <v>0.46431273798959499</v>
      </c>
      <c r="N210" s="107">
        <v>0.59270033311757997</v>
      </c>
      <c r="P210" s="107">
        <v>2.8245882336620469</v>
      </c>
      <c r="Q210" s="107">
        <v>2.5512368228433329</v>
      </c>
      <c r="R210" s="107">
        <v>2.961263939071404</v>
      </c>
      <c r="S210" s="107">
        <v>2.4145611174339758</v>
      </c>
      <c r="AA210" s="107">
        <v>595</v>
      </c>
      <c r="AB210" s="107">
        <v>630.24034334763951</v>
      </c>
    </row>
    <row r="211" spans="1:28">
      <c r="A211" s="14">
        <v>43626</v>
      </c>
      <c r="B211" s="107">
        <v>575</v>
      </c>
      <c r="C211" s="107">
        <v>583</v>
      </c>
      <c r="D211" s="107">
        <v>238</v>
      </c>
      <c r="E211" s="107">
        <v>238</v>
      </c>
      <c r="F211" s="107">
        <v>2.4495798319327702</v>
      </c>
      <c r="G211" s="107">
        <v>2.69162243062368</v>
      </c>
      <c r="H211" s="107">
        <v>0.135293990906866</v>
      </c>
      <c r="I211" s="107">
        <v>-1.7890121879657801</v>
      </c>
      <c r="J211" s="107">
        <v>-9.8800000000000008</v>
      </c>
      <c r="K211" s="107">
        <v>0.80731935350614603</v>
      </c>
      <c r="L211" s="107">
        <v>0.80725241792562497</v>
      </c>
      <c r="M211" s="107">
        <v>0.46935294934608501</v>
      </c>
      <c r="N211" s="107">
        <v>0.65999707062945401</v>
      </c>
      <c r="P211" s="107">
        <v>2.8269164215305462</v>
      </c>
      <c r="Q211" s="107">
        <v>2.5563284397168138</v>
      </c>
      <c r="R211" s="107">
        <v>2.962210412437412</v>
      </c>
      <c r="S211" s="107">
        <v>2.421034448809948</v>
      </c>
      <c r="AA211" s="107">
        <v>583</v>
      </c>
      <c r="AB211" s="107">
        <v>630.24034334763951</v>
      </c>
    </row>
    <row r="212" spans="1:28">
      <c r="A212" s="14">
        <v>43623</v>
      </c>
      <c r="B212" s="107">
        <v>581</v>
      </c>
      <c r="C212" s="107">
        <v>570</v>
      </c>
      <c r="D212" s="107">
        <v>235</v>
      </c>
      <c r="E212" s="107">
        <v>237</v>
      </c>
      <c r="F212" s="107">
        <v>2.40506329113924</v>
      </c>
      <c r="G212" s="107">
        <v>2.6955865390886502</v>
      </c>
      <c r="H212" s="107">
        <v>0.13247016752850399</v>
      </c>
      <c r="I212" s="107">
        <v>-2.1931220694417699</v>
      </c>
      <c r="J212" s="107">
        <v>-12.08</v>
      </c>
      <c r="K212" s="107">
        <v>0.79224813891058299</v>
      </c>
      <c r="L212" s="107">
        <v>0.868331026534508</v>
      </c>
      <c r="M212" s="107">
        <v>0.474010473254808</v>
      </c>
      <c r="N212" s="107">
        <v>0.56736745083740103</v>
      </c>
      <c r="P212" s="107">
        <v>2.8280567066171542</v>
      </c>
      <c r="Q212" s="107">
        <v>2.5631163715601462</v>
      </c>
      <c r="R212" s="107">
        <v>2.9605268741456583</v>
      </c>
      <c r="S212" s="107">
        <v>2.4306462040316421</v>
      </c>
      <c r="AA212" s="107">
        <v>570</v>
      </c>
      <c r="AB212" s="107">
        <v>627.59227467811161</v>
      </c>
    </row>
    <row r="213" spans="1:28">
      <c r="A213" s="14">
        <v>43622</v>
      </c>
      <c r="B213" s="107">
        <v>583</v>
      </c>
      <c r="C213" s="107">
        <v>581</v>
      </c>
      <c r="D213" s="107">
        <v>239</v>
      </c>
      <c r="E213" s="107">
        <v>232</v>
      </c>
      <c r="F213" s="107">
        <v>2.5043103448275801</v>
      </c>
      <c r="G213" s="107">
        <v>2.6986009957532402</v>
      </c>
      <c r="H213" s="107">
        <v>0.12833253690218199</v>
      </c>
      <c r="I213" s="107">
        <v>-1.5139625196823501</v>
      </c>
      <c r="J213" s="107">
        <v>-7.76</v>
      </c>
      <c r="K213" s="107">
        <v>0.77658873583829802</v>
      </c>
      <c r="L213" s="107">
        <v>0.82658702683051399</v>
      </c>
      <c r="M213" s="107">
        <v>0.47690365672429802</v>
      </c>
      <c r="N213" s="107">
        <v>0.60312208351978003</v>
      </c>
      <c r="P213" s="107">
        <v>2.8269335326554224</v>
      </c>
      <c r="Q213" s="107">
        <v>2.570268458851058</v>
      </c>
      <c r="R213" s="107">
        <v>2.9552660695576041</v>
      </c>
      <c r="S213" s="107">
        <v>2.4419359219488763</v>
      </c>
      <c r="AA213" s="107">
        <v>581</v>
      </c>
      <c r="AB213" s="107">
        <v>614.3519313304721</v>
      </c>
    </row>
    <row r="214" spans="1:28">
      <c r="A214" s="14">
        <v>43621</v>
      </c>
      <c r="B214" s="107">
        <v>587</v>
      </c>
      <c r="C214" s="107">
        <v>585</v>
      </c>
      <c r="D214" s="107">
        <v>234</v>
      </c>
      <c r="E214" s="107">
        <v>238</v>
      </c>
      <c r="F214" s="107">
        <v>2.4579831932773102</v>
      </c>
      <c r="G214" s="107">
        <v>2.70184884661772</v>
      </c>
      <c r="H214" s="107">
        <v>0.12644278357508801</v>
      </c>
      <c r="I214" s="107">
        <v>-1.9286640680098199</v>
      </c>
      <c r="J214" s="107">
        <v>-9.92</v>
      </c>
      <c r="K214" s="107">
        <v>0.77829139092384603</v>
      </c>
      <c r="L214" s="107">
        <v>0.89875247897105104</v>
      </c>
      <c r="M214" s="107">
        <v>0.48036981187243999</v>
      </c>
      <c r="N214" s="107">
        <v>0.61511332964253196</v>
      </c>
      <c r="P214" s="107">
        <v>2.8282916301928078</v>
      </c>
      <c r="Q214" s="107">
        <v>2.5754060630426321</v>
      </c>
      <c r="R214" s="107">
        <v>2.9547344137678961</v>
      </c>
      <c r="S214" s="107">
        <v>2.4489632794675438</v>
      </c>
      <c r="AA214" s="107">
        <v>585</v>
      </c>
      <c r="AB214" s="107">
        <v>630.24034334763951</v>
      </c>
    </row>
    <row r="215" spans="1:28">
      <c r="A215" s="14">
        <v>43620</v>
      </c>
      <c r="B215" s="107">
        <v>562</v>
      </c>
      <c r="C215" s="107">
        <v>571</v>
      </c>
      <c r="D215" s="107">
        <v>227</v>
      </c>
      <c r="E215" s="107">
        <v>232</v>
      </c>
      <c r="F215" s="107">
        <v>2.4612068965517202</v>
      </c>
      <c r="G215" s="107">
        <v>2.7059148178338002</v>
      </c>
      <c r="H215" s="107">
        <v>0.12340199790477401</v>
      </c>
      <c r="I215" s="107">
        <v>-1.9830142577668</v>
      </c>
      <c r="J215" s="107">
        <v>-9.94</v>
      </c>
      <c r="K215" s="107">
        <v>0.77080632638499003</v>
      </c>
      <c r="L215" s="107">
        <v>0.74702385843250896</v>
      </c>
      <c r="M215" s="107">
        <v>0.47877562903029097</v>
      </c>
      <c r="N215" s="107">
        <v>0.61581735101382196</v>
      </c>
      <c r="P215" s="107">
        <v>2.829316815738574</v>
      </c>
      <c r="Q215" s="107">
        <v>2.5825128199290264</v>
      </c>
      <c r="R215" s="107">
        <v>2.9527188136433482</v>
      </c>
      <c r="S215" s="107">
        <v>2.4591108220242521</v>
      </c>
      <c r="AA215" s="107">
        <v>571</v>
      </c>
      <c r="AB215" s="107">
        <v>614.3519313304721</v>
      </c>
    </row>
    <row r="216" spans="1:28">
      <c r="A216" s="14">
        <v>43619</v>
      </c>
      <c r="B216" s="107">
        <v>557</v>
      </c>
      <c r="C216" s="107">
        <v>561</v>
      </c>
      <c r="D216" s="107">
        <v>226</v>
      </c>
      <c r="E216" s="107">
        <v>224</v>
      </c>
      <c r="F216" s="107">
        <v>2.5044642857142798</v>
      </c>
      <c r="G216" s="107">
        <v>2.7071294092828402</v>
      </c>
      <c r="H216" s="107">
        <v>0.121419850050159</v>
      </c>
      <c r="I216" s="107">
        <v>-1.6691267818634099</v>
      </c>
      <c r="J216" s="107">
        <v>-8.09</v>
      </c>
      <c r="K216" s="107">
        <v>0.75147963219077296</v>
      </c>
      <c r="L216" s="107">
        <v>0.56827440326842704</v>
      </c>
      <c r="M216" s="107">
        <v>0.47334965500418602</v>
      </c>
      <c r="N216" s="107">
        <v>0.590055952331072</v>
      </c>
      <c r="P216" s="107">
        <v>2.8285492593329993</v>
      </c>
      <c r="Q216" s="107">
        <v>2.5857095592326811</v>
      </c>
      <c r="R216" s="107">
        <v>2.9499691093831584</v>
      </c>
      <c r="S216" s="107">
        <v>2.464289709182522</v>
      </c>
      <c r="AA216" s="107">
        <v>561</v>
      </c>
      <c r="AB216" s="107">
        <v>593.16738197424888</v>
      </c>
    </row>
    <row r="217" spans="1:28">
      <c r="A217" s="14">
        <v>43616</v>
      </c>
      <c r="B217" s="107">
        <v>561</v>
      </c>
      <c r="C217" s="107">
        <v>564</v>
      </c>
      <c r="D217" s="107">
        <v>231</v>
      </c>
      <c r="E217" s="107">
        <v>230</v>
      </c>
      <c r="F217" s="107">
        <v>2.4521739130434699</v>
      </c>
      <c r="G217" s="107">
        <v>2.7079370941454002</v>
      </c>
      <c r="H217" s="107">
        <v>0.120265020430736</v>
      </c>
      <c r="I217" s="107">
        <v>-2.1266630994274101</v>
      </c>
      <c r="J217" s="107">
        <v>-10.43</v>
      </c>
      <c r="K217" s="107">
        <v>0.73772277563297695</v>
      </c>
      <c r="L217" s="107">
        <v>0.68575007478954497</v>
      </c>
      <c r="M217" s="107">
        <v>0.46997966331538799</v>
      </c>
      <c r="N217" s="107">
        <v>0.68964520411453101</v>
      </c>
      <c r="P217" s="107">
        <v>2.8282021145761362</v>
      </c>
      <c r="Q217" s="107">
        <v>2.5876720737146641</v>
      </c>
      <c r="R217" s="107">
        <v>2.9484671350068723</v>
      </c>
      <c r="S217" s="107">
        <v>2.4674070532839281</v>
      </c>
      <c r="AA217" s="107">
        <v>564</v>
      </c>
      <c r="AB217" s="107">
        <v>609.05579399141629</v>
      </c>
    </row>
    <row r="218" spans="1:28">
      <c r="A218" s="14">
        <v>43615</v>
      </c>
      <c r="B218" s="107">
        <v>574</v>
      </c>
      <c r="C218" s="107">
        <v>570</v>
      </c>
      <c r="D218" s="107">
        <v>231</v>
      </c>
      <c r="E218" s="107">
        <v>232</v>
      </c>
      <c r="F218" s="107">
        <v>2.4568965517241299</v>
      </c>
      <c r="G218" s="107">
        <v>2.7103378607042701</v>
      </c>
      <c r="H218" s="107">
        <v>0.11688512343339499</v>
      </c>
      <c r="I218" s="107">
        <v>-2.1682939756192199</v>
      </c>
      <c r="J218" s="107">
        <v>-10.32</v>
      </c>
      <c r="K218" s="107">
        <v>0.72689597106021497</v>
      </c>
      <c r="L218" s="107">
        <v>0.42819512399265702</v>
      </c>
      <c r="M218" s="107">
        <v>0.46755283320880497</v>
      </c>
      <c r="N218" s="107">
        <v>0.64197418156562103</v>
      </c>
      <c r="P218" s="107">
        <v>2.827222984137665</v>
      </c>
      <c r="Q218" s="107">
        <v>2.5934527372708751</v>
      </c>
      <c r="R218" s="107">
        <v>2.94410810757106</v>
      </c>
      <c r="S218" s="107">
        <v>2.4765676138374801</v>
      </c>
      <c r="AA218" s="107">
        <v>570</v>
      </c>
      <c r="AB218" s="107">
        <v>614.3519313304721</v>
      </c>
    </row>
    <row r="219" spans="1:28">
      <c r="A219" s="14">
        <v>43614</v>
      </c>
      <c r="B219" s="107">
        <v>586</v>
      </c>
      <c r="C219" s="107">
        <v>581</v>
      </c>
      <c r="D219" s="107">
        <v>232</v>
      </c>
      <c r="E219" s="107">
        <v>233</v>
      </c>
      <c r="F219" s="107">
        <v>2.49356223175965</v>
      </c>
      <c r="G219" s="107">
        <v>2.7127256835292601</v>
      </c>
      <c r="H219" s="107">
        <v>0.11346238070702599</v>
      </c>
      <c r="I219" s="107">
        <v>-1.9315957448091801</v>
      </c>
      <c r="J219" s="107">
        <v>-8.7899999999999991</v>
      </c>
      <c r="K219" s="107">
        <v>0.71678768697663198</v>
      </c>
      <c r="L219" s="107">
        <v>0.54445859946766395</v>
      </c>
      <c r="M219" s="107">
        <v>0.46642442059414602</v>
      </c>
      <c r="N219" s="107">
        <v>0.71021580472151302</v>
      </c>
      <c r="P219" s="107">
        <v>2.8261880642362862</v>
      </c>
      <c r="Q219" s="107">
        <v>2.5992633028222341</v>
      </c>
      <c r="R219" s="107">
        <v>2.9396504449433123</v>
      </c>
      <c r="S219" s="107">
        <v>2.485800922115208</v>
      </c>
      <c r="AA219" s="107">
        <v>581</v>
      </c>
      <c r="AB219" s="107">
        <v>617</v>
      </c>
    </row>
    <row r="220" spans="1:28">
      <c r="A220" s="14">
        <v>43613</v>
      </c>
      <c r="B220" s="107">
        <v>590</v>
      </c>
      <c r="C220" s="107">
        <v>593</v>
      </c>
      <c r="D220" s="107">
        <v>237</v>
      </c>
      <c r="E220" s="107">
        <v>232</v>
      </c>
      <c r="F220" s="107">
        <v>2.5560344827586201</v>
      </c>
      <c r="G220" s="107">
        <v>2.71452741354743</v>
      </c>
      <c r="H220" s="107">
        <v>0.11101435129814401</v>
      </c>
      <c r="I220" s="107">
        <v>-1.4276796552471001</v>
      </c>
      <c r="J220" s="107">
        <v>-6.2</v>
      </c>
      <c r="K220" s="107">
        <v>0.70369410896963203</v>
      </c>
      <c r="L220" s="107">
        <v>0.29612733156460203</v>
      </c>
      <c r="M220" s="107">
        <v>0.46614147121501298</v>
      </c>
      <c r="N220" s="107">
        <v>0.67287625580850197</v>
      </c>
      <c r="P220" s="107">
        <v>2.8255417648455738</v>
      </c>
      <c r="Q220" s="107">
        <v>2.6035130622492861</v>
      </c>
      <c r="R220" s="107">
        <v>2.9365561161437181</v>
      </c>
      <c r="S220" s="107">
        <v>2.4924987109511418</v>
      </c>
      <c r="AA220" s="107">
        <v>593</v>
      </c>
      <c r="AB220" s="107">
        <v>614.3519313304721</v>
      </c>
    </row>
    <row r="221" spans="1:28">
      <c r="A221" s="14">
        <v>43612</v>
      </c>
      <c r="B221" s="107">
        <v>596</v>
      </c>
      <c r="C221" s="107">
        <v>586</v>
      </c>
      <c r="D221" s="107">
        <v>242</v>
      </c>
      <c r="E221" s="107">
        <v>239</v>
      </c>
      <c r="F221" s="107">
        <v>2.4518828451882801</v>
      </c>
      <c r="G221" s="107">
        <v>2.7152464005269699</v>
      </c>
      <c r="H221" s="107">
        <v>0.110156848245829</v>
      </c>
      <c r="I221" s="107">
        <v>-2.3908051068324001</v>
      </c>
      <c r="J221" s="107">
        <v>-10.74</v>
      </c>
      <c r="K221" s="107">
        <v>0.70932661813007003</v>
      </c>
      <c r="L221" s="107">
        <v>0.306186061528889</v>
      </c>
      <c r="M221" s="107">
        <v>0.4712204513521</v>
      </c>
      <c r="N221" s="107">
        <v>0.73141690953435801</v>
      </c>
      <c r="P221" s="107">
        <v>2.8254032487727989</v>
      </c>
      <c r="Q221" s="107">
        <v>2.6050895522811408</v>
      </c>
      <c r="R221" s="107">
        <v>2.935560097018628</v>
      </c>
      <c r="S221" s="107">
        <v>2.4949327040353118</v>
      </c>
      <c r="AA221" s="107">
        <v>586</v>
      </c>
      <c r="AB221" s="107">
        <v>632.88841201716741</v>
      </c>
    </row>
    <row r="222" spans="1:28">
      <c r="A222" s="14">
        <v>43609</v>
      </c>
      <c r="B222" s="107">
        <v>590</v>
      </c>
      <c r="C222" s="107">
        <v>595</v>
      </c>
      <c r="D222" s="107">
        <v>239</v>
      </c>
      <c r="E222" s="107">
        <v>240</v>
      </c>
      <c r="F222" s="107">
        <v>2.4791666666666599</v>
      </c>
      <c r="G222" s="107">
        <v>2.7186873853905502</v>
      </c>
      <c r="H222" s="107">
        <v>0.105821827076928</v>
      </c>
      <c r="I222" s="107">
        <v>-2.2634339752021702</v>
      </c>
      <c r="J222" s="107">
        <v>-9.66</v>
      </c>
      <c r="K222" s="107">
        <v>0.71664683834791298</v>
      </c>
      <c r="L222" s="107">
        <v>9.9921571478121404E-2</v>
      </c>
      <c r="M222" s="107">
        <v>0.47517094246158897</v>
      </c>
      <c r="N222" s="107">
        <v>0.73304685358148902</v>
      </c>
      <c r="P222" s="107">
        <v>2.8245092124674782</v>
      </c>
      <c r="Q222" s="107">
        <v>2.6128655583136222</v>
      </c>
      <c r="R222" s="107">
        <v>2.9303310395444062</v>
      </c>
      <c r="S222" s="107">
        <v>2.5070437312366942</v>
      </c>
      <c r="AA222" s="107">
        <v>595</v>
      </c>
      <c r="AB222" s="107">
        <v>635.53648068669531</v>
      </c>
    </row>
    <row r="223" spans="1:28">
      <c r="A223" s="14">
        <v>43608</v>
      </c>
      <c r="B223" s="107">
        <v>598</v>
      </c>
      <c r="C223" s="107">
        <v>590</v>
      </c>
      <c r="D223" s="107">
        <v>240</v>
      </c>
      <c r="E223" s="107">
        <v>242</v>
      </c>
      <c r="F223" s="107">
        <v>2.4380165289256199</v>
      </c>
      <c r="G223" s="107">
        <v>2.7215914257945899</v>
      </c>
      <c r="H223" s="107">
        <v>0.10213314224969</v>
      </c>
      <c r="I223" s="107">
        <v>-2.7765218089119701</v>
      </c>
      <c r="J223" s="107">
        <v>-11.63</v>
      </c>
      <c r="K223" s="107">
        <v>0.73856660780569205</v>
      </c>
      <c r="L223" s="107">
        <v>0.18658392087607101</v>
      </c>
      <c r="M223" s="107">
        <v>0.48060635669455598</v>
      </c>
      <c r="N223" s="107">
        <v>0.74481829898347596</v>
      </c>
      <c r="P223" s="107">
        <v>2.82372456804428</v>
      </c>
      <c r="Q223" s="107">
        <v>2.6194582835448998</v>
      </c>
      <c r="R223" s="107">
        <v>2.92585771029397</v>
      </c>
      <c r="S223" s="107">
        <v>2.5173251412952098</v>
      </c>
      <c r="AA223" s="107">
        <v>590</v>
      </c>
      <c r="AB223" s="107">
        <v>640.83261802575112</v>
      </c>
    </row>
    <row r="224" spans="1:28">
      <c r="A224" s="14">
        <v>43607</v>
      </c>
      <c r="B224" s="107">
        <v>610</v>
      </c>
      <c r="C224" s="107">
        <v>606</v>
      </c>
      <c r="D224" s="107">
        <v>242</v>
      </c>
      <c r="E224" s="107">
        <v>242</v>
      </c>
      <c r="F224" s="107">
        <v>2.5041322314049501</v>
      </c>
      <c r="G224" s="107">
        <v>2.7252078867598701</v>
      </c>
      <c r="H224" s="107">
        <v>9.6684714970189906E-2</v>
      </c>
      <c r="I224" s="107">
        <v>-2.2865626218485402</v>
      </c>
      <c r="J224" s="107">
        <v>-8.83</v>
      </c>
      <c r="K224" s="107">
        <v>0.75330145712693497</v>
      </c>
      <c r="L224" s="107">
        <v>0.14371279747260399</v>
      </c>
      <c r="M224" s="107">
        <v>0.48665317705209099</v>
      </c>
      <c r="N224" s="107">
        <v>0.70624886311304902</v>
      </c>
      <c r="P224" s="107">
        <v>2.8218926017300601</v>
      </c>
      <c r="Q224" s="107">
        <v>2.6285231717896802</v>
      </c>
      <c r="R224" s="107">
        <v>2.91857731670025</v>
      </c>
      <c r="S224" s="107">
        <v>2.5318384568194903</v>
      </c>
      <c r="AA224" s="107">
        <v>606</v>
      </c>
      <c r="AB224" s="107">
        <v>640.83261802575112</v>
      </c>
    </row>
    <row r="225" spans="1:28">
      <c r="A225" s="14">
        <v>43606</v>
      </c>
      <c r="B225" s="107">
        <v>600</v>
      </c>
      <c r="C225" s="107">
        <v>600</v>
      </c>
      <c r="D225" s="107">
        <v>239</v>
      </c>
      <c r="E225" s="107">
        <v>240</v>
      </c>
      <c r="F225" s="107">
        <v>2.5</v>
      </c>
      <c r="G225" s="107">
        <v>2.727959807885</v>
      </c>
      <c r="H225" s="107">
        <v>9.3228620860023606E-2</v>
      </c>
      <c r="I225" s="107">
        <v>-2.44516979637904</v>
      </c>
      <c r="J225" s="107">
        <v>-9.1199999999999992</v>
      </c>
      <c r="K225" s="107">
        <v>0.76385124991771902</v>
      </c>
      <c r="L225" s="107">
        <v>0.138534011902197</v>
      </c>
      <c r="M225" s="107">
        <v>0.49195264676053502</v>
      </c>
      <c r="N225" s="107">
        <v>0.77200999356090805</v>
      </c>
      <c r="P225" s="107">
        <v>2.8211884287450237</v>
      </c>
      <c r="Q225" s="107">
        <v>2.6347311870249763</v>
      </c>
      <c r="R225" s="107">
        <v>2.9144170496050474</v>
      </c>
      <c r="S225" s="107">
        <v>2.5415025661649526</v>
      </c>
      <c r="AA225" s="107">
        <v>600</v>
      </c>
      <c r="AB225" s="107">
        <v>635.53648068669531</v>
      </c>
    </row>
    <row r="226" spans="1:28">
      <c r="A226" s="14">
        <v>43605</v>
      </c>
      <c r="B226" s="107">
        <v>613</v>
      </c>
      <c r="C226" s="107">
        <v>605</v>
      </c>
      <c r="D226" s="107">
        <v>241</v>
      </c>
      <c r="E226" s="107">
        <v>240</v>
      </c>
      <c r="F226" s="107">
        <v>2.5208333333333299</v>
      </c>
      <c r="G226" s="107">
        <v>2.73051933169452</v>
      </c>
      <c r="H226" s="107">
        <v>8.9495388894636305E-2</v>
      </c>
      <c r="I226" s="107">
        <v>-2.3429810289785702</v>
      </c>
      <c r="J226" s="107">
        <v>-8.32</v>
      </c>
      <c r="K226" s="107">
        <v>0.77387709106976499</v>
      </c>
      <c r="L226" s="107">
        <v>5.4122197417584998E-2</v>
      </c>
      <c r="M226" s="107">
        <v>0.49630923348521599</v>
      </c>
      <c r="N226" s="107">
        <v>0.77310647571039703</v>
      </c>
      <c r="P226" s="107">
        <v>2.8200147205891564</v>
      </c>
      <c r="Q226" s="107">
        <v>2.6410239427998836</v>
      </c>
      <c r="R226" s="107">
        <v>2.9095101094837927</v>
      </c>
      <c r="S226" s="107">
        <v>2.5515285539052472</v>
      </c>
      <c r="AA226" s="107">
        <v>605</v>
      </c>
      <c r="AB226" s="107">
        <v>635.53648068669531</v>
      </c>
    </row>
    <row r="227" spans="1:28">
      <c r="A227" s="14">
        <v>43602</v>
      </c>
      <c r="B227" s="107">
        <v>612</v>
      </c>
      <c r="C227" s="107">
        <v>610</v>
      </c>
      <c r="D227" s="107">
        <v>237</v>
      </c>
      <c r="E227" s="107">
        <v>243</v>
      </c>
      <c r="F227" s="107">
        <v>2.51028806584362</v>
      </c>
      <c r="G227" s="107">
        <v>2.7332609859047898</v>
      </c>
      <c r="H227" s="107">
        <v>8.6115533156116503E-2</v>
      </c>
      <c r="I227" s="107">
        <v>-2.5892299784865398</v>
      </c>
      <c r="J227" s="107">
        <v>-8.8800000000000008</v>
      </c>
      <c r="K227" s="107">
        <v>0.79412527361236795</v>
      </c>
      <c r="L227" s="107">
        <v>0.30842129138669999</v>
      </c>
      <c r="M227" s="107">
        <v>0.50031415993401995</v>
      </c>
      <c r="N227" s="107">
        <v>0.79837376999254195</v>
      </c>
      <c r="P227" s="107">
        <v>2.8193765190609064</v>
      </c>
      <c r="Q227" s="107">
        <v>2.6471454527486733</v>
      </c>
      <c r="R227" s="107">
        <v>2.9054920522170229</v>
      </c>
      <c r="S227" s="107">
        <v>2.5610299195925568</v>
      </c>
      <c r="AA227" s="107">
        <v>610</v>
      </c>
      <c r="AB227" s="107">
        <v>643.48068669527902</v>
      </c>
    </row>
    <row r="228" spans="1:28">
      <c r="A228" s="14">
        <v>43601</v>
      </c>
      <c r="B228" s="107">
        <v>596</v>
      </c>
      <c r="C228" s="107">
        <v>603</v>
      </c>
      <c r="D228" s="107">
        <v>234</v>
      </c>
      <c r="E228" s="107">
        <v>231</v>
      </c>
      <c r="F228" s="107">
        <v>2.61038961038961</v>
      </c>
      <c r="G228" s="107">
        <v>2.7362941820639102</v>
      </c>
      <c r="H228" s="107">
        <v>8.2122253274404505E-2</v>
      </c>
      <c r="I228" s="107">
        <v>-1.5331358633524399</v>
      </c>
      <c r="J228" s="107">
        <v>-4.82</v>
      </c>
      <c r="K228" s="107">
        <v>0.78023946447718595</v>
      </c>
      <c r="L228" s="107">
        <v>0.143748765445708</v>
      </c>
      <c r="M228" s="107">
        <v>0.49361073787371101</v>
      </c>
      <c r="N228" s="107">
        <v>0.82713056688241804</v>
      </c>
      <c r="P228" s="107">
        <v>2.8184164353383148</v>
      </c>
      <c r="Q228" s="107">
        <v>2.6541719287895056</v>
      </c>
      <c r="R228" s="107">
        <v>2.9005386886127194</v>
      </c>
      <c r="S228" s="107">
        <v>2.572049675515101</v>
      </c>
      <c r="AA228" s="107">
        <v>603</v>
      </c>
      <c r="AB228" s="107">
        <v>611.7038626609442</v>
      </c>
    </row>
    <row r="229" spans="1:28">
      <c r="A229" s="14">
        <v>43600</v>
      </c>
      <c r="B229" s="107">
        <v>597</v>
      </c>
      <c r="C229" s="107">
        <v>603</v>
      </c>
      <c r="D229" s="107">
        <v>233</v>
      </c>
      <c r="E229" s="107">
        <v>236</v>
      </c>
      <c r="F229" s="107">
        <v>2.5550847457627102</v>
      </c>
      <c r="G229" s="107">
        <v>2.73770441666192</v>
      </c>
      <c r="H229" s="107">
        <v>8.0846291670091497E-2</v>
      </c>
      <c r="I229" s="107">
        <v>-2.2588503087367502</v>
      </c>
      <c r="J229" s="107">
        <v>-7.15</v>
      </c>
      <c r="K229" s="107">
        <v>0.78094198801984105</v>
      </c>
      <c r="L229" s="107">
        <v>0.43539104399775502</v>
      </c>
      <c r="M229" s="107">
        <v>0.484115026694591</v>
      </c>
      <c r="N229" s="107">
        <v>0.85586164306213597</v>
      </c>
      <c r="P229" s="107">
        <v>2.8185507083320114</v>
      </c>
      <c r="Q229" s="107">
        <v>2.6568581249918286</v>
      </c>
      <c r="R229" s="107">
        <v>2.8993970000021028</v>
      </c>
      <c r="S229" s="107">
        <v>2.5760118333217372</v>
      </c>
      <c r="AA229" s="107">
        <v>603</v>
      </c>
      <c r="AB229" s="107">
        <v>624.94420600858371</v>
      </c>
    </row>
    <row r="230" spans="1:28">
      <c r="A230" s="14">
        <v>43599</v>
      </c>
      <c r="B230" s="107">
        <v>563</v>
      </c>
      <c r="C230" s="107">
        <v>597</v>
      </c>
      <c r="D230" s="107">
        <v>226</v>
      </c>
      <c r="E230" s="107">
        <v>226</v>
      </c>
      <c r="F230" s="107">
        <v>2.6415929203539799</v>
      </c>
      <c r="G230" s="107">
        <v>2.7390951353355901</v>
      </c>
      <c r="H230" s="107">
        <v>7.85576284492778E-2</v>
      </c>
      <c r="I230" s="107">
        <v>-1.24115527551299</v>
      </c>
      <c r="J230" s="107">
        <v>-3.69</v>
      </c>
      <c r="K230" s="107">
        <v>0.74908870606505495</v>
      </c>
      <c r="L230" s="107">
        <v>0.16780366674758501</v>
      </c>
      <c r="M230" s="107">
        <v>0.47226153740650201</v>
      </c>
      <c r="N230" s="107">
        <v>0.85059776827607902</v>
      </c>
      <c r="P230" s="107">
        <v>2.8176527637848681</v>
      </c>
      <c r="Q230" s="107">
        <v>2.6605375068863122</v>
      </c>
      <c r="R230" s="107">
        <v>2.8962103922341456</v>
      </c>
      <c r="S230" s="107">
        <v>2.5819798784370347</v>
      </c>
      <c r="AA230" s="107">
        <v>597</v>
      </c>
      <c r="AB230" s="107">
        <v>598.46351931330469</v>
      </c>
    </row>
    <row r="231" spans="1:28">
      <c r="A231" s="14">
        <v>43598</v>
      </c>
      <c r="B231" s="107">
        <v>621</v>
      </c>
      <c r="C231" s="107">
        <v>592</v>
      </c>
      <c r="D231" s="107">
        <v>231</v>
      </c>
      <c r="E231" s="107">
        <v>230</v>
      </c>
      <c r="F231" s="107">
        <v>2.5739130434782602</v>
      </c>
      <c r="G231" s="107">
        <v>2.7401570822382402</v>
      </c>
      <c r="H231" s="107">
        <v>7.77667586295821E-2</v>
      </c>
      <c r="I231" s="107">
        <v>-2.13772621733971</v>
      </c>
      <c r="J231" s="107">
        <v>-6.46</v>
      </c>
      <c r="K231" s="107">
        <v>0.72330720275192095</v>
      </c>
      <c r="L231" s="107">
        <v>0.39406820643877899</v>
      </c>
      <c r="M231" s="107">
        <v>0.46092296771899699</v>
      </c>
      <c r="N231" s="107">
        <v>0.64616302460536901</v>
      </c>
      <c r="P231" s="107">
        <v>2.8179238408678224</v>
      </c>
      <c r="Q231" s="107">
        <v>2.6623903236086579</v>
      </c>
      <c r="R231" s="107">
        <v>2.8956905994974043</v>
      </c>
      <c r="S231" s="107">
        <v>2.5846235649790761</v>
      </c>
      <c r="AA231" s="107">
        <v>592</v>
      </c>
      <c r="AB231" s="107">
        <v>609.05579399141629</v>
      </c>
    </row>
    <row r="232" spans="1:28">
      <c r="A232" s="14">
        <v>43595</v>
      </c>
      <c r="B232" s="107">
        <v>614</v>
      </c>
      <c r="C232" s="107">
        <v>621</v>
      </c>
      <c r="D232" s="107">
        <v>230</v>
      </c>
      <c r="E232" s="107">
        <v>233</v>
      </c>
      <c r="F232" s="107">
        <v>2.66523605150214</v>
      </c>
      <c r="G232" s="107">
        <v>2.7409951923311802</v>
      </c>
      <c r="H232" s="107">
        <v>7.6295392031659498E-2</v>
      </c>
      <c r="I232" s="107">
        <v>-0.99297138151673503</v>
      </c>
      <c r="J232" s="107">
        <v>-2.84</v>
      </c>
      <c r="K232" s="107">
        <v>0.696186040681536</v>
      </c>
      <c r="L232" s="107">
        <v>0.25911444968749497</v>
      </c>
      <c r="M232" s="107">
        <v>0.45887983485977102</v>
      </c>
      <c r="N232" s="107">
        <v>0.81615855917353697</v>
      </c>
      <c r="P232" s="107">
        <v>2.8172905843628397</v>
      </c>
      <c r="Q232" s="107">
        <v>2.6646998002995206</v>
      </c>
      <c r="R232" s="107">
        <v>2.8935859763944993</v>
      </c>
      <c r="S232" s="107">
        <v>2.588404408267861</v>
      </c>
      <c r="AA232" s="107">
        <v>621</v>
      </c>
      <c r="AB232" s="107">
        <v>617</v>
      </c>
    </row>
    <row r="233" spans="1:28">
      <c r="A233" s="14">
        <v>43594</v>
      </c>
      <c r="B233" s="107">
        <v>625</v>
      </c>
      <c r="C233" s="107">
        <v>617</v>
      </c>
      <c r="D233" s="107">
        <v>236</v>
      </c>
      <c r="E233" s="107">
        <v>231</v>
      </c>
      <c r="F233" s="107">
        <v>2.6709956709956701</v>
      </c>
      <c r="G233" s="107">
        <v>2.74060491047489</v>
      </c>
      <c r="H233" s="107">
        <v>7.6755412552568403E-2</v>
      </c>
      <c r="I233" s="107">
        <v>-0.90689681892534602</v>
      </c>
      <c r="J233" s="107">
        <v>-2.61</v>
      </c>
      <c r="K233" s="107">
        <v>0.66219992762493596</v>
      </c>
      <c r="L233" s="107">
        <v>0.75216682267278701</v>
      </c>
      <c r="M233" s="107">
        <v>0.45384478898080199</v>
      </c>
      <c r="N233" s="107">
        <v>0.62185183288192902</v>
      </c>
      <c r="P233" s="107">
        <v>2.8173603230274584</v>
      </c>
      <c r="Q233" s="107">
        <v>2.6638494979223215</v>
      </c>
      <c r="R233" s="107">
        <v>2.8941157355800269</v>
      </c>
      <c r="S233" s="107">
        <v>2.587094085369753</v>
      </c>
      <c r="AA233" s="107">
        <v>617</v>
      </c>
      <c r="AB233" s="107">
        <v>611.7038626609442</v>
      </c>
    </row>
    <row r="234" spans="1:28">
      <c r="A234" s="14">
        <v>43593</v>
      </c>
      <c r="B234" s="107">
        <v>637</v>
      </c>
      <c r="C234" s="107">
        <v>635</v>
      </c>
      <c r="D234" s="107">
        <v>235</v>
      </c>
      <c r="E234" s="107">
        <v>237</v>
      </c>
      <c r="F234" s="107">
        <v>2.6793248945147599</v>
      </c>
      <c r="G234" s="107">
        <v>2.7413113935343199</v>
      </c>
      <c r="H234" s="107">
        <v>7.6354257342683807E-2</v>
      </c>
      <c r="I234" s="107">
        <v>-0.81182767244207499</v>
      </c>
      <c r="J234" s="107">
        <v>-2.31</v>
      </c>
      <c r="K234" s="107">
        <v>0.64776686701994401</v>
      </c>
      <c r="L234" s="107">
        <v>0.75715105646379699</v>
      </c>
      <c r="M234" s="107">
        <v>0.456505951911785</v>
      </c>
      <c r="N234" s="107">
        <v>0.81020820182558395</v>
      </c>
      <c r="P234" s="107">
        <v>2.8176656508770037</v>
      </c>
      <c r="Q234" s="107">
        <v>2.664957136191636</v>
      </c>
      <c r="R234" s="107">
        <v>2.8940199082196876</v>
      </c>
      <c r="S234" s="107">
        <v>2.5886028788489521</v>
      </c>
      <c r="AA234" s="107">
        <v>635</v>
      </c>
      <c r="AB234" s="107">
        <v>627.59227467811161</v>
      </c>
    </row>
    <row r="235" spans="1:28">
      <c r="A235" s="14">
        <v>43592</v>
      </c>
      <c r="B235" s="107">
        <v>663</v>
      </c>
      <c r="C235" s="107">
        <v>650</v>
      </c>
      <c r="D235" s="107">
        <v>247</v>
      </c>
      <c r="E235" s="107">
        <v>240</v>
      </c>
      <c r="F235" s="107">
        <v>2.7083333333333299</v>
      </c>
      <c r="G235" s="107">
        <v>2.74172582480504</v>
      </c>
      <c r="H235" s="107">
        <v>7.6100618064660994E-2</v>
      </c>
      <c r="I235" s="107">
        <v>-0.43879395885246197</v>
      </c>
      <c r="J235" s="107">
        <v>-1.23</v>
      </c>
      <c r="K235" s="107">
        <v>0.665067234829127</v>
      </c>
      <c r="L235" s="107">
        <v>0.71055322257590103</v>
      </c>
      <c r="M235" s="107">
        <v>0.45758737675788502</v>
      </c>
      <c r="N235" s="107">
        <v>0.84269843462899796</v>
      </c>
      <c r="P235" s="107">
        <v>2.8178264428697011</v>
      </c>
      <c r="Q235" s="107">
        <v>2.6656252067403789</v>
      </c>
      <c r="R235" s="107">
        <v>2.8939270609343621</v>
      </c>
      <c r="S235" s="107">
        <v>2.5895245886757179</v>
      </c>
      <c r="AA235" s="107">
        <v>650</v>
      </c>
      <c r="AB235" s="107">
        <v>635.53648068669531</v>
      </c>
    </row>
    <row r="236" spans="1:28">
      <c r="A236" s="14">
        <v>43581</v>
      </c>
      <c r="B236" s="107">
        <v>655</v>
      </c>
      <c r="C236" s="107">
        <v>666</v>
      </c>
      <c r="D236" s="107">
        <v>246</v>
      </c>
      <c r="E236" s="107">
        <v>245</v>
      </c>
      <c r="F236" s="107">
        <v>2.7183673469387699</v>
      </c>
      <c r="G236" s="107">
        <v>2.7406220558378398</v>
      </c>
      <c r="H236" s="107">
        <v>7.7169773230916505E-2</v>
      </c>
      <c r="I236" s="107">
        <v>-0.28838634568059901</v>
      </c>
      <c r="J236" s="107">
        <v>-0.82</v>
      </c>
      <c r="K236" s="107">
        <v>0.71082751923184095</v>
      </c>
      <c r="L236" s="107">
        <v>0.57674158677020104</v>
      </c>
      <c r="M236" s="107">
        <v>0.46724528525140002</v>
      </c>
      <c r="N236" s="107">
        <v>0.63617288325020205</v>
      </c>
      <c r="P236" s="107">
        <v>2.8177918290687565</v>
      </c>
      <c r="Q236" s="107">
        <v>2.6634522826069231</v>
      </c>
      <c r="R236" s="107">
        <v>2.8949616022996727</v>
      </c>
      <c r="S236" s="107">
        <v>2.5862825093760069</v>
      </c>
      <c r="AA236" s="107">
        <v>666</v>
      </c>
      <c r="AB236" s="107">
        <v>648.77682403433471</v>
      </c>
    </row>
    <row r="237" spans="1:28">
      <c r="A237" s="14">
        <v>43580</v>
      </c>
      <c r="B237" s="107">
        <v>665</v>
      </c>
      <c r="C237" s="107">
        <v>667</v>
      </c>
      <c r="D237" s="107">
        <v>246</v>
      </c>
      <c r="E237" s="107">
        <v>247</v>
      </c>
      <c r="F237" s="107">
        <v>2.7004048582995899</v>
      </c>
      <c r="G237" s="107">
        <v>2.7381510198463501</v>
      </c>
      <c r="H237" s="107">
        <v>8.0727960895354098E-2</v>
      </c>
      <c r="I237" s="107">
        <v>-0.46757233959724698</v>
      </c>
      <c r="J237" s="107">
        <v>-1.4</v>
      </c>
      <c r="K237" s="107">
        <v>0.71326065312421005</v>
      </c>
      <c r="L237" s="107">
        <v>0.64193004215058402</v>
      </c>
      <c r="M237" s="107">
        <v>0.46970379191512301</v>
      </c>
      <c r="N237" s="107">
        <v>0.62464323088179696</v>
      </c>
      <c r="P237" s="107">
        <v>2.8188789807417041</v>
      </c>
      <c r="Q237" s="107">
        <v>2.6574230589509962</v>
      </c>
      <c r="R237" s="107">
        <v>2.8996069416370585</v>
      </c>
      <c r="S237" s="107">
        <v>2.5766950980556418</v>
      </c>
      <c r="AA237" s="107">
        <v>667</v>
      </c>
      <c r="AB237" s="107">
        <v>654.07296137339051</v>
      </c>
    </row>
    <row r="238" spans="1:28">
      <c r="A238" s="14">
        <v>43579</v>
      </c>
      <c r="B238" s="107">
        <v>666</v>
      </c>
      <c r="C238" s="107">
        <v>663</v>
      </c>
      <c r="D238" s="107">
        <v>252</v>
      </c>
      <c r="E238" s="107">
        <v>248</v>
      </c>
      <c r="F238" s="107">
        <v>2.67338709677419</v>
      </c>
      <c r="G238" s="107">
        <v>2.7367884788785402</v>
      </c>
      <c r="H238" s="107">
        <v>8.2202477925384501E-2</v>
      </c>
      <c r="I238" s="107">
        <v>-0.77128310124546995</v>
      </c>
      <c r="J238" s="107">
        <v>-2.37</v>
      </c>
      <c r="K238" s="107">
        <v>0.73659520006814305</v>
      </c>
      <c r="L238" s="107">
        <v>0.505144844187849</v>
      </c>
      <c r="M238" s="107">
        <v>0.472448910621176</v>
      </c>
      <c r="N238" s="107">
        <v>0.63453406914509602</v>
      </c>
      <c r="P238" s="107">
        <v>2.8189909568039249</v>
      </c>
      <c r="Q238" s="107">
        <v>2.6545860009531554</v>
      </c>
      <c r="R238" s="107">
        <v>2.9011934347293091</v>
      </c>
      <c r="S238" s="107">
        <v>2.5723835230277712</v>
      </c>
      <c r="AA238" s="107">
        <v>663</v>
      </c>
      <c r="AB238" s="107">
        <v>656.72103004291841</v>
      </c>
    </row>
    <row r="239" spans="1:28">
      <c r="A239" s="14">
        <v>43578</v>
      </c>
      <c r="B239" s="107">
        <v>661</v>
      </c>
      <c r="C239" s="107">
        <v>656</v>
      </c>
      <c r="D239" s="107">
        <v>252</v>
      </c>
      <c r="E239" s="107">
        <v>252</v>
      </c>
      <c r="F239" s="107">
        <v>2.6031746031746001</v>
      </c>
      <c r="G239" s="107">
        <v>2.7356748076035799</v>
      </c>
      <c r="H239" s="107">
        <v>8.3607676008846193E-2</v>
      </c>
      <c r="I239" s="107">
        <v>-1.5847851627278999</v>
      </c>
      <c r="J239" s="107">
        <v>-5.09</v>
      </c>
      <c r="K239" s="107">
        <v>0.77945639700262304</v>
      </c>
      <c r="L239" s="107">
        <v>0.56131979093006201</v>
      </c>
      <c r="M239" s="107">
        <v>0.47666445482836201</v>
      </c>
      <c r="N239" s="107">
        <v>0.65085567389180798</v>
      </c>
      <c r="P239" s="107">
        <v>2.8192824836124259</v>
      </c>
      <c r="Q239" s="107">
        <v>2.652067131594734</v>
      </c>
      <c r="R239" s="107">
        <v>2.9028901596212724</v>
      </c>
      <c r="S239" s="107">
        <v>2.5684594555858875</v>
      </c>
      <c r="AA239" s="107">
        <v>656</v>
      </c>
      <c r="AB239" s="107">
        <v>667.31330472103002</v>
      </c>
    </row>
    <row r="240" spans="1:28">
      <c r="A240" s="14">
        <v>43577</v>
      </c>
      <c r="B240" s="107">
        <v>662</v>
      </c>
      <c r="C240" s="107">
        <v>667</v>
      </c>
      <c r="D240" s="107">
        <v>252</v>
      </c>
      <c r="E240" s="107">
        <v>250</v>
      </c>
      <c r="F240" s="107">
        <v>2.6680000000000001</v>
      </c>
      <c r="G240" s="107">
        <v>2.73474757672119</v>
      </c>
      <c r="H240" s="107">
        <v>8.5437591706598703E-2</v>
      </c>
      <c r="I240" s="107">
        <v>-0.78124365853399402</v>
      </c>
      <c r="J240" s="107">
        <v>-2.5</v>
      </c>
      <c r="K240" s="107">
        <v>0.80172460645940802</v>
      </c>
      <c r="L240" s="107">
        <v>0.553086473861373</v>
      </c>
      <c r="M240" s="107">
        <v>0.47712693076541701</v>
      </c>
      <c r="N240" s="107">
        <v>0.67481161708160797</v>
      </c>
      <c r="P240" s="107">
        <v>2.8201851684277885</v>
      </c>
      <c r="Q240" s="107">
        <v>2.6493099850145914</v>
      </c>
      <c r="R240" s="107">
        <v>2.9056227601343876</v>
      </c>
      <c r="S240" s="107">
        <v>2.5638723933079923</v>
      </c>
      <c r="AA240" s="107">
        <v>667</v>
      </c>
      <c r="AB240" s="107">
        <v>662.01716738197422</v>
      </c>
    </row>
    <row r="241" spans="1:28">
      <c r="A241" s="14">
        <v>43574</v>
      </c>
      <c r="B241" s="107">
        <v>660</v>
      </c>
      <c r="C241" s="107">
        <v>664</v>
      </c>
      <c r="D241" s="107">
        <v>251</v>
      </c>
      <c r="E241" s="107">
        <v>251</v>
      </c>
      <c r="F241" s="107">
        <v>2.6454183266932199</v>
      </c>
      <c r="G241" s="107">
        <v>2.7330481172617298</v>
      </c>
      <c r="H241" s="107">
        <v>8.79782683368725E-2</v>
      </c>
      <c r="I241" s="107">
        <v>-0.99603904719938996</v>
      </c>
      <c r="J241" s="107">
        <v>-3.31</v>
      </c>
      <c r="K241" s="107">
        <v>0.82770535389345701</v>
      </c>
      <c r="L241" s="107">
        <v>0.58019106808551302</v>
      </c>
      <c r="M241" s="107">
        <v>0.47860768895996297</v>
      </c>
      <c r="N241" s="107">
        <v>0.692710888089211</v>
      </c>
      <c r="P241" s="107">
        <v>2.8210263855986022</v>
      </c>
      <c r="Q241" s="107">
        <v>2.6450698489248574</v>
      </c>
      <c r="R241" s="107">
        <v>2.909004653935475</v>
      </c>
      <c r="S241" s="107">
        <v>2.5570915805879846</v>
      </c>
      <c r="AA241" s="107">
        <v>664</v>
      </c>
      <c r="AB241" s="107">
        <v>664.66523605150212</v>
      </c>
    </row>
    <row r="242" spans="1:28">
      <c r="A242" s="14">
        <v>43573</v>
      </c>
      <c r="B242" s="107">
        <v>682</v>
      </c>
      <c r="C242" s="107">
        <v>666</v>
      </c>
      <c r="D242" s="107">
        <v>255</v>
      </c>
      <c r="E242" s="107">
        <v>249</v>
      </c>
      <c r="F242" s="107">
        <v>2.6746987951807202</v>
      </c>
      <c r="G242" s="107">
        <v>2.7324299609561402</v>
      </c>
      <c r="H242" s="107">
        <v>8.8751282745059307E-2</v>
      </c>
      <c r="I242" s="107">
        <v>-0.650482607009231</v>
      </c>
      <c r="J242" s="107">
        <v>-2.16</v>
      </c>
      <c r="K242" s="107">
        <v>0.83328573536807404</v>
      </c>
      <c r="L242" s="107">
        <v>0.66844465930353603</v>
      </c>
      <c r="M242" s="107">
        <v>0.476602231482742</v>
      </c>
      <c r="N242" s="107">
        <v>0.72949999181740499</v>
      </c>
      <c r="P242" s="107">
        <v>2.8211812437011994</v>
      </c>
      <c r="Q242" s="107">
        <v>2.643678678211081</v>
      </c>
      <c r="R242" s="107">
        <v>2.909932526446259</v>
      </c>
      <c r="S242" s="107">
        <v>2.5549273954660214</v>
      </c>
      <c r="AA242" s="107">
        <v>666</v>
      </c>
      <c r="AB242" s="107">
        <v>659.36909871244632</v>
      </c>
    </row>
    <row r="243" spans="1:28">
      <c r="A243" s="14">
        <v>43572</v>
      </c>
      <c r="B243" s="107">
        <v>682</v>
      </c>
      <c r="C243" s="107">
        <v>688</v>
      </c>
      <c r="D243" s="107">
        <v>254</v>
      </c>
      <c r="E243" s="107">
        <v>254</v>
      </c>
      <c r="F243" s="107">
        <v>2.7086614173228298</v>
      </c>
      <c r="G243" s="107">
        <v>2.7324535848635301</v>
      </c>
      <c r="H243" s="107">
        <v>8.8736147178314101E-2</v>
      </c>
      <c r="I243" s="107">
        <v>-0.26812261177953101</v>
      </c>
      <c r="J243" s="107">
        <v>-0.88</v>
      </c>
      <c r="K243" s="107">
        <v>0.84242693332144603</v>
      </c>
      <c r="L243" s="107">
        <v>0.67206352561370597</v>
      </c>
      <c r="M243" s="107">
        <v>0.47372527415149002</v>
      </c>
      <c r="N243" s="107">
        <v>0.73500876359602796</v>
      </c>
      <c r="P243" s="107">
        <v>2.821189732041844</v>
      </c>
      <c r="Q243" s="107">
        <v>2.6437174376852162</v>
      </c>
      <c r="R243" s="107">
        <v>2.9099258792201583</v>
      </c>
      <c r="S243" s="107">
        <v>2.5549812905069018</v>
      </c>
      <c r="AA243" s="107">
        <v>688</v>
      </c>
      <c r="AB243" s="107">
        <v>672.60944206008583</v>
      </c>
    </row>
    <row r="244" spans="1:28">
      <c r="A244" s="14">
        <v>43571</v>
      </c>
      <c r="B244" s="107">
        <v>696</v>
      </c>
      <c r="C244" s="107">
        <v>681</v>
      </c>
      <c r="D244" s="107">
        <v>250</v>
      </c>
      <c r="E244" s="107">
        <v>250</v>
      </c>
      <c r="F244" s="107">
        <v>2.7240000000000002</v>
      </c>
      <c r="G244" s="107">
        <v>2.7318936548547801</v>
      </c>
      <c r="H244" s="107">
        <v>8.9016562013467304E-2</v>
      </c>
      <c r="I244" s="107">
        <v>-8.8676249410684305E-2</v>
      </c>
      <c r="J244" s="107">
        <v>-0.28999999999999998</v>
      </c>
      <c r="K244" s="107">
        <v>0.84969552344847399</v>
      </c>
      <c r="L244" s="107">
        <v>0.65384390262722003</v>
      </c>
      <c r="M244" s="107">
        <v>0.47009083722906803</v>
      </c>
      <c r="N244" s="107">
        <v>0.74210615927159695</v>
      </c>
      <c r="P244" s="107">
        <v>2.8209102168682474</v>
      </c>
      <c r="Q244" s="107">
        <v>2.6428770928413128</v>
      </c>
      <c r="R244" s="107">
        <v>2.9099267788817147</v>
      </c>
      <c r="S244" s="107">
        <v>2.5538605308278455</v>
      </c>
      <c r="AA244" s="107">
        <v>681</v>
      </c>
      <c r="AB244" s="107">
        <v>662.01716738197422</v>
      </c>
    </row>
    <row r="245" spans="1:28">
      <c r="A245" s="14">
        <v>43570</v>
      </c>
      <c r="B245" s="107">
        <v>709</v>
      </c>
      <c r="C245" s="107">
        <v>704</v>
      </c>
      <c r="D245" s="107">
        <v>251</v>
      </c>
      <c r="E245" s="107">
        <v>252</v>
      </c>
      <c r="F245" s="107">
        <v>2.7936507936507899</v>
      </c>
      <c r="G245" s="107">
        <v>2.7310074448091202</v>
      </c>
      <c r="H245" s="107">
        <v>8.9420671185629505E-2</v>
      </c>
      <c r="I245" s="107">
        <v>0.70054661870771895</v>
      </c>
      <c r="J245" s="107">
        <v>2.2400000000000002</v>
      </c>
      <c r="K245" s="107">
        <v>0.857179510644828</v>
      </c>
      <c r="L245" s="107">
        <v>0.648367649994396</v>
      </c>
      <c r="M245" s="107">
        <v>0.46614983632712997</v>
      </c>
      <c r="N245" s="107">
        <v>0.749339407033209</v>
      </c>
      <c r="P245" s="107">
        <v>2.8204281159947495</v>
      </c>
      <c r="Q245" s="107">
        <v>2.6415867736234908</v>
      </c>
      <c r="R245" s="107">
        <v>2.9098487871803793</v>
      </c>
      <c r="S245" s="107">
        <v>2.552166102437861</v>
      </c>
      <c r="AA245" s="107">
        <v>704</v>
      </c>
      <c r="AB245" s="107">
        <v>667.31330472103002</v>
      </c>
    </row>
    <row r="246" spans="1:28">
      <c r="A246" s="14">
        <v>43567</v>
      </c>
      <c r="B246" s="107">
        <v>700</v>
      </c>
      <c r="C246" s="107">
        <v>699</v>
      </c>
      <c r="D246" s="107">
        <v>250</v>
      </c>
      <c r="E246" s="107">
        <v>246</v>
      </c>
      <c r="F246" s="107">
        <v>2.84146341463414</v>
      </c>
      <c r="G246" s="107">
        <v>2.72915699764894</v>
      </c>
      <c r="H246" s="107">
        <v>8.9541093742515704E-2</v>
      </c>
      <c r="I246" s="107">
        <v>1.2542444177435399</v>
      </c>
      <c r="J246" s="107">
        <v>3.95</v>
      </c>
      <c r="K246" s="107">
        <v>0.86194484881766098</v>
      </c>
      <c r="L246" s="107">
        <v>0.62273010181195199</v>
      </c>
      <c r="M246" s="107">
        <v>0.46104841062449398</v>
      </c>
      <c r="N246" s="107">
        <v>0.76669777534887096</v>
      </c>
      <c r="P246" s="107">
        <v>2.8186980913914557</v>
      </c>
      <c r="Q246" s="107">
        <v>2.6396159039064244</v>
      </c>
      <c r="R246" s="107">
        <v>2.9082391851339713</v>
      </c>
      <c r="S246" s="107">
        <v>2.5500748101639088</v>
      </c>
      <c r="AA246" s="107">
        <v>699</v>
      </c>
      <c r="AB246" s="107">
        <v>651.42489270386261</v>
      </c>
    </row>
    <row r="247" spans="1:28">
      <c r="A247" s="14">
        <v>43566</v>
      </c>
      <c r="B247" s="107">
        <v>691</v>
      </c>
      <c r="C247" s="107">
        <v>700</v>
      </c>
      <c r="D247" s="107">
        <v>249</v>
      </c>
      <c r="E247" s="107">
        <v>248</v>
      </c>
      <c r="F247" s="107">
        <v>2.82258064516129</v>
      </c>
      <c r="G247" s="107">
        <v>2.7259259912009401</v>
      </c>
      <c r="H247" s="107">
        <v>8.9801991910548398E-2</v>
      </c>
      <c r="I247" s="107">
        <v>1.0763085751663299</v>
      </c>
      <c r="J247" s="107">
        <v>3.42</v>
      </c>
      <c r="K247" s="107">
        <v>0.85986118590501603</v>
      </c>
      <c r="L247" s="107">
        <v>0.62344797509926997</v>
      </c>
      <c r="M247" s="107">
        <v>0.45662421203356601</v>
      </c>
      <c r="N247" s="107">
        <v>0.57144912708844797</v>
      </c>
      <c r="P247" s="107">
        <v>2.8157279831114885</v>
      </c>
      <c r="Q247" s="107">
        <v>2.6361239992903918</v>
      </c>
      <c r="R247" s="107">
        <v>2.9055299750220369</v>
      </c>
      <c r="S247" s="107">
        <v>2.5463220073798434</v>
      </c>
      <c r="AA247" s="107">
        <v>700</v>
      </c>
      <c r="AB247" s="107">
        <v>656.72103004291841</v>
      </c>
    </row>
    <row r="248" spans="1:28">
      <c r="A248" s="14">
        <v>43565</v>
      </c>
      <c r="B248" s="107">
        <v>695</v>
      </c>
      <c r="C248" s="107">
        <v>697</v>
      </c>
      <c r="D248" s="107">
        <v>247</v>
      </c>
      <c r="E248" s="107">
        <v>248</v>
      </c>
      <c r="F248" s="107">
        <v>2.8104838709677402</v>
      </c>
      <c r="G248" s="107">
        <v>2.72357893892063</v>
      </c>
      <c r="H248" s="107">
        <v>8.9545134570358606E-2</v>
      </c>
      <c r="I248" s="107">
        <v>0.97051539945836296</v>
      </c>
      <c r="J248" s="107">
        <v>3.09</v>
      </c>
      <c r="K248" s="107">
        <v>0.86385151794480497</v>
      </c>
      <c r="L248" s="107">
        <v>0.66360944266017796</v>
      </c>
      <c r="M248" s="107">
        <v>0.45077935325831803</v>
      </c>
      <c r="N248" s="107">
        <v>0.60370165910389695</v>
      </c>
      <c r="P248" s="107">
        <v>2.8131240734909886</v>
      </c>
      <c r="Q248" s="107">
        <v>2.6340338043502713</v>
      </c>
      <c r="R248" s="107">
        <v>2.9026692080613472</v>
      </c>
      <c r="S248" s="107">
        <v>2.5444886697799127</v>
      </c>
      <c r="AA248" s="107">
        <v>697</v>
      </c>
      <c r="AB248" s="107">
        <v>656.72103004291841</v>
      </c>
    </row>
    <row r="249" spans="1:28">
      <c r="A249" s="14">
        <v>43564</v>
      </c>
      <c r="B249" s="107">
        <v>705</v>
      </c>
      <c r="C249" s="107">
        <v>710</v>
      </c>
      <c r="D249" s="107">
        <v>249</v>
      </c>
      <c r="E249" s="107">
        <v>250</v>
      </c>
      <c r="F249" s="107">
        <v>2.84</v>
      </c>
      <c r="G249" s="107">
        <v>2.7214134029014398</v>
      </c>
      <c r="H249" s="107">
        <v>8.9381016030075006E-2</v>
      </c>
      <c r="I249" s="107">
        <v>1.3267537377137999</v>
      </c>
      <c r="J249" s="107">
        <v>4.18</v>
      </c>
      <c r="K249" s="107">
        <v>0.86706257478642501</v>
      </c>
      <c r="L249" s="107">
        <v>0.63715077193141101</v>
      </c>
      <c r="M249" s="107">
        <v>0.44708610056637299</v>
      </c>
      <c r="N249" s="107">
        <v>0.56154691970397697</v>
      </c>
      <c r="P249" s="107">
        <v>2.8107944189315148</v>
      </c>
      <c r="Q249" s="107">
        <v>2.6320323868713649</v>
      </c>
      <c r="R249" s="107">
        <v>2.9001754349615898</v>
      </c>
      <c r="S249" s="107">
        <v>2.5426513708412899</v>
      </c>
      <c r="AA249" s="107">
        <v>710</v>
      </c>
      <c r="AB249" s="107">
        <v>662.01716738197422</v>
      </c>
    </row>
    <row r="250" spans="1:28">
      <c r="A250" s="14">
        <v>43563</v>
      </c>
      <c r="B250" s="107">
        <v>715</v>
      </c>
      <c r="C250" s="107">
        <v>711</v>
      </c>
      <c r="D250" s="107">
        <v>256</v>
      </c>
      <c r="E250" s="107">
        <v>250</v>
      </c>
      <c r="F250" s="107">
        <v>2.8439999999999999</v>
      </c>
      <c r="G250" s="107">
        <v>2.7189335154190202</v>
      </c>
      <c r="H250" s="107">
        <v>8.8633467119354395E-2</v>
      </c>
      <c r="I250" s="107">
        <v>1.41105260400751</v>
      </c>
      <c r="J250" s="107">
        <v>4.4000000000000004</v>
      </c>
      <c r="K250" s="107">
        <v>0.86757651398844804</v>
      </c>
      <c r="L250" s="107">
        <v>0.66573193430828703</v>
      </c>
      <c r="M250" s="107">
        <v>0.44435136441890999</v>
      </c>
      <c r="N250" s="107">
        <v>0.74098078293138403</v>
      </c>
      <c r="P250" s="107">
        <v>2.8075669825383747</v>
      </c>
      <c r="Q250" s="107">
        <v>2.6303000482996657</v>
      </c>
      <c r="R250" s="107">
        <v>2.8962004496577292</v>
      </c>
      <c r="S250" s="107">
        <v>2.5416665811803112</v>
      </c>
      <c r="AA250" s="107">
        <v>711</v>
      </c>
      <c r="AB250" s="107">
        <v>662.01716738197422</v>
      </c>
    </row>
    <row r="251" spans="1:28">
      <c r="A251" s="14">
        <v>43560</v>
      </c>
      <c r="B251" s="107">
        <v>713</v>
      </c>
      <c r="C251" s="107">
        <v>713</v>
      </c>
      <c r="D251" s="107">
        <v>254</v>
      </c>
      <c r="E251" s="107">
        <v>256</v>
      </c>
      <c r="F251" s="107">
        <v>2.78515625</v>
      </c>
      <c r="G251" s="107">
        <v>2.71712224217152</v>
      </c>
      <c r="H251" s="107">
        <v>8.7439149902905994E-2</v>
      </c>
      <c r="I251" s="107">
        <v>0.77807261282871198</v>
      </c>
      <c r="J251" s="107">
        <v>2.44</v>
      </c>
      <c r="K251" s="107">
        <v>0.86699268610258795</v>
      </c>
      <c r="L251" s="107">
        <v>0.59145843783098595</v>
      </c>
      <c r="M251" s="107">
        <v>0.44024728312929901</v>
      </c>
      <c r="N251" s="107">
        <v>0.76908763904659305</v>
      </c>
      <c r="P251" s="107">
        <v>2.8045613920744259</v>
      </c>
      <c r="Q251" s="107">
        <v>2.6296830922686141</v>
      </c>
      <c r="R251" s="107">
        <v>2.8920005419773318</v>
      </c>
      <c r="S251" s="107">
        <v>2.5422439423657082</v>
      </c>
      <c r="AA251" s="107">
        <v>713</v>
      </c>
      <c r="AB251" s="107">
        <v>677.90557939914163</v>
      </c>
    </row>
    <row r="252" spans="1:28">
      <c r="A252" s="14">
        <v>43559</v>
      </c>
      <c r="B252" s="107">
        <v>725</v>
      </c>
      <c r="C252" s="107">
        <v>706</v>
      </c>
      <c r="D252" s="107">
        <v>253</v>
      </c>
      <c r="E252" s="107">
        <v>250</v>
      </c>
      <c r="F252" s="107">
        <v>2.8239999999999998</v>
      </c>
      <c r="G252" s="107">
        <v>2.7147890853918599</v>
      </c>
      <c r="H252" s="107">
        <v>8.7925905419536002E-2</v>
      </c>
      <c r="I252" s="107">
        <v>1.24207893097079</v>
      </c>
      <c r="J252" s="107">
        <v>3.87</v>
      </c>
      <c r="K252" s="107">
        <v>0.86263149029192698</v>
      </c>
      <c r="L252" s="107">
        <v>0.58672944688978002</v>
      </c>
      <c r="M252" s="107">
        <v>0.43713330113673998</v>
      </c>
      <c r="N252" s="107">
        <v>0.56556287829340202</v>
      </c>
      <c r="P252" s="107">
        <v>2.802714990811396</v>
      </c>
      <c r="Q252" s="107">
        <v>2.6268631799723239</v>
      </c>
      <c r="R252" s="107">
        <v>2.890640896230932</v>
      </c>
      <c r="S252" s="107">
        <v>2.5389372745527878</v>
      </c>
      <c r="AA252" s="107">
        <v>706</v>
      </c>
      <c r="AB252" s="107">
        <v>662.01716738197422</v>
      </c>
    </row>
    <row r="253" spans="1:28">
      <c r="A253" s="14">
        <v>43558</v>
      </c>
      <c r="B253" s="107">
        <v>720</v>
      </c>
      <c r="C253" s="107">
        <v>722</v>
      </c>
      <c r="D253" s="107">
        <v>249</v>
      </c>
      <c r="E253" s="107">
        <v>254</v>
      </c>
      <c r="F253" s="107">
        <v>2.8425196850393699</v>
      </c>
      <c r="G253" s="107">
        <v>2.7126724752223699</v>
      </c>
      <c r="H253" s="107">
        <v>8.7178975882933399E-2</v>
      </c>
      <c r="I253" s="107">
        <v>1.48943261264459</v>
      </c>
      <c r="J253" s="107">
        <v>4.57</v>
      </c>
      <c r="K253" s="107">
        <v>0.86667703318433997</v>
      </c>
      <c r="L253" s="107">
        <v>0.58888331494944601</v>
      </c>
      <c r="M253" s="107">
        <v>0.432000291783528</v>
      </c>
      <c r="N253" s="107">
        <v>0.61198312745900296</v>
      </c>
      <c r="P253" s="107">
        <v>2.7998514511053032</v>
      </c>
      <c r="Q253" s="107">
        <v>2.6254934993394365</v>
      </c>
      <c r="R253" s="107">
        <v>2.8870304269882365</v>
      </c>
      <c r="S253" s="107">
        <v>2.5383145234565032</v>
      </c>
      <c r="AA253" s="107">
        <v>722</v>
      </c>
      <c r="AB253" s="107">
        <v>672.60944206008583</v>
      </c>
    </row>
    <row r="254" spans="1:28">
      <c r="A254" s="14">
        <v>43557</v>
      </c>
      <c r="B254" s="107">
        <v>722</v>
      </c>
      <c r="C254" s="107">
        <v>717</v>
      </c>
      <c r="D254" s="107">
        <v>252</v>
      </c>
      <c r="E254" s="107">
        <v>249</v>
      </c>
      <c r="F254" s="107">
        <v>2.8795180722891498</v>
      </c>
      <c r="G254" s="107">
        <v>2.7105323243311901</v>
      </c>
      <c r="H254" s="107">
        <v>8.5926286922700698E-2</v>
      </c>
      <c r="I254" s="107">
        <v>1.9666362182039101</v>
      </c>
      <c r="J254" s="107">
        <v>5.87</v>
      </c>
      <c r="K254" s="107">
        <v>0.86359363726664895</v>
      </c>
      <c r="L254" s="107">
        <v>0.61012106026610202</v>
      </c>
      <c r="M254" s="107">
        <v>0.42575194486720302</v>
      </c>
      <c r="N254" s="107">
        <v>0.78667123149254803</v>
      </c>
      <c r="P254" s="107">
        <v>2.7964586112538909</v>
      </c>
      <c r="Q254" s="107">
        <v>2.6246060374084892</v>
      </c>
      <c r="R254" s="107">
        <v>2.8823848981765914</v>
      </c>
      <c r="S254" s="107">
        <v>2.5386797504857888</v>
      </c>
      <c r="AA254" s="107">
        <v>717</v>
      </c>
      <c r="AB254" s="107">
        <v>659.36909871244632</v>
      </c>
    </row>
    <row r="255" spans="1:28">
      <c r="A255" s="14">
        <v>43556</v>
      </c>
      <c r="B255" s="107">
        <v>704</v>
      </c>
      <c r="C255" s="107">
        <v>707</v>
      </c>
      <c r="D255" s="107">
        <v>246</v>
      </c>
      <c r="E255" s="107">
        <v>247</v>
      </c>
      <c r="F255" s="107">
        <v>2.8623481781376499</v>
      </c>
      <c r="G255" s="107">
        <v>2.7077127472677498</v>
      </c>
      <c r="H255" s="107">
        <v>8.3777629488875696E-2</v>
      </c>
      <c r="I255" s="107">
        <v>1.8457842721658</v>
      </c>
      <c r="J255" s="107">
        <v>5.4</v>
      </c>
      <c r="K255" s="107">
        <v>0.86164464790127304</v>
      </c>
      <c r="L255" s="107">
        <v>0.70311459836488399</v>
      </c>
      <c r="M255" s="107">
        <v>0.41891143169596401</v>
      </c>
      <c r="N255" s="107">
        <v>0.79604485191207097</v>
      </c>
      <c r="P255" s="107">
        <v>2.7914903767566255</v>
      </c>
      <c r="Q255" s="107">
        <v>2.6239351177788741</v>
      </c>
      <c r="R255" s="107">
        <v>2.8752680062455012</v>
      </c>
      <c r="S255" s="107">
        <v>2.5401574882899984</v>
      </c>
      <c r="AA255" s="107">
        <v>707</v>
      </c>
      <c r="AB255" s="107">
        <v>654.07296137339051</v>
      </c>
    </row>
    <row r="256" spans="1:28">
      <c r="A256" s="14">
        <v>43553</v>
      </c>
      <c r="B256" s="107">
        <v>694</v>
      </c>
      <c r="C256" s="107">
        <v>687</v>
      </c>
      <c r="D256" s="107">
        <v>244</v>
      </c>
      <c r="E256" s="107">
        <v>243</v>
      </c>
      <c r="F256" s="107">
        <v>2.8271604938271602</v>
      </c>
      <c r="G256" s="107">
        <v>2.7050310980898602</v>
      </c>
      <c r="H256" s="107">
        <v>8.1984676506210594E-2</v>
      </c>
      <c r="I256" s="107">
        <v>1.4896612506368501</v>
      </c>
      <c r="J256" s="107">
        <v>4.32</v>
      </c>
      <c r="K256" s="107">
        <v>0.86149898120906199</v>
      </c>
      <c r="L256" s="107">
        <v>0.76351138235190197</v>
      </c>
      <c r="M256" s="107">
        <v>0.41291975016309101</v>
      </c>
      <c r="N256" s="107">
        <v>0.784819679385658</v>
      </c>
      <c r="P256" s="107">
        <v>2.7870157745960706</v>
      </c>
      <c r="Q256" s="107">
        <v>2.6230464215836498</v>
      </c>
      <c r="R256" s="107">
        <v>2.8690004511022815</v>
      </c>
      <c r="S256" s="107">
        <v>2.5410617450774389</v>
      </c>
      <c r="AA256" s="107">
        <v>687</v>
      </c>
      <c r="AB256" s="107">
        <v>643.48068669527902</v>
      </c>
    </row>
    <row r="257" spans="1:28">
      <c r="A257" s="14">
        <v>43552</v>
      </c>
      <c r="B257" s="107">
        <v>687</v>
      </c>
      <c r="C257" s="107">
        <v>684</v>
      </c>
      <c r="D257" s="107">
        <v>245</v>
      </c>
      <c r="E257" s="107">
        <v>242</v>
      </c>
      <c r="F257" s="107">
        <v>2.8264462809917301</v>
      </c>
      <c r="G257" s="107">
        <v>2.7024773252436902</v>
      </c>
      <c r="H257" s="107">
        <v>8.1119144708322197E-2</v>
      </c>
      <c r="I257" s="107">
        <v>1.5282330230896299</v>
      </c>
      <c r="J257" s="107">
        <v>4.3899999999999997</v>
      </c>
      <c r="K257" s="107">
        <v>0.86206503233182996</v>
      </c>
      <c r="L257" s="107">
        <v>0.74547585381409198</v>
      </c>
      <c r="M257" s="107">
        <v>0.40871572336844902</v>
      </c>
      <c r="N257" s="107">
        <v>0.77431770194528804</v>
      </c>
      <c r="P257" s="107">
        <v>2.7835964699520126</v>
      </c>
      <c r="Q257" s="107">
        <v>2.6213581805353678</v>
      </c>
      <c r="R257" s="107">
        <v>2.8647156146603345</v>
      </c>
      <c r="S257" s="107">
        <v>2.5402390358270459</v>
      </c>
      <c r="AA257" s="107">
        <v>684</v>
      </c>
      <c r="AB257" s="107">
        <v>640.83261802575112</v>
      </c>
    </row>
    <row r="258" spans="1:28">
      <c r="A258" s="14">
        <v>43551</v>
      </c>
      <c r="B258" s="107">
        <v>707</v>
      </c>
      <c r="C258" s="107">
        <v>699</v>
      </c>
      <c r="D258" s="107">
        <v>253</v>
      </c>
      <c r="E258" s="107">
        <v>249</v>
      </c>
      <c r="F258" s="107">
        <v>2.80722891566265</v>
      </c>
      <c r="G258" s="107">
        <v>2.70013529017438</v>
      </c>
      <c r="H258" s="107">
        <v>8.0034591559831905E-2</v>
      </c>
      <c r="I258" s="107">
        <v>1.3380917350994099</v>
      </c>
      <c r="J258" s="107">
        <v>3.81</v>
      </c>
      <c r="K258" s="107">
        <v>0.860949991483975</v>
      </c>
      <c r="L258" s="107">
        <v>0.77269218105632198</v>
      </c>
      <c r="M258" s="107">
        <v>0.40539227773694397</v>
      </c>
      <c r="N258" s="107">
        <v>0.76643275484586304</v>
      </c>
      <c r="P258" s="107">
        <v>2.7801698817342118</v>
      </c>
      <c r="Q258" s="107">
        <v>2.6201006986145483</v>
      </c>
      <c r="R258" s="107">
        <v>2.8602044732940439</v>
      </c>
      <c r="S258" s="107">
        <v>2.5400661070547161</v>
      </c>
      <c r="AA258" s="107">
        <v>699</v>
      </c>
      <c r="AB258" s="107">
        <v>659.36909871244632</v>
      </c>
    </row>
    <row r="259" spans="1:28">
      <c r="A259" s="14">
        <v>43550</v>
      </c>
      <c r="B259" s="107">
        <v>703</v>
      </c>
      <c r="C259" s="107">
        <v>709</v>
      </c>
      <c r="D259" s="107">
        <v>250</v>
      </c>
      <c r="E259" s="107">
        <v>255</v>
      </c>
      <c r="F259" s="107">
        <v>2.7803921568627401</v>
      </c>
      <c r="G259" s="107">
        <v>2.6975612143434899</v>
      </c>
      <c r="H259" s="107">
        <v>7.9652468464443196E-2</v>
      </c>
      <c r="I259" s="107">
        <v>1.0399042756122601</v>
      </c>
      <c r="J259" s="107">
        <v>2.98</v>
      </c>
      <c r="K259" s="107">
        <v>0.85674301083976701</v>
      </c>
      <c r="L259" s="107">
        <v>0.65998639504752898</v>
      </c>
      <c r="M259" s="107">
        <v>0.40212256621590498</v>
      </c>
      <c r="N259" s="107">
        <v>0.75699646861213898</v>
      </c>
      <c r="P259" s="107">
        <v>2.777213682807933</v>
      </c>
      <c r="Q259" s="107">
        <v>2.6179087458790469</v>
      </c>
      <c r="R259" s="107">
        <v>2.8568661512723765</v>
      </c>
      <c r="S259" s="107">
        <v>2.5382562774146034</v>
      </c>
      <c r="AA259" s="107">
        <v>709</v>
      </c>
      <c r="AB259" s="107">
        <v>675.25751072961373</v>
      </c>
    </row>
    <row r="260" spans="1:28">
      <c r="A260" s="14">
        <v>43549</v>
      </c>
      <c r="B260" s="107">
        <v>702</v>
      </c>
      <c r="C260" s="107">
        <v>694</v>
      </c>
      <c r="D260" s="107">
        <v>247</v>
      </c>
      <c r="E260" s="107">
        <v>247</v>
      </c>
      <c r="F260" s="107">
        <v>2.8097165991902799</v>
      </c>
      <c r="G260" s="107">
        <v>2.6965268021850601</v>
      </c>
      <c r="H260" s="107">
        <v>7.9071699706066395E-2</v>
      </c>
      <c r="I260" s="107">
        <v>1.4314830391402</v>
      </c>
      <c r="J260" s="107">
        <v>4.03</v>
      </c>
      <c r="K260" s="107">
        <v>0.86685253671029205</v>
      </c>
      <c r="L260" s="107">
        <v>0.61495068770612704</v>
      </c>
      <c r="M260" s="107">
        <v>0.398918415382786</v>
      </c>
      <c r="N260" s="107">
        <v>0.76632760344062101</v>
      </c>
      <c r="P260" s="107">
        <v>2.7755985018911264</v>
      </c>
      <c r="Q260" s="107">
        <v>2.6174551024789938</v>
      </c>
      <c r="R260" s="107">
        <v>2.8546702015971928</v>
      </c>
      <c r="S260" s="107">
        <v>2.5383834027729275</v>
      </c>
      <c r="AA260" s="107">
        <v>694</v>
      </c>
      <c r="AB260" s="107">
        <v>654.07296137339051</v>
      </c>
    </row>
    <row r="261" spans="1:28">
      <c r="A261" s="14">
        <v>43546</v>
      </c>
      <c r="B261" s="107">
        <v>723</v>
      </c>
      <c r="C261" s="107">
        <v>713</v>
      </c>
      <c r="D261" s="107">
        <v>247</v>
      </c>
      <c r="E261" s="107">
        <v>251</v>
      </c>
      <c r="F261" s="107">
        <v>2.8406374501992002</v>
      </c>
      <c r="G261" s="107">
        <v>2.69634282576048</v>
      </c>
      <c r="H261" s="107">
        <v>7.8823790115282705E-2</v>
      </c>
      <c r="I261" s="107">
        <v>1.8305973897941601</v>
      </c>
      <c r="J261" s="107">
        <v>5.08</v>
      </c>
      <c r="K261" s="107">
        <v>0.87218089166133494</v>
      </c>
      <c r="L261" s="107">
        <v>0.44641042191423103</v>
      </c>
      <c r="M261" s="107">
        <v>0.39267288554298901</v>
      </c>
      <c r="N261" s="107">
        <v>0.81942332723805</v>
      </c>
      <c r="P261" s="107">
        <v>2.7751666158757629</v>
      </c>
      <c r="Q261" s="107">
        <v>2.6175190356451972</v>
      </c>
      <c r="R261" s="107">
        <v>2.8539904059910453</v>
      </c>
      <c r="S261" s="107">
        <v>2.5386952455299148</v>
      </c>
      <c r="AA261" s="107">
        <v>713</v>
      </c>
      <c r="AB261" s="107">
        <v>664.66523605150212</v>
      </c>
    </row>
    <row r="262" spans="1:28">
      <c r="A262" s="14">
        <v>43544</v>
      </c>
      <c r="B262" s="107">
        <v>688</v>
      </c>
      <c r="C262" s="107">
        <v>707</v>
      </c>
      <c r="D262" s="107">
        <v>245</v>
      </c>
      <c r="E262" s="107">
        <v>246</v>
      </c>
      <c r="F262" s="107">
        <v>2.87398373983739</v>
      </c>
      <c r="G262" s="107">
        <v>2.69641210420227</v>
      </c>
      <c r="H262" s="107">
        <v>7.89527584369413E-2</v>
      </c>
      <c r="I262" s="107">
        <v>2.2490871649145801</v>
      </c>
      <c r="J262" s="107">
        <v>6.18</v>
      </c>
      <c r="K262" s="107">
        <v>0.87689311836444195</v>
      </c>
      <c r="L262" s="107">
        <v>0.40304825802327598</v>
      </c>
      <c r="M262" s="107">
        <v>0.38779697467822599</v>
      </c>
      <c r="N262" s="107">
        <v>0.77523869507368304</v>
      </c>
      <c r="P262" s="107">
        <v>2.7753648626392113</v>
      </c>
      <c r="Q262" s="107">
        <v>2.6174593457653286</v>
      </c>
      <c r="R262" s="107">
        <v>2.8543176210761527</v>
      </c>
      <c r="S262" s="107">
        <v>2.5385065873283872</v>
      </c>
      <c r="AA262" s="107">
        <v>707</v>
      </c>
      <c r="AB262" s="107">
        <v>651.42489270386261</v>
      </c>
    </row>
    <row r="263" spans="1:28">
      <c r="A263" s="14">
        <v>43543</v>
      </c>
      <c r="B263" s="107">
        <v>683</v>
      </c>
      <c r="C263" s="107">
        <v>688</v>
      </c>
      <c r="D263" s="107">
        <v>241</v>
      </c>
      <c r="E263" s="107">
        <v>244</v>
      </c>
      <c r="F263" s="107">
        <v>2.8196721311475401</v>
      </c>
      <c r="G263" s="107">
        <v>2.6971767272991398</v>
      </c>
      <c r="H263" s="107">
        <v>8.09218932073094E-2</v>
      </c>
      <c r="I263" s="107">
        <v>1.51374861602137</v>
      </c>
      <c r="J263" s="107">
        <v>4.34</v>
      </c>
      <c r="K263" s="107">
        <v>0.87924845246612604</v>
      </c>
      <c r="L263" s="107">
        <v>0.339947569259341</v>
      </c>
      <c r="M263" s="107">
        <v>0.38284015045361203</v>
      </c>
      <c r="N263" s="107">
        <v>0.77005324032547795</v>
      </c>
      <c r="P263" s="107">
        <v>2.7780986205064493</v>
      </c>
      <c r="Q263" s="107">
        <v>2.6162548340918304</v>
      </c>
      <c r="R263" s="107">
        <v>2.8590205137137588</v>
      </c>
      <c r="S263" s="107">
        <v>2.5353329408845209</v>
      </c>
      <c r="AA263" s="107">
        <v>688</v>
      </c>
      <c r="AB263" s="107">
        <v>646.12875536480681</v>
      </c>
    </row>
    <row r="264" spans="1:28">
      <c r="A264" s="14">
        <v>43542</v>
      </c>
      <c r="B264" s="107">
        <v>687</v>
      </c>
      <c r="C264" s="107">
        <v>680</v>
      </c>
      <c r="D264" s="107">
        <v>242</v>
      </c>
      <c r="E264" s="107">
        <v>242</v>
      </c>
      <c r="F264" s="107">
        <v>2.8099173553718999</v>
      </c>
      <c r="G264" s="107">
        <v>2.6977499114732599</v>
      </c>
      <c r="H264" s="107">
        <v>8.1933446291741499E-2</v>
      </c>
      <c r="I264" s="107">
        <v>1.36900678508316</v>
      </c>
      <c r="J264" s="107">
        <v>3.99</v>
      </c>
      <c r="K264" s="107">
        <v>0.87972823772434805</v>
      </c>
      <c r="L264" s="107">
        <v>0.441289383036717</v>
      </c>
      <c r="M264" s="107">
        <v>0.37881232314652502</v>
      </c>
      <c r="N264" s="107">
        <v>0.77124239243789605</v>
      </c>
      <c r="P264" s="107">
        <v>2.7796833577650015</v>
      </c>
      <c r="Q264" s="107">
        <v>2.6158164651815183</v>
      </c>
      <c r="R264" s="107">
        <v>2.8616168040567431</v>
      </c>
      <c r="S264" s="107">
        <v>2.5338830188897767</v>
      </c>
      <c r="AA264" s="107">
        <v>680</v>
      </c>
      <c r="AB264" s="107">
        <v>640.83261802575112</v>
      </c>
    </row>
    <row r="265" spans="1:28">
      <c r="A265" s="14">
        <v>43539</v>
      </c>
      <c r="B265" s="107">
        <v>680</v>
      </c>
      <c r="C265" s="107">
        <v>680</v>
      </c>
      <c r="D265" s="107">
        <v>240</v>
      </c>
      <c r="E265" s="107">
        <v>240</v>
      </c>
      <c r="F265" s="107">
        <v>2.8333333333333299</v>
      </c>
      <c r="G265" s="107">
        <v>2.6987326225970301</v>
      </c>
      <c r="H265" s="107">
        <v>8.3695934048424195E-2</v>
      </c>
      <c r="I265" s="107">
        <v>1.60821086790692</v>
      </c>
      <c r="J265" s="107">
        <v>4.75</v>
      </c>
      <c r="K265" s="107">
        <v>0.87867527947872304</v>
      </c>
      <c r="L265" s="107">
        <v>0.33000862798285102</v>
      </c>
      <c r="M265" s="107">
        <v>0.375875932972904</v>
      </c>
      <c r="N265" s="107">
        <v>0.73951484622741404</v>
      </c>
      <c r="P265" s="107">
        <v>2.7824285566454541</v>
      </c>
      <c r="Q265" s="107">
        <v>2.615036688548606</v>
      </c>
      <c r="R265" s="107">
        <v>2.8661244906938785</v>
      </c>
      <c r="S265" s="107">
        <v>2.5313407545001816</v>
      </c>
      <c r="AA265" s="107">
        <v>680</v>
      </c>
      <c r="AB265" s="107">
        <v>635.53648068669531</v>
      </c>
    </row>
    <row r="266" spans="1:28">
      <c r="A266" s="14">
        <v>43538</v>
      </c>
      <c r="B266" s="107">
        <v>669</v>
      </c>
      <c r="C266" s="107">
        <v>675</v>
      </c>
      <c r="D266" s="107">
        <v>242</v>
      </c>
      <c r="E266" s="107">
        <v>238</v>
      </c>
      <c r="F266" s="107">
        <v>2.8361344537815101</v>
      </c>
      <c r="G266" s="107">
        <v>2.6976490596952898</v>
      </c>
      <c r="H266" s="107">
        <v>8.2463305393515998E-2</v>
      </c>
      <c r="I266" s="107">
        <v>1.6793577873863501</v>
      </c>
      <c r="J266" s="107">
        <v>4.88</v>
      </c>
      <c r="K266" s="107">
        <v>0.88277196382852197</v>
      </c>
      <c r="L266" s="107">
        <v>0.23920816221456101</v>
      </c>
      <c r="M266" s="107">
        <v>0.372127924097441</v>
      </c>
      <c r="N266" s="107">
        <v>0.73862462597044898</v>
      </c>
      <c r="P266" s="107">
        <v>2.7801123650888058</v>
      </c>
      <c r="Q266" s="107">
        <v>2.6151857543017738</v>
      </c>
      <c r="R266" s="107">
        <v>2.8625756704823218</v>
      </c>
      <c r="S266" s="107">
        <v>2.5327224489082578</v>
      </c>
      <c r="AA266" s="107">
        <v>675</v>
      </c>
      <c r="AB266" s="107">
        <v>630.24034334763951</v>
      </c>
    </row>
    <row r="267" spans="1:28">
      <c r="A267" s="14">
        <v>43537</v>
      </c>
      <c r="B267" s="107">
        <v>664</v>
      </c>
      <c r="C267" s="107">
        <v>657</v>
      </c>
      <c r="D267" s="107">
        <v>239</v>
      </c>
      <c r="E267" s="107">
        <v>238</v>
      </c>
      <c r="F267" s="107">
        <v>2.76050420168067</v>
      </c>
      <c r="G267" s="107">
        <v>2.6958016755803502</v>
      </c>
      <c r="H267" s="107">
        <v>8.0876910049122896E-2</v>
      </c>
      <c r="I267" s="107">
        <v>0.80001234049393899</v>
      </c>
      <c r="J267" s="107">
        <v>2.34</v>
      </c>
      <c r="K267" s="107">
        <v>0.88218707763489501</v>
      </c>
      <c r="L267" s="107">
        <v>0.18003594254142799</v>
      </c>
      <c r="M267" s="107">
        <v>0.36781696285419202</v>
      </c>
      <c r="N267" s="107">
        <v>0.75128729151634199</v>
      </c>
      <c r="P267" s="107">
        <v>2.7766785856294733</v>
      </c>
      <c r="Q267" s="107">
        <v>2.6149247655312271</v>
      </c>
      <c r="R267" s="107">
        <v>2.857555495678596</v>
      </c>
      <c r="S267" s="107">
        <v>2.5340478554821044</v>
      </c>
      <c r="AA267" s="107">
        <v>657</v>
      </c>
      <c r="AB267" s="107">
        <v>630.24034334763951</v>
      </c>
    </row>
    <row r="268" spans="1:28">
      <c r="A268" s="14">
        <v>43536</v>
      </c>
      <c r="B268" s="107">
        <v>664</v>
      </c>
      <c r="C268" s="107">
        <v>667</v>
      </c>
      <c r="D268" s="107">
        <v>235</v>
      </c>
      <c r="E268" s="107">
        <v>238</v>
      </c>
      <c r="F268" s="107">
        <v>2.8025210084033598</v>
      </c>
      <c r="G268" s="107">
        <v>2.6965258170888098</v>
      </c>
      <c r="H268" s="107">
        <v>8.1692021257844E-2</v>
      </c>
      <c r="I268" s="107">
        <v>1.29749747505938</v>
      </c>
      <c r="J268" s="107">
        <v>3.78</v>
      </c>
      <c r="K268" s="107">
        <v>0.88373579720738604</v>
      </c>
      <c r="L268" s="107">
        <v>0.101188918075335</v>
      </c>
      <c r="M268" s="107">
        <v>0.36457728831228697</v>
      </c>
      <c r="N268" s="107">
        <v>0.57826308846826302</v>
      </c>
      <c r="P268" s="107">
        <v>2.7782178383466536</v>
      </c>
      <c r="Q268" s="107">
        <v>2.614833795830966</v>
      </c>
      <c r="R268" s="107">
        <v>2.8599098596044978</v>
      </c>
      <c r="S268" s="107">
        <v>2.5331417745731217</v>
      </c>
      <c r="AA268" s="107">
        <v>667</v>
      </c>
      <c r="AB268" s="107">
        <v>630.24034334763951</v>
      </c>
    </row>
    <row r="269" spans="1:28">
      <c r="A269" s="14">
        <v>43535</v>
      </c>
      <c r="B269" s="107">
        <v>644</v>
      </c>
      <c r="C269" s="107">
        <v>654</v>
      </c>
      <c r="D269" s="107">
        <v>227</v>
      </c>
      <c r="E269" s="107">
        <v>230</v>
      </c>
      <c r="F269" s="107">
        <v>2.8434782608695599</v>
      </c>
      <c r="G269" s="107">
        <v>2.69822223119164</v>
      </c>
      <c r="H269" s="107">
        <v>8.5124429817542396E-2</v>
      </c>
      <c r="I269" s="107">
        <v>1.7063965067286599</v>
      </c>
      <c r="J269" s="107">
        <v>5.1100000000000003</v>
      </c>
      <c r="K269" s="107">
        <v>0.89404305464504796</v>
      </c>
      <c r="L269" s="107">
        <v>0.16183943221609401</v>
      </c>
      <c r="M269" s="107">
        <v>0.359974233915138</v>
      </c>
      <c r="N269" s="107">
        <v>0.59859179387304495</v>
      </c>
      <c r="P269" s="107">
        <v>2.7833466610091824</v>
      </c>
      <c r="Q269" s="107">
        <v>2.6130978013740975</v>
      </c>
      <c r="R269" s="107">
        <v>2.8684710908267248</v>
      </c>
      <c r="S269" s="107">
        <v>2.5279733715565551</v>
      </c>
      <c r="AA269" s="107">
        <v>654</v>
      </c>
      <c r="AB269" s="107">
        <v>609.05579399141629</v>
      </c>
    </row>
    <row r="270" spans="1:28">
      <c r="A270" s="14">
        <v>43532</v>
      </c>
      <c r="B270" s="107">
        <v>650</v>
      </c>
      <c r="C270" s="107">
        <v>638</v>
      </c>
      <c r="D270" s="107">
        <v>229</v>
      </c>
      <c r="E270" s="107">
        <v>226</v>
      </c>
      <c r="F270" s="107">
        <v>2.8230088495575201</v>
      </c>
      <c r="G270" s="107">
        <v>2.7000359636696598</v>
      </c>
      <c r="H270" s="107">
        <v>8.9534976384699802E-2</v>
      </c>
      <c r="I270" s="107">
        <v>1.37346197936644</v>
      </c>
      <c r="J270" s="107">
        <v>4.3600000000000003</v>
      </c>
      <c r="K270" s="107">
        <v>0.901368717727976</v>
      </c>
      <c r="L270" s="107">
        <v>0.13762493307236701</v>
      </c>
      <c r="M270" s="107">
        <v>0.35439917155633999</v>
      </c>
      <c r="N270" s="107">
        <v>0.59017564228923103</v>
      </c>
      <c r="P270" s="107">
        <v>2.7895709400543596</v>
      </c>
      <c r="Q270" s="107">
        <v>2.6105009872849601</v>
      </c>
      <c r="R270" s="107">
        <v>2.8791059164390593</v>
      </c>
      <c r="S270" s="107">
        <v>2.5209660109002603</v>
      </c>
      <c r="AA270" s="107">
        <v>638</v>
      </c>
      <c r="AB270" s="107">
        <v>598.46351931330469</v>
      </c>
    </row>
    <row r="271" spans="1:28">
      <c r="A271" s="14">
        <v>43531</v>
      </c>
      <c r="B271" s="107">
        <v>653</v>
      </c>
      <c r="C271" s="107">
        <v>656</v>
      </c>
      <c r="D271" s="107">
        <v>238</v>
      </c>
      <c r="E271" s="107">
        <v>233</v>
      </c>
      <c r="F271" s="107">
        <v>2.8154506437768201</v>
      </c>
      <c r="G271" s="107">
        <v>2.7032773883752799</v>
      </c>
      <c r="H271" s="107">
        <v>9.7934837632639604E-2</v>
      </c>
      <c r="I271" s="107">
        <v>1.14538664803126</v>
      </c>
      <c r="J271" s="107">
        <v>3.98</v>
      </c>
      <c r="K271" s="107">
        <v>0.90849473192527697</v>
      </c>
      <c r="L271" s="107">
        <v>0.19321273146630399</v>
      </c>
      <c r="M271" s="107">
        <v>0.35102461459029699</v>
      </c>
      <c r="N271" s="107">
        <v>0.58022256769418401</v>
      </c>
      <c r="P271" s="107">
        <v>2.8012122260079195</v>
      </c>
      <c r="Q271" s="107">
        <v>2.6053425507426402</v>
      </c>
      <c r="R271" s="107">
        <v>2.8991470636405592</v>
      </c>
      <c r="S271" s="107">
        <v>2.5074077131100005</v>
      </c>
      <c r="AA271" s="107">
        <v>656</v>
      </c>
      <c r="AB271" s="107">
        <v>617</v>
      </c>
    </row>
    <row r="272" spans="1:28">
      <c r="A272" s="14">
        <v>43530</v>
      </c>
      <c r="B272" s="107">
        <v>660</v>
      </c>
      <c r="C272" s="107">
        <v>659</v>
      </c>
      <c r="D272" s="107">
        <v>239</v>
      </c>
      <c r="E272" s="107">
        <v>239</v>
      </c>
      <c r="F272" s="107">
        <v>2.7573221757322099</v>
      </c>
      <c r="G272" s="107">
        <v>2.70697961191035</v>
      </c>
      <c r="H272" s="107">
        <v>0.106939662090843</v>
      </c>
      <c r="I272" s="107">
        <v>0.47075671306212902</v>
      </c>
      <c r="J272" s="107">
        <v>1.83</v>
      </c>
      <c r="K272" s="107">
        <v>0.90956903778910503</v>
      </c>
      <c r="L272" s="107">
        <v>0.18284639517221901</v>
      </c>
      <c r="M272" s="107">
        <v>0.34681841556190501</v>
      </c>
      <c r="N272" s="107">
        <v>0.61582387821173201</v>
      </c>
      <c r="P272" s="107">
        <v>2.8139192740011931</v>
      </c>
      <c r="Q272" s="107">
        <v>2.6000399498195068</v>
      </c>
      <c r="R272" s="107">
        <v>2.9208589360920358</v>
      </c>
      <c r="S272" s="107">
        <v>2.4931002877286641</v>
      </c>
      <c r="AA272" s="107">
        <v>659</v>
      </c>
      <c r="AB272" s="107">
        <v>632.88841201716741</v>
      </c>
    </row>
    <row r="273" spans="1:28">
      <c r="A273" s="14">
        <v>43529</v>
      </c>
      <c r="B273" s="107">
        <v>667</v>
      </c>
      <c r="C273" s="107">
        <v>661</v>
      </c>
      <c r="D273" s="107">
        <v>243</v>
      </c>
      <c r="E273" s="107">
        <v>240</v>
      </c>
      <c r="F273" s="107">
        <v>2.7541666666666602</v>
      </c>
      <c r="G273" s="107">
        <v>2.7111292947285501</v>
      </c>
      <c r="H273" s="107">
        <v>0.11457823906272099</v>
      </c>
      <c r="I273" s="107">
        <v>0.37561558189558603</v>
      </c>
      <c r="J273" s="107">
        <v>1.56</v>
      </c>
      <c r="K273" s="107">
        <v>0.91022708815262099</v>
      </c>
      <c r="L273" s="107">
        <v>7.3672635707612802E-2</v>
      </c>
      <c r="M273" s="107">
        <v>0.34284647587486899</v>
      </c>
      <c r="N273" s="107">
        <v>0.60901162661146402</v>
      </c>
      <c r="P273" s="107">
        <v>2.8257075337912712</v>
      </c>
      <c r="Q273" s="107">
        <v>2.5965510556658291</v>
      </c>
      <c r="R273" s="107">
        <v>2.9402857728539922</v>
      </c>
      <c r="S273" s="107">
        <v>2.4819728166031081</v>
      </c>
      <c r="AA273" s="107">
        <v>661</v>
      </c>
      <c r="AB273" s="107">
        <v>635.53648068669531</v>
      </c>
    </row>
    <row r="274" spans="1:28">
      <c r="A274" s="14">
        <v>43528</v>
      </c>
      <c r="B274" s="107">
        <v>671</v>
      </c>
      <c r="C274" s="107">
        <v>669</v>
      </c>
      <c r="D274" s="107">
        <v>246</v>
      </c>
      <c r="E274" s="107">
        <v>244</v>
      </c>
      <c r="F274" s="107">
        <v>2.7418032786885198</v>
      </c>
      <c r="G274" s="107">
        <v>2.7148371800332098</v>
      </c>
      <c r="H274" s="107">
        <v>0.120269325842631</v>
      </c>
      <c r="I274" s="107">
        <v>0.22421426632588501</v>
      </c>
      <c r="J274" s="107">
        <v>0.98</v>
      </c>
      <c r="K274" s="107">
        <v>0.90937472118440699</v>
      </c>
      <c r="L274" s="107">
        <v>0.27053238728053902</v>
      </c>
      <c r="M274" s="107">
        <v>0.34031649313133799</v>
      </c>
      <c r="N274" s="107">
        <v>0.73463562880634503</v>
      </c>
      <c r="P274" s="107">
        <v>2.8351065058758409</v>
      </c>
      <c r="Q274" s="107">
        <v>2.5945678541905788</v>
      </c>
      <c r="R274" s="107">
        <v>2.955375831718472</v>
      </c>
      <c r="S274" s="107">
        <v>2.4742985283479477</v>
      </c>
      <c r="AA274" s="107">
        <v>669</v>
      </c>
      <c r="AB274" s="107">
        <v>646.12875536480681</v>
      </c>
    </row>
    <row r="275" spans="1:28">
      <c r="A275" s="14">
        <v>43525</v>
      </c>
      <c r="B275" s="107">
        <v>668</v>
      </c>
      <c r="C275" s="107">
        <v>667</v>
      </c>
      <c r="D275" s="107">
        <v>243</v>
      </c>
      <c r="E275" s="107">
        <v>243</v>
      </c>
      <c r="F275" s="107">
        <v>2.74485596707818</v>
      </c>
      <c r="G275" s="107">
        <v>2.7176907802263299</v>
      </c>
      <c r="H275" s="107">
        <v>0.123374212005199</v>
      </c>
      <c r="I275" s="107">
        <v>0.22018529164515999</v>
      </c>
      <c r="J275" s="107">
        <v>0.99</v>
      </c>
      <c r="K275" s="107">
        <v>0.91064540219411905</v>
      </c>
      <c r="L275" s="107">
        <v>0.27561751325085998</v>
      </c>
      <c r="M275" s="107">
        <v>0.33745174966467001</v>
      </c>
      <c r="N275" s="107">
        <v>0.74019442943289804</v>
      </c>
      <c r="P275" s="107">
        <v>2.8410649922315288</v>
      </c>
      <c r="Q275" s="107">
        <v>2.5943165682211311</v>
      </c>
      <c r="R275" s="107">
        <v>2.964439204236728</v>
      </c>
      <c r="S275" s="107">
        <v>2.4709423562159318</v>
      </c>
      <c r="AA275" s="107">
        <v>667</v>
      </c>
      <c r="AB275" s="107">
        <v>643.48068669527902</v>
      </c>
    </row>
    <row r="276" spans="1:28">
      <c r="A276" s="14">
        <v>43524</v>
      </c>
      <c r="B276" s="107">
        <v>663</v>
      </c>
      <c r="C276" s="107">
        <v>662</v>
      </c>
      <c r="D276" s="107">
        <v>247</v>
      </c>
      <c r="E276" s="107">
        <v>246</v>
      </c>
      <c r="F276" s="107">
        <v>2.6910569105690998</v>
      </c>
      <c r="G276" s="107">
        <v>2.7205083713160199</v>
      </c>
      <c r="H276" s="107">
        <v>0.12633981799636201</v>
      </c>
      <c r="I276" s="107">
        <v>-0.23311305346160199</v>
      </c>
      <c r="J276" s="107">
        <v>-1.0900000000000001</v>
      </c>
      <c r="K276" s="107">
        <v>0.91158266819599498</v>
      </c>
      <c r="L276" s="107">
        <v>0.185880983615484</v>
      </c>
      <c r="M276" s="107">
        <v>0.33406385341549799</v>
      </c>
      <c r="N276" s="107">
        <v>0.73304780258996205</v>
      </c>
      <c r="P276" s="107">
        <v>2.8468481893123818</v>
      </c>
      <c r="Q276" s="107">
        <v>2.5941685533196579</v>
      </c>
      <c r="R276" s="107">
        <v>2.9731880073087438</v>
      </c>
      <c r="S276" s="107">
        <v>2.4678287353232959</v>
      </c>
      <c r="AA276" s="107">
        <v>662</v>
      </c>
      <c r="AB276" s="107">
        <v>651.42489270386261</v>
      </c>
    </row>
    <row r="277" spans="1:28">
      <c r="A277" s="14">
        <v>43523</v>
      </c>
      <c r="B277" s="107">
        <v>677</v>
      </c>
      <c r="C277" s="107">
        <v>667</v>
      </c>
      <c r="D277" s="107">
        <v>246</v>
      </c>
      <c r="E277" s="107">
        <v>247</v>
      </c>
      <c r="F277" s="107">
        <v>2.7004048582995899</v>
      </c>
      <c r="G277" s="107">
        <v>2.72322976304606</v>
      </c>
      <c r="H277" s="107">
        <v>0.12786513866611199</v>
      </c>
      <c r="I277" s="107">
        <v>-0.17850764473085501</v>
      </c>
      <c r="J277" s="107">
        <v>-0.85</v>
      </c>
      <c r="K277" s="107">
        <v>0.90761953438814802</v>
      </c>
      <c r="L277" s="107">
        <v>0.20642896938621799</v>
      </c>
      <c r="M277" s="107">
        <v>0.33109018101736498</v>
      </c>
      <c r="N277" s="107">
        <v>0.73471245192380397</v>
      </c>
      <c r="P277" s="107">
        <v>2.8510949017121718</v>
      </c>
      <c r="Q277" s="107">
        <v>2.5953646243799482</v>
      </c>
      <c r="R277" s="107">
        <v>2.9789600403782841</v>
      </c>
      <c r="S277" s="107">
        <v>2.4674994857138359</v>
      </c>
      <c r="AA277" s="107">
        <v>667</v>
      </c>
      <c r="AB277" s="107">
        <v>654.07296137339051</v>
      </c>
    </row>
    <row r="278" spans="1:28">
      <c r="A278" s="14">
        <v>43522</v>
      </c>
      <c r="B278" s="107">
        <v>679</v>
      </c>
      <c r="C278" s="107">
        <v>673</v>
      </c>
      <c r="D278" s="107">
        <v>247</v>
      </c>
      <c r="E278" s="107">
        <v>245</v>
      </c>
      <c r="F278" s="107">
        <v>2.7469387755102002</v>
      </c>
      <c r="G278" s="107">
        <v>2.7267959847479801</v>
      </c>
      <c r="H278" s="107">
        <v>0.13087331163999399</v>
      </c>
      <c r="I278" s="107">
        <v>0.15391060644681501</v>
      </c>
      <c r="J278" s="107">
        <v>0.73</v>
      </c>
      <c r="K278" s="107">
        <v>0.897882407576026</v>
      </c>
      <c r="L278" s="107">
        <v>1.10985167424045E-2</v>
      </c>
      <c r="M278" s="107">
        <v>0.32906425403540102</v>
      </c>
      <c r="N278" s="107">
        <v>0.71558241893936703</v>
      </c>
      <c r="P278" s="107">
        <v>2.8576692963879742</v>
      </c>
      <c r="Q278" s="107">
        <v>2.5959226731079861</v>
      </c>
      <c r="R278" s="107">
        <v>2.9885426080279682</v>
      </c>
      <c r="S278" s="107">
        <v>2.465049361467992</v>
      </c>
      <c r="AA278" s="107">
        <v>673</v>
      </c>
      <c r="AB278" s="107">
        <v>648.77682403433471</v>
      </c>
    </row>
    <row r="279" spans="1:28">
      <c r="A279" s="14">
        <v>43521</v>
      </c>
      <c r="B279" s="107">
        <v>673</v>
      </c>
      <c r="C279" s="107">
        <v>675</v>
      </c>
      <c r="D279" s="107">
        <v>246</v>
      </c>
      <c r="E279" s="107">
        <v>244</v>
      </c>
      <c r="F279" s="107">
        <v>2.7663934426229502</v>
      </c>
      <c r="G279" s="107">
        <v>2.7333236613788001</v>
      </c>
      <c r="H279" s="107">
        <v>0.14333170113843699</v>
      </c>
      <c r="I279" s="107">
        <v>0.230722031354405</v>
      </c>
      <c r="J279" s="107">
        <v>1.2</v>
      </c>
      <c r="K279" s="107">
        <v>0.87293053528058995</v>
      </c>
      <c r="L279" s="107">
        <v>0.19963115678473101</v>
      </c>
      <c r="M279" s="107">
        <v>0.32718579248546198</v>
      </c>
      <c r="N279" s="107">
        <v>0.71891180736590699</v>
      </c>
      <c r="P279" s="107">
        <v>2.8766553625172371</v>
      </c>
      <c r="Q279" s="107">
        <v>2.5899919602403632</v>
      </c>
      <c r="R279" s="107">
        <v>3.019987063655674</v>
      </c>
      <c r="S279" s="107">
        <v>2.4466602591019262</v>
      </c>
      <c r="AA279" s="107">
        <v>675</v>
      </c>
      <c r="AB279" s="107">
        <v>646.12875536480681</v>
      </c>
    </row>
    <row r="280" spans="1:28">
      <c r="A280" s="14">
        <v>43518</v>
      </c>
      <c r="B280" s="107">
        <v>664</v>
      </c>
      <c r="C280" s="107">
        <v>665</v>
      </c>
      <c r="D280" s="107">
        <v>244</v>
      </c>
      <c r="E280" s="107">
        <v>246</v>
      </c>
      <c r="F280" s="107">
        <v>2.7032520325203202</v>
      </c>
      <c r="G280" s="107">
        <v>2.7414804322838902</v>
      </c>
      <c r="H280" s="107">
        <v>0.16126654106934499</v>
      </c>
      <c r="I280" s="107">
        <v>-0.23705103061103899</v>
      </c>
      <c r="J280" s="107">
        <v>-1.41</v>
      </c>
      <c r="K280" s="107">
        <v>0.869621504284108</v>
      </c>
      <c r="L280" s="107">
        <v>0.20779444125600699</v>
      </c>
      <c r="M280" s="107">
        <v>0.32434734336708099</v>
      </c>
      <c r="N280" s="107">
        <v>0.723381723964032</v>
      </c>
      <c r="P280" s="107">
        <v>2.9027469733532349</v>
      </c>
      <c r="Q280" s="107">
        <v>2.5802138912145454</v>
      </c>
      <c r="R280" s="107">
        <v>3.0640135144225802</v>
      </c>
      <c r="S280" s="107">
        <v>2.4189473501452001</v>
      </c>
      <c r="AA280" s="107">
        <v>665</v>
      </c>
      <c r="AB280" s="107">
        <v>651.42489270386261</v>
      </c>
    </row>
    <row r="281" spans="1:28">
      <c r="A281" s="14">
        <v>43517</v>
      </c>
      <c r="B281" s="107">
        <v>664</v>
      </c>
      <c r="C281" s="107">
        <v>671</v>
      </c>
      <c r="D281" s="107">
        <v>246</v>
      </c>
      <c r="E281" s="107">
        <v>247</v>
      </c>
      <c r="F281" s="107">
        <v>2.7165991902834001</v>
      </c>
      <c r="G281" s="107">
        <v>2.75308151629473</v>
      </c>
      <c r="H281" s="107">
        <v>0.18729446502959701</v>
      </c>
      <c r="I281" s="107">
        <v>-0.19478592709915399</v>
      </c>
      <c r="J281" s="107">
        <v>-1.34</v>
      </c>
      <c r="K281" s="107">
        <v>0.85272854060396497</v>
      </c>
      <c r="L281" s="107">
        <v>0.138288656659623</v>
      </c>
      <c r="M281" s="107">
        <v>0.32248975603681601</v>
      </c>
      <c r="N281" s="107">
        <v>0.71741521303853995</v>
      </c>
      <c r="P281" s="107">
        <v>2.9403759813243271</v>
      </c>
      <c r="Q281" s="107">
        <v>2.5657870512651328</v>
      </c>
      <c r="R281" s="107">
        <v>3.1276704463539238</v>
      </c>
      <c r="S281" s="107">
        <v>2.3784925862355362</v>
      </c>
      <c r="AA281" s="107">
        <v>671</v>
      </c>
      <c r="AB281" s="107">
        <v>654.07296137339051</v>
      </c>
    </row>
    <row r="282" spans="1:28">
      <c r="A282" s="14">
        <v>43516</v>
      </c>
      <c r="B282" s="107">
        <v>675</v>
      </c>
      <c r="C282" s="107">
        <v>662</v>
      </c>
      <c r="D282" s="107">
        <v>246</v>
      </c>
      <c r="E282" s="107">
        <v>245</v>
      </c>
      <c r="F282" s="107">
        <v>2.7020408163265301</v>
      </c>
      <c r="G282" s="107">
        <v>2.7631347035615401</v>
      </c>
      <c r="H282" s="107">
        <v>0.204510674079559</v>
      </c>
      <c r="I282" s="107">
        <v>-0.298732022228059</v>
      </c>
      <c r="J282" s="107">
        <v>-2.2599999999999998</v>
      </c>
      <c r="K282" s="107">
        <v>0.83410886596061196</v>
      </c>
      <c r="L282" s="107">
        <v>0.229144402658365</v>
      </c>
      <c r="M282" s="107">
        <v>0.32098584454392198</v>
      </c>
      <c r="N282" s="107">
        <v>0.70645080529650905</v>
      </c>
      <c r="P282" s="107">
        <v>2.9676453776410989</v>
      </c>
      <c r="Q282" s="107">
        <v>2.5586240294819813</v>
      </c>
      <c r="R282" s="107">
        <v>3.1721560517206582</v>
      </c>
      <c r="S282" s="107">
        <v>2.3541133554024221</v>
      </c>
      <c r="AA282" s="107">
        <v>662</v>
      </c>
      <c r="AB282" s="107">
        <v>648.77682403433471</v>
      </c>
    </row>
    <row r="283" spans="1:28">
      <c r="A283" s="14">
        <v>43515</v>
      </c>
      <c r="B283" s="107">
        <v>664</v>
      </c>
      <c r="C283" s="107">
        <v>667</v>
      </c>
      <c r="D283" s="107">
        <v>244</v>
      </c>
      <c r="E283" s="107">
        <v>244</v>
      </c>
      <c r="F283" s="107">
        <v>2.7336065573770401</v>
      </c>
      <c r="G283" s="107">
        <v>2.7730402143897201</v>
      </c>
      <c r="H283" s="107">
        <v>0.218803793847753</v>
      </c>
      <c r="I283" s="107">
        <v>-0.18022382664952499</v>
      </c>
      <c r="J283" s="107">
        <v>-1.44</v>
      </c>
      <c r="K283" s="107">
        <v>0.83272280258180598</v>
      </c>
      <c r="L283" s="107">
        <v>7.7351572370939703E-2</v>
      </c>
      <c r="M283" s="107">
        <v>0.31881774192547202</v>
      </c>
      <c r="N283" s="107">
        <v>0.68009588655142905</v>
      </c>
      <c r="P283" s="107">
        <v>2.9918440082374733</v>
      </c>
      <c r="Q283" s="107">
        <v>2.554236420541967</v>
      </c>
      <c r="R283" s="107">
        <v>3.210647802085226</v>
      </c>
      <c r="S283" s="107">
        <v>2.3354326266942143</v>
      </c>
      <c r="AA283" s="107">
        <v>667</v>
      </c>
      <c r="AB283" s="107">
        <v>646.12875536480681</v>
      </c>
    </row>
    <row r="284" spans="1:28">
      <c r="A284" s="14">
        <v>43514</v>
      </c>
      <c r="B284" s="107">
        <v>674</v>
      </c>
      <c r="C284" s="107">
        <v>662</v>
      </c>
      <c r="D284" s="107">
        <v>244</v>
      </c>
      <c r="E284" s="107">
        <v>244</v>
      </c>
      <c r="F284" s="107">
        <v>2.7131147540983598</v>
      </c>
      <c r="G284" s="107">
        <v>2.7807739451398401</v>
      </c>
      <c r="H284" s="107">
        <v>0.22735686791441601</v>
      </c>
      <c r="I284" s="107">
        <v>-0.29759026706401298</v>
      </c>
      <c r="J284" s="107">
        <v>-2.4900000000000002</v>
      </c>
      <c r="K284" s="107">
        <v>0.83465790925400896</v>
      </c>
      <c r="L284" s="107">
        <v>4.9645685964462997E-2</v>
      </c>
      <c r="M284" s="107">
        <v>0.316430088261548</v>
      </c>
      <c r="N284" s="107">
        <v>0.71067368959876998</v>
      </c>
      <c r="P284" s="107">
        <v>3.0081308130542563</v>
      </c>
      <c r="Q284" s="107">
        <v>2.5534170772254239</v>
      </c>
      <c r="R284" s="107">
        <v>3.2354876809686721</v>
      </c>
      <c r="S284" s="107">
        <v>2.3260602093110081</v>
      </c>
      <c r="AA284" s="107">
        <v>662</v>
      </c>
      <c r="AB284" s="107">
        <v>646.12875536480681</v>
      </c>
    </row>
    <row r="285" spans="1:28">
      <c r="A285" s="14">
        <v>43511</v>
      </c>
      <c r="B285" s="107">
        <v>657</v>
      </c>
      <c r="C285" s="107">
        <v>664</v>
      </c>
      <c r="D285" s="107">
        <v>238</v>
      </c>
      <c r="E285" s="107">
        <v>239</v>
      </c>
      <c r="F285" s="107">
        <v>2.7782426778242599</v>
      </c>
      <c r="G285" s="107">
        <v>2.7882089798595802</v>
      </c>
      <c r="H285" s="107">
        <v>0.23404219571231299</v>
      </c>
      <c r="I285" s="107">
        <v>-4.2583355556827199E-2</v>
      </c>
      <c r="J285" s="107">
        <v>-0.36</v>
      </c>
      <c r="K285" s="107">
        <v>0.83594144307962504</v>
      </c>
      <c r="L285" s="107">
        <v>7.6821188715614303E-2</v>
      </c>
      <c r="M285" s="107">
        <v>0.31361052904220399</v>
      </c>
      <c r="N285" s="107">
        <v>0.694375639249174</v>
      </c>
      <c r="P285" s="107">
        <v>3.0222511755718933</v>
      </c>
      <c r="Q285" s="107">
        <v>2.5541667841472671</v>
      </c>
      <c r="R285" s="107">
        <v>3.2562933712842064</v>
      </c>
      <c r="S285" s="107">
        <v>2.3201245884349539</v>
      </c>
      <c r="AA285" s="107">
        <v>664</v>
      </c>
      <c r="AB285" s="107">
        <v>632.88841201716741</v>
      </c>
    </row>
    <row r="286" spans="1:28">
      <c r="A286" s="14">
        <v>43510</v>
      </c>
      <c r="B286" s="107">
        <v>649</v>
      </c>
      <c r="C286" s="107">
        <v>662</v>
      </c>
      <c r="D286" s="107">
        <v>244</v>
      </c>
      <c r="E286" s="107">
        <v>241</v>
      </c>
      <c r="F286" s="107">
        <v>2.7468879668049699</v>
      </c>
      <c r="G286" s="107">
        <v>2.7942249072144199</v>
      </c>
      <c r="H286" s="107">
        <v>0.239445189008306</v>
      </c>
      <c r="I286" s="107">
        <v>-0.19769426400045001</v>
      </c>
      <c r="J286" s="107">
        <v>-1.72</v>
      </c>
      <c r="K286" s="107">
        <v>0.82452454429945898</v>
      </c>
      <c r="L286" s="107">
        <v>0.26582017815965803</v>
      </c>
      <c r="M286" s="107">
        <v>0.30983095836846902</v>
      </c>
      <c r="N286" s="107">
        <v>0.63080104961063599</v>
      </c>
      <c r="P286" s="107">
        <v>3.0336700962227257</v>
      </c>
      <c r="Q286" s="107">
        <v>2.554779718206114</v>
      </c>
      <c r="R286" s="107">
        <v>3.2731152852310319</v>
      </c>
      <c r="S286" s="107">
        <v>2.3153345291978078</v>
      </c>
      <c r="AA286" s="107">
        <v>662</v>
      </c>
      <c r="AB286" s="107">
        <v>638.18454935622321</v>
      </c>
    </row>
    <row r="287" spans="1:28">
      <c r="A287" s="14">
        <v>43509</v>
      </c>
      <c r="B287" s="107">
        <v>666</v>
      </c>
      <c r="C287" s="107">
        <v>642</v>
      </c>
      <c r="D287" s="107">
        <v>243</v>
      </c>
      <c r="E287" s="107">
        <v>244</v>
      </c>
      <c r="F287" s="107">
        <v>2.6311475409836</v>
      </c>
      <c r="G287" s="107">
        <v>2.8015378496542098</v>
      </c>
      <c r="H287" s="107">
        <v>0.24616886339602101</v>
      </c>
      <c r="I287" s="107">
        <v>-0.692168401478508</v>
      </c>
      <c r="J287" s="107">
        <v>-6.48</v>
      </c>
      <c r="K287" s="107">
        <v>0.81681069815476703</v>
      </c>
      <c r="L287" s="107">
        <v>0.47753847247120801</v>
      </c>
      <c r="M287" s="107">
        <v>0.30623278500394102</v>
      </c>
      <c r="N287" s="107">
        <v>0.69091620938651599</v>
      </c>
      <c r="P287" s="107">
        <v>3.0477067130502307</v>
      </c>
      <c r="Q287" s="107">
        <v>2.555368986258189</v>
      </c>
      <c r="R287" s="107">
        <v>3.293875576446252</v>
      </c>
      <c r="S287" s="107">
        <v>2.3092001228621677</v>
      </c>
      <c r="AA287" s="107">
        <v>642</v>
      </c>
      <c r="AB287" s="107">
        <v>646.12875536480681</v>
      </c>
    </row>
    <row r="288" spans="1:28">
      <c r="A288" s="14">
        <v>43508</v>
      </c>
      <c r="B288" s="107">
        <v>645</v>
      </c>
      <c r="C288" s="107">
        <v>654</v>
      </c>
      <c r="D288" s="107">
        <v>235</v>
      </c>
      <c r="E288" s="107">
        <v>238</v>
      </c>
      <c r="F288" s="107">
        <v>2.7478991596638598</v>
      </c>
      <c r="G288" s="107">
        <v>2.8108246767673299</v>
      </c>
      <c r="H288" s="107">
        <v>0.252619239782504</v>
      </c>
      <c r="I288" s="107">
        <v>-0.24909233816731199</v>
      </c>
      <c r="J288" s="107">
        <v>-2.29</v>
      </c>
      <c r="K288" s="107">
        <v>0.797115722323958</v>
      </c>
      <c r="L288" s="107">
        <v>0.74228420584126298</v>
      </c>
      <c r="M288" s="107">
        <v>0.30159549021097498</v>
      </c>
      <c r="N288" s="107">
        <v>0.70563671806158901</v>
      </c>
      <c r="P288" s="107">
        <v>3.0634439165498337</v>
      </c>
      <c r="Q288" s="107">
        <v>2.5582054369848262</v>
      </c>
      <c r="R288" s="107">
        <v>3.3160631563323379</v>
      </c>
      <c r="S288" s="107">
        <v>2.3055861972023219</v>
      </c>
      <c r="AA288" s="107">
        <v>654</v>
      </c>
      <c r="AB288" s="107">
        <v>630.24034334763951</v>
      </c>
    </row>
    <row r="289" spans="1:28">
      <c r="A289" s="14">
        <v>43504</v>
      </c>
      <c r="B289" s="107">
        <v>604</v>
      </c>
      <c r="C289" s="107">
        <v>641</v>
      </c>
      <c r="D289" s="107">
        <v>235</v>
      </c>
      <c r="E289" s="107">
        <v>232</v>
      </c>
      <c r="F289" s="107">
        <v>2.76293103448275</v>
      </c>
      <c r="G289" s="107">
        <v>2.8186678140222399</v>
      </c>
      <c r="H289" s="107">
        <v>0.25957948439982098</v>
      </c>
      <c r="I289" s="107">
        <v>-0.21471950939556</v>
      </c>
      <c r="J289" s="107">
        <v>-2.02</v>
      </c>
      <c r="K289" s="107">
        <v>0.79267657729187102</v>
      </c>
      <c r="L289" s="107">
        <v>0.45579265014977299</v>
      </c>
      <c r="M289" s="107">
        <v>0.29529816181887297</v>
      </c>
      <c r="N289" s="107">
        <v>0.68523811350965602</v>
      </c>
      <c r="P289" s="107">
        <v>3.078247298422061</v>
      </c>
      <c r="Q289" s="107">
        <v>2.5590883296224187</v>
      </c>
      <c r="R289" s="107">
        <v>3.3378267828218817</v>
      </c>
      <c r="S289" s="107">
        <v>2.299508845222598</v>
      </c>
      <c r="AA289" s="107">
        <v>641</v>
      </c>
      <c r="AB289" s="107">
        <v>614.3519313304721</v>
      </c>
    </row>
    <row r="290" spans="1:28">
      <c r="A290" s="14">
        <v>43503</v>
      </c>
      <c r="B290" s="107">
        <v>631</v>
      </c>
      <c r="C290" s="107">
        <v>610</v>
      </c>
      <c r="D290" s="107">
        <v>244</v>
      </c>
      <c r="E290" s="107">
        <v>239</v>
      </c>
      <c r="F290" s="107">
        <v>2.5523012552301201</v>
      </c>
      <c r="G290" s="107">
        <v>2.8250509557846901</v>
      </c>
      <c r="H290" s="107">
        <v>0.26397926073674499</v>
      </c>
      <c r="I290" s="107">
        <v>-1.03322397294902</v>
      </c>
      <c r="J290" s="107">
        <v>-10.69</v>
      </c>
      <c r="K290" s="107">
        <v>0.80434718302469799</v>
      </c>
      <c r="L290" s="107">
        <v>0.42687934931239702</v>
      </c>
      <c r="M290" s="107">
        <v>0.29156662820020701</v>
      </c>
      <c r="N290" s="107">
        <v>0.62968204095500102</v>
      </c>
      <c r="P290" s="107">
        <v>3.0890302165214352</v>
      </c>
      <c r="Q290" s="107">
        <v>2.5610716950479451</v>
      </c>
      <c r="R290" s="107">
        <v>3.3530094772581802</v>
      </c>
      <c r="S290" s="107">
        <v>2.2970924343112</v>
      </c>
      <c r="AA290" s="107">
        <v>610</v>
      </c>
      <c r="AB290" s="107">
        <v>632.88841201716741</v>
      </c>
    </row>
    <row r="291" spans="1:28">
      <c r="A291" s="14">
        <v>43502</v>
      </c>
      <c r="B291" s="107">
        <v>634</v>
      </c>
      <c r="C291" s="107">
        <v>631</v>
      </c>
      <c r="D291" s="107">
        <v>243</v>
      </c>
      <c r="E291" s="107">
        <v>246</v>
      </c>
      <c r="F291" s="107">
        <v>2.5650406504065</v>
      </c>
      <c r="G291" s="107">
        <v>2.8350315718166499</v>
      </c>
      <c r="H291" s="107">
        <v>0.267604128448932</v>
      </c>
      <c r="I291" s="107">
        <v>-1.0089191186064601</v>
      </c>
      <c r="J291" s="107">
        <v>-10.53</v>
      </c>
      <c r="K291" s="107">
        <v>0.822677979085225</v>
      </c>
      <c r="L291" s="107">
        <v>0.21300857064550199</v>
      </c>
      <c r="M291" s="107">
        <v>0.28836353059400399</v>
      </c>
      <c r="N291" s="107">
        <v>0.65926162602054295</v>
      </c>
      <c r="P291" s="107">
        <v>3.1026357002655818</v>
      </c>
      <c r="Q291" s="107">
        <v>2.567427443367718</v>
      </c>
      <c r="R291" s="107">
        <v>3.3702398287145137</v>
      </c>
      <c r="S291" s="107">
        <v>2.2998233149187861</v>
      </c>
      <c r="AA291" s="107">
        <v>631</v>
      </c>
      <c r="AB291" s="107">
        <v>651.42489270386261</v>
      </c>
    </row>
    <row r="292" spans="1:28">
      <c r="A292" s="14">
        <v>43501</v>
      </c>
      <c r="B292" s="107">
        <v>624</v>
      </c>
      <c r="C292" s="107">
        <v>637</v>
      </c>
      <c r="D292" s="107">
        <v>239</v>
      </c>
      <c r="E292" s="107">
        <v>242</v>
      </c>
      <c r="F292" s="107">
        <v>2.6322314049586701</v>
      </c>
      <c r="G292" s="107">
        <v>2.8455806721574399</v>
      </c>
      <c r="H292" s="107">
        <v>0.272306127828221</v>
      </c>
      <c r="I292" s="107">
        <v>-0.78349051084649102</v>
      </c>
      <c r="J292" s="107">
        <v>-8.11</v>
      </c>
      <c r="K292" s="107">
        <v>0.83522930633445203</v>
      </c>
      <c r="L292" s="107">
        <v>0.18415301694559999</v>
      </c>
      <c r="M292" s="107">
        <v>0.283592102823366</v>
      </c>
      <c r="N292" s="107">
        <v>0.67618938692581798</v>
      </c>
      <c r="P292" s="107">
        <v>3.1178867999856608</v>
      </c>
      <c r="Q292" s="107">
        <v>2.5732745443292191</v>
      </c>
      <c r="R292" s="107">
        <v>3.390192927813882</v>
      </c>
      <c r="S292" s="107">
        <v>2.3009684165009978</v>
      </c>
      <c r="AA292" s="107">
        <v>637</v>
      </c>
      <c r="AB292" s="107">
        <v>640.83261802575112</v>
      </c>
    </row>
    <row r="293" spans="1:28">
      <c r="A293" s="14">
        <v>43500</v>
      </c>
      <c r="B293" s="107">
        <v>629</v>
      </c>
      <c r="C293" s="107">
        <v>630</v>
      </c>
      <c r="D293" s="107">
        <v>238</v>
      </c>
      <c r="E293" s="107">
        <v>239</v>
      </c>
      <c r="F293" s="107">
        <v>2.63598326359832</v>
      </c>
      <c r="G293" s="107">
        <v>2.8554771612260699</v>
      </c>
      <c r="H293" s="107">
        <v>0.27780461941276002</v>
      </c>
      <c r="I293" s="107">
        <v>-0.79010168402429704</v>
      </c>
      <c r="J293" s="107">
        <v>-8.33</v>
      </c>
      <c r="K293" s="107">
        <v>0.84335284078855699</v>
      </c>
      <c r="L293" s="107">
        <v>0.105819196065078</v>
      </c>
      <c r="M293" s="107">
        <v>0.28039240903358398</v>
      </c>
      <c r="N293" s="107">
        <v>0.62413495893529403</v>
      </c>
      <c r="P293" s="107">
        <v>3.1332817806388298</v>
      </c>
      <c r="Q293" s="107">
        <v>2.57767254181331</v>
      </c>
      <c r="R293" s="107">
        <v>3.4110864000515901</v>
      </c>
      <c r="S293" s="107">
        <v>2.2998679224005496</v>
      </c>
      <c r="AA293" s="107">
        <v>630</v>
      </c>
      <c r="AB293" s="107">
        <v>632.88841201716741</v>
      </c>
    </row>
    <row r="294" spans="1:28">
      <c r="A294" s="14">
        <v>43497</v>
      </c>
      <c r="B294" s="107">
        <v>625</v>
      </c>
      <c r="C294" s="107">
        <v>623</v>
      </c>
      <c r="D294" s="107">
        <v>241</v>
      </c>
      <c r="E294" s="107">
        <v>237</v>
      </c>
      <c r="F294" s="107">
        <v>2.6286919831223599</v>
      </c>
      <c r="G294" s="107">
        <v>2.8657670553366099</v>
      </c>
      <c r="H294" s="107">
        <v>0.28371381844689397</v>
      </c>
      <c r="I294" s="107">
        <v>-0.83561341323466298</v>
      </c>
      <c r="J294" s="107">
        <v>-9.02</v>
      </c>
      <c r="K294" s="107">
        <v>0.85104575961407902</v>
      </c>
      <c r="L294" s="107">
        <v>0.21624438592707301</v>
      </c>
      <c r="M294" s="107">
        <v>0.28154818750985899</v>
      </c>
      <c r="N294" s="107">
        <v>0.58677170256413003</v>
      </c>
      <c r="P294" s="107">
        <v>3.1494808737835038</v>
      </c>
      <c r="Q294" s="107">
        <v>2.582053236889716</v>
      </c>
      <c r="R294" s="107">
        <v>3.4331946922303977</v>
      </c>
      <c r="S294" s="107">
        <v>2.2983394184428221</v>
      </c>
      <c r="AA294" s="107">
        <v>623</v>
      </c>
      <c r="AB294" s="107">
        <v>627.59227467811161</v>
      </c>
    </row>
    <row r="295" spans="1:28">
      <c r="A295" s="14">
        <v>43496</v>
      </c>
      <c r="B295" s="107">
        <v>634</v>
      </c>
      <c r="C295" s="107">
        <v>629</v>
      </c>
      <c r="D295" s="107">
        <v>234</v>
      </c>
      <c r="E295" s="107">
        <v>241</v>
      </c>
      <c r="F295" s="107">
        <v>2.6099585062240598</v>
      </c>
      <c r="G295" s="107">
        <v>2.8766929326294202</v>
      </c>
      <c r="H295" s="107">
        <v>0.29008060825056797</v>
      </c>
      <c r="I295" s="107">
        <v>-0.91951829532483498</v>
      </c>
      <c r="J295" s="107">
        <v>-10.220000000000001</v>
      </c>
      <c r="K295" s="107">
        <v>0.83815199821136799</v>
      </c>
      <c r="L295" s="107">
        <v>0.99191388765758703</v>
      </c>
      <c r="M295" s="107">
        <v>0.284906554944308</v>
      </c>
      <c r="N295" s="107">
        <v>0.466528169836116</v>
      </c>
      <c r="P295" s="107">
        <v>3.166773540879988</v>
      </c>
      <c r="Q295" s="107">
        <v>2.5866123243788524</v>
      </c>
      <c r="R295" s="107">
        <v>3.4568541491305562</v>
      </c>
      <c r="S295" s="107">
        <v>2.2965317161282841</v>
      </c>
      <c r="AA295" s="107">
        <v>629</v>
      </c>
      <c r="AB295" s="107">
        <v>638.18454935622321</v>
      </c>
    </row>
    <row r="296" spans="1:28">
      <c r="A296" s="14">
        <v>43495</v>
      </c>
      <c r="B296" s="107">
        <v>623</v>
      </c>
      <c r="C296" s="107">
        <v>626</v>
      </c>
      <c r="D296" s="107">
        <v>232</v>
      </c>
      <c r="E296" s="107">
        <v>231</v>
      </c>
      <c r="F296" s="107">
        <v>2.7099567099567099</v>
      </c>
      <c r="G296" s="107">
        <v>2.8889490414353198</v>
      </c>
      <c r="H296" s="107">
        <v>0.29786609408425002</v>
      </c>
      <c r="I296" s="107">
        <v>-0.60091542821917998</v>
      </c>
      <c r="J296" s="107">
        <v>-6.6</v>
      </c>
      <c r="K296" s="107">
        <v>0.80465272482180605</v>
      </c>
      <c r="L296" s="107">
        <v>0.993064377417743</v>
      </c>
      <c r="M296" s="107">
        <v>0.28329024025403199</v>
      </c>
      <c r="N296" s="107">
        <v>0.55310224643981298</v>
      </c>
      <c r="P296" s="107">
        <v>3.18681513551957</v>
      </c>
      <c r="Q296" s="107">
        <v>2.5910829473510697</v>
      </c>
      <c r="R296" s="107">
        <v>3.4846812296038197</v>
      </c>
      <c r="S296" s="107">
        <v>2.29321685326682</v>
      </c>
      <c r="AA296" s="107">
        <v>626</v>
      </c>
      <c r="AB296" s="107">
        <v>611.7038626609442</v>
      </c>
    </row>
    <row r="297" spans="1:28">
      <c r="A297" s="14">
        <v>43494</v>
      </c>
      <c r="B297" s="107">
        <v>619</v>
      </c>
      <c r="C297" s="107">
        <v>623</v>
      </c>
      <c r="D297" s="107">
        <v>230</v>
      </c>
      <c r="E297" s="107">
        <v>231</v>
      </c>
      <c r="F297" s="107">
        <v>2.6969696969696901</v>
      </c>
      <c r="G297" s="107">
        <v>2.89920972792551</v>
      </c>
      <c r="H297" s="107">
        <v>0.30469966601000698</v>
      </c>
      <c r="I297" s="107">
        <v>-0.66373565026873704</v>
      </c>
      <c r="J297" s="107">
        <v>-7.5</v>
      </c>
      <c r="K297" s="107">
        <v>0.72784398717121201</v>
      </c>
      <c r="L297" s="107">
        <v>1</v>
      </c>
      <c r="M297" s="107">
        <v>0.28259404762464702</v>
      </c>
      <c r="N297" s="107">
        <v>0.55965869271229796</v>
      </c>
      <c r="P297" s="107">
        <v>3.203909393935517</v>
      </c>
      <c r="Q297" s="107">
        <v>2.594510061915503</v>
      </c>
      <c r="R297" s="107">
        <v>3.508609059945524</v>
      </c>
      <c r="S297" s="107">
        <v>2.2898103959054961</v>
      </c>
      <c r="AA297" s="107">
        <v>623</v>
      </c>
      <c r="AB297" s="107">
        <v>611.7038626609442</v>
      </c>
    </row>
    <row r="298" spans="1:28">
      <c r="A298" s="14">
        <v>43493</v>
      </c>
      <c r="B298" s="107">
        <v>618</v>
      </c>
      <c r="C298" s="107">
        <v>615</v>
      </c>
      <c r="D298" s="107">
        <v>228</v>
      </c>
      <c r="E298" s="107">
        <v>227</v>
      </c>
      <c r="F298" s="107">
        <v>2.7092511013215801</v>
      </c>
      <c r="G298" s="107">
        <v>2.9078533065690899</v>
      </c>
      <c r="H298" s="107">
        <v>0.30801684803356</v>
      </c>
      <c r="I298" s="107">
        <v>-0.64477708448555404</v>
      </c>
      <c r="J298" s="107">
        <v>-7.33</v>
      </c>
      <c r="K298" s="107">
        <v>0.66606169728518905</v>
      </c>
      <c r="L298" s="107">
        <v>1</v>
      </c>
      <c r="M298" s="107">
        <v>0.28102963823772498</v>
      </c>
      <c r="N298" s="107">
        <v>0.57285757220589195</v>
      </c>
      <c r="P298" s="107">
        <v>3.21587015460265</v>
      </c>
      <c r="Q298" s="107">
        <v>2.5998364585355298</v>
      </c>
      <c r="R298" s="107">
        <v>3.5238870026362097</v>
      </c>
      <c r="S298" s="107">
        <v>2.2918196105019701</v>
      </c>
      <c r="AA298" s="107">
        <v>615</v>
      </c>
      <c r="AB298" s="107">
        <v>601.11158798283259</v>
      </c>
    </row>
    <row r="299" spans="1:28">
      <c r="A299" s="14">
        <v>43490</v>
      </c>
      <c r="B299" s="107">
        <v>609</v>
      </c>
      <c r="C299" s="107">
        <v>618</v>
      </c>
      <c r="D299" s="107">
        <v>227</v>
      </c>
      <c r="E299" s="107">
        <v>228</v>
      </c>
      <c r="F299" s="107">
        <v>2.7105263157894699</v>
      </c>
      <c r="G299" s="107">
        <v>2.9160858682460198</v>
      </c>
      <c r="H299" s="107">
        <v>0.31083713448581601</v>
      </c>
      <c r="I299" s="107">
        <v>-0.66130950794083598</v>
      </c>
      <c r="J299" s="107">
        <v>-7.58</v>
      </c>
      <c r="K299" s="107">
        <v>0.60876019264376102</v>
      </c>
      <c r="L299" s="107">
        <v>0.97994417926381205</v>
      </c>
      <c r="M299" s="107">
        <v>0.280617049052798</v>
      </c>
      <c r="N299" s="107">
        <v>0.416739371227832</v>
      </c>
      <c r="P299" s="107">
        <v>3.2269230027318359</v>
      </c>
      <c r="Q299" s="107">
        <v>2.6052487337602037</v>
      </c>
      <c r="R299" s="107">
        <v>3.5377601372176519</v>
      </c>
      <c r="S299" s="107">
        <v>2.2944115992743876</v>
      </c>
      <c r="AA299" s="107">
        <v>618</v>
      </c>
      <c r="AB299" s="107">
        <v>603.75965665236049</v>
      </c>
    </row>
    <row r="300" spans="1:28">
      <c r="A300" s="14">
        <v>43489</v>
      </c>
      <c r="B300" s="107">
        <v>601</v>
      </c>
      <c r="C300" s="107">
        <v>603</v>
      </c>
      <c r="D300" s="107">
        <v>224</v>
      </c>
      <c r="E300" s="107">
        <v>224</v>
      </c>
      <c r="F300" s="107">
        <v>2.6919642857142798</v>
      </c>
      <c r="G300" s="107">
        <v>2.9236056480877899</v>
      </c>
      <c r="H300" s="107">
        <v>0.31259028070933098</v>
      </c>
      <c r="I300" s="107">
        <v>-0.74103827491968899</v>
      </c>
      <c r="J300" s="107">
        <v>-8.6</v>
      </c>
      <c r="K300" s="107">
        <v>0.56971534184896799</v>
      </c>
      <c r="L300" s="107">
        <v>0.97524179362358498</v>
      </c>
      <c r="M300" s="107">
        <v>0.27959216934463099</v>
      </c>
      <c r="N300" s="107">
        <v>0.442935145561558</v>
      </c>
      <c r="P300" s="107">
        <v>3.2361959287971209</v>
      </c>
      <c r="Q300" s="107">
        <v>2.6110153673784589</v>
      </c>
      <c r="R300" s="107">
        <v>3.548786209506452</v>
      </c>
      <c r="S300" s="107">
        <v>2.2984250866691278</v>
      </c>
      <c r="AA300" s="107">
        <v>603</v>
      </c>
      <c r="AB300" s="107">
        <v>593.16738197424888</v>
      </c>
    </row>
    <row r="301" spans="1:28">
      <c r="A301" s="14">
        <v>43488</v>
      </c>
      <c r="B301" s="107">
        <v>610</v>
      </c>
      <c r="C301" s="107">
        <v>608</v>
      </c>
      <c r="D301" s="107">
        <v>222</v>
      </c>
      <c r="E301" s="107">
        <v>223</v>
      </c>
      <c r="F301" s="107">
        <v>2.72645739910313</v>
      </c>
      <c r="G301" s="107">
        <v>2.9312437527367599</v>
      </c>
      <c r="H301" s="107">
        <v>0.31383321878791098</v>
      </c>
      <c r="I301" s="107">
        <v>-0.65253243243195302</v>
      </c>
      <c r="J301" s="107">
        <v>-7.51</v>
      </c>
      <c r="K301" s="107">
        <v>0.54643077597762901</v>
      </c>
      <c r="L301" s="107">
        <v>0.98200442212552597</v>
      </c>
      <c r="M301" s="107">
        <v>0.27918096564702999</v>
      </c>
      <c r="N301" s="107">
        <v>0.44881789173554498</v>
      </c>
      <c r="P301" s="107">
        <v>3.245076971524671</v>
      </c>
      <c r="Q301" s="107">
        <v>2.6174105339488487</v>
      </c>
      <c r="R301" s="107">
        <v>3.5589101903125817</v>
      </c>
      <c r="S301" s="107">
        <v>2.303577315160938</v>
      </c>
      <c r="AA301" s="107">
        <v>608</v>
      </c>
      <c r="AB301" s="107">
        <v>590.51931330472098</v>
      </c>
    </row>
    <row r="302" spans="1:28">
      <c r="A302" s="14">
        <v>43487</v>
      </c>
      <c r="B302" s="107">
        <v>625</v>
      </c>
      <c r="C302" s="107">
        <v>616</v>
      </c>
      <c r="D302" s="107">
        <v>228</v>
      </c>
      <c r="E302" s="107">
        <v>225</v>
      </c>
      <c r="F302" s="107">
        <v>2.7377777777777701</v>
      </c>
      <c r="G302" s="107">
        <v>2.9381980740295601</v>
      </c>
      <c r="H302" s="107">
        <v>0.31499495278384998</v>
      </c>
      <c r="I302" s="107">
        <v>-0.63626510355330401</v>
      </c>
      <c r="J302" s="107">
        <v>-7.32</v>
      </c>
      <c r="K302" s="107">
        <v>0.53016789773398199</v>
      </c>
      <c r="L302" s="107">
        <v>0.96381132908295397</v>
      </c>
      <c r="M302" s="107">
        <v>0.27974855968867002</v>
      </c>
      <c r="N302" s="107">
        <v>0.39769530870495301</v>
      </c>
      <c r="P302" s="107">
        <v>3.2531930268134102</v>
      </c>
      <c r="Q302" s="107">
        <v>2.6232031212457101</v>
      </c>
      <c r="R302" s="107">
        <v>3.5681879795972602</v>
      </c>
      <c r="S302" s="107">
        <v>2.3082081684618601</v>
      </c>
      <c r="AA302" s="107">
        <v>616</v>
      </c>
      <c r="AB302" s="107">
        <v>595.81545064377679</v>
      </c>
    </row>
    <row r="303" spans="1:28">
      <c r="A303" s="14">
        <v>43486</v>
      </c>
      <c r="B303" s="107">
        <v>622</v>
      </c>
      <c r="C303" s="107">
        <v>622</v>
      </c>
      <c r="D303" s="107">
        <v>233</v>
      </c>
      <c r="E303" s="107">
        <v>229</v>
      </c>
      <c r="F303" s="107">
        <v>2.7161572052401701</v>
      </c>
      <c r="G303" s="107">
        <v>2.9450806137121002</v>
      </c>
      <c r="H303" s="107">
        <v>0.31617772071838002</v>
      </c>
      <c r="I303" s="107">
        <v>-0.72403396403704801</v>
      </c>
      <c r="J303" s="107">
        <v>-8.43</v>
      </c>
      <c r="K303" s="107">
        <v>0.52286127756037204</v>
      </c>
      <c r="L303" s="107">
        <v>0.961878871798587</v>
      </c>
      <c r="M303" s="107">
        <v>0.28036638490495402</v>
      </c>
      <c r="N303" s="107">
        <v>0.48417667110529</v>
      </c>
      <c r="P303" s="107">
        <v>3.2612583344304804</v>
      </c>
      <c r="Q303" s="107">
        <v>2.6289028929937199</v>
      </c>
      <c r="R303" s="107">
        <v>3.5774360551488602</v>
      </c>
      <c r="S303" s="107">
        <v>2.3127251722753401</v>
      </c>
      <c r="AA303" s="107">
        <v>622</v>
      </c>
      <c r="AB303" s="107">
        <v>606.40772532188839</v>
      </c>
    </row>
    <row r="304" spans="1:28">
      <c r="A304" s="14">
        <v>43483</v>
      </c>
      <c r="B304" s="107">
        <v>618</v>
      </c>
      <c r="C304" s="107">
        <v>609</v>
      </c>
      <c r="D304" s="107">
        <v>226</v>
      </c>
      <c r="E304" s="107">
        <v>229</v>
      </c>
      <c r="F304" s="107">
        <v>2.6593886462882002</v>
      </c>
      <c r="G304" s="107">
        <v>2.95272761817133</v>
      </c>
      <c r="H304" s="107">
        <v>0.31748144597853001</v>
      </c>
      <c r="I304" s="107">
        <v>-0.92395626767732597</v>
      </c>
      <c r="J304" s="107">
        <v>-11.03</v>
      </c>
      <c r="K304" s="107">
        <v>0.511124576034932</v>
      </c>
      <c r="L304" s="107">
        <v>0.98214791065400697</v>
      </c>
      <c r="M304" s="107">
        <v>0.28002083085172103</v>
      </c>
      <c r="N304" s="107">
        <v>0.49592383266029499</v>
      </c>
      <c r="P304" s="107">
        <v>3.27020906414986</v>
      </c>
      <c r="Q304" s="107">
        <v>2.6352461721928</v>
      </c>
      <c r="R304" s="107">
        <v>3.58769051012839</v>
      </c>
      <c r="S304" s="107">
        <v>2.31776472621427</v>
      </c>
      <c r="AA304" s="107">
        <v>609</v>
      </c>
      <c r="AB304" s="107">
        <v>606.40772532188839</v>
      </c>
    </row>
    <row r="305" spans="1:28">
      <c r="A305" s="14">
        <v>43482</v>
      </c>
      <c r="B305" s="107">
        <v>598</v>
      </c>
      <c r="C305" s="107">
        <v>615</v>
      </c>
      <c r="D305" s="107">
        <v>225</v>
      </c>
      <c r="E305" s="107">
        <v>226</v>
      </c>
      <c r="F305" s="107">
        <v>2.7212389380530899</v>
      </c>
      <c r="G305" s="107">
        <v>2.9599460655644498</v>
      </c>
      <c r="H305" s="107">
        <v>0.31688390207079598</v>
      </c>
      <c r="I305" s="107">
        <v>-0.75329521617044803</v>
      </c>
      <c r="J305" s="107">
        <v>-8.77</v>
      </c>
      <c r="K305" s="107">
        <v>0.50308887286635195</v>
      </c>
      <c r="L305" s="107">
        <v>0.97328626435314203</v>
      </c>
      <c r="M305" s="107">
        <v>0.278176727902267</v>
      </c>
      <c r="N305" s="107">
        <v>0.33709010690240898</v>
      </c>
      <c r="P305" s="107">
        <v>3.2768299676352459</v>
      </c>
      <c r="Q305" s="107">
        <v>2.6430621634936537</v>
      </c>
      <c r="R305" s="107">
        <v>3.5937138697060416</v>
      </c>
      <c r="S305" s="107">
        <v>2.3261782614228581</v>
      </c>
      <c r="AA305" s="107">
        <v>615</v>
      </c>
      <c r="AB305" s="107">
        <v>598.46351931330469</v>
      </c>
    </row>
    <row r="306" spans="1:28">
      <c r="A306" s="14">
        <v>43481</v>
      </c>
      <c r="B306" s="107">
        <v>601</v>
      </c>
      <c r="C306" s="107">
        <v>588</v>
      </c>
      <c r="D306" s="107">
        <v>227</v>
      </c>
      <c r="E306" s="107">
        <v>223</v>
      </c>
      <c r="F306" s="107">
        <v>2.6367713004484301</v>
      </c>
      <c r="G306" s="107">
        <v>2.9658334223593998</v>
      </c>
      <c r="H306" s="107">
        <v>0.31649583111882801</v>
      </c>
      <c r="I306" s="107">
        <v>-1.03970444333412</v>
      </c>
      <c r="J306" s="107">
        <v>-12.48</v>
      </c>
      <c r="K306" s="107">
        <v>0.49540751691443902</v>
      </c>
      <c r="L306" s="107">
        <v>0.93916898649908798</v>
      </c>
      <c r="M306" s="107">
        <v>0.275217866707127</v>
      </c>
      <c r="N306" s="107">
        <v>0.350514621162133</v>
      </c>
      <c r="P306" s="107">
        <v>3.282329253478228</v>
      </c>
      <c r="Q306" s="107">
        <v>2.6493375912405717</v>
      </c>
      <c r="R306" s="107">
        <v>3.5988250845970557</v>
      </c>
      <c r="S306" s="107">
        <v>2.3328417601217439</v>
      </c>
      <c r="AA306" s="107">
        <v>588</v>
      </c>
      <c r="AB306" s="107">
        <v>590.51931330472098</v>
      </c>
    </row>
    <row r="307" spans="1:28">
      <c r="A307" s="14">
        <v>43480</v>
      </c>
      <c r="B307" s="107">
        <v>594</v>
      </c>
      <c r="C307" s="107">
        <v>601</v>
      </c>
      <c r="D307" s="107">
        <v>218</v>
      </c>
      <c r="E307" s="107">
        <v>228</v>
      </c>
      <c r="F307" s="107">
        <v>2.6359649122806998</v>
      </c>
      <c r="G307" s="107">
        <v>2.9738893230923802</v>
      </c>
      <c r="H307" s="107">
        <v>0.315705947437249</v>
      </c>
      <c r="I307" s="107">
        <v>-1.0703770820752201</v>
      </c>
      <c r="J307" s="107">
        <v>-12.82</v>
      </c>
      <c r="K307" s="107">
        <v>0.48550504144476397</v>
      </c>
      <c r="L307" s="107">
        <v>0.97494873483661104</v>
      </c>
      <c r="M307" s="107">
        <v>0.274855610157764</v>
      </c>
      <c r="N307" s="107">
        <v>0.32431547918091103</v>
      </c>
      <c r="P307" s="107">
        <v>3.2895952705296292</v>
      </c>
      <c r="Q307" s="107">
        <v>2.6581833756551312</v>
      </c>
      <c r="R307" s="107">
        <v>3.6053012179668782</v>
      </c>
      <c r="S307" s="107">
        <v>2.3424774282178822</v>
      </c>
      <c r="AA307" s="107">
        <v>601</v>
      </c>
      <c r="AB307" s="107">
        <v>603.75965665236049</v>
      </c>
    </row>
    <row r="308" spans="1:28">
      <c r="A308" s="14">
        <v>43476</v>
      </c>
      <c r="B308" s="107">
        <v>601</v>
      </c>
      <c r="C308" s="107">
        <v>602</v>
      </c>
      <c r="D308" s="107">
        <v>220</v>
      </c>
      <c r="E308" s="107">
        <v>221</v>
      </c>
      <c r="F308" s="107">
        <v>2.7239819004524799</v>
      </c>
      <c r="G308" s="107">
        <v>2.98279170725792</v>
      </c>
      <c r="H308" s="107">
        <v>0.31546514901462203</v>
      </c>
      <c r="I308" s="107">
        <v>-0.82040696924476297</v>
      </c>
      <c r="J308" s="107">
        <v>-9.5</v>
      </c>
      <c r="K308" s="107">
        <v>0.45422286310828502</v>
      </c>
      <c r="L308" s="107">
        <v>0.97692252617545405</v>
      </c>
      <c r="M308" s="107">
        <v>0.2791383829454</v>
      </c>
      <c r="N308" s="107">
        <v>0.28964121638752099</v>
      </c>
      <c r="P308" s="107">
        <v>3.2982568562725421</v>
      </c>
      <c r="Q308" s="107">
        <v>2.6673265582432979</v>
      </c>
      <c r="R308" s="107">
        <v>3.6137220052871641</v>
      </c>
      <c r="S308" s="107">
        <v>2.3518614092286758</v>
      </c>
      <c r="AA308" s="107">
        <v>602</v>
      </c>
      <c r="AB308" s="107">
        <v>585.22317596566518</v>
      </c>
    </row>
    <row r="309" spans="1:28">
      <c r="A309" s="14">
        <v>43475</v>
      </c>
      <c r="B309" s="107">
        <v>589</v>
      </c>
      <c r="C309" s="107">
        <v>599</v>
      </c>
      <c r="D309" s="107">
        <v>222</v>
      </c>
      <c r="E309" s="107">
        <v>221</v>
      </c>
      <c r="F309" s="107">
        <v>2.7104072398189998</v>
      </c>
      <c r="G309" s="107">
        <v>2.9901182070886199</v>
      </c>
      <c r="H309" s="107">
        <v>0.31575000018092703</v>
      </c>
      <c r="I309" s="107">
        <v>-0.88586212861232705</v>
      </c>
      <c r="J309" s="107">
        <v>-10.32</v>
      </c>
      <c r="K309" s="107">
        <v>0.42855881580195199</v>
      </c>
      <c r="L309" s="107">
        <v>0.96527375377125502</v>
      </c>
      <c r="M309" s="107">
        <v>0.27875926530589301</v>
      </c>
      <c r="N309" s="107">
        <v>0.20742420483601201</v>
      </c>
      <c r="P309" s="107">
        <v>3.3058682072695467</v>
      </c>
      <c r="Q309" s="107">
        <v>2.6743682069076931</v>
      </c>
      <c r="R309" s="107">
        <v>3.6216182074504739</v>
      </c>
      <c r="S309" s="107">
        <v>2.3586182067267658</v>
      </c>
      <c r="AA309" s="107">
        <v>599</v>
      </c>
      <c r="AB309" s="107">
        <v>585.22317596566518</v>
      </c>
    </row>
    <row r="310" spans="1:28">
      <c r="A310" s="14">
        <v>43474</v>
      </c>
      <c r="B310" s="107">
        <v>584</v>
      </c>
      <c r="C310" s="107">
        <v>596</v>
      </c>
      <c r="D310" s="107">
        <v>230</v>
      </c>
      <c r="E310" s="107">
        <v>227</v>
      </c>
      <c r="F310" s="107">
        <v>2.6255506607929502</v>
      </c>
      <c r="G310" s="107">
        <v>2.9976209004736698</v>
      </c>
      <c r="H310" s="107">
        <v>0.31569982825582898</v>
      </c>
      <c r="I310" s="107">
        <v>-1.1785569911023499</v>
      </c>
      <c r="J310" s="107">
        <v>-14.17</v>
      </c>
      <c r="K310" s="107">
        <v>0.42344735092469299</v>
      </c>
      <c r="L310" s="107">
        <v>0.97360803160765996</v>
      </c>
      <c r="M310" s="107">
        <v>0.27769051245714599</v>
      </c>
      <c r="N310" s="107">
        <v>0.22418131588780901</v>
      </c>
      <c r="P310" s="107">
        <v>3.313320728729499</v>
      </c>
      <c r="Q310" s="107">
        <v>2.6819210722178406</v>
      </c>
      <c r="R310" s="107">
        <v>3.6290205569853278</v>
      </c>
      <c r="S310" s="107">
        <v>2.3662212439620118</v>
      </c>
      <c r="AA310" s="107">
        <v>596</v>
      </c>
      <c r="AB310" s="107">
        <v>601.11158798283259</v>
      </c>
    </row>
    <row r="311" spans="1:28">
      <c r="A311" s="14">
        <v>43473</v>
      </c>
      <c r="B311" s="107">
        <v>583</v>
      </c>
      <c r="C311" s="107">
        <v>575</v>
      </c>
      <c r="D311" s="107">
        <v>223</v>
      </c>
      <c r="E311" s="107">
        <v>227</v>
      </c>
      <c r="F311" s="107">
        <v>2.5330396475770902</v>
      </c>
      <c r="G311" s="107">
        <v>3.0055457851624001</v>
      </c>
      <c r="H311" s="107">
        <v>0.31371425704293698</v>
      </c>
      <c r="I311" s="107">
        <v>-1.5061672428889401</v>
      </c>
      <c r="J311" s="107">
        <v>-18.649999999999999</v>
      </c>
      <c r="K311" s="107">
        <v>0.41305140373476801</v>
      </c>
      <c r="L311" s="107">
        <v>0.98733658333898699</v>
      </c>
      <c r="M311" s="107">
        <v>0.27261081226136902</v>
      </c>
      <c r="N311" s="107">
        <v>0.133220931953206</v>
      </c>
      <c r="P311" s="107">
        <v>3.3192600422053369</v>
      </c>
      <c r="Q311" s="107">
        <v>2.6918315281194634</v>
      </c>
      <c r="R311" s="107">
        <v>3.6329742992482741</v>
      </c>
      <c r="S311" s="107">
        <v>2.3781172710765262</v>
      </c>
      <c r="AA311" s="107">
        <v>575</v>
      </c>
      <c r="AB311" s="107">
        <v>601.11158798283259</v>
      </c>
    </row>
    <row r="312" spans="1:28">
      <c r="A312" s="14">
        <v>43472</v>
      </c>
      <c r="B312" s="107">
        <v>580</v>
      </c>
      <c r="C312" s="107">
        <v>582</v>
      </c>
      <c r="D312" s="107">
        <v>225</v>
      </c>
      <c r="E312" s="107">
        <v>224</v>
      </c>
      <c r="F312" s="107">
        <v>2.5982142857142798</v>
      </c>
      <c r="G312" s="107">
        <v>3.0151194409251998</v>
      </c>
      <c r="H312" s="107">
        <v>0.31008365697514401</v>
      </c>
      <c r="I312" s="107">
        <v>-1.3444925130134799</v>
      </c>
      <c r="J312" s="107">
        <v>-16.05</v>
      </c>
      <c r="K312" s="107">
        <v>0.397828278059774</v>
      </c>
      <c r="L312" s="107">
        <v>0.98879042857536603</v>
      </c>
      <c r="M312" s="107">
        <v>0.26348288332015102</v>
      </c>
      <c r="N312" s="107">
        <v>0.125967609680045</v>
      </c>
      <c r="P312" s="107">
        <v>3.325203097900344</v>
      </c>
      <c r="Q312" s="107">
        <v>2.7050357839500556</v>
      </c>
      <c r="R312" s="107">
        <v>3.6352867548754877</v>
      </c>
      <c r="S312" s="107">
        <v>2.3949521269749119</v>
      </c>
      <c r="AA312" s="107">
        <v>582</v>
      </c>
      <c r="AB312" s="107">
        <v>593.16738197424888</v>
      </c>
    </row>
    <row r="313" spans="1:28">
      <c r="A313" s="14">
        <v>43469</v>
      </c>
      <c r="B313" s="107">
        <v>558</v>
      </c>
      <c r="C313" s="107">
        <v>562</v>
      </c>
      <c r="D313" s="107">
        <v>216</v>
      </c>
      <c r="E313" s="107">
        <v>217</v>
      </c>
      <c r="F313" s="107">
        <v>2.5898617511520698</v>
      </c>
      <c r="G313" s="107">
        <v>3.02400599554705</v>
      </c>
      <c r="H313" s="107">
        <v>0.30754839713570298</v>
      </c>
      <c r="I313" s="107">
        <v>-1.4116290263201099</v>
      </c>
      <c r="J313" s="107">
        <v>-16.760000000000002</v>
      </c>
      <c r="K313" s="107">
        <v>0.37573277234299701</v>
      </c>
      <c r="L313" s="107">
        <v>0.97743853863368602</v>
      </c>
      <c r="M313" s="107">
        <v>0.25536672534743599</v>
      </c>
      <c r="N313" s="107">
        <v>0.111348413013445</v>
      </c>
      <c r="P313" s="107">
        <v>3.3315543926827531</v>
      </c>
      <c r="Q313" s="107">
        <v>2.7164575984113468</v>
      </c>
      <c r="R313" s="107">
        <v>3.6391027898184558</v>
      </c>
      <c r="S313" s="107">
        <v>2.4089092012756441</v>
      </c>
      <c r="AA313" s="107">
        <v>562</v>
      </c>
      <c r="AB313" s="107">
        <v>574.63090128755368</v>
      </c>
    </row>
    <row r="314" spans="1:28">
      <c r="A314" s="14">
        <v>43462</v>
      </c>
      <c r="B314" s="107">
        <v>569</v>
      </c>
      <c r="C314" s="107">
        <v>565</v>
      </c>
      <c r="D314" s="107">
        <v>222</v>
      </c>
      <c r="E314" s="107">
        <v>223</v>
      </c>
      <c r="F314" s="107">
        <v>2.5336322869955099</v>
      </c>
      <c r="G314" s="107">
        <v>3.0328918724784701</v>
      </c>
      <c r="H314" s="107">
        <v>0.30448885658192498</v>
      </c>
      <c r="I314" s="107">
        <v>-1.6396645548459601</v>
      </c>
      <c r="J314" s="107">
        <v>-19.71</v>
      </c>
      <c r="K314" s="107">
        <v>0.44499484565313202</v>
      </c>
      <c r="L314" s="107">
        <v>0.93690524293931399</v>
      </c>
      <c r="M314" s="107">
        <v>0.249852342599719</v>
      </c>
      <c r="N314" s="107">
        <v>7.2135299105441197E-2</v>
      </c>
      <c r="P314" s="107">
        <v>3.3373807290603952</v>
      </c>
      <c r="Q314" s="107">
        <v>2.7284030158965451</v>
      </c>
      <c r="R314" s="107">
        <v>3.6418695856423202</v>
      </c>
      <c r="S314" s="107">
        <v>2.4239141593146201</v>
      </c>
      <c r="AA314" s="107">
        <v>565</v>
      </c>
      <c r="AB314" s="107">
        <v>590.51931330472098</v>
      </c>
    </row>
    <row r="315" spans="1:28">
      <c r="A315" s="14">
        <v>43461</v>
      </c>
      <c r="B315" s="107">
        <v>568</v>
      </c>
      <c r="C315" s="107">
        <v>564</v>
      </c>
      <c r="D315" s="107">
        <v>224</v>
      </c>
      <c r="E315" s="107">
        <v>222</v>
      </c>
      <c r="F315" s="107">
        <v>2.5405405405405399</v>
      </c>
      <c r="G315" s="107">
        <v>3.0421353187358999</v>
      </c>
      <c r="H315" s="107">
        <v>0.29967709554379601</v>
      </c>
      <c r="I315" s="107">
        <v>-1.6737841685403401</v>
      </c>
      <c r="J315" s="107">
        <v>-19.739999999999998</v>
      </c>
      <c r="K315" s="107">
        <v>0.439459993562616</v>
      </c>
      <c r="L315" s="107">
        <v>0.92407091165076305</v>
      </c>
      <c r="M315" s="107">
        <v>0.239519246466562</v>
      </c>
      <c r="N315" s="107">
        <v>5.7768476533942202E-2</v>
      </c>
      <c r="P315" s="107">
        <v>3.3418124142796959</v>
      </c>
      <c r="Q315" s="107">
        <v>2.742458223192104</v>
      </c>
      <c r="R315" s="107">
        <v>3.6414895098234918</v>
      </c>
      <c r="S315" s="107">
        <v>2.442781127648308</v>
      </c>
      <c r="AA315" s="107">
        <v>564</v>
      </c>
      <c r="AB315" s="107">
        <v>587.87124463519308</v>
      </c>
    </row>
    <row r="316" spans="1:28">
      <c r="A316" s="14">
        <v>43460</v>
      </c>
      <c r="B316" s="107">
        <v>550</v>
      </c>
      <c r="C316" s="107">
        <v>551</v>
      </c>
      <c r="D316" s="107">
        <v>211</v>
      </c>
      <c r="E316" s="107">
        <v>212</v>
      </c>
      <c r="F316" s="107">
        <v>2.5990566037735801</v>
      </c>
      <c r="G316" s="107">
        <v>3.0507824532653798</v>
      </c>
      <c r="H316" s="107">
        <v>0.29438893283059397</v>
      </c>
      <c r="I316" s="107">
        <v>-1.53445255277903</v>
      </c>
      <c r="J316" s="107">
        <v>-17.38</v>
      </c>
      <c r="K316" s="107">
        <v>0.40655655948434299</v>
      </c>
      <c r="L316" s="107">
        <v>0.897321306514136</v>
      </c>
      <c r="M316" s="107">
        <v>0.22453458553807501</v>
      </c>
      <c r="N316" s="107">
        <v>0.106671131114741</v>
      </c>
      <c r="P316" s="107">
        <v>3.3451713860959735</v>
      </c>
      <c r="Q316" s="107">
        <v>2.756393520434786</v>
      </c>
      <c r="R316" s="107">
        <v>3.6395603189265677</v>
      </c>
      <c r="S316" s="107">
        <v>2.4620045876041918</v>
      </c>
      <c r="AA316" s="107">
        <v>551</v>
      </c>
      <c r="AB316" s="107">
        <v>561.39055793991417</v>
      </c>
    </row>
    <row r="317" spans="1:28">
      <c r="A317" s="14">
        <v>43459</v>
      </c>
      <c r="B317" s="107">
        <v>550</v>
      </c>
      <c r="C317" s="107">
        <v>546</v>
      </c>
      <c r="D317" s="107">
        <v>204</v>
      </c>
      <c r="E317" s="107">
        <v>204</v>
      </c>
      <c r="F317" s="107">
        <v>2.6764705882352899</v>
      </c>
      <c r="G317" s="107">
        <v>3.05834136659819</v>
      </c>
      <c r="H317" s="107">
        <v>0.28993771972155802</v>
      </c>
      <c r="I317" s="107">
        <v>-1.3170786427155201</v>
      </c>
      <c r="J317" s="107">
        <v>-14.27</v>
      </c>
      <c r="K317" s="107">
        <v>0.34861621315410302</v>
      </c>
      <c r="L317" s="107">
        <v>0.84779522687424202</v>
      </c>
      <c r="M317" s="107">
        <v>0.203786283728285</v>
      </c>
      <c r="N317" s="107">
        <v>9.3306462337254897E-2</v>
      </c>
      <c r="P317" s="107">
        <v>3.348279086319748</v>
      </c>
      <c r="Q317" s="107">
        <v>2.768403646876632</v>
      </c>
      <c r="R317" s="107">
        <v>3.638216806041306</v>
      </c>
      <c r="S317" s="107">
        <v>2.478465927155074</v>
      </c>
      <c r="AA317" s="107">
        <v>546</v>
      </c>
      <c r="AB317" s="107">
        <v>540.20600858369096</v>
      </c>
    </row>
    <row r="318" spans="1:28">
      <c r="A318" s="14">
        <v>43455</v>
      </c>
      <c r="B318" s="107">
        <v>563</v>
      </c>
      <c r="C318" s="107">
        <v>576</v>
      </c>
      <c r="D318" s="107">
        <v>220</v>
      </c>
      <c r="E318" s="107">
        <v>216</v>
      </c>
      <c r="F318" s="107">
        <v>2.6666666666666599</v>
      </c>
      <c r="G318" s="107">
        <v>3.0647106476439498</v>
      </c>
      <c r="H318" s="107">
        <v>0.28670788188184299</v>
      </c>
      <c r="I318" s="107">
        <v>-1.3883259098587399</v>
      </c>
      <c r="J318" s="107">
        <v>-14.93</v>
      </c>
      <c r="K318" s="107">
        <v>0.32335900178243399</v>
      </c>
      <c r="L318" s="107">
        <v>0.83896739250679098</v>
      </c>
      <c r="M318" s="107">
        <v>0.19262393531351299</v>
      </c>
      <c r="N318" s="107">
        <v>0.121421823134388</v>
      </c>
      <c r="P318" s="107">
        <v>3.3514185295257928</v>
      </c>
      <c r="Q318" s="107">
        <v>2.7780027657621069</v>
      </c>
      <c r="R318" s="107">
        <v>3.6381264114076357</v>
      </c>
      <c r="S318" s="107">
        <v>2.491294883880264</v>
      </c>
      <c r="AA318" s="107">
        <v>576</v>
      </c>
      <c r="AB318" s="107">
        <v>571.98283261802578</v>
      </c>
    </row>
    <row r="319" spans="1:28">
      <c r="A319" s="14">
        <v>43454</v>
      </c>
      <c r="B319" s="107">
        <v>599</v>
      </c>
      <c r="C319" s="107">
        <v>582</v>
      </c>
      <c r="D319" s="107">
        <v>227</v>
      </c>
      <c r="E319" s="107">
        <v>219</v>
      </c>
      <c r="F319" s="107">
        <v>2.6575342465753402</v>
      </c>
      <c r="G319" s="107">
        <v>3.0698683979868799</v>
      </c>
      <c r="H319" s="107">
        <v>0.28295576214454199</v>
      </c>
      <c r="I319" s="107">
        <v>-1.4572389276911399</v>
      </c>
      <c r="J319" s="107">
        <v>-15.52</v>
      </c>
      <c r="K319" s="107">
        <v>0.29442763782208398</v>
      </c>
      <c r="L319" s="107">
        <v>0.81379113475861098</v>
      </c>
      <c r="M319" s="107">
        <v>0.179419238888569</v>
      </c>
      <c r="N319" s="107">
        <v>0.10486969921917</v>
      </c>
      <c r="P319" s="107">
        <v>3.3528241601314219</v>
      </c>
      <c r="Q319" s="107">
        <v>2.7869126358423379</v>
      </c>
      <c r="R319" s="107">
        <v>3.6357799222759639</v>
      </c>
      <c r="S319" s="107">
        <v>2.503956873697796</v>
      </c>
      <c r="AA319" s="107">
        <v>582</v>
      </c>
      <c r="AB319" s="107">
        <v>579.92703862660949</v>
      </c>
    </row>
    <row r="320" spans="1:28">
      <c r="A320" s="14">
        <v>43453</v>
      </c>
      <c r="B320" s="107">
        <v>605</v>
      </c>
      <c r="C320" s="107">
        <v>600</v>
      </c>
      <c r="D320" s="107">
        <v>227</v>
      </c>
      <c r="E320" s="107">
        <v>226</v>
      </c>
      <c r="F320" s="107">
        <v>2.6548672566371598</v>
      </c>
      <c r="G320" s="107">
        <v>3.0758495740189402</v>
      </c>
      <c r="H320" s="107">
        <v>0.27888848592459697</v>
      </c>
      <c r="I320" s="107">
        <v>-1.50950053024274</v>
      </c>
      <c r="J320" s="107">
        <v>-15.86</v>
      </c>
      <c r="K320" s="107">
        <v>0.26926844609161898</v>
      </c>
      <c r="L320" s="107">
        <v>0.83065427357583899</v>
      </c>
      <c r="M320" s="107">
        <v>0.17070954869594199</v>
      </c>
      <c r="N320" s="107">
        <v>0.125345768355662</v>
      </c>
      <c r="P320" s="107">
        <v>3.354738059943537</v>
      </c>
      <c r="Q320" s="107">
        <v>2.7969610880943434</v>
      </c>
      <c r="R320" s="107">
        <v>3.6336265458681343</v>
      </c>
      <c r="S320" s="107">
        <v>2.5180726021697462</v>
      </c>
      <c r="AA320" s="107">
        <v>600</v>
      </c>
      <c r="AB320" s="107">
        <v>598.46351931330469</v>
      </c>
    </row>
    <row r="321" spans="1:28">
      <c r="A321" s="14">
        <v>43452</v>
      </c>
      <c r="B321" s="107">
        <v>600</v>
      </c>
      <c r="C321" s="107">
        <v>603</v>
      </c>
      <c r="D321" s="107">
        <v>230</v>
      </c>
      <c r="E321" s="107">
        <v>232</v>
      </c>
      <c r="F321" s="107">
        <v>2.59913793103448</v>
      </c>
      <c r="G321" s="107">
        <v>3.08164375585456</v>
      </c>
      <c r="H321" s="107">
        <v>0.27456266967853699</v>
      </c>
      <c r="I321" s="107">
        <v>-1.7573613535482</v>
      </c>
      <c r="J321" s="107">
        <v>-18.559999999999999</v>
      </c>
      <c r="K321" s="107">
        <v>0.25503931199582702</v>
      </c>
      <c r="L321" s="107">
        <v>0.87380488722689398</v>
      </c>
      <c r="M321" s="107">
        <v>0.16367865955350699</v>
      </c>
      <c r="N321" s="107">
        <v>0.117972814330877</v>
      </c>
      <c r="P321" s="107">
        <v>3.356206425533097</v>
      </c>
      <c r="Q321" s="107">
        <v>2.8070810861760229</v>
      </c>
      <c r="R321" s="107">
        <v>3.630769095211634</v>
      </c>
      <c r="S321" s="107">
        <v>2.5325184164974859</v>
      </c>
      <c r="AA321" s="107">
        <v>603</v>
      </c>
      <c r="AB321" s="107">
        <v>614.3519313304721</v>
      </c>
    </row>
    <row r="322" spans="1:28">
      <c r="A322" s="14">
        <v>43451</v>
      </c>
      <c r="B322" s="107">
        <v>625</v>
      </c>
      <c r="C322" s="107">
        <v>614</v>
      </c>
      <c r="D322" s="107">
        <v>232</v>
      </c>
      <c r="E322" s="107">
        <v>232</v>
      </c>
      <c r="F322" s="107">
        <v>2.6465517241379302</v>
      </c>
      <c r="G322" s="107">
        <v>3.0880225970462098</v>
      </c>
      <c r="H322" s="107">
        <v>0.26877506399596002</v>
      </c>
      <c r="I322" s="107">
        <v>-1.6425291332640799</v>
      </c>
      <c r="J322" s="107">
        <v>-16.68</v>
      </c>
      <c r="K322" s="107">
        <v>0.23603300328306201</v>
      </c>
      <c r="L322" s="107">
        <v>0.65912159707854001</v>
      </c>
      <c r="M322" s="107">
        <v>0.157318591582009</v>
      </c>
      <c r="N322" s="107">
        <v>0.13929821619874599</v>
      </c>
      <c r="P322" s="107">
        <v>3.3567976610421697</v>
      </c>
      <c r="Q322" s="107">
        <v>2.81924753305025</v>
      </c>
      <c r="R322" s="107">
        <v>3.62557272503813</v>
      </c>
      <c r="S322" s="107">
        <v>2.5504724690542897</v>
      </c>
      <c r="AA322" s="107">
        <v>614</v>
      </c>
      <c r="AB322" s="107">
        <v>614.3519313304721</v>
      </c>
    </row>
    <row r="323" spans="1:28">
      <c r="A323" s="14">
        <v>43448</v>
      </c>
      <c r="B323" s="107">
        <v>623</v>
      </c>
      <c r="C323" s="107">
        <v>617</v>
      </c>
      <c r="D323" s="107">
        <v>237</v>
      </c>
      <c r="E323" s="107">
        <v>233</v>
      </c>
      <c r="F323" s="107">
        <v>2.6480686695278899</v>
      </c>
      <c r="G323" s="107">
        <v>3.0946796851688201</v>
      </c>
      <c r="H323" s="107">
        <v>0.26389706111501499</v>
      </c>
      <c r="I323" s="107">
        <v>-1.6923682808512699</v>
      </c>
      <c r="J323" s="107">
        <v>-16.87</v>
      </c>
      <c r="K323" s="107">
        <v>0.21471629338663301</v>
      </c>
      <c r="L323" s="107">
        <v>0.77084294841231304</v>
      </c>
      <c r="M323" s="107">
        <v>0.146515217948298</v>
      </c>
      <c r="N323" s="107">
        <v>0.13316261917825301</v>
      </c>
      <c r="P323" s="107">
        <v>3.358576746283835</v>
      </c>
      <c r="Q323" s="107">
        <v>2.8307826240538052</v>
      </c>
      <c r="R323" s="107">
        <v>3.6224738073988503</v>
      </c>
      <c r="S323" s="107">
        <v>2.5668855629387899</v>
      </c>
      <c r="AA323" s="107">
        <v>617</v>
      </c>
      <c r="AB323" s="107">
        <v>617</v>
      </c>
    </row>
    <row r="324" spans="1:28">
      <c r="A324" s="14"/>
    </row>
    <row r="325" spans="1:28">
      <c r="A325" s="14"/>
    </row>
    <row r="326" spans="1:28">
      <c r="A326" s="14"/>
    </row>
    <row r="327" spans="1:28">
      <c r="A327" s="14"/>
    </row>
    <row r="328" spans="1:28">
      <c r="A328" s="14"/>
    </row>
    <row r="329" spans="1:28">
      <c r="A329" s="14"/>
    </row>
    <row r="330" spans="1:28">
      <c r="A330" s="14"/>
    </row>
    <row r="331" spans="1:28">
      <c r="A331" s="14"/>
    </row>
    <row r="332" spans="1:28">
      <c r="A332" s="14"/>
    </row>
    <row r="333" spans="1:28">
      <c r="A333" s="14"/>
    </row>
    <row r="334" spans="1:28">
      <c r="A334" s="14"/>
    </row>
    <row r="335" spans="1:28">
      <c r="A335" s="14"/>
    </row>
    <row r="336" spans="1:28">
      <c r="A336" s="14"/>
    </row>
    <row r="337" spans="1:9">
      <c r="A337" s="14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  <c r="I347" s="15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9">
      <c r="A369" s="14"/>
    </row>
    <row r="370" spans="1:9">
      <c r="A370" s="14"/>
    </row>
    <row r="371" spans="1:9">
      <c r="A371" s="14"/>
    </row>
    <row r="372" spans="1:9">
      <c r="A372" s="14"/>
    </row>
    <row r="373" spans="1:9">
      <c r="A373" s="14"/>
    </row>
    <row r="374" spans="1:9">
      <c r="A374" s="14"/>
    </row>
    <row r="375" spans="1:9">
      <c r="A375" s="14"/>
    </row>
    <row r="376" spans="1:9">
      <c r="A376" s="14"/>
    </row>
    <row r="377" spans="1:9">
      <c r="A377" s="14"/>
      <c r="I377" s="15"/>
    </row>
    <row r="378" spans="1:9">
      <c r="A378" s="14"/>
    </row>
    <row r="379" spans="1:9">
      <c r="A379" s="14"/>
    </row>
    <row r="380" spans="1:9">
      <c r="A380" s="14"/>
    </row>
    <row r="381" spans="1:9">
      <c r="A381" s="14"/>
    </row>
    <row r="382" spans="1:9">
      <c r="A382" s="14"/>
    </row>
    <row r="383" spans="1:9">
      <c r="A383" s="14"/>
    </row>
    <row r="384" spans="1:9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2">
      <c r="A481" s="14"/>
    </row>
    <row r="482" spans="1:12">
      <c r="A482" s="14"/>
    </row>
    <row r="483" spans="1:12">
      <c r="A483" s="14"/>
    </row>
    <row r="484" spans="1:12">
      <c r="A484" s="14"/>
    </row>
    <row r="485" spans="1:12">
      <c r="A485" s="14"/>
    </row>
    <row r="486" spans="1:12">
      <c r="A486" s="14"/>
      <c r="L486" s="15"/>
    </row>
    <row r="487" spans="1:12">
      <c r="A487" s="14"/>
    </row>
    <row r="488" spans="1:12">
      <c r="A488" s="14"/>
    </row>
    <row r="489" spans="1:12">
      <c r="A489" s="14"/>
    </row>
    <row r="490" spans="1:12">
      <c r="A490" s="14"/>
    </row>
    <row r="491" spans="1:12">
      <c r="A491" s="14"/>
    </row>
    <row r="492" spans="1:12">
      <c r="A492" s="14"/>
    </row>
    <row r="493" spans="1:12">
      <c r="A493" s="14"/>
    </row>
    <row r="494" spans="1:12">
      <c r="A494" s="14"/>
    </row>
    <row r="495" spans="1:12">
      <c r="A495" s="14"/>
    </row>
    <row r="496" spans="1:12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2">
      <c r="A529" s="14"/>
    </row>
    <row r="530" spans="1:12">
      <c r="A530" s="14"/>
      <c r="L530" s="15"/>
    </row>
    <row r="531" spans="1:12">
      <c r="A531" s="14"/>
      <c r="L531" s="15"/>
    </row>
    <row r="532" spans="1:12">
      <c r="A532" s="14"/>
      <c r="L532" s="15"/>
    </row>
    <row r="533" spans="1:12">
      <c r="A533" s="14"/>
      <c r="L533" s="15"/>
    </row>
    <row r="534" spans="1:12">
      <c r="A534" s="14"/>
      <c r="L534" s="15"/>
    </row>
    <row r="535" spans="1:12">
      <c r="A535" s="14"/>
    </row>
    <row r="536" spans="1:12">
      <c r="A536" s="14"/>
    </row>
    <row r="537" spans="1:12">
      <c r="A537" s="14"/>
    </row>
    <row r="538" spans="1:12">
      <c r="A538" s="14"/>
    </row>
    <row r="539" spans="1:12">
      <c r="A539" s="14"/>
    </row>
    <row r="540" spans="1:12">
      <c r="A540" s="14"/>
    </row>
    <row r="541" spans="1:12">
      <c r="A541" s="14"/>
    </row>
    <row r="542" spans="1:12">
      <c r="A542" s="14"/>
    </row>
    <row r="543" spans="1:12">
      <c r="A543" s="14"/>
    </row>
    <row r="544" spans="1:12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2">
      <c r="A577" s="14"/>
    </row>
    <row r="578" spans="1:12">
      <c r="A578" s="14"/>
    </row>
    <row r="579" spans="1:12">
      <c r="A579" s="14"/>
    </row>
    <row r="580" spans="1:12">
      <c r="A580" s="14"/>
    </row>
    <row r="581" spans="1:12">
      <c r="A581" s="14"/>
    </row>
    <row r="582" spans="1:12">
      <c r="A582" s="14"/>
    </row>
    <row r="583" spans="1:12">
      <c r="A583" s="14"/>
    </row>
    <row r="584" spans="1:12">
      <c r="A584" s="14"/>
    </row>
    <row r="585" spans="1:12">
      <c r="A585" s="14"/>
    </row>
    <row r="586" spans="1:12">
      <c r="A586" s="14"/>
    </row>
    <row r="587" spans="1:12">
      <c r="A587" s="14"/>
    </row>
    <row r="588" spans="1:12">
      <c r="A588" s="14"/>
    </row>
    <row r="589" spans="1:12">
      <c r="A589" s="14"/>
    </row>
    <row r="590" spans="1:12">
      <c r="A590" s="14"/>
    </row>
    <row r="591" spans="1:12">
      <c r="A591" s="14"/>
    </row>
    <row r="592" spans="1:12">
      <c r="A592" s="14"/>
      <c r="L592" s="15"/>
    </row>
    <row r="593" spans="1:12">
      <c r="A593" s="14"/>
      <c r="L593" s="15"/>
    </row>
    <row r="594" spans="1:12">
      <c r="A594" s="14"/>
    </row>
    <row r="595" spans="1:12">
      <c r="A595" s="14"/>
    </row>
    <row r="596" spans="1:12">
      <c r="A596" s="14"/>
    </row>
    <row r="597" spans="1:12">
      <c r="A597" s="14"/>
    </row>
    <row r="598" spans="1:12">
      <c r="A598" s="14"/>
    </row>
    <row r="599" spans="1:12">
      <c r="A599" s="14"/>
    </row>
    <row r="600" spans="1:12">
      <c r="A600" s="14"/>
    </row>
    <row r="601" spans="1:12">
      <c r="A601" s="14"/>
    </row>
    <row r="602" spans="1:12">
      <c r="A602" s="14"/>
    </row>
    <row r="603" spans="1:12">
      <c r="A603" s="14"/>
    </row>
    <row r="604" spans="1:12">
      <c r="A604" s="14"/>
    </row>
    <row r="605" spans="1:12">
      <c r="A605" s="14"/>
    </row>
    <row r="606" spans="1:12">
      <c r="A606" s="14"/>
    </row>
    <row r="607" spans="1:12">
      <c r="A607" s="14"/>
    </row>
    <row r="608" spans="1:12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</sheetData>
  <mergeCells count="3"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P780"/>
  <sheetViews>
    <sheetView showGridLines="0" zoomScale="115" zoomScaleNormal="115" workbookViewId="0">
      <selection activeCell="E36" sqref="E36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7" customFormat="1"/>
    <row r="2" spans="1:16" s="107" customFormat="1">
      <c r="B2" s="217"/>
      <c r="C2" s="215" t="s">
        <v>2309</v>
      </c>
      <c r="D2" s="215" t="s">
        <v>2310</v>
      </c>
      <c r="E2" s="215" t="s">
        <v>2311</v>
      </c>
      <c r="F2" s="215" t="s">
        <v>2312</v>
      </c>
      <c r="G2" s="216" t="s">
        <v>2313</v>
      </c>
      <c r="H2" s="216" t="s">
        <v>2314</v>
      </c>
      <c r="I2" s="216" t="s">
        <v>2317</v>
      </c>
      <c r="J2" s="216" t="s">
        <v>2320</v>
      </c>
      <c r="M2" s="3"/>
      <c r="N2" s="3"/>
    </row>
    <row r="3" spans="1:16" s="107" customFormat="1">
      <c r="B3" s="221" t="s">
        <v>2321</v>
      </c>
      <c r="C3" s="218"/>
      <c r="D3" s="219"/>
      <c r="E3" s="218"/>
      <c r="F3" s="218"/>
      <c r="G3" s="218"/>
      <c r="H3" s="220"/>
      <c r="I3" s="220"/>
      <c r="J3" s="220"/>
      <c r="M3" s="3"/>
      <c r="N3" s="3"/>
    </row>
    <row r="4" spans="1:16" s="107" customFormat="1">
      <c r="B4" s="222" t="s">
        <v>2322</v>
      </c>
      <c r="C4" s="223"/>
      <c r="D4" s="223"/>
      <c r="E4" s="223"/>
      <c r="F4" s="223"/>
      <c r="G4" s="223"/>
      <c r="H4" s="181"/>
      <c r="I4" s="181"/>
      <c r="J4" s="181"/>
      <c r="M4" s="3"/>
      <c r="N4" s="3"/>
    </row>
    <row r="5" spans="1:16" s="107" customFormat="1">
      <c r="M5" s="3"/>
      <c r="N5" s="3"/>
    </row>
    <row r="6" spans="1:16" s="107" customFormat="1" ht="15" thickBot="1">
      <c r="M6" s="3"/>
      <c r="N6" s="3"/>
    </row>
    <row r="7" spans="1:16" s="107" customFormat="1">
      <c r="A7" s="10"/>
      <c r="B7" s="95"/>
      <c r="C7" s="96"/>
      <c r="D7" s="96"/>
      <c r="E7" s="96"/>
      <c r="F7" s="96"/>
      <c r="G7" s="96"/>
      <c r="H7" s="97"/>
      <c r="M7" s="3"/>
      <c r="N7" s="3"/>
    </row>
    <row r="8" spans="1:16" s="107" customFormat="1">
      <c r="A8" s="10"/>
      <c r="B8" s="98"/>
      <c r="C8" s="10"/>
      <c r="D8" s="10"/>
      <c r="E8" s="10"/>
      <c r="F8" s="10"/>
      <c r="G8" s="10"/>
      <c r="H8" s="99"/>
      <c r="M8" s="10"/>
      <c r="N8" s="10"/>
    </row>
    <row r="9" spans="1:16" s="107" customFormat="1">
      <c r="A9" s="202"/>
      <c r="B9" s="98"/>
      <c r="C9" s="10"/>
      <c r="D9" s="10"/>
      <c r="E9" s="10"/>
      <c r="F9" s="10"/>
      <c r="G9" s="10"/>
      <c r="H9" s="99"/>
      <c r="M9" s="10"/>
      <c r="N9" s="10"/>
    </row>
    <row r="10" spans="1:16" ht="15" thickBot="1">
      <c r="A10" s="202"/>
      <c r="B10" s="98"/>
      <c r="C10" s="10"/>
      <c r="D10" s="10"/>
      <c r="E10" s="202"/>
      <c r="F10" s="203"/>
      <c r="G10" s="203"/>
      <c r="H10" s="224"/>
      <c r="I10" s="205"/>
      <c r="J10" s="205"/>
      <c r="K10" s="204"/>
    </row>
    <row r="11" spans="1:16">
      <c r="A11" s="212" t="s">
        <v>2306</v>
      </c>
      <c r="B11" s="202"/>
      <c r="C11" s="291"/>
      <c r="D11" s="292"/>
      <c r="E11" s="202"/>
      <c r="F11" s="202"/>
      <c r="G11" s="203"/>
      <c r="H11" s="209"/>
      <c r="I11" s="202"/>
      <c r="J11" s="206"/>
      <c r="K11" s="207"/>
      <c r="L11" s="96"/>
      <c r="M11" s="96"/>
      <c r="N11" s="96"/>
      <c r="O11" s="96"/>
      <c r="P11" s="97"/>
    </row>
    <row r="12" spans="1:16">
      <c r="A12" s="213">
        <v>3405</v>
      </c>
      <c r="B12" s="202"/>
      <c r="C12" s="291"/>
      <c r="D12" s="292"/>
      <c r="E12" s="202"/>
      <c r="F12" s="202"/>
      <c r="G12" s="202"/>
      <c r="H12" s="209"/>
      <c r="I12" s="202"/>
      <c r="J12" s="208"/>
      <c r="K12" s="10"/>
      <c r="L12" s="10"/>
      <c r="M12" s="10"/>
      <c r="N12" s="10"/>
      <c r="O12" s="10"/>
      <c r="P12" s="99"/>
    </row>
    <row r="13" spans="1:16">
      <c r="A13" s="212" t="s">
        <v>2307</v>
      </c>
      <c r="B13" s="202"/>
      <c r="C13" s="291"/>
      <c r="D13" s="292"/>
      <c r="E13" s="202"/>
      <c r="F13" s="202"/>
      <c r="G13" s="202"/>
      <c r="H13" s="209"/>
      <c r="I13" s="202"/>
      <c r="J13" s="208"/>
      <c r="K13" s="10"/>
      <c r="L13" s="10"/>
      <c r="M13" s="10"/>
      <c r="N13" s="10"/>
      <c r="O13" s="10"/>
      <c r="P13" s="99"/>
    </row>
    <row r="14" spans="1:16">
      <c r="A14" s="213">
        <v>1088.8251533742332</v>
      </c>
      <c r="B14" s="202"/>
      <c r="C14" s="291"/>
      <c r="D14" s="292"/>
      <c r="E14" s="202"/>
      <c r="F14" s="202"/>
      <c r="G14" s="202"/>
      <c r="H14" s="209"/>
      <c r="I14" s="202"/>
      <c r="J14" s="208"/>
      <c r="K14" s="10"/>
      <c r="L14" s="10"/>
      <c r="M14" s="10"/>
      <c r="N14" s="10"/>
      <c r="O14" s="10"/>
      <c r="P14" s="99"/>
    </row>
    <row r="15" spans="1:16">
      <c r="A15" s="212" t="s">
        <v>2318</v>
      </c>
      <c r="B15" s="202"/>
      <c r="C15" s="291"/>
      <c r="D15" s="292"/>
      <c r="E15" s="202"/>
      <c r="F15" s="202"/>
      <c r="G15" s="202"/>
      <c r="H15" s="209"/>
      <c r="I15" s="202"/>
      <c r="J15" s="208"/>
      <c r="K15" s="10"/>
      <c r="L15" s="10"/>
      <c r="M15" s="10"/>
      <c r="N15" s="10"/>
      <c r="O15" s="10"/>
      <c r="P15" s="99"/>
    </row>
    <row r="16" spans="1:16">
      <c r="A16" s="213">
        <v>1.2141527001862198</v>
      </c>
      <c r="B16" s="202"/>
      <c r="C16" s="291"/>
      <c r="D16" s="292"/>
      <c r="E16" s="202"/>
      <c r="F16" s="202"/>
      <c r="G16" s="202"/>
      <c r="H16" s="209"/>
      <c r="I16" s="202"/>
      <c r="J16" s="208"/>
      <c r="K16" s="10"/>
      <c r="L16" s="10"/>
      <c r="M16" s="10"/>
      <c r="N16" s="10"/>
      <c r="O16" s="10"/>
      <c r="P16" s="99"/>
    </row>
    <row r="17" spans="1:16">
      <c r="A17" s="209" t="s">
        <v>2319</v>
      </c>
      <c r="B17" s="202"/>
      <c r="C17" s="291"/>
      <c r="D17" s="292"/>
      <c r="E17" s="202"/>
      <c r="F17" s="202"/>
      <c r="G17" s="202"/>
      <c r="H17" s="209"/>
      <c r="I17" s="202"/>
      <c r="J17" s="208"/>
      <c r="K17" s="201"/>
      <c r="L17" s="10"/>
      <c r="M17" s="10"/>
      <c r="N17" s="10"/>
      <c r="O17" s="10"/>
      <c r="P17" s="99"/>
    </row>
    <row r="18" spans="1:16">
      <c r="A18" s="225" t="s">
        <v>2323</v>
      </c>
      <c r="B18" s="202"/>
      <c r="C18" s="291"/>
      <c r="D18" s="292"/>
      <c r="E18" s="202"/>
      <c r="F18" s="202"/>
      <c r="G18" s="202"/>
      <c r="H18" s="209"/>
      <c r="I18" s="202"/>
      <c r="J18" s="208"/>
      <c r="K18" s="201"/>
      <c r="L18" s="10"/>
      <c r="M18" s="10"/>
      <c r="N18" s="10"/>
      <c r="O18" s="10"/>
      <c r="P18" s="99"/>
    </row>
    <row r="19" spans="1:16">
      <c r="A19" s="202"/>
      <c r="B19" s="208"/>
      <c r="C19" s="291"/>
      <c r="D19" s="292"/>
      <c r="E19" s="202"/>
      <c r="F19" s="202"/>
      <c r="G19" s="202"/>
      <c r="H19" s="209"/>
      <c r="I19" s="202"/>
      <c r="J19" s="208"/>
      <c r="K19" s="201"/>
      <c r="L19" s="10"/>
      <c r="M19" s="10"/>
      <c r="N19" s="10"/>
      <c r="O19" s="10"/>
      <c r="P19" s="99"/>
    </row>
    <row r="20" spans="1:16">
      <c r="A20" s="202"/>
      <c r="B20" s="208"/>
      <c r="C20" s="202"/>
      <c r="D20" s="202"/>
      <c r="E20" s="202"/>
      <c r="F20" s="202"/>
      <c r="G20" s="202"/>
      <c r="H20" s="209"/>
      <c r="I20" s="202"/>
      <c r="J20" s="208"/>
      <c r="K20" s="201"/>
      <c r="L20" s="10"/>
      <c r="M20" s="10"/>
      <c r="N20" s="10"/>
      <c r="O20" s="10"/>
      <c r="P20" s="99"/>
    </row>
    <row r="21" spans="1:16">
      <c r="A21" s="202"/>
      <c r="B21" s="208"/>
      <c r="C21" s="202"/>
      <c r="E21" s="202"/>
      <c r="F21" s="202"/>
      <c r="G21" s="202"/>
      <c r="H21" s="209"/>
      <c r="I21" s="202"/>
      <c r="J21" s="208"/>
      <c r="K21" s="10"/>
      <c r="L21" s="10"/>
      <c r="M21" s="10"/>
      <c r="N21" s="10"/>
      <c r="O21" s="10"/>
      <c r="P21" s="99"/>
    </row>
    <row r="22" spans="1:16">
      <c r="A22" s="202"/>
      <c r="B22" s="208"/>
      <c r="C22" s="202"/>
      <c r="D22" s="202"/>
      <c r="E22" s="202"/>
      <c r="F22" s="202"/>
      <c r="G22" s="202"/>
      <c r="H22" s="209"/>
      <c r="I22" s="202"/>
      <c r="J22" s="208"/>
      <c r="K22" s="10"/>
      <c r="L22" s="10"/>
      <c r="M22" s="10"/>
      <c r="N22" s="10"/>
      <c r="O22" s="10"/>
      <c r="P22" s="99"/>
    </row>
    <row r="23" spans="1:16">
      <c r="A23" s="202"/>
      <c r="B23" s="208"/>
      <c r="C23" s="202"/>
      <c r="D23" s="202"/>
      <c r="E23" s="202"/>
      <c r="F23" s="202"/>
      <c r="G23" s="202"/>
      <c r="H23" s="209"/>
      <c r="I23" s="202"/>
      <c r="J23" s="208"/>
      <c r="K23" s="10"/>
      <c r="L23" s="10"/>
      <c r="M23" s="10"/>
      <c r="N23" s="10"/>
      <c r="O23" s="10"/>
      <c r="P23" s="99"/>
    </row>
    <row r="24" spans="1:16">
      <c r="A24" s="202"/>
      <c r="B24" s="208"/>
      <c r="C24" s="202"/>
      <c r="D24" s="202"/>
      <c r="E24" s="202"/>
      <c r="F24" s="202"/>
      <c r="G24" s="202"/>
      <c r="H24" s="209"/>
      <c r="I24" s="202"/>
      <c r="J24" s="208"/>
      <c r="K24" s="10"/>
      <c r="L24" s="10"/>
      <c r="M24" s="10"/>
      <c r="N24" s="10"/>
      <c r="O24" s="10"/>
      <c r="P24" s="99"/>
    </row>
    <row r="25" spans="1:16">
      <c r="A25" s="202"/>
      <c r="B25" s="208"/>
      <c r="C25" s="203"/>
      <c r="D25" s="203"/>
      <c r="E25" s="203"/>
      <c r="F25" s="202"/>
      <c r="G25" s="202"/>
      <c r="H25" s="209"/>
      <c r="I25" s="202"/>
      <c r="J25" s="208"/>
      <c r="K25" s="10"/>
      <c r="L25" s="10"/>
      <c r="M25" s="10"/>
      <c r="N25" s="10"/>
      <c r="O25" s="10"/>
      <c r="P25" s="99"/>
    </row>
    <row r="26" spans="1:16">
      <c r="A26" s="202"/>
      <c r="B26" s="208"/>
      <c r="C26" s="202"/>
      <c r="D26" s="202"/>
      <c r="E26" s="202"/>
      <c r="F26" s="202"/>
      <c r="G26" s="202"/>
      <c r="H26" s="209"/>
      <c r="I26" s="202"/>
      <c r="J26" s="208"/>
      <c r="K26" s="10"/>
      <c r="L26" s="10"/>
      <c r="M26" s="10"/>
      <c r="N26" s="10"/>
      <c r="O26" s="10"/>
      <c r="P26" s="99"/>
    </row>
    <row r="27" spans="1:16">
      <c r="A27" s="202"/>
      <c r="B27" s="208"/>
      <c r="C27" s="202"/>
      <c r="D27" s="202"/>
      <c r="E27" s="202"/>
      <c r="F27" s="202"/>
      <c r="G27" s="202"/>
      <c r="H27" s="209"/>
      <c r="I27" s="202"/>
      <c r="J27" s="208"/>
      <c r="K27" s="10"/>
      <c r="L27" s="10"/>
      <c r="M27" s="10"/>
      <c r="N27" s="10"/>
      <c r="O27" s="10"/>
      <c r="P27" s="99"/>
    </row>
    <row r="28" spans="1:16">
      <c r="A28" s="202"/>
      <c r="B28" s="208"/>
      <c r="C28" s="202"/>
      <c r="D28" s="202"/>
      <c r="E28" s="202"/>
      <c r="F28" s="202"/>
      <c r="G28" s="202"/>
      <c r="H28" s="209"/>
      <c r="I28" s="202"/>
      <c r="J28" s="208"/>
      <c r="K28" s="10"/>
      <c r="L28" s="10"/>
      <c r="M28" s="10"/>
      <c r="N28" s="10"/>
      <c r="O28" s="10"/>
      <c r="P28" s="99"/>
    </row>
    <row r="29" spans="1:16">
      <c r="A29" s="202"/>
      <c r="B29" s="208"/>
      <c r="C29" s="202"/>
      <c r="D29" s="202"/>
      <c r="E29" s="202"/>
      <c r="F29" s="202"/>
      <c r="G29" s="202"/>
      <c r="H29" s="209"/>
      <c r="I29" s="202"/>
      <c r="J29" s="208"/>
      <c r="K29" s="10"/>
      <c r="L29" s="10"/>
      <c r="M29" s="10"/>
      <c r="N29" s="10"/>
      <c r="O29" s="10"/>
      <c r="P29" s="99"/>
    </row>
    <row r="30" spans="1:16" ht="15" thickBot="1">
      <c r="B30" s="100"/>
      <c r="C30" s="101"/>
      <c r="D30" s="101"/>
      <c r="E30" s="101"/>
      <c r="F30" s="101"/>
      <c r="G30" s="101"/>
      <c r="H30" s="102"/>
      <c r="J30" s="100"/>
      <c r="K30" s="101"/>
      <c r="L30" s="101"/>
      <c r="M30" s="101"/>
      <c r="N30" s="101"/>
      <c r="O30" s="101"/>
      <c r="P30" s="102"/>
    </row>
    <row r="33" spans="1:13" s="107" customFormat="1"/>
    <row r="34" spans="1:13" s="107" customFormat="1"/>
    <row r="35" spans="1:13" s="107" customFormat="1"/>
    <row r="36" spans="1:13" s="107" customFormat="1"/>
    <row r="37" spans="1:13" s="107" customFormat="1"/>
    <row r="38" spans="1:13" s="107" customFormat="1"/>
    <row r="39" spans="1:13" s="107" customFormat="1"/>
    <row r="40" spans="1:13" ht="15" thickBot="1">
      <c r="A40" s="101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</row>
    <row r="41" spans="1:13">
      <c r="A41" s="107" t="s">
        <v>1238</v>
      </c>
      <c r="B41" s="107" t="s">
        <v>2325</v>
      </c>
      <c r="C41" s="107" t="s">
        <v>2326</v>
      </c>
      <c r="D41" s="107" t="s">
        <v>2327</v>
      </c>
      <c r="E41" s="107" t="s">
        <v>2328</v>
      </c>
      <c r="F41" s="107" t="s">
        <v>1239</v>
      </c>
      <c r="G41" s="107" t="s">
        <v>1240</v>
      </c>
      <c r="H41" s="107" t="s">
        <v>1241</v>
      </c>
      <c r="I41" s="107" t="s">
        <v>1242</v>
      </c>
      <c r="J41" s="107" t="s">
        <v>1243</v>
      </c>
      <c r="K41" s="107" t="s">
        <v>2324</v>
      </c>
      <c r="L41" s="107" t="s">
        <v>1307</v>
      </c>
    </row>
    <row r="42" spans="1:13">
      <c r="A42" s="14">
        <v>43812</v>
      </c>
      <c r="B42">
        <v>2911</v>
      </c>
      <c r="C42">
        <v>2859</v>
      </c>
      <c r="D42">
        <v>1687</v>
      </c>
      <c r="E42">
        <v>1707</v>
      </c>
      <c r="F42">
        <v>1.67486818980667</v>
      </c>
      <c r="G42">
        <v>1.78567754568147</v>
      </c>
      <c r="H42">
        <v>5.5093606833295998E-2</v>
      </c>
      <c r="I42">
        <v>-2.01129245740049</v>
      </c>
      <c r="J42">
        <v>-6.62</v>
      </c>
      <c r="K42">
        <v>2859</v>
      </c>
      <c r="L42">
        <v>1405.9187116564417</v>
      </c>
    </row>
    <row r="43" spans="1:13">
      <c r="A43" s="214">
        <v>43811</v>
      </c>
      <c r="B43" s="10">
        <v>2908</v>
      </c>
      <c r="C43" s="10">
        <v>2865</v>
      </c>
      <c r="D43" s="10">
        <v>1658</v>
      </c>
      <c r="E43" s="10">
        <v>1637</v>
      </c>
      <c r="F43" s="10">
        <v>1.75015271838729</v>
      </c>
      <c r="G43" s="10">
        <v>1.78738920243836</v>
      </c>
      <c r="H43" s="10">
        <v>5.3598257841411701E-2</v>
      </c>
      <c r="I43" s="10">
        <v>-0.69473310422227597</v>
      </c>
      <c r="J43" s="10">
        <v>-2.13</v>
      </c>
      <c r="K43" s="10">
        <v>2865</v>
      </c>
      <c r="L43" s="10">
        <v>1348.2653374233128</v>
      </c>
      <c r="M43" s="10"/>
    </row>
    <row r="44" spans="1:13">
      <c r="A44" s="14">
        <v>43810</v>
      </c>
      <c r="B44" s="107">
        <v>2900</v>
      </c>
      <c r="C44" s="107">
        <v>2874</v>
      </c>
      <c r="D44" s="107">
        <v>1665</v>
      </c>
      <c r="E44" s="107">
        <v>1649</v>
      </c>
      <c r="F44" s="107">
        <v>1.7428744693753699</v>
      </c>
      <c r="G44" s="107">
        <v>1.7879398559500099</v>
      </c>
      <c r="H44" s="107">
        <v>5.3424738367895401E-2</v>
      </c>
      <c r="I44" s="107">
        <v>-0.84353031856340799</v>
      </c>
      <c r="J44" s="107">
        <v>-2.59</v>
      </c>
      <c r="K44">
        <v>2874</v>
      </c>
      <c r="L44" s="107">
        <v>1358.1487730061349</v>
      </c>
    </row>
    <row r="45" spans="1:13">
      <c r="A45" s="14">
        <v>43809</v>
      </c>
      <c r="B45">
        <v>2929</v>
      </c>
      <c r="C45">
        <v>2908</v>
      </c>
      <c r="D45">
        <v>1698</v>
      </c>
      <c r="E45">
        <v>1678</v>
      </c>
      <c r="F45">
        <v>1.73301549463647</v>
      </c>
      <c r="G45">
        <v>1.78846234016857</v>
      </c>
      <c r="H45">
        <v>5.3172474131270797E-2</v>
      </c>
      <c r="I45">
        <v>-1.0427734732677001</v>
      </c>
      <c r="J45">
        <v>-3.2</v>
      </c>
      <c r="K45">
        <v>2908</v>
      </c>
      <c r="L45">
        <v>1382.0337423312883</v>
      </c>
    </row>
    <row r="46" spans="1:13">
      <c r="A46" s="14">
        <v>43808</v>
      </c>
      <c r="B46">
        <v>2918</v>
      </c>
      <c r="C46">
        <v>2907</v>
      </c>
      <c r="D46">
        <v>1710</v>
      </c>
      <c r="E46">
        <v>1695</v>
      </c>
      <c r="F46">
        <v>1.71504424778761</v>
      </c>
      <c r="G46">
        <v>1.7889954273419599</v>
      </c>
      <c r="H46">
        <v>5.2813118295291103E-2</v>
      </c>
      <c r="I46">
        <v>-1.4002426279939999</v>
      </c>
      <c r="J46">
        <v>-4.3099999999999996</v>
      </c>
      <c r="K46">
        <v>2907</v>
      </c>
      <c r="L46">
        <v>1396.0352760736196</v>
      </c>
    </row>
    <row r="47" spans="1:13">
      <c r="A47" s="14">
        <v>43805</v>
      </c>
      <c r="B47">
        <v>2860</v>
      </c>
      <c r="C47">
        <v>2883</v>
      </c>
      <c r="D47">
        <v>1694</v>
      </c>
      <c r="E47">
        <v>1679</v>
      </c>
      <c r="F47">
        <v>1.7170935080405001</v>
      </c>
      <c r="G47">
        <v>1.7891683283791</v>
      </c>
      <c r="H47">
        <v>5.2591493662637399E-2</v>
      </c>
      <c r="I47">
        <v>-1.3704653608232999</v>
      </c>
      <c r="J47">
        <v>-4.2</v>
      </c>
      <c r="K47">
        <v>2883</v>
      </c>
      <c r="L47">
        <v>1382.8573619631902</v>
      </c>
    </row>
    <row r="48" spans="1:13">
      <c r="A48" s="14">
        <v>43804</v>
      </c>
      <c r="B48">
        <v>2865</v>
      </c>
      <c r="C48">
        <v>2864</v>
      </c>
      <c r="D48">
        <v>1655</v>
      </c>
      <c r="E48">
        <v>1680</v>
      </c>
      <c r="F48">
        <v>1.7047619047619</v>
      </c>
      <c r="G48">
        <v>1.78907683515265</v>
      </c>
      <c r="H48">
        <v>5.2722607827765403E-2</v>
      </c>
      <c r="I48">
        <v>-1.5992177523955</v>
      </c>
      <c r="J48">
        <v>-4.95</v>
      </c>
      <c r="K48">
        <v>2864</v>
      </c>
      <c r="L48">
        <v>1383.6809815950919</v>
      </c>
    </row>
    <row r="49" spans="1:12">
      <c r="A49" s="14">
        <v>43803</v>
      </c>
      <c r="B49">
        <v>2819</v>
      </c>
      <c r="C49">
        <v>2856</v>
      </c>
      <c r="D49">
        <v>1634</v>
      </c>
      <c r="E49">
        <v>1633</v>
      </c>
      <c r="F49">
        <v>1.7489283527250401</v>
      </c>
      <c r="G49">
        <v>1.7894281579039699</v>
      </c>
      <c r="H49">
        <v>5.2245224829735398E-2</v>
      </c>
      <c r="I49">
        <v>-0.77518673354200396</v>
      </c>
      <c r="J49">
        <v>-2.3199999999999998</v>
      </c>
      <c r="K49">
        <v>2856</v>
      </c>
      <c r="L49">
        <v>1344.9708588957055</v>
      </c>
    </row>
    <row r="50" spans="1:12">
      <c r="A50" s="14">
        <v>43802</v>
      </c>
      <c r="B50">
        <v>2839</v>
      </c>
      <c r="C50">
        <v>2849</v>
      </c>
      <c r="D50">
        <v>1633</v>
      </c>
      <c r="E50">
        <v>1647</v>
      </c>
      <c r="F50">
        <v>1.7298117789920999</v>
      </c>
      <c r="G50">
        <v>1.78953360199131</v>
      </c>
      <c r="H50">
        <v>5.2171307758493803E-2</v>
      </c>
      <c r="I50">
        <v>-1.1447254355913199</v>
      </c>
      <c r="J50">
        <v>-3.45</v>
      </c>
      <c r="K50">
        <v>2849</v>
      </c>
      <c r="L50">
        <v>1356.5015337423313</v>
      </c>
    </row>
    <row r="51" spans="1:12">
      <c r="A51" s="14">
        <v>43801</v>
      </c>
      <c r="B51">
        <v>2853</v>
      </c>
      <c r="C51">
        <v>2877</v>
      </c>
      <c r="D51">
        <v>1641</v>
      </c>
      <c r="E51">
        <v>1659</v>
      </c>
      <c r="F51">
        <v>1.73417721518987</v>
      </c>
      <c r="G51">
        <v>1.7903910135655401</v>
      </c>
      <c r="H51">
        <v>5.1709132942337102E-2</v>
      </c>
      <c r="I51">
        <v>-1.08711547026621</v>
      </c>
      <c r="J51">
        <v>-3.24</v>
      </c>
      <c r="K51">
        <v>2877</v>
      </c>
      <c r="L51">
        <v>1366.3849693251534</v>
      </c>
    </row>
    <row r="52" spans="1:12">
      <c r="A52" s="14">
        <v>43798</v>
      </c>
      <c r="B52">
        <v>2899</v>
      </c>
      <c r="C52">
        <v>2850</v>
      </c>
      <c r="D52">
        <v>1661</v>
      </c>
      <c r="E52">
        <v>1630</v>
      </c>
      <c r="F52">
        <v>1.74846625766871</v>
      </c>
      <c r="G52">
        <v>1.7927690213412599</v>
      </c>
      <c r="H52">
        <v>5.3150210563943298E-2</v>
      </c>
      <c r="I52">
        <v>-0.83353881767323401</v>
      </c>
      <c r="J52">
        <v>-2.5299999999999998</v>
      </c>
      <c r="K52">
        <v>2850</v>
      </c>
      <c r="L52">
        <v>1342.5</v>
      </c>
    </row>
    <row r="53" spans="1:12">
      <c r="A53" s="14">
        <v>43797</v>
      </c>
      <c r="B53">
        <v>2902</v>
      </c>
      <c r="C53">
        <v>2889</v>
      </c>
      <c r="D53">
        <v>1652</v>
      </c>
      <c r="E53">
        <v>1645</v>
      </c>
      <c r="F53">
        <v>1.7562310030395101</v>
      </c>
      <c r="G53">
        <v>1.7950266411443401</v>
      </c>
      <c r="H53">
        <v>5.4791185246939898E-2</v>
      </c>
      <c r="I53">
        <v>-0.70806349470235497</v>
      </c>
      <c r="J53">
        <v>-2.21</v>
      </c>
      <c r="K53">
        <v>2889</v>
      </c>
      <c r="L53">
        <v>1354.8542944785277</v>
      </c>
    </row>
    <row r="54" spans="1:12">
      <c r="A54" s="14">
        <v>43796</v>
      </c>
      <c r="B54">
        <v>2857</v>
      </c>
      <c r="C54">
        <v>2899</v>
      </c>
      <c r="D54">
        <v>1639</v>
      </c>
      <c r="E54">
        <v>1657</v>
      </c>
      <c r="F54">
        <v>1.7495473747736801</v>
      </c>
      <c r="G54">
        <v>1.79667370797959</v>
      </c>
      <c r="H54">
        <v>5.5452910841891502E-2</v>
      </c>
      <c r="I54">
        <v>-0.849844173920419</v>
      </c>
      <c r="J54">
        <v>-2.69</v>
      </c>
      <c r="K54">
        <v>2899</v>
      </c>
      <c r="L54">
        <v>1364.7377300613496</v>
      </c>
    </row>
    <row r="55" spans="1:12">
      <c r="A55" s="14">
        <v>43795</v>
      </c>
      <c r="B55">
        <v>2859</v>
      </c>
      <c r="C55">
        <v>2845</v>
      </c>
      <c r="D55">
        <v>1628</v>
      </c>
      <c r="E55">
        <v>1624</v>
      </c>
      <c r="F55">
        <v>1.7518472906403899</v>
      </c>
      <c r="G55">
        <v>1.7983537734195301</v>
      </c>
      <c r="H55">
        <v>5.5906605554986201E-2</v>
      </c>
      <c r="I55">
        <v>-0.83186024830995697</v>
      </c>
      <c r="J55">
        <v>-2.65</v>
      </c>
      <c r="K55">
        <v>2845</v>
      </c>
      <c r="L55">
        <v>1337.5582822085889</v>
      </c>
    </row>
    <row r="56" spans="1:12">
      <c r="A56" s="14">
        <v>43794</v>
      </c>
      <c r="B56">
        <v>2928</v>
      </c>
      <c r="C56">
        <v>2855</v>
      </c>
      <c r="D56">
        <v>1610</v>
      </c>
      <c r="E56">
        <v>1611</v>
      </c>
      <c r="F56">
        <v>1.772191185599</v>
      </c>
      <c r="G56">
        <v>1.7996835391549</v>
      </c>
      <c r="H56">
        <v>5.5970667152966502E-2</v>
      </c>
      <c r="I56">
        <v>-0.491192171798917</v>
      </c>
      <c r="J56">
        <v>-1.55</v>
      </c>
      <c r="K56">
        <v>2855</v>
      </c>
      <c r="L56">
        <v>1326.8512269938649</v>
      </c>
    </row>
    <row r="57" spans="1:12">
      <c r="A57" s="14">
        <v>43791</v>
      </c>
      <c r="B57">
        <v>2880</v>
      </c>
      <c r="C57">
        <v>2922</v>
      </c>
      <c r="D57">
        <v>1588</v>
      </c>
      <c r="E57">
        <v>1606</v>
      </c>
      <c r="F57">
        <v>1.8194271481942701</v>
      </c>
      <c r="G57">
        <v>1.8004636968524199</v>
      </c>
      <c r="H57">
        <v>5.5989808407339303E-2</v>
      </c>
      <c r="I57">
        <v>0.338694699647618</v>
      </c>
      <c r="J57">
        <v>1.04</v>
      </c>
      <c r="K57">
        <v>2922</v>
      </c>
      <c r="L57">
        <v>1322.7331288343557</v>
      </c>
    </row>
    <row r="58" spans="1:12">
      <c r="A58" s="14">
        <v>43790</v>
      </c>
      <c r="B58">
        <v>2878</v>
      </c>
      <c r="C58">
        <v>2895</v>
      </c>
      <c r="D58">
        <v>1581</v>
      </c>
      <c r="E58">
        <v>1596</v>
      </c>
      <c r="F58">
        <v>1.8139097744360899</v>
      </c>
      <c r="G58">
        <v>1.8006553460966901</v>
      </c>
      <c r="H58">
        <v>5.6078920155054203E-2</v>
      </c>
      <c r="I58">
        <v>0.236353130601485</v>
      </c>
      <c r="J58">
        <v>0.73</v>
      </c>
      <c r="K58">
        <v>2895</v>
      </c>
      <c r="L58">
        <v>1314.4969325153374</v>
      </c>
    </row>
    <row r="59" spans="1:12">
      <c r="A59" s="14">
        <v>43789</v>
      </c>
      <c r="B59">
        <v>2870</v>
      </c>
      <c r="C59">
        <v>2900</v>
      </c>
      <c r="D59">
        <v>1605</v>
      </c>
      <c r="E59">
        <v>1596</v>
      </c>
      <c r="F59">
        <v>1.8170426065162899</v>
      </c>
      <c r="G59">
        <v>1.7993183277517399</v>
      </c>
      <c r="H59">
        <v>5.6935807661996199E-2</v>
      </c>
      <c r="I59">
        <v>0.31130284248832002</v>
      </c>
      <c r="J59">
        <v>0.98</v>
      </c>
      <c r="K59">
        <v>2900</v>
      </c>
      <c r="L59">
        <v>1314.4969325153374</v>
      </c>
    </row>
    <row r="60" spans="1:12">
      <c r="A60" s="14">
        <v>43788</v>
      </c>
      <c r="B60">
        <v>2809</v>
      </c>
      <c r="C60">
        <v>2840</v>
      </c>
      <c r="D60">
        <v>1610</v>
      </c>
      <c r="E60">
        <v>1622</v>
      </c>
      <c r="F60">
        <v>1.7509247842170099</v>
      </c>
      <c r="G60">
        <v>1.79817239915642</v>
      </c>
      <c r="H60">
        <v>5.7430287757949602E-2</v>
      </c>
      <c r="I60">
        <v>-0.82269507578543399</v>
      </c>
      <c r="J60">
        <v>-2.7</v>
      </c>
      <c r="K60">
        <v>2840</v>
      </c>
      <c r="L60">
        <v>1335.9110429447853</v>
      </c>
    </row>
    <row r="61" spans="1:12">
      <c r="A61" s="14">
        <v>43787</v>
      </c>
      <c r="B61">
        <v>2772</v>
      </c>
      <c r="C61">
        <v>2818</v>
      </c>
      <c r="D61">
        <v>1600</v>
      </c>
      <c r="E61">
        <v>1621</v>
      </c>
      <c r="F61">
        <v>1.73843306600863</v>
      </c>
      <c r="G61">
        <v>1.7977618288762101</v>
      </c>
      <c r="H61">
        <v>5.7874942018459198E-2</v>
      </c>
      <c r="I61">
        <v>-1.0251200398378399</v>
      </c>
      <c r="J61">
        <v>-3.41</v>
      </c>
      <c r="K61">
        <v>2818</v>
      </c>
      <c r="L61">
        <v>1335.0874233128834</v>
      </c>
    </row>
    <row r="62" spans="1:12">
      <c r="A62" s="14">
        <v>43784</v>
      </c>
      <c r="B62">
        <v>2781</v>
      </c>
      <c r="C62">
        <v>2763</v>
      </c>
      <c r="D62">
        <v>1616</v>
      </c>
      <c r="E62">
        <v>1623</v>
      </c>
      <c r="F62">
        <v>1.7024029574861299</v>
      </c>
      <c r="G62">
        <v>1.7971681082727899</v>
      </c>
      <c r="H62">
        <v>5.8703012178966799E-2</v>
      </c>
      <c r="I62">
        <v>-1.61431496049552</v>
      </c>
      <c r="J62">
        <v>-5.57</v>
      </c>
      <c r="K62">
        <v>2763</v>
      </c>
      <c r="L62">
        <v>1336.734662576687</v>
      </c>
    </row>
    <row r="63" spans="1:12">
      <c r="A63" s="14">
        <v>43783</v>
      </c>
      <c r="B63">
        <v>2915</v>
      </c>
      <c r="C63">
        <v>2789</v>
      </c>
      <c r="D63">
        <v>1648</v>
      </c>
      <c r="E63">
        <v>1619</v>
      </c>
      <c r="F63">
        <v>1.72266831377393</v>
      </c>
      <c r="G63">
        <v>1.7968963588801601</v>
      </c>
      <c r="H63">
        <v>5.9186257825767599E-2</v>
      </c>
      <c r="I63">
        <v>-1.2541432392084</v>
      </c>
      <c r="J63">
        <v>-4.3099999999999996</v>
      </c>
      <c r="K63">
        <v>2789</v>
      </c>
      <c r="L63">
        <v>1333.4401840490798</v>
      </c>
    </row>
    <row r="64" spans="1:12">
      <c r="A64" s="14">
        <v>43782</v>
      </c>
      <c r="B64">
        <v>2820</v>
      </c>
      <c r="C64">
        <v>2887</v>
      </c>
      <c r="D64">
        <v>1668</v>
      </c>
      <c r="E64">
        <v>1650</v>
      </c>
      <c r="F64">
        <v>1.74969696969696</v>
      </c>
      <c r="G64">
        <v>1.7964183376332701</v>
      </c>
      <c r="H64">
        <v>5.9924015218385203E-2</v>
      </c>
      <c r="I64">
        <v>-0.77967685853555202</v>
      </c>
      <c r="J64">
        <v>-2.67</v>
      </c>
      <c r="K64">
        <v>2887</v>
      </c>
      <c r="L64">
        <v>1358.9723926380368</v>
      </c>
    </row>
    <row r="65" spans="1:12">
      <c r="A65" s="14">
        <v>43781</v>
      </c>
      <c r="B65">
        <v>2767</v>
      </c>
      <c r="C65">
        <v>2787</v>
      </c>
      <c r="D65">
        <v>1659</v>
      </c>
      <c r="E65">
        <v>1668</v>
      </c>
      <c r="F65">
        <v>1.67086330935251</v>
      </c>
      <c r="G65">
        <v>1.79548319901303</v>
      </c>
      <c r="H65">
        <v>6.11799096491695E-2</v>
      </c>
      <c r="I65">
        <v>-2.0369413811680199</v>
      </c>
      <c r="J65">
        <v>-7.46</v>
      </c>
      <c r="K65">
        <v>2787</v>
      </c>
      <c r="L65">
        <v>1373.7975460122698</v>
      </c>
    </row>
    <row r="66" spans="1:12">
      <c r="A66" s="14">
        <v>43780</v>
      </c>
      <c r="B66">
        <v>2773</v>
      </c>
      <c r="C66">
        <v>2737</v>
      </c>
      <c r="D66">
        <v>1669</v>
      </c>
      <c r="E66">
        <v>1665</v>
      </c>
      <c r="F66">
        <v>1.6438438438438401</v>
      </c>
      <c r="G66">
        <v>1.7959320953129301</v>
      </c>
      <c r="H66">
        <v>6.0382200304991501E-2</v>
      </c>
      <c r="I66">
        <v>-2.5187596791916902</v>
      </c>
      <c r="J66">
        <v>-9.25</v>
      </c>
      <c r="K66">
        <v>2737</v>
      </c>
      <c r="L66">
        <v>1371.3266871165645</v>
      </c>
    </row>
    <row r="67" spans="1:12">
      <c r="A67" s="14">
        <v>43777</v>
      </c>
      <c r="B67">
        <v>2769</v>
      </c>
      <c r="C67">
        <v>2757</v>
      </c>
      <c r="D67">
        <v>1641</v>
      </c>
      <c r="E67">
        <v>1640</v>
      </c>
      <c r="F67">
        <v>1.6810975609756</v>
      </c>
      <c r="G67">
        <v>1.7968863085425499</v>
      </c>
      <c r="H67">
        <v>5.8507602618031798E-2</v>
      </c>
      <c r="I67">
        <v>-1.9790376358928099</v>
      </c>
      <c r="J67">
        <v>-6.89</v>
      </c>
      <c r="K67">
        <v>2757</v>
      </c>
      <c r="L67">
        <v>1350.7361963190183</v>
      </c>
    </row>
    <row r="68" spans="1:12">
      <c r="A68" s="14">
        <v>43776</v>
      </c>
      <c r="B68">
        <v>2763</v>
      </c>
      <c r="C68">
        <v>2752</v>
      </c>
      <c r="D68">
        <v>1608</v>
      </c>
      <c r="E68">
        <v>1607</v>
      </c>
      <c r="F68">
        <v>1.71250777846919</v>
      </c>
      <c r="G68">
        <v>1.7976815509394199</v>
      </c>
      <c r="H68">
        <v>5.7321703538729202E-2</v>
      </c>
      <c r="I68">
        <v>-1.4858904605422001</v>
      </c>
      <c r="J68">
        <v>-4.97</v>
      </c>
      <c r="K68">
        <v>2752</v>
      </c>
      <c r="L68">
        <v>1323.5567484662577</v>
      </c>
    </row>
    <row r="69" spans="1:12">
      <c r="A69" s="14">
        <v>43775</v>
      </c>
      <c r="B69">
        <v>2800</v>
      </c>
      <c r="C69">
        <v>2783</v>
      </c>
      <c r="D69">
        <v>1604</v>
      </c>
      <c r="E69">
        <v>1610</v>
      </c>
      <c r="F69">
        <v>1.72857142857142</v>
      </c>
      <c r="G69">
        <v>1.79834227560279</v>
      </c>
      <c r="H69">
        <v>5.6617401002459197E-2</v>
      </c>
      <c r="I69">
        <v>-1.23232161483951</v>
      </c>
      <c r="J69">
        <v>-4.04</v>
      </c>
      <c r="K69">
        <v>2783</v>
      </c>
      <c r="L69">
        <v>1326.0276073619632</v>
      </c>
    </row>
    <row r="70" spans="1:12">
      <c r="A70" s="14">
        <v>43774</v>
      </c>
      <c r="B70">
        <v>2775</v>
      </c>
      <c r="C70">
        <v>2800</v>
      </c>
      <c r="D70">
        <v>1545</v>
      </c>
      <c r="E70">
        <v>1576</v>
      </c>
      <c r="F70">
        <v>1.7766497461928901</v>
      </c>
      <c r="G70">
        <v>1.7983864439947801</v>
      </c>
      <c r="H70">
        <v>5.65642212595324E-2</v>
      </c>
      <c r="I70">
        <v>-0.38428351558421298</v>
      </c>
      <c r="J70">
        <v>-1.22</v>
      </c>
      <c r="K70">
        <v>2800</v>
      </c>
      <c r="L70">
        <v>1298.0245398773006</v>
      </c>
    </row>
    <row r="71" spans="1:12">
      <c r="A71" s="14">
        <v>43770</v>
      </c>
      <c r="B71">
        <v>2755</v>
      </c>
      <c r="C71">
        <v>2755</v>
      </c>
      <c r="D71">
        <v>1489</v>
      </c>
      <c r="E71">
        <v>1510</v>
      </c>
      <c r="F71">
        <v>1.82450331125827</v>
      </c>
      <c r="G71">
        <v>1.7983066696011001</v>
      </c>
      <c r="H71">
        <v>5.6599029347336398E-2</v>
      </c>
      <c r="I71">
        <v>0.46284612932861302</v>
      </c>
      <c r="J71">
        <v>1.44</v>
      </c>
      <c r="K71">
        <v>2755</v>
      </c>
      <c r="L71">
        <v>1243.6656441717791</v>
      </c>
    </row>
    <row r="72" spans="1:12">
      <c r="A72" s="14">
        <v>43769</v>
      </c>
      <c r="B72">
        <v>2749</v>
      </c>
      <c r="C72">
        <v>2773</v>
      </c>
      <c r="D72">
        <v>1467</v>
      </c>
      <c r="E72">
        <v>1498</v>
      </c>
      <c r="F72">
        <v>1.8511348464619399</v>
      </c>
      <c r="G72">
        <v>1.7977224135126999</v>
      </c>
      <c r="H72">
        <v>5.65517401268857E-2</v>
      </c>
      <c r="I72">
        <v>0.94448787657828204</v>
      </c>
      <c r="J72">
        <v>2.89</v>
      </c>
      <c r="K72">
        <v>2773</v>
      </c>
      <c r="L72">
        <v>1233.782208588957</v>
      </c>
    </row>
    <row r="73" spans="1:12">
      <c r="A73" s="14">
        <v>43768</v>
      </c>
      <c r="B73">
        <v>2778</v>
      </c>
      <c r="C73">
        <v>2778</v>
      </c>
      <c r="D73">
        <v>1525</v>
      </c>
      <c r="E73">
        <v>1513</v>
      </c>
      <c r="F73">
        <v>1.8360872438863101</v>
      </c>
      <c r="G73">
        <v>1.7968789993982499</v>
      </c>
      <c r="H73">
        <v>5.6219582148671302E-2</v>
      </c>
      <c r="I73">
        <v>0.69741259165490199</v>
      </c>
      <c r="J73">
        <v>2.14</v>
      </c>
      <c r="K73">
        <v>2778</v>
      </c>
      <c r="L73">
        <v>1246.1365030674847</v>
      </c>
    </row>
    <row r="74" spans="1:12">
      <c r="A74" s="14">
        <v>43767</v>
      </c>
      <c r="B74">
        <v>2764</v>
      </c>
      <c r="C74">
        <v>2784</v>
      </c>
      <c r="D74">
        <v>1543</v>
      </c>
      <c r="E74">
        <v>1540</v>
      </c>
      <c r="F74">
        <v>1.8077922077922</v>
      </c>
      <c r="G74">
        <v>1.7955847213923399</v>
      </c>
      <c r="H74">
        <v>5.6419058758335298E-2</v>
      </c>
      <c r="I74">
        <v>0.216371677736684</v>
      </c>
      <c r="J74">
        <v>0.68</v>
      </c>
      <c r="K74">
        <v>2784</v>
      </c>
      <c r="L74">
        <v>1268.3742331288342</v>
      </c>
    </row>
    <row r="75" spans="1:12">
      <c r="A75" s="14">
        <v>43766</v>
      </c>
      <c r="B75">
        <v>2790</v>
      </c>
      <c r="C75">
        <v>2744</v>
      </c>
      <c r="D75">
        <v>1513</v>
      </c>
      <c r="E75">
        <v>1526</v>
      </c>
      <c r="F75">
        <v>1.7981651376146699</v>
      </c>
      <c r="G75">
        <v>1.79460690473576</v>
      </c>
      <c r="H75">
        <v>5.6833001897925901E-2</v>
      </c>
      <c r="I75">
        <v>6.2608568262865899E-2</v>
      </c>
      <c r="J75">
        <v>0.2</v>
      </c>
      <c r="K75">
        <v>2744</v>
      </c>
      <c r="L75">
        <v>1256.8435582822085</v>
      </c>
    </row>
    <row r="76" spans="1:12">
      <c r="A76" s="14">
        <v>43763</v>
      </c>
      <c r="B76">
        <v>2777</v>
      </c>
      <c r="C76">
        <v>2779</v>
      </c>
      <c r="D76">
        <v>1524</v>
      </c>
      <c r="E76">
        <v>1497</v>
      </c>
      <c r="F76">
        <v>1.8563794255177</v>
      </c>
      <c r="G76">
        <v>1.7941567201608799</v>
      </c>
      <c r="H76">
        <v>5.6936663731080001E-2</v>
      </c>
      <c r="I76">
        <v>1.0928407335333701</v>
      </c>
      <c r="J76">
        <v>3.35</v>
      </c>
      <c r="K76">
        <v>2779</v>
      </c>
      <c r="L76">
        <v>1232.9585889570551</v>
      </c>
    </row>
    <row r="77" spans="1:12">
      <c r="A77" s="14">
        <v>43762</v>
      </c>
      <c r="B77">
        <v>2759</v>
      </c>
      <c r="C77">
        <v>2763</v>
      </c>
      <c r="D77">
        <v>1517</v>
      </c>
      <c r="E77">
        <v>1525</v>
      </c>
      <c r="F77">
        <v>1.8118032786885201</v>
      </c>
      <c r="G77">
        <v>1.79297812043244</v>
      </c>
      <c r="H77">
        <v>5.6550026978105503E-2</v>
      </c>
      <c r="I77">
        <v>0.33289388638786399</v>
      </c>
      <c r="J77">
        <v>1.04</v>
      </c>
      <c r="K77">
        <v>2763</v>
      </c>
      <c r="L77">
        <v>1256.0199386503066</v>
      </c>
    </row>
    <row r="78" spans="1:12">
      <c r="A78" s="14">
        <v>43761</v>
      </c>
      <c r="B78">
        <v>2740</v>
      </c>
      <c r="C78">
        <v>2751</v>
      </c>
      <c r="D78">
        <v>1516</v>
      </c>
      <c r="E78">
        <v>1502</v>
      </c>
      <c r="F78">
        <v>1.8315579227696399</v>
      </c>
      <c r="G78">
        <v>1.7922300810597001</v>
      </c>
      <c r="H78">
        <v>5.6667003510966402E-2</v>
      </c>
      <c r="I78">
        <v>0.69401661060703401</v>
      </c>
      <c r="J78">
        <v>2.15</v>
      </c>
      <c r="K78">
        <v>2751</v>
      </c>
      <c r="L78">
        <v>1237.0766871165645</v>
      </c>
    </row>
    <row r="79" spans="1:12">
      <c r="A79" s="14">
        <v>43759</v>
      </c>
      <c r="B79">
        <v>2700</v>
      </c>
      <c r="C79">
        <v>2721</v>
      </c>
      <c r="D79">
        <v>1507</v>
      </c>
      <c r="E79">
        <v>1506</v>
      </c>
      <c r="F79">
        <v>1.80677290836653</v>
      </c>
      <c r="G79">
        <v>1.79118347596006</v>
      </c>
      <c r="H79">
        <v>5.6655857004275098E-2</v>
      </c>
      <c r="I79">
        <v>0.275160119902435</v>
      </c>
      <c r="J79">
        <v>0.86</v>
      </c>
      <c r="K79">
        <v>2721</v>
      </c>
      <c r="L79">
        <v>1240.3711656441717</v>
      </c>
    </row>
    <row r="80" spans="1:12">
      <c r="A80" s="14">
        <v>43756</v>
      </c>
      <c r="B80">
        <v>2690</v>
      </c>
      <c r="C80">
        <v>2693</v>
      </c>
      <c r="D80">
        <v>1495</v>
      </c>
      <c r="E80">
        <v>1502</v>
      </c>
      <c r="F80">
        <v>1.7929427430093201</v>
      </c>
      <c r="G80">
        <v>1.7903148199997101</v>
      </c>
      <c r="H80">
        <v>5.6909051136560598E-2</v>
      </c>
      <c r="I80">
        <v>4.6177593144260398E-2</v>
      </c>
      <c r="J80">
        <v>0.15</v>
      </c>
      <c r="K80">
        <v>2693</v>
      </c>
      <c r="L80">
        <v>1237.0766871165645</v>
      </c>
    </row>
    <row r="81" spans="1:12">
      <c r="A81" s="14">
        <v>43755</v>
      </c>
      <c r="B81">
        <v>2658</v>
      </c>
      <c r="C81">
        <v>2670</v>
      </c>
      <c r="D81">
        <v>1499</v>
      </c>
      <c r="E81">
        <v>1489</v>
      </c>
      <c r="F81">
        <v>1.79314976494291</v>
      </c>
      <c r="G81">
        <v>1.7900128771556201</v>
      </c>
      <c r="H81">
        <v>5.6954364870214297E-2</v>
      </c>
      <c r="I81">
        <v>5.5077214791818097E-2</v>
      </c>
      <c r="J81">
        <v>0.17</v>
      </c>
      <c r="K81">
        <v>2670</v>
      </c>
      <c r="L81">
        <v>1226.3696319018404</v>
      </c>
    </row>
    <row r="82" spans="1:12">
      <c r="A82" s="14">
        <v>43754</v>
      </c>
      <c r="B82">
        <v>2671</v>
      </c>
      <c r="C82">
        <v>2655</v>
      </c>
      <c r="D82">
        <v>1513</v>
      </c>
      <c r="E82">
        <v>1494</v>
      </c>
      <c r="F82">
        <v>1.7771084337349301</v>
      </c>
      <c r="G82">
        <v>1.7896021289182</v>
      </c>
      <c r="H82">
        <v>5.70412796138604E-2</v>
      </c>
      <c r="I82">
        <v>-0.21902901316100501</v>
      </c>
      <c r="J82">
        <v>-0.7</v>
      </c>
      <c r="K82">
        <v>2655</v>
      </c>
      <c r="L82">
        <v>1230.4877300613496</v>
      </c>
    </row>
    <row r="83" spans="1:12">
      <c r="A83" s="14">
        <v>43753</v>
      </c>
      <c r="B83">
        <v>2622</v>
      </c>
      <c r="C83">
        <v>2637</v>
      </c>
      <c r="D83">
        <v>1480</v>
      </c>
      <c r="E83">
        <v>1490</v>
      </c>
      <c r="F83">
        <v>1.7697986577181199</v>
      </c>
      <c r="G83">
        <v>1.7898479705844601</v>
      </c>
      <c r="H83">
        <v>5.7026634650343501E-2</v>
      </c>
      <c r="I83">
        <v>-0.35157804750841398</v>
      </c>
      <c r="J83">
        <v>-1.1299999999999999</v>
      </c>
      <c r="K83">
        <v>2637</v>
      </c>
      <c r="L83">
        <v>1227.1932515337423</v>
      </c>
    </row>
    <row r="84" spans="1:12">
      <c r="A84" s="14">
        <v>43749</v>
      </c>
      <c r="B84">
        <v>2559</v>
      </c>
      <c r="C84">
        <v>2576</v>
      </c>
      <c r="D84">
        <v>1435</v>
      </c>
      <c r="E84">
        <v>1456</v>
      </c>
      <c r="F84">
        <v>1.7692307692307601</v>
      </c>
      <c r="G84">
        <v>1.79026873424426</v>
      </c>
      <c r="H84">
        <v>5.6993562156403402E-2</v>
      </c>
      <c r="I84">
        <v>-0.369128796613306</v>
      </c>
      <c r="J84">
        <v>-1.19</v>
      </c>
      <c r="K84">
        <v>2576</v>
      </c>
      <c r="L84">
        <v>1199.1901840490798</v>
      </c>
    </row>
    <row r="85" spans="1:12">
      <c r="A85" s="14">
        <v>43748</v>
      </c>
      <c r="B85">
        <v>2567</v>
      </c>
      <c r="C85">
        <v>2554</v>
      </c>
      <c r="D85">
        <v>1402</v>
      </c>
      <c r="E85">
        <v>1419</v>
      </c>
      <c r="F85">
        <v>1.7998590556730001</v>
      </c>
      <c r="G85">
        <v>1.79047441461145</v>
      </c>
      <c r="H85">
        <v>5.6945082852983303E-2</v>
      </c>
      <c r="I85">
        <v>0.16480160518480599</v>
      </c>
      <c r="J85">
        <v>0.52</v>
      </c>
      <c r="K85">
        <v>2554</v>
      </c>
      <c r="L85">
        <v>1168.7162576687117</v>
      </c>
    </row>
    <row r="86" spans="1:12">
      <c r="A86" s="14">
        <v>43747</v>
      </c>
      <c r="B86">
        <v>2530</v>
      </c>
      <c r="C86">
        <v>2558</v>
      </c>
      <c r="D86">
        <v>1406</v>
      </c>
      <c r="E86">
        <v>1400</v>
      </c>
      <c r="F86">
        <v>1.8271428571428501</v>
      </c>
      <c r="G86">
        <v>1.7904383020102601</v>
      </c>
      <c r="H86">
        <v>5.6939978559976102E-2</v>
      </c>
      <c r="I86">
        <v>0.64461835183048999</v>
      </c>
      <c r="J86">
        <v>2.0099999999999998</v>
      </c>
      <c r="K86">
        <v>2558</v>
      </c>
      <c r="L86">
        <v>1153.0674846625766</v>
      </c>
    </row>
    <row r="87" spans="1:12">
      <c r="A87" s="14">
        <v>43746</v>
      </c>
      <c r="B87">
        <v>2562</v>
      </c>
      <c r="C87">
        <v>2554</v>
      </c>
      <c r="D87">
        <v>1422</v>
      </c>
      <c r="E87">
        <v>1429</v>
      </c>
      <c r="F87">
        <v>1.7872638208537399</v>
      </c>
      <c r="G87">
        <v>1.79034687603211</v>
      </c>
      <c r="H87">
        <v>5.68864500843645E-2</v>
      </c>
      <c r="I87">
        <v>-5.4196652696622299E-2</v>
      </c>
      <c r="J87">
        <v>-0.17</v>
      </c>
      <c r="K87">
        <v>2554</v>
      </c>
      <c r="L87">
        <v>1176.95245398773</v>
      </c>
    </row>
    <row r="88" spans="1:12">
      <c r="A88" s="14">
        <v>43745</v>
      </c>
      <c r="B88">
        <v>2564</v>
      </c>
      <c r="C88">
        <v>2545</v>
      </c>
      <c r="D88">
        <v>1406</v>
      </c>
      <c r="E88">
        <v>1408</v>
      </c>
      <c r="F88">
        <v>1.8075284090909001</v>
      </c>
      <c r="G88">
        <v>1.7908684803163699</v>
      </c>
      <c r="H88">
        <v>5.7034947092063401E-2</v>
      </c>
      <c r="I88">
        <v>0.29210036344283002</v>
      </c>
      <c r="J88">
        <v>0.92</v>
      </c>
      <c r="K88">
        <v>2545</v>
      </c>
      <c r="L88">
        <v>1159.6564417177913</v>
      </c>
    </row>
    <row r="89" spans="1:12">
      <c r="A89" s="14">
        <v>43742</v>
      </c>
      <c r="B89">
        <v>2528</v>
      </c>
      <c r="C89">
        <v>2563</v>
      </c>
      <c r="D89">
        <v>1393</v>
      </c>
      <c r="E89">
        <v>1407</v>
      </c>
      <c r="F89">
        <v>1.8216062544420699</v>
      </c>
      <c r="G89">
        <v>1.79144776726665</v>
      </c>
      <c r="H89">
        <v>5.7420548394235701E-2</v>
      </c>
      <c r="I89">
        <v>0.52522116243746897</v>
      </c>
      <c r="J89">
        <v>1.66</v>
      </c>
      <c r="K89">
        <v>2563</v>
      </c>
      <c r="L89">
        <v>1158.8328220858896</v>
      </c>
    </row>
    <row r="90" spans="1:12">
      <c r="A90" s="14">
        <v>43741</v>
      </c>
      <c r="B90">
        <v>2585</v>
      </c>
      <c r="C90">
        <v>2548</v>
      </c>
      <c r="D90">
        <v>1400</v>
      </c>
      <c r="E90">
        <v>1403</v>
      </c>
      <c r="F90">
        <v>1.81610833927298</v>
      </c>
      <c r="G90">
        <v>1.79208397923864</v>
      </c>
      <c r="H90">
        <v>5.8012467788526298E-2</v>
      </c>
      <c r="I90">
        <v>0.41412408315259303</v>
      </c>
      <c r="J90">
        <v>1.32</v>
      </c>
      <c r="K90">
        <v>2548</v>
      </c>
      <c r="L90">
        <v>1155.5383435582821</v>
      </c>
    </row>
    <row r="91" spans="1:12">
      <c r="A91" s="14">
        <v>43740</v>
      </c>
      <c r="B91">
        <v>2600</v>
      </c>
      <c r="C91">
        <v>2629</v>
      </c>
      <c r="D91">
        <v>1443</v>
      </c>
      <c r="E91">
        <v>1446</v>
      </c>
      <c r="F91">
        <v>1.8181189488243401</v>
      </c>
      <c r="G91">
        <v>1.7930976866518999</v>
      </c>
      <c r="H91">
        <v>5.9077883881406099E-2</v>
      </c>
      <c r="I91">
        <v>0.42353010176636902</v>
      </c>
      <c r="J91">
        <v>1.38</v>
      </c>
      <c r="K91">
        <v>2629</v>
      </c>
      <c r="L91">
        <v>1190.9539877300613</v>
      </c>
    </row>
    <row r="92" spans="1:12">
      <c r="A92" s="14">
        <v>43739</v>
      </c>
      <c r="B92">
        <v>2642</v>
      </c>
      <c r="C92">
        <v>2626</v>
      </c>
      <c r="D92">
        <v>1441</v>
      </c>
      <c r="E92">
        <v>1473</v>
      </c>
      <c r="F92">
        <v>1.7827562797012899</v>
      </c>
      <c r="G92">
        <v>1.7935889250950601</v>
      </c>
      <c r="H92">
        <v>5.9435986582627297E-2</v>
      </c>
      <c r="I92">
        <v>-0.18225734974073701</v>
      </c>
      <c r="J92">
        <v>-0.61</v>
      </c>
      <c r="K92">
        <v>2626</v>
      </c>
      <c r="L92">
        <v>1213.1917177914111</v>
      </c>
    </row>
    <row r="93" spans="1:12">
      <c r="A93" s="14">
        <v>43738</v>
      </c>
      <c r="B93">
        <v>2584</v>
      </c>
      <c r="C93">
        <v>2620</v>
      </c>
      <c r="D93">
        <v>1430</v>
      </c>
      <c r="E93">
        <v>1428</v>
      </c>
      <c r="F93">
        <v>1.83473389355742</v>
      </c>
      <c r="G93">
        <v>1.79457811342284</v>
      </c>
      <c r="H93">
        <v>5.9863294019152899E-2</v>
      </c>
      <c r="I93">
        <v>0.67079135541272705</v>
      </c>
      <c r="J93">
        <v>2.19</v>
      </c>
      <c r="K93">
        <v>2620</v>
      </c>
      <c r="L93">
        <v>1176.1288343558281</v>
      </c>
    </row>
    <row r="94" spans="1:12">
      <c r="A94" s="14">
        <v>43735</v>
      </c>
      <c r="B94">
        <v>2604</v>
      </c>
      <c r="C94">
        <v>2615</v>
      </c>
      <c r="D94">
        <v>1444</v>
      </c>
      <c r="E94">
        <v>1436</v>
      </c>
      <c r="F94">
        <v>1.8210306406685199</v>
      </c>
      <c r="G94">
        <v>1.7950125739854601</v>
      </c>
      <c r="H94">
        <v>6.02700101131435E-2</v>
      </c>
      <c r="I94">
        <v>0.43169175903923801</v>
      </c>
      <c r="J94">
        <v>1.43</v>
      </c>
      <c r="K94">
        <v>2615</v>
      </c>
      <c r="L94">
        <v>1182.717791411043</v>
      </c>
    </row>
    <row r="95" spans="1:12">
      <c r="A95" s="14">
        <v>43734</v>
      </c>
      <c r="B95">
        <v>2675</v>
      </c>
      <c r="C95">
        <v>2646</v>
      </c>
      <c r="D95">
        <v>1477</v>
      </c>
      <c r="E95">
        <v>1474</v>
      </c>
      <c r="F95">
        <v>1.7951153324287601</v>
      </c>
      <c r="G95">
        <v>1.7954604646669301</v>
      </c>
      <c r="H95">
        <v>6.0585686980513698E-2</v>
      </c>
      <c r="I95">
        <v>-5.6965969252645203E-3</v>
      </c>
      <c r="J95">
        <v>-0.02</v>
      </c>
      <c r="K95">
        <v>2646</v>
      </c>
      <c r="L95">
        <v>1214.0153374233128</v>
      </c>
    </row>
    <row r="96" spans="1:12">
      <c r="A96" s="14">
        <v>43733</v>
      </c>
      <c r="B96">
        <v>2631</v>
      </c>
      <c r="C96">
        <v>2668</v>
      </c>
      <c r="D96">
        <v>1454</v>
      </c>
      <c r="E96">
        <v>1454</v>
      </c>
      <c r="F96">
        <v>1.8349381017881701</v>
      </c>
      <c r="G96">
        <v>1.7963065459488301</v>
      </c>
      <c r="H96">
        <v>6.1016510951390102E-2</v>
      </c>
      <c r="I96">
        <v>0.63313282318143904</v>
      </c>
      <c r="J96">
        <v>2.11</v>
      </c>
      <c r="K96">
        <v>2668</v>
      </c>
      <c r="L96">
        <v>1197.5429447852759</v>
      </c>
    </row>
    <row r="97" spans="1:12">
      <c r="A97" s="14">
        <v>43732</v>
      </c>
      <c r="B97">
        <v>2648</v>
      </c>
      <c r="C97">
        <v>2640</v>
      </c>
      <c r="D97">
        <v>1465</v>
      </c>
      <c r="E97">
        <v>1475</v>
      </c>
      <c r="F97">
        <v>1.78983050847457</v>
      </c>
      <c r="G97">
        <v>1.7964216569726099</v>
      </c>
      <c r="H97">
        <v>6.1097372980378102E-2</v>
      </c>
      <c r="I97">
        <v>-0.107879409154843</v>
      </c>
      <c r="J97">
        <v>-0.37</v>
      </c>
      <c r="K97">
        <v>2640</v>
      </c>
      <c r="L97">
        <v>1214.8389570552147</v>
      </c>
    </row>
    <row r="98" spans="1:12">
      <c r="A98" s="14">
        <v>43728</v>
      </c>
      <c r="B98">
        <v>2672</v>
      </c>
      <c r="C98">
        <v>2647</v>
      </c>
      <c r="D98">
        <v>1477</v>
      </c>
      <c r="E98">
        <v>1463</v>
      </c>
      <c r="F98">
        <v>1.8092959671907001</v>
      </c>
      <c r="G98">
        <v>1.79727153590723</v>
      </c>
      <c r="H98">
        <v>6.14421304939608E-2</v>
      </c>
      <c r="I98">
        <v>0.19570335837636399</v>
      </c>
      <c r="J98">
        <v>0.66</v>
      </c>
      <c r="K98">
        <v>2647</v>
      </c>
      <c r="L98">
        <v>1204.9555214723925</v>
      </c>
    </row>
    <row r="99" spans="1:12">
      <c r="A99" s="14">
        <v>43727</v>
      </c>
      <c r="B99">
        <v>2608</v>
      </c>
      <c r="C99">
        <v>2658</v>
      </c>
      <c r="D99">
        <v>1472</v>
      </c>
      <c r="E99">
        <v>1464</v>
      </c>
      <c r="F99">
        <v>1.8155737704918</v>
      </c>
      <c r="G99">
        <v>1.7977105309977199</v>
      </c>
      <c r="H99">
        <v>6.1643765031482597E-2</v>
      </c>
      <c r="I99">
        <v>0.28978177249482601</v>
      </c>
      <c r="J99">
        <v>0.98</v>
      </c>
      <c r="K99">
        <v>2658</v>
      </c>
      <c r="L99">
        <v>1205.7791411042945</v>
      </c>
    </row>
    <row r="100" spans="1:12">
      <c r="A100" s="14">
        <v>43726</v>
      </c>
      <c r="B100">
        <v>2628</v>
      </c>
      <c r="C100">
        <v>2609</v>
      </c>
      <c r="D100">
        <v>1474</v>
      </c>
      <c r="E100">
        <v>1467</v>
      </c>
      <c r="F100">
        <v>1.7784594410361201</v>
      </c>
      <c r="G100">
        <v>1.7986383517660101</v>
      </c>
      <c r="H100">
        <v>6.2424390573048098E-2</v>
      </c>
      <c r="I100">
        <v>-0.32325362802336</v>
      </c>
      <c r="J100">
        <v>-1.1299999999999999</v>
      </c>
      <c r="K100">
        <v>2609</v>
      </c>
      <c r="L100">
        <v>1208.25</v>
      </c>
    </row>
    <row r="101" spans="1:12">
      <c r="A101" s="14">
        <v>43725</v>
      </c>
      <c r="B101">
        <v>2590</v>
      </c>
      <c r="C101">
        <v>2628</v>
      </c>
      <c r="D101">
        <v>1492</v>
      </c>
      <c r="E101">
        <v>1485</v>
      </c>
      <c r="F101">
        <v>1.76969696969696</v>
      </c>
      <c r="G101">
        <v>1.7996280265628399</v>
      </c>
      <c r="H101">
        <v>6.2684473186907702E-2</v>
      </c>
      <c r="I101">
        <v>-0.477487571389904</v>
      </c>
      <c r="J101">
        <v>-1.69</v>
      </c>
      <c r="K101">
        <v>2628</v>
      </c>
      <c r="L101">
        <v>1223.075153374233</v>
      </c>
    </row>
    <row r="102" spans="1:12">
      <c r="A102" s="14">
        <v>43721</v>
      </c>
      <c r="B102">
        <v>2610</v>
      </c>
      <c r="C102">
        <v>2590</v>
      </c>
      <c r="D102">
        <v>1495</v>
      </c>
      <c r="E102">
        <v>1502</v>
      </c>
      <c r="F102">
        <v>1.72436750998668</v>
      </c>
      <c r="G102">
        <v>1.8004527188821799</v>
      </c>
      <c r="H102">
        <v>6.2692137006987295E-2</v>
      </c>
      <c r="I102">
        <v>-1.2136324031675001</v>
      </c>
      <c r="J102">
        <v>-4.41</v>
      </c>
      <c r="K102">
        <v>2590</v>
      </c>
      <c r="L102">
        <v>1237.0766871165645</v>
      </c>
    </row>
    <row r="103" spans="1:12">
      <c r="A103" s="14">
        <v>43720</v>
      </c>
      <c r="B103">
        <v>2599</v>
      </c>
      <c r="C103">
        <v>2613</v>
      </c>
      <c r="D103">
        <v>1487</v>
      </c>
      <c r="E103">
        <v>1484</v>
      </c>
      <c r="F103">
        <v>1.7607816711590201</v>
      </c>
      <c r="G103">
        <v>1.80174134531907</v>
      </c>
      <c r="H103">
        <v>6.21055111738881E-2</v>
      </c>
      <c r="I103">
        <v>-0.65951754338453905</v>
      </c>
      <c r="J103">
        <v>-2.33</v>
      </c>
      <c r="K103">
        <v>2613</v>
      </c>
      <c r="L103">
        <v>1222.2515337423313</v>
      </c>
    </row>
    <row r="104" spans="1:12">
      <c r="A104" s="14">
        <v>43719</v>
      </c>
      <c r="B104">
        <v>2558</v>
      </c>
      <c r="C104">
        <v>2573</v>
      </c>
      <c r="D104">
        <v>1459</v>
      </c>
      <c r="E104">
        <v>1469</v>
      </c>
      <c r="F104">
        <v>1.75153165418652</v>
      </c>
      <c r="G104">
        <v>1.80190105445869</v>
      </c>
      <c r="H104">
        <v>6.2015310756440303E-2</v>
      </c>
      <c r="I104">
        <v>-0.81220910865055695</v>
      </c>
      <c r="J104">
        <v>-2.88</v>
      </c>
      <c r="K104">
        <v>2573</v>
      </c>
      <c r="L104">
        <v>1209.8972392638036</v>
      </c>
    </row>
    <row r="105" spans="1:12">
      <c r="A105" s="14">
        <v>43718</v>
      </c>
      <c r="B105">
        <v>2598</v>
      </c>
      <c r="C105">
        <v>2573</v>
      </c>
      <c r="D105">
        <v>1408</v>
      </c>
      <c r="E105">
        <v>1438</v>
      </c>
      <c r="F105">
        <v>1.7892906815020799</v>
      </c>
      <c r="G105">
        <v>1.80204574367351</v>
      </c>
      <c r="H105">
        <v>6.1910194136045198E-2</v>
      </c>
      <c r="I105">
        <v>-0.206025232991527</v>
      </c>
      <c r="J105">
        <v>-0.71</v>
      </c>
      <c r="K105">
        <v>2573</v>
      </c>
      <c r="L105">
        <v>1184.3650306748466</v>
      </c>
    </row>
    <row r="106" spans="1:12">
      <c r="A106" s="14">
        <v>43717</v>
      </c>
      <c r="B106">
        <v>2549</v>
      </c>
      <c r="C106">
        <v>2591</v>
      </c>
      <c r="D106">
        <v>1395</v>
      </c>
      <c r="E106">
        <v>1395</v>
      </c>
      <c r="F106">
        <v>1.85734767025089</v>
      </c>
      <c r="G106">
        <v>1.8014909817239</v>
      </c>
      <c r="H106">
        <v>6.2207704386290801E-2</v>
      </c>
      <c r="I106">
        <v>0.89790628151353302</v>
      </c>
      <c r="J106">
        <v>3.01</v>
      </c>
      <c r="K106">
        <v>2591</v>
      </c>
      <c r="L106">
        <v>1148.9493865030674</v>
      </c>
    </row>
    <row r="107" spans="1:12">
      <c r="A107" s="14">
        <v>43714</v>
      </c>
      <c r="B107">
        <v>2552</v>
      </c>
      <c r="C107">
        <v>2555</v>
      </c>
      <c r="D107">
        <v>1388</v>
      </c>
      <c r="E107">
        <v>1391</v>
      </c>
      <c r="F107">
        <v>1.8368080517613199</v>
      </c>
      <c r="G107">
        <v>1.80017821904612</v>
      </c>
      <c r="H107">
        <v>6.20537905834311E-2</v>
      </c>
      <c r="I107">
        <v>0.59029162232972099</v>
      </c>
      <c r="J107">
        <v>1.99</v>
      </c>
      <c r="K107">
        <v>2555</v>
      </c>
      <c r="L107">
        <v>1145.65490797546</v>
      </c>
    </row>
    <row r="108" spans="1:12">
      <c r="A108" s="14">
        <v>43713</v>
      </c>
      <c r="B108">
        <v>2577</v>
      </c>
      <c r="C108">
        <v>2565</v>
      </c>
      <c r="D108">
        <v>1353</v>
      </c>
      <c r="E108">
        <v>1379</v>
      </c>
      <c r="F108">
        <v>1.8600435097896999</v>
      </c>
      <c r="G108">
        <v>1.7986699011629801</v>
      </c>
      <c r="H108">
        <v>6.2518203366685093E-2</v>
      </c>
      <c r="I108">
        <v>0.98169181648973503</v>
      </c>
      <c r="J108">
        <v>3.3</v>
      </c>
      <c r="K108">
        <v>2565</v>
      </c>
      <c r="L108">
        <v>1135.7714723926381</v>
      </c>
    </row>
    <row r="109" spans="1:12">
      <c r="A109" s="14">
        <v>43712</v>
      </c>
      <c r="B109">
        <v>2552</v>
      </c>
      <c r="C109">
        <v>2565</v>
      </c>
      <c r="D109">
        <v>1347</v>
      </c>
      <c r="E109">
        <v>1345</v>
      </c>
      <c r="F109">
        <v>1.9070631970260199</v>
      </c>
      <c r="G109">
        <v>1.79666830322075</v>
      </c>
      <c r="H109">
        <v>6.2923035166647004E-2</v>
      </c>
      <c r="I109">
        <v>1.75444324185724</v>
      </c>
      <c r="J109">
        <v>5.79</v>
      </c>
      <c r="K109">
        <v>2565</v>
      </c>
      <c r="L109">
        <v>1107.7684049079753</v>
      </c>
    </row>
    <row r="110" spans="1:12">
      <c r="A110" s="14">
        <v>43711</v>
      </c>
      <c r="B110">
        <v>2566</v>
      </c>
      <c r="C110">
        <v>2545</v>
      </c>
      <c r="D110">
        <v>1351</v>
      </c>
      <c r="E110">
        <v>1358</v>
      </c>
      <c r="F110">
        <v>1.8740795287187</v>
      </c>
      <c r="G110">
        <v>1.7948889420752201</v>
      </c>
      <c r="H110">
        <v>6.1650116914403197E-2</v>
      </c>
      <c r="I110">
        <v>1.28451640656957</v>
      </c>
      <c r="J110">
        <v>4.2300000000000004</v>
      </c>
      <c r="K110">
        <v>2545</v>
      </c>
      <c r="L110">
        <v>1118.4754601226994</v>
      </c>
    </row>
    <row r="111" spans="1:12">
      <c r="A111" s="14">
        <v>43710</v>
      </c>
      <c r="B111">
        <v>2545</v>
      </c>
      <c r="C111">
        <v>2564</v>
      </c>
      <c r="D111">
        <v>1359</v>
      </c>
      <c r="E111">
        <v>1355</v>
      </c>
      <c r="F111">
        <v>1.8922509225092199</v>
      </c>
      <c r="G111">
        <v>1.7926838628116499</v>
      </c>
      <c r="H111">
        <v>6.1735804780871199E-2</v>
      </c>
      <c r="I111">
        <v>1.61279277156873</v>
      </c>
      <c r="J111">
        <v>5.26</v>
      </c>
      <c r="K111">
        <v>2564</v>
      </c>
      <c r="L111">
        <v>1116.0046012269938</v>
      </c>
    </row>
    <row r="112" spans="1:12">
      <c r="A112" s="14">
        <v>43707</v>
      </c>
      <c r="B112">
        <v>2525</v>
      </c>
      <c r="C112">
        <v>2560</v>
      </c>
      <c r="D112">
        <v>1361</v>
      </c>
      <c r="E112">
        <v>1364</v>
      </c>
      <c r="F112">
        <v>1.8768328445747799</v>
      </c>
      <c r="G112">
        <v>1.7903482912047499</v>
      </c>
      <c r="H112">
        <v>6.1236262188412702E-2</v>
      </c>
      <c r="I112">
        <v>1.41230947610622</v>
      </c>
      <c r="J112">
        <v>4.6100000000000003</v>
      </c>
      <c r="K112">
        <v>2560</v>
      </c>
      <c r="L112">
        <v>1123.4171779141104</v>
      </c>
    </row>
    <row r="113" spans="1:12">
      <c r="A113" s="14">
        <v>43706</v>
      </c>
      <c r="B113">
        <v>2519</v>
      </c>
      <c r="C113">
        <v>2493</v>
      </c>
      <c r="D113">
        <v>1358</v>
      </c>
      <c r="E113">
        <v>1346</v>
      </c>
      <c r="F113">
        <v>1.8521545319465</v>
      </c>
      <c r="G113">
        <v>1.78826671672293</v>
      </c>
      <c r="H113">
        <v>6.0913629016862703E-2</v>
      </c>
      <c r="I113">
        <v>1.04882628493345</v>
      </c>
      <c r="J113">
        <v>3.45</v>
      </c>
      <c r="K113">
        <v>2493</v>
      </c>
      <c r="L113">
        <v>1108.5920245398772</v>
      </c>
    </row>
    <row r="114" spans="1:12">
      <c r="A114" s="14">
        <v>43705</v>
      </c>
      <c r="B114">
        <v>2459</v>
      </c>
      <c r="C114">
        <v>2496</v>
      </c>
      <c r="D114">
        <v>1344</v>
      </c>
      <c r="E114">
        <v>1346</v>
      </c>
      <c r="F114">
        <v>1.85438335809806</v>
      </c>
      <c r="G114">
        <v>1.78837343378159</v>
      </c>
      <c r="H114">
        <v>6.1032358554443097E-2</v>
      </c>
      <c r="I114">
        <v>1.08155617577178</v>
      </c>
      <c r="J114">
        <v>3.56</v>
      </c>
      <c r="K114">
        <v>2496</v>
      </c>
      <c r="L114">
        <v>1108.5920245398772</v>
      </c>
    </row>
    <row r="115" spans="1:12">
      <c r="A115" s="14">
        <v>43704</v>
      </c>
      <c r="B115">
        <v>2469</v>
      </c>
      <c r="C115">
        <v>2470</v>
      </c>
      <c r="D115">
        <v>1334</v>
      </c>
      <c r="E115">
        <v>1344</v>
      </c>
      <c r="F115">
        <v>1.83779761904761</v>
      </c>
      <c r="G115">
        <v>1.7888315452983401</v>
      </c>
      <c r="H115">
        <v>6.1651915621398698E-2</v>
      </c>
      <c r="I115">
        <v>0.79423442492809004</v>
      </c>
      <c r="J115">
        <v>2.66</v>
      </c>
      <c r="K115">
        <v>2470</v>
      </c>
      <c r="L115">
        <v>1106.9447852760736</v>
      </c>
    </row>
    <row r="116" spans="1:12">
      <c r="A116" s="14">
        <v>43703</v>
      </c>
      <c r="B116">
        <v>2397</v>
      </c>
      <c r="C116">
        <v>2457</v>
      </c>
      <c r="D116">
        <v>1310</v>
      </c>
      <c r="E116">
        <v>1322</v>
      </c>
      <c r="F116">
        <v>1.85854765506807</v>
      </c>
      <c r="G116">
        <v>1.78821543521794</v>
      </c>
      <c r="H116">
        <v>6.1389832197405701E-2</v>
      </c>
      <c r="I116">
        <v>1.14566561485248</v>
      </c>
      <c r="J116">
        <v>3.78</v>
      </c>
      <c r="K116">
        <v>2457</v>
      </c>
      <c r="L116">
        <v>1088.8251533742332</v>
      </c>
    </row>
    <row r="117" spans="1:12">
      <c r="A117" s="14">
        <v>43700</v>
      </c>
      <c r="B117">
        <v>2458</v>
      </c>
      <c r="C117">
        <v>2447</v>
      </c>
      <c r="D117">
        <v>1348</v>
      </c>
      <c r="E117">
        <v>1357</v>
      </c>
      <c r="F117">
        <v>1.8032424465733199</v>
      </c>
      <c r="G117">
        <v>1.78649614585634</v>
      </c>
      <c r="H117">
        <v>6.1201383642469902E-2</v>
      </c>
      <c r="I117">
        <v>0.273626178368855</v>
      </c>
      <c r="J117">
        <v>0.93</v>
      </c>
      <c r="K117">
        <v>2447</v>
      </c>
      <c r="L117">
        <v>1117.6518404907974</v>
      </c>
    </row>
    <row r="118" spans="1:12">
      <c r="A118" s="14">
        <v>43699</v>
      </c>
      <c r="B118">
        <v>2426</v>
      </c>
      <c r="C118">
        <v>2431</v>
      </c>
      <c r="D118">
        <v>1350</v>
      </c>
      <c r="E118">
        <v>1357</v>
      </c>
      <c r="F118">
        <v>1.79145173176123</v>
      </c>
      <c r="G118">
        <v>1.78603219737854</v>
      </c>
      <c r="H118">
        <v>6.1204565878405399E-2</v>
      </c>
      <c r="I118">
        <v>8.8547877187187193E-2</v>
      </c>
      <c r="J118">
        <v>0.3</v>
      </c>
      <c r="K118">
        <v>2431</v>
      </c>
      <c r="L118">
        <v>1117.6518404907974</v>
      </c>
    </row>
    <row r="119" spans="1:12">
      <c r="A119" s="14">
        <v>43698</v>
      </c>
      <c r="B119">
        <v>2366</v>
      </c>
      <c r="C119">
        <v>2404</v>
      </c>
      <c r="D119">
        <v>1314</v>
      </c>
      <c r="E119">
        <v>1349</v>
      </c>
      <c r="F119">
        <v>1.7820607857672299</v>
      </c>
      <c r="G119">
        <v>1.7855475348326</v>
      </c>
      <c r="H119">
        <v>6.1303572731729698E-2</v>
      </c>
      <c r="I119">
        <v>-5.6876767698888199E-2</v>
      </c>
      <c r="J119">
        <v>-0.2</v>
      </c>
      <c r="K119">
        <v>2404</v>
      </c>
      <c r="L119">
        <v>1111.0628834355828</v>
      </c>
    </row>
    <row r="120" spans="1:12">
      <c r="A120" s="14">
        <v>43697</v>
      </c>
      <c r="B120">
        <v>2349</v>
      </c>
      <c r="C120">
        <v>2390</v>
      </c>
      <c r="D120">
        <v>1347</v>
      </c>
      <c r="E120">
        <v>1348</v>
      </c>
      <c r="F120">
        <v>1.7729970326409401</v>
      </c>
      <c r="G120">
        <v>1.7844197775770001</v>
      </c>
      <c r="H120">
        <v>6.2129770146275701E-2</v>
      </c>
      <c r="I120">
        <v>-0.18385300491468901</v>
      </c>
      <c r="J120">
        <v>-0.64</v>
      </c>
      <c r="K120">
        <v>2390</v>
      </c>
      <c r="L120">
        <v>1110.2392638036808</v>
      </c>
    </row>
    <row r="121" spans="1:12">
      <c r="A121" s="14">
        <v>43696</v>
      </c>
      <c r="B121">
        <v>2310</v>
      </c>
      <c r="C121">
        <v>2338</v>
      </c>
      <c r="D121">
        <v>1361</v>
      </c>
      <c r="E121">
        <v>1353</v>
      </c>
      <c r="F121">
        <v>1.7280118255728001</v>
      </c>
      <c r="G121">
        <v>1.7835513527223099</v>
      </c>
      <c r="H121">
        <v>6.2735603109727894E-2</v>
      </c>
      <c r="I121">
        <v>-0.88529518162709298</v>
      </c>
      <c r="J121">
        <v>-3.21</v>
      </c>
      <c r="K121">
        <v>2338</v>
      </c>
      <c r="L121">
        <v>1114.3573619631902</v>
      </c>
    </row>
    <row r="122" spans="1:12">
      <c r="A122" s="14">
        <v>43693</v>
      </c>
      <c r="B122">
        <v>2300</v>
      </c>
      <c r="C122">
        <v>2290</v>
      </c>
      <c r="D122">
        <v>1331</v>
      </c>
      <c r="E122">
        <v>1339</v>
      </c>
      <c r="F122">
        <v>1.7102315160567501</v>
      </c>
      <c r="G122">
        <v>1.7832333547780399</v>
      </c>
      <c r="H122">
        <v>6.3075842346411198E-2</v>
      </c>
      <c r="I122">
        <v>-1.15736605339901</v>
      </c>
      <c r="J122">
        <v>-4.2699999999999996</v>
      </c>
      <c r="K122">
        <v>2290</v>
      </c>
      <c r="L122">
        <v>1102.8266871165645</v>
      </c>
    </row>
    <row r="123" spans="1:12">
      <c r="A123" s="14">
        <v>43692</v>
      </c>
      <c r="B123">
        <v>2321</v>
      </c>
      <c r="C123">
        <v>2337</v>
      </c>
      <c r="D123">
        <v>1320</v>
      </c>
      <c r="E123">
        <v>1350</v>
      </c>
      <c r="F123">
        <v>1.7311111111111099</v>
      </c>
      <c r="G123">
        <v>1.7830836307945499</v>
      </c>
      <c r="H123">
        <v>6.3262002955736696E-2</v>
      </c>
      <c r="I123">
        <v>-0.82154401149461898</v>
      </c>
      <c r="J123">
        <v>-3</v>
      </c>
      <c r="K123">
        <v>2337</v>
      </c>
      <c r="L123">
        <v>1111.8865030674847</v>
      </c>
    </row>
    <row r="124" spans="1:12">
      <c r="A124" s="14">
        <v>43691</v>
      </c>
      <c r="B124">
        <v>2386</v>
      </c>
      <c r="C124">
        <v>2377</v>
      </c>
      <c r="D124">
        <v>1347</v>
      </c>
      <c r="E124">
        <v>1353</v>
      </c>
      <c r="F124">
        <v>1.7568366592756799</v>
      </c>
      <c r="G124">
        <v>1.78267989631214</v>
      </c>
      <c r="H124">
        <v>6.3687591633126497E-2</v>
      </c>
      <c r="I124">
        <v>-0.40578135196779502</v>
      </c>
      <c r="J124">
        <v>-1.47</v>
      </c>
      <c r="K124">
        <v>2377</v>
      </c>
      <c r="L124">
        <v>1114.3573619631902</v>
      </c>
    </row>
    <row r="125" spans="1:12">
      <c r="A125" s="14">
        <v>43690</v>
      </c>
      <c r="B125">
        <v>2444</v>
      </c>
      <c r="C125">
        <v>2379</v>
      </c>
      <c r="D125">
        <v>1336</v>
      </c>
      <c r="E125">
        <v>1326</v>
      </c>
      <c r="F125">
        <v>1.79411764705882</v>
      </c>
      <c r="G125">
        <v>1.7815997298661199</v>
      </c>
      <c r="H125">
        <v>6.4794131908811906E-2</v>
      </c>
      <c r="I125">
        <v>0.19319522962841901</v>
      </c>
      <c r="J125">
        <v>0.7</v>
      </c>
      <c r="K125">
        <v>2379</v>
      </c>
      <c r="L125">
        <v>1092.1196319018404</v>
      </c>
    </row>
    <row r="126" spans="1:12">
      <c r="A126" s="14">
        <v>43686</v>
      </c>
      <c r="B126">
        <v>2580</v>
      </c>
      <c r="C126">
        <v>2580</v>
      </c>
      <c r="D126">
        <v>1355</v>
      </c>
      <c r="E126">
        <v>1349</v>
      </c>
      <c r="F126">
        <v>1.91252779836916</v>
      </c>
      <c r="G126">
        <v>1.78009704029472</v>
      </c>
      <c r="H126">
        <v>6.5785682809609905E-2</v>
      </c>
      <c r="I126">
        <v>2.01306351805614</v>
      </c>
      <c r="J126">
        <v>6.92</v>
      </c>
      <c r="K126">
        <v>2580</v>
      </c>
      <c r="L126">
        <v>1111.0628834355828</v>
      </c>
    </row>
    <row r="127" spans="1:12">
      <c r="A127" s="14">
        <v>43685</v>
      </c>
      <c r="B127">
        <v>2546</v>
      </c>
      <c r="C127">
        <v>2566</v>
      </c>
      <c r="D127">
        <v>1329</v>
      </c>
      <c r="E127">
        <v>1338</v>
      </c>
      <c r="F127">
        <v>1.91778774289985</v>
      </c>
      <c r="G127">
        <v>1.7771354824351799</v>
      </c>
      <c r="H127">
        <v>6.4748701952896295E-2</v>
      </c>
      <c r="I127">
        <v>2.1722792306629302</v>
      </c>
      <c r="J127">
        <v>7.33</v>
      </c>
      <c r="K127">
        <v>2566</v>
      </c>
      <c r="L127">
        <v>1102.0030674846626</v>
      </c>
    </row>
    <row r="128" spans="1:12">
      <c r="A128" s="14">
        <v>43684</v>
      </c>
      <c r="B128">
        <v>2526</v>
      </c>
      <c r="C128">
        <v>2517</v>
      </c>
      <c r="D128">
        <v>1337</v>
      </c>
      <c r="E128">
        <v>1339</v>
      </c>
      <c r="F128">
        <v>1.87976101568334</v>
      </c>
      <c r="G128">
        <v>1.7745471450358301</v>
      </c>
      <c r="H128">
        <v>6.2928893911546394E-2</v>
      </c>
      <c r="I128">
        <v>1.6719485137527199</v>
      </c>
      <c r="J128">
        <v>5.6</v>
      </c>
      <c r="K128">
        <v>2517</v>
      </c>
      <c r="L128">
        <v>1102.8266871165645</v>
      </c>
    </row>
    <row r="129" spans="1:12">
      <c r="A129" s="14">
        <v>43683</v>
      </c>
      <c r="B129">
        <v>2446</v>
      </c>
      <c r="C129">
        <v>2547</v>
      </c>
      <c r="D129">
        <v>1310</v>
      </c>
      <c r="E129">
        <v>1358</v>
      </c>
      <c r="F129">
        <v>1.8755522827687701</v>
      </c>
      <c r="G129">
        <v>1.7720800798185701</v>
      </c>
      <c r="H129">
        <v>6.2380294371017497E-2</v>
      </c>
      <c r="I129">
        <v>1.65873220050526</v>
      </c>
      <c r="J129">
        <v>5.52</v>
      </c>
      <c r="K129">
        <v>2547</v>
      </c>
      <c r="L129">
        <v>1118.4754601226994</v>
      </c>
    </row>
    <row r="130" spans="1:12">
      <c r="A130" s="14">
        <v>43682</v>
      </c>
      <c r="B130">
        <v>2534</v>
      </c>
      <c r="C130">
        <v>2520</v>
      </c>
      <c r="D130">
        <v>1364</v>
      </c>
      <c r="E130">
        <v>1361</v>
      </c>
      <c r="F130">
        <v>1.8515797207935301</v>
      </c>
      <c r="G130">
        <v>1.76997432805499</v>
      </c>
      <c r="H130">
        <v>6.1511443442449701E-2</v>
      </c>
      <c r="I130">
        <v>1.3266700986279201</v>
      </c>
      <c r="J130">
        <v>4.41</v>
      </c>
      <c r="K130">
        <v>2520</v>
      </c>
      <c r="L130">
        <v>1120.9463190184049</v>
      </c>
    </row>
    <row r="131" spans="1:12">
      <c r="A131" s="14">
        <v>43679</v>
      </c>
      <c r="B131">
        <v>2559</v>
      </c>
      <c r="C131">
        <v>2552</v>
      </c>
      <c r="D131">
        <v>1381</v>
      </c>
      <c r="E131">
        <v>1394</v>
      </c>
      <c r="F131">
        <v>1.8307030129124799</v>
      </c>
      <c r="G131">
        <v>1.7679871135290299</v>
      </c>
      <c r="H131">
        <v>6.1249901444998298E-2</v>
      </c>
      <c r="I131">
        <v>1.02393469873198</v>
      </c>
      <c r="J131">
        <v>3.43</v>
      </c>
      <c r="K131">
        <v>2552</v>
      </c>
      <c r="L131">
        <v>1148.1257668711655</v>
      </c>
    </row>
    <row r="132" spans="1:12">
      <c r="A132" s="14">
        <v>43678</v>
      </c>
      <c r="B132">
        <v>2600</v>
      </c>
      <c r="C132">
        <v>2615</v>
      </c>
      <c r="D132">
        <v>1509</v>
      </c>
      <c r="E132">
        <v>1426</v>
      </c>
      <c r="F132">
        <v>1.83380084151472</v>
      </c>
      <c r="G132">
        <v>1.76610672953209</v>
      </c>
      <c r="H132">
        <v>6.1460092207331E-2</v>
      </c>
      <c r="I132">
        <v>1.1014319951599201</v>
      </c>
      <c r="J132">
        <v>3.69</v>
      </c>
      <c r="K132">
        <v>2615</v>
      </c>
      <c r="L132">
        <v>1174.4815950920245</v>
      </c>
    </row>
    <row r="133" spans="1:12">
      <c r="A133" s="14">
        <v>43677</v>
      </c>
      <c r="B133">
        <v>2630</v>
      </c>
      <c r="C133">
        <v>2627</v>
      </c>
      <c r="D133">
        <v>1510</v>
      </c>
      <c r="E133">
        <v>1533</v>
      </c>
      <c r="F133">
        <v>1.7136333985648999</v>
      </c>
      <c r="G133">
        <v>1.76419434486186</v>
      </c>
      <c r="H133">
        <v>6.15553611758234E-2</v>
      </c>
      <c r="I133">
        <v>-0.82138980798983796</v>
      </c>
      <c r="J133">
        <v>-2.95</v>
      </c>
      <c r="K133">
        <v>2627</v>
      </c>
      <c r="L133">
        <v>1262.6088957055215</v>
      </c>
    </row>
    <row r="134" spans="1:12">
      <c r="A134" s="14">
        <v>43676</v>
      </c>
      <c r="B134">
        <v>2614</v>
      </c>
      <c r="C134">
        <v>2633</v>
      </c>
      <c r="D134">
        <v>1505</v>
      </c>
      <c r="E134">
        <v>1521</v>
      </c>
      <c r="F134">
        <v>1.73109796186719</v>
      </c>
      <c r="G134">
        <v>1.76395713222454</v>
      </c>
      <c r="H134">
        <v>6.1783605010808901E-2</v>
      </c>
      <c r="I134">
        <v>-0.53184287889317305</v>
      </c>
      <c r="J134">
        <v>-1.9</v>
      </c>
      <c r="K134">
        <v>2633</v>
      </c>
      <c r="L134">
        <v>1252.7254601226994</v>
      </c>
    </row>
    <row r="135" spans="1:12">
      <c r="A135" s="14">
        <v>43675</v>
      </c>
      <c r="B135">
        <v>2607</v>
      </c>
      <c r="C135">
        <v>2606</v>
      </c>
      <c r="D135">
        <v>1532</v>
      </c>
      <c r="E135">
        <v>1515</v>
      </c>
      <c r="F135">
        <v>1.72013201320132</v>
      </c>
      <c r="G135">
        <v>1.76346475162553</v>
      </c>
      <c r="H135">
        <v>6.2189329828476601E-2</v>
      </c>
      <c r="I135">
        <v>-0.69678735152362203</v>
      </c>
      <c r="J135">
        <v>-2.52</v>
      </c>
      <c r="K135">
        <v>2606</v>
      </c>
      <c r="L135">
        <v>1247.7837423312883</v>
      </c>
    </row>
    <row r="136" spans="1:12">
      <c r="A136" s="14">
        <v>43672</v>
      </c>
      <c r="B136">
        <v>2620</v>
      </c>
      <c r="C136">
        <v>2612</v>
      </c>
      <c r="D136">
        <v>1553</v>
      </c>
      <c r="E136">
        <v>1542</v>
      </c>
      <c r="F136">
        <v>1.69390402075226</v>
      </c>
      <c r="G136">
        <v>1.76324433955662</v>
      </c>
      <c r="H136">
        <v>6.23715471276685E-2</v>
      </c>
      <c r="I136">
        <v>-1.11172997941549</v>
      </c>
      <c r="J136">
        <v>-4.09</v>
      </c>
      <c r="K136">
        <v>2612</v>
      </c>
      <c r="L136">
        <v>1270.0214723926381</v>
      </c>
    </row>
    <row r="137" spans="1:12">
      <c r="A137" s="14">
        <v>43671</v>
      </c>
      <c r="B137">
        <v>2636</v>
      </c>
      <c r="C137">
        <v>2629</v>
      </c>
      <c r="D137">
        <v>1562</v>
      </c>
      <c r="E137">
        <v>1563</v>
      </c>
      <c r="F137">
        <v>1.68202175303902</v>
      </c>
      <c r="G137">
        <v>1.7630522089812299</v>
      </c>
      <c r="H137">
        <v>6.2606599727913201E-2</v>
      </c>
      <c r="I137">
        <v>-1.2942797771218799</v>
      </c>
      <c r="J137">
        <v>-4.82</v>
      </c>
      <c r="K137">
        <v>2629</v>
      </c>
      <c r="L137">
        <v>1287.3174846625766</v>
      </c>
    </row>
    <row r="138" spans="1:12">
      <c r="A138" s="14">
        <v>43670</v>
      </c>
      <c r="B138">
        <v>2619</v>
      </c>
      <c r="C138">
        <v>2623</v>
      </c>
      <c r="D138">
        <v>1567</v>
      </c>
      <c r="E138">
        <v>1555</v>
      </c>
      <c r="F138">
        <v>1.68681672025723</v>
      </c>
      <c r="G138">
        <v>1.7634440442203501</v>
      </c>
      <c r="H138">
        <v>6.2188799092540298E-2</v>
      </c>
      <c r="I138">
        <v>-1.232172434285</v>
      </c>
      <c r="J138">
        <v>-4.54</v>
      </c>
      <c r="K138">
        <v>2623</v>
      </c>
      <c r="L138">
        <v>1280.7285276073619</v>
      </c>
    </row>
    <row r="139" spans="1:12">
      <c r="A139" s="14">
        <v>43669</v>
      </c>
      <c r="B139">
        <v>2586</v>
      </c>
      <c r="C139">
        <v>2605</v>
      </c>
      <c r="D139">
        <v>1528</v>
      </c>
      <c r="E139">
        <v>1551</v>
      </c>
      <c r="F139">
        <v>1.67956157317859</v>
      </c>
      <c r="G139">
        <v>1.76415135281512</v>
      </c>
      <c r="H139">
        <v>6.1612251428390198E-2</v>
      </c>
      <c r="I139">
        <v>-1.37293764917585</v>
      </c>
      <c r="J139">
        <v>-5.04</v>
      </c>
      <c r="K139">
        <v>2605</v>
      </c>
      <c r="L139">
        <v>1277.4340490797545</v>
      </c>
    </row>
    <row r="140" spans="1:12">
      <c r="A140" s="14">
        <v>43668</v>
      </c>
      <c r="B140">
        <v>2622</v>
      </c>
      <c r="C140">
        <v>2596</v>
      </c>
      <c r="D140">
        <v>1530</v>
      </c>
      <c r="E140">
        <v>1523</v>
      </c>
      <c r="F140">
        <v>1.7045305318450401</v>
      </c>
      <c r="G140">
        <v>1.7654256083453099</v>
      </c>
      <c r="H140">
        <v>6.08329462268326E-2</v>
      </c>
      <c r="I140">
        <v>-1.0010213260624501</v>
      </c>
      <c r="J140">
        <v>-3.57</v>
      </c>
      <c r="K140">
        <v>2596</v>
      </c>
      <c r="L140">
        <v>1254.372699386503</v>
      </c>
    </row>
    <row r="141" spans="1:12">
      <c r="A141" s="14">
        <v>43665</v>
      </c>
      <c r="B141">
        <v>2585</v>
      </c>
      <c r="C141">
        <v>2616</v>
      </c>
      <c r="D141">
        <v>1497</v>
      </c>
      <c r="E141">
        <v>1525</v>
      </c>
      <c r="F141">
        <v>1.7154098360655701</v>
      </c>
      <c r="G141">
        <v>1.7660734109474101</v>
      </c>
      <c r="H141">
        <v>6.04384425365838E-2</v>
      </c>
      <c r="I141">
        <v>-0.83826738008970403</v>
      </c>
      <c r="J141">
        <v>-2.95</v>
      </c>
      <c r="K141">
        <v>2616</v>
      </c>
      <c r="L141">
        <v>1256.0199386503066</v>
      </c>
    </row>
    <row r="142" spans="1:12">
      <c r="A142" s="14">
        <v>43664</v>
      </c>
      <c r="B142">
        <v>2640</v>
      </c>
      <c r="C142">
        <v>2585</v>
      </c>
      <c r="D142">
        <v>1503</v>
      </c>
      <c r="E142">
        <v>1485</v>
      </c>
      <c r="F142">
        <v>1.74074074074074</v>
      </c>
      <c r="G142">
        <v>1.7664570937533599</v>
      </c>
      <c r="H142">
        <v>6.0206491143238498E-2</v>
      </c>
      <c r="I142">
        <v>-0.42713588724914497</v>
      </c>
      <c r="J142">
        <v>-1.48</v>
      </c>
      <c r="K142">
        <v>2585</v>
      </c>
      <c r="L142">
        <v>1223.075153374233</v>
      </c>
    </row>
    <row r="143" spans="1:12">
      <c r="A143" s="14">
        <v>43663</v>
      </c>
      <c r="B143">
        <v>2620</v>
      </c>
      <c r="C143">
        <v>2666</v>
      </c>
      <c r="D143">
        <v>1512</v>
      </c>
      <c r="E143">
        <v>1513</v>
      </c>
      <c r="F143">
        <v>1.7620621282220701</v>
      </c>
      <c r="G143">
        <v>1.7662280601220299</v>
      </c>
      <c r="H143">
        <v>6.0336416608279701E-2</v>
      </c>
      <c r="I143">
        <v>-6.9045066547528205E-2</v>
      </c>
      <c r="J143">
        <v>-0.24</v>
      </c>
      <c r="K143">
        <v>2666</v>
      </c>
      <c r="L143">
        <v>1246.1365030674847</v>
      </c>
    </row>
    <row r="144" spans="1:12">
      <c r="A144" s="14">
        <v>43662</v>
      </c>
      <c r="B144">
        <v>2660</v>
      </c>
      <c r="C144">
        <v>2629</v>
      </c>
      <c r="D144">
        <v>1501</v>
      </c>
      <c r="E144">
        <v>1518</v>
      </c>
      <c r="F144">
        <v>1.73188405797101</v>
      </c>
      <c r="G144">
        <v>1.7656681707128701</v>
      </c>
      <c r="H144">
        <v>6.0566866573763603E-2</v>
      </c>
      <c r="I144">
        <v>-0.55779858944354099</v>
      </c>
      <c r="J144">
        <v>-1.95</v>
      </c>
      <c r="K144">
        <v>2629</v>
      </c>
      <c r="L144">
        <v>1250.2546012269938</v>
      </c>
    </row>
    <row r="145" spans="1:12">
      <c r="A145" s="14">
        <v>43658</v>
      </c>
      <c r="B145">
        <v>2650</v>
      </c>
      <c r="C145">
        <v>2656</v>
      </c>
      <c r="D145">
        <v>1500</v>
      </c>
      <c r="E145">
        <v>1500</v>
      </c>
      <c r="F145">
        <v>1.7706666666666599</v>
      </c>
      <c r="G145">
        <v>1.76515335020598</v>
      </c>
      <c r="H145">
        <v>6.1014291818198597E-2</v>
      </c>
      <c r="I145">
        <v>9.0361066176228799E-2</v>
      </c>
      <c r="J145">
        <v>0.31</v>
      </c>
      <c r="K145">
        <v>2656</v>
      </c>
      <c r="L145">
        <v>1235.4294478527606</v>
      </c>
    </row>
    <row r="146" spans="1:12">
      <c r="A146" s="14">
        <v>43657</v>
      </c>
      <c r="B146">
        <v>2632</v>
      </c>
      <c r="C146">
        <v>2655</v>
      </c>
      <c r="D146">
        <v>1473</v>
      </c>
      <c r="E146">
        <v>1491</v>
      </c>
      <c r="F146">
        <v>1.7806841046277599</v>
      </c>
      <c r="G146">
        <v>1.76418224162876</v>
      </c>
      <c r="H146">
        <v>6.1496516865234399E-2</v>
      </c>
      <c r="I146">
        <v>0.26833817328488402</v>
      </c>
      <c r="J146">
        <v>0.93</v>
      </c>
      <c r="K146">
        <v>2655</v>
      </c>
      <c r="L146">
        <v>1228.016871165644</v>
      </c>
    </row>
    <row r="147" spans="1:12">
      <c r="A147" s="14">
        <v>43656</v>
      </c>
      <c r="B147">
        <v>2630</v>
      </c>
      <c r="C147">
        <v>2655</v>
      </c>
      <c r="D147">
        <v>1506</v>
      </c>
      <c r="E147">
        <v>1485</v>
      </c>
      <c r="F147">
        <v>1.7878787878787801</v>
      </c>
      <c r="G147">
        <v>1.76306422128953</v>
      </c>
      <c r="H147">
        <v>6.19469167195663E-2</v>
      </c>
      <c r="I147">
        <v>0.40057791256321801</v>
      </c>
      <c r="J147">
        <v>1.39</v>
      </c>
      <c r="K147">
        <v>2655</v>
      </c>
      <c r="L147">
        <v>1223.075153374233</v>
      </c>
    </row>
    <row r="148" spans="1:12">
      <c r="A148" s="14">
        <v>43655</v>
      </c>
      <c r="B148">
        <v>2681</v>
      </c>
      <c r="C148">
        <v>2652</v>
      </c>
      <c r="D148">
        <v>1544</v>
      </c>
      <c r="E148">
        <v>1525</v>
      </c>
      <c r="F148">
        <v>1.7390163934426199</v>
      </c>
      <c r="G148">
        <v>1.7618569182764401</v>
      </c>
      <c r="H148">
        <v>6.2332688461824597E-2</v>
      </c>
      <c r="I148">
        <v>-0.36642932299971198</v>
      </c>
      <c r="J148">
        <v>-1.31</v>
      </c>
      <c r="K148">
        <v>2652</v>
      </c>
      <c r="L148">
        <v>1256.0199386503066</v>
      </c>
    </row>
    <row r="149" spans="1:12">
      <c r="A149" s="14">
        <v>43654</v>
      </c>
      <c r="B149">
        <v>2718</v>
      </c>
      <c r="C149">
        <v>2678</v>
      </c>
      <c r="D149">
        <v>1540</v>
      </c>
      <c r="E149">
        <v>1544</v>
      </c>
      <c r="F149">
        <v>1.7344559585492201</v>
      </c>
      <c r="G149">
        <v>1.7616582728608801</v>
      </c>
      <c r="H149">
        <v>6.2428826851512798E-2</v>
      </c>
      <c r="I149">
        <v>-0.43573322907961998</v>
      </c>
      <c r="J149">
        <v>-1.57</v>
      </c>
      <c r="K149">
        <v>2678</v>
      </c>
      <c r="L149">
        <v>1271.6687116564417</v>
      </c>
    </row>
    <row r="150" spans="1:12">
      <c r="A150" s="14">
        <v>43651</v>
      </c>
      <c r="B150">
        <v>2728</v>
      </c>
      <c r="C150">
        <v>2726</v>
      </c>
      <c r="D150">
        <v>1547</v>
      </c>
      <c r="E150">
        <v>1545</v>
      </c>
      <c r="F150">
        <v>1.76440129449838</v>
      </c>
      <c r="G150">
        <v>1.7617321934135599</v>
      </c>
      <c r="H150">
        <v>6.2399849007831298E-2</v>
      </c>
      <c r="I150">
        <v>4.2774159349085898E-2</v>
      </c>
      <c r="J150">
        <v>0.15</v>
      </c>
      <c r="K150">
        <v>2726</v>
      </c>
      <c r="L150">
        <v>1272.4923312883434</v>
      </c>
    </row>
    <row r="151" spans="1:12">
      <c r="A151" s="14">
        <v>43650</v>
      </c>
      <c r="B151">
        <v>2710</v>
      </c>
      <c r="C151">
        <v>2728</v>
      </c>
      <c r="D151">
        <v>1536</v>
      </c>
      <c r="E151">
        <v>1543</v>
      </c>
      <c r="F151">
        <v>1.7679844458846401</v>
      </c>
      <c r="G151">
        <v>1.7614196005020799</v>
      </c>
      <c r="H151">
        <v>6.2444401929528097E-2</v>
      </c>
      <c r="I151">
        <v>0.105131047455033</v>
      </c>
      <c r="J151">
        <v>0.37</v>
      </c>
      <c r="K151">
        <v>2728</v>
      </c>
      <c r="L151">
        <v>1270.8450920245398</v>
      </c>
    </row>
    <row r="152" spans="1:12">
      <c r="A152" s="14">
        <v>43649</v>
      </c>
      <c r="B152">
        <v>2719</v>
      </c>
      <c r="C152">
        <v>2695</v>
      </c>
      <c r="D152">
        <v>1536</v>
      </c>
      <c r="E152">
        <v>1535</v>
      </c>
      <c r="F152">
        <v>1.75570032573289</v>
      </c>
      <c r="G152">
        <v>1.7612301369650001</v>
      </c>
      <c r="H152">
        <v>6.2445753023264897E-2</v>
      </c>
      <c r="I152">
        <v>-8.85538401634893E-2</v>
      </c>
      <c r="J152">
        <v>-0.31</v>
      </c>
      <c r="K152">
        <v>2695</v>
      </c>
      <c r="L152">
        <v>1264.2561349693251</v>
      </c>
    </row>
    <row r="153" spans="1:12">
      <c r="A153" s="14">
        <v>43648</v>
      </c>
      <c r="B153">
        <v>2720</v>
      </c>
      <c r="C153">
        <v>2719</v>
      </c>
      <c r="D153">
        <v>1550</v>
      </c>
      <c r="E153">
        <v>1551</v>
      </c>
      <c r="F153">
        <v>1.75306254029658</v>
      </c>
      <c r="G153">
        <v>1.76178411667294</v>
      </c>
      <c r="H153">
        <v>6.25783939108637E-2</v>
      </c>
      <c r="I153">
        <v>-0.13937040935856099</v>
      </c>
      <c r="J153">
        <v>-0.5</v>
      </c>
      <c r="K153">
        <v>2719</v>
      </c>
      <c r="L153">
        <v>1277.4340490797545</v>
      </c>
    </row>
    <row r="154" spans="1:12">
      <c r="A154" s="14">
        <v>43647</v>
      </c>
      <c r="B154">
        <v>2703</v>
      </c>
      <c r="C154">
        <v>2703</v>
      </c>
      <c r="D154">
        <v>1549</v>
      </c>
      <c r="E154">
        <v>1552</v>
      </c>
      <c r="F154">
        <v>1.7416237113402</v>
      </c>
      <c r="G154">
        <v>1.76281354424022</v>
      </c>
      <c r="H154">
        <v>6.3059640696444902E-2</v>
      </c>
      <c r="I154">
        <v>-0.33602844332757498</v>
      </c>
      <c r="J154">
        <v>-1.22</v>
      </c>
      <c r="K154">
        <v>2703</v>
      </c>
      <c r="L154">
        <v>1278.2576687116564</v>
      </c>
    </row>
    <row r="155" spans="1:12">
      <c r="A155" s="14">
        <v>43644</v>
      </c>
      <c r="B155">
        <v>2674</v>
      </c>
      <c r="C155">
        <v>2682</v>
      </c>
      <c r="D155">
        <v>1519</v>
      </c>
      <c r="E155">
        <v>1515</v>
      </c>
      <c r="F155">
        <v>1.7702970297029701</v>
      </c>
      <c r="G155">
        <v>1.7637271148814699</v>
      </c>
      <c r="H155">
        <v>6.3242095978302507E-2</v>
      </c>
      <c r="I155">
        <v>0.103885153075019</v>
      </c>
      <c r="J155">
        <v>0.37</v>
      </c>
      <c r="K155">
        <v>2682</v>
      </c>
      <c r="L155">
        <v>1247.7837423312883</v>
      </c>
    </row>
    <row r="156" spans="1:12">
      <c r="A156" s="14">
        <v>43643</v>
      </c>
      <c r="B156">
        <v>2671</v>
      </c>
      <c r="C156">
        <v>2677</v>
      </c>
      <c r="D156">
        <v>1502</v>
      </c>
      <c r="E156">
        <v>1519</v>
      </c>
      <c r="F156">
        <v>1.7623436471362699</v>
      </c>
      <c r="G156">
        <v>1.76406985250621</v>
      </c>
      <c r="H156">
        <v>6.3346341090912195E-2</v>
      </c>
      <c r="I156">
        <v>-2.7250277446343299E-2</v>
      </c>
      <c r="J156">
        <v>-0.1</v>
      </c>
      <c r="K156">
        <v>2677</v>
      </c>
      <c r="L156">
        <v>1251.0782208588957</v>
      </c>
    </row>
    <row r="157" spans="1:12">
      <c r="A157" s="14">
        <v>43642</v>
      </c>
      <c r="B157">
        <v>2642</v>
      </c>
      <c r="C157">
        <v>2661</v>
      </c>
      <c r="D157">
        <v>1478</v>
      </c>
      <c r="E157">
        <v>1482</v>
      </c>
      <c r="F157">
        <v>1.7955465587044499</v>
      </c>
      <c r="G157">
        <v>1.7642494200035801</v>
      </c>
      <c r="H157">
        <v>6.3360279993243104E-2</v>
      </c>
      <c r="I157">
        <v>0.49395518302953301</v>
      </c>
      <c r="J157">
        <v>1.74</v>
      </c>
      <c r="K157">
        <v>2661</v>
      </c>
      <c r="L157">
        <v>1220.6042944785277</v>
      </c>
    </row>
    <row r="158" spans="1:12">
      <c r="A158" s="14">
        <v>43641</v>
      </c>
      <c r="B158">
        <v>2689</v>
      </c>
      <c r="C158">
        <v>2657</v>
      </c>
      <c r="D158">
        <v>1504</v>
      </c>
      <c r="E158">
        <v>1475</v>
      </c>
      <c r="F158">
        <v>1.8013559322033801</v>
      </c>
      <c r="G158">
        <v>1.76387742667184</v>
      </c>
      <c r="H158">
        <v>6.3257256310238097E-2</v>
      </c>
      <c r="I158">
        <v>0.59247757044246996</v>
      </c>
      <c r="J158">
        <v>2.08</v>
      </c>
      <c r="K158">
        <v>2657</v>
      </c>
      <c r="L158">
        <v>1214.8389570552147</v>
      </c>
    </row>
    <row r="159" spans="1:12">
      <c r="A159" s="14">
        <v>43640</v>
      </c>
      <c r="B159">
        <v>2638</v>
      </c>
      <c r="C159">
        <v>2652</v>
      </c>
      <c r="D159">
        <v>1475</v>
      </c>
      <c r="E159">
        <v>1486</v>
      </c>
      <c r="F159">
        <v>1.7846567967698499</v>
      </c>
      <c r="G159">
        <v>1.76462008876903</v>
      </c>
      <c r="H159">
        <v>6.4015331634224903E-2</v>
      </c>
      <c r="I159">
        <v>0.31299858157888499</v>
      </c>
      <c r="J159">
        <v>1.1200000000000001</v>
      </c>
      <c r="K159">
        <v>2652</v>
      </c>
      <c r="L159">
        <v>1223.8987730061349</v>
      </c>
    </row>
    <row r="160" spans="1:12">
      <c r="A160" s="14">
        <v>43637</v>
      </c>
      <c r="B160">
        <v>2683</v>
      </c>
      <c r="C160">
        <v>2649</v>
      </c>
      <c r="D160">
        <v>1456</v>
      </c>
      <c r="E160">
        <v>1474</v>
      </c>
      <c r="F160">
        <v>1.7971506105834401</v>
      </c>
      <c r="G160">
        <v>1.76521095006266</v>
      </c>
      <c r="H160">
        <v>6.4400894230695296E-2</v>
      </c>
      <c r="I160">
        <v>0.49595057494650502</v>
      </c>
      <c r="J160">
        <v>1.78</v>
      </c>
      <c r="K160">
        <v>2649</v>
      </c>
      <c r="L160">
        <v>1214.0153374233128</v>
      </c>
    </row>
    <row r="161" spans="1:12">
      <c r="A161" s="14">
        <v>43636</v>
      </c>
      <c r="B161">
        <v>2656</v>
      </c>
      <c r="C161">
        <v>2674</v>
      </c>
      <c r="D161">
        <v>1476</v>
      </c>
      <c r="E161">
        <v>1469</v>
      </c>
      <c r="F161">
        <v>1.82028590878148</v>
      </c>
      <c r="G161">
        <v>1.76517765800093</v>
      </c>
      <c r="H161">
        <v>6.43850178392118E-2</v>
      </c>
      <c r="I161">
        <v>0.85591730234772401</v>
      </c>
      <c r="J161">
        <v>3.03</v>
      </c>
      <c r="K161">
        <v>2674</v>
      </c>
      <c r="L161">
        <v>1209.8972392638036</v>
      </c>
    </row>
    <row r="162" spans="1:12">
      <c r="A162" s="14">
        <v>43635</v>
      </c>
      <c r="B162">
        <v>2673</v>
      </c>
      <c r="C162">
        <v>2672</v>
      </c>
      <c r="D162">
        <v>1462</v>
      </c>
      <c r="E162">
        <v>1463</v>
      </c>
      <c r="F162">
        <v>1.82638414217361</v>
      </c>
      <c r="G162">
        <v>1.76425471421413</v>
      </c>
      <c r="H162">
        <v>6.4083866566576095E-2</v>
      </c>
      <c r="I162">
        <v>0.96950186198472399</v>
      </c>
      <c r="J162">
        <v>3.4</v>
      </c>
      <c r="K162">
        <v>2672</v>
      </c>
      <c r="L162">
        <v>1204.9555214723925</v>
      </c>
    </row>
    <row r="163" spans="1:12">
      <c r="A163" s="14">
        <v>43634</v>
      </c>
      <c r="B163">
        <v>2674</v>
      </c>
      <c r="C163">
        <v>2658</v>
      </c>
      <c r="D163">
        <v>1450</v>
      </c>
      <c r="E163">
        <v>1436</v>
      </c>
      <c r="F163">
        <v>1.8509749303621099</v>
      </c>
      <c r="G163">
        <v>1.76293322868212</v>
      </c>
      <c r="H163">
        <v>6.3810372594421599E-2</v>
      </c>
      <c r="I163">
        <v>1.3797396583088699</v>
      </c>
      <c r="J163">
        <v>4.76</v>
      </c>
      <c r="K163">
        <v>2658</v>
      </c>
      <c r="L163">
        <v>1182.717791411043</v>
      </c>
    </row>
    <row r="164" spans="1:12">
      <c r="A164" s="14">
        <v>43633</v>
      </c>
      <c r="B164">
        <v>2709</v>
      </c>
      <c r="C164">
        <v>2675</v>
      </c>
      <c r="D164">
        <v>1436</v>
      </c>
      <c r="E164">
        <v>1431</v>
      </c>
      <c r="F164">
        <v>1.8693221523410199</v>
      </c>
      <c r="G164">
        <v>1.76128019732653</v>
      </c>
      <c r="H164">
        <v>6.3110206787142603E-2</v>
      </c>
      <c r="I164">
        <v>1.7119569165553501</v>
      </c>
      <c r="J164">
        <v>5.78</v>
      </c>
      <c r="K164">
        <v>2675</v>
      </c>
      <c r="L164">
        <v>1178.5996932515336</v>
      </c>
    </row>
    <row r="165" spans="1:12">
      <c r="A165" s="14">
        <v>43630</v>
      </c>
      <c r="B165">
        <v>2692</v>
      </c>
      <c r="C165">
        <v>2719</v>
      </c>
      <c r="D165">
        <v>1445</v>
      </c>
      <c r="E165">
        <v>1437</v>
      </c>
      <c r="F165">
        <v>1.89213639526791</v>
      </c>
      <c r="G165">
        <v>1.75957415352669</v>
      </c>
      <c r="H165">
        <v>6.1884027897686898E-2</v>
      </c>
      <c r="I165">
        <v>2.1421075234532401</v>
      </c>
      <c r="J165">
        <v>7.01</v>
      </c>
      <c r="K165">
        <v>2719</v>
      </c>
      <c r="L165">
        <v>1183.5414110429447</v>
      </c>
    </row>
    <row r="166" spans="1:12">
      <c r="A166" s="14">
        <v>43629</v>
      </c>
      <c r="B166">
        <v>2677</v>
      </c>
      <c r="C166">
        <v>2673</v>
      </c>
      <c r="D166">
        <v>1440</v>
      </c>
      <c r="E166">
        <v>1441</v>
      </c>
      <c r="F166">
        <v>1.8549618320610599</v>
      </c>
      <c r="G166">
        <v>1.7577552149872999</v>
      </c>
      <c r="H166">
        <v>5.9935127733620301E-2</v>
      </c>
      <c r="I166">
        <v>1.62186385095897</v>
      </c>
      <c r="J166">
        <v>5.24</v>
      </c>
      <c r="K166">
        <v>2673</v>
      </c>
      <c r="L166">
        <v>1186.8358895705521</v>
      </c>
    </row>
    <row r="167" spans="1:12">
      <c r="A167" s="14">
        <v>43628</v>
      </c>
      <c r="B167">
        <v>2669</v>
      </c>
      <c r="C167">
        <v>2687</v>
      </c>
      <c r="D167">
        <v>1441</v>
      </c>
      <c r="E167">
        <v>1447</v>
      </c>
      <c r="F167">
        <v>1.85694540428472</v>
      </c>
      <c r="G167">
        <v>1.75648486029347</v>
      </c>
      <c r="H167">
        <v>5.8861422421357397E-2</v>
      </c>
      <c r="I167">
        <v>1.7067298046606301</v>
      </c>
      <c r="J167">
        <v>5.41</v>
      </c>
      <c r="K167">
        <v>2687</v>
      </c>
      <c r="L167">
        <v>1191.7776073619632</v>
      </c>
    </row>
    <row r="168" spans="1:12">
      <c r="A168" s="14">
        <v>43627</v>
      </c>
      <c r="B168">
        <v>2637</v>
      </c>
      <c r="C168">
        <v>2674</v>
      </c>
      <c r="D168">
        <v>1422</v>
      </c>
      <c r="E168">
        <v>1432</v>
      </c>
      <c r="F168">
        <v>1.8673184357541801</v>
      </c>
      <c r="G168">
        <v>1.7544383434415201</v>
      </c>
      <c r="H168">
        <v>5.7994894324164201E-2</v>
      </c>
      <c r="I168">
        <v>1.94637982581227</v>
      </c>
      <c r="J168">
        <v>6.05</v>
      </c>
      <c r="K168">
        <v>2674</v>
      </c>
      <c r="L168">
        <v>1179.4233128834355</v>
      </c>
    </row>
    <row r="169" spans="1:12">
      <c r="A169" s="14">
        <v>43626</v>
      </c>
      <c r="B169">
        <v>2624</v>
      </c>
      <c r="C169">
        <v>2628</v>
      </c>
      <c r="D169">
        <v>1412</v>
      </c>
      <c r="E169">
        <v>1417</v>
      </c>
      <c r="F169">
        <v>1.8546224417784001</v>
      </c>
      <c r="G169">
        <v>1.75251984032879</v>
      </c>
      <c r="H169">
        <v>5.6592000857539099E-2</v>
      </c>
      <c r="I169">
        <v>1.8041878693534401</v>
      </c>
      <c r="J169">
        <v>5.51</v>
      </c>
      <c r="K169">
        <v>2628</v>
      </c>
      <c r="L169">
        <v>1167.0690184049079</v>
      </c>
    </row>
    <row r="170" spans="1:12">
      <c r="A170" s="14">
        <v>43623</v>
      </c>
      <c r="B170">
        <v>2601</v>
      </c>
      <c r="C170">
        <v>2602</v>
      </c>
      <c r="D170">
        <v>1397</v>
      </c>
      <c r="E170">
        <v>1400</v>
      </c>
      <c r="F170">
        <v>1.8585714285714201</v>
      </c>
      <c r="G170">
        <v>1.7506861700513701</v>
      </c>
      <c r="H170">
        <v>5.5470922155619197E-2</v>
      </c>
      <c r="I170">
        <v>1.9448975125633201</v>
      </c>
      <c r="J170">
        <v>5.8</v>
      </c>
      <c r="K170">
        <v>2602</v>
      </c>
      <c r="L170">
        <v>1153.0674846625766</v>
      </c>
    </row>
    <row r="171" spans="1:12">
      <c r="A171" s="14">
        <v>43622</v>
      </c>
      <c r="B171">
        <v>2595</v>
      </c>
      <c r="C171">
        <v>2581</v>
      </c>
      <c r="D171">
        <v>1400</v>
      </c>
      <c r="E171">
        <v>1400</v>
      </c>
      <c r="F171">
        <v>1.84357142857142</v>
      </c>
      <c r="G171">
        <v>1.7490889250685799</v>
      </c>
      <c r="H171">
        <v>5.4047876948237102E-2</v>
      </c>
      <c r="I171">
        <v>1.7481260844589099</v>
      </c>
      <c r="J171">
        <v>5.12</v>
      </c>
      <c r="K171">
        <v>2581</v>
      </c>
      <c r="L171">
        <v>1153.0674846625766</v>
      </c>
    </row>
    <row r="172" spans="1:12">
      <c r="A172" s="14">
        <v>43621</v>
      </c>
      <c r="B172">
        <v>2572</v>
      </c>
      <c r="C172">
        <v>2595</v>
      </c>
      <c r="D172">
        <v>1413</v>
      </c>
      <c r="E172">
        <v>1400</v>
      </c>
      <c r="F172">
        <v>1.85357142857142</v>
      </c>
      <c r="G172">
        <v>1.74819852436804</v>
      </c>
      <c r="H172">
        <v>5.3024396461936601E-2</v>
      </c>
      <c r="I172">
        <v>1.9872532500964299</v>
      </c>
      <c r="J172">
        <v>5.68</v>
      </c>
      <c r="K172">
        <v>2595</v>
      </c>
      <c r="L172">
        <v>1153.0674846625766</v>
      </c>
    </row>
    <row r="173" spans="1:12">
      <c r="A173" s="14">
        <v>43620</v>
      </c>
      <c r="B173">
        <v>2528</v>
      </c>
      <c r="C173">
        <v>2522</v>
      </c>
      <c r="D173">
        <v>1349</v>
      </c>
      <c r="E173">
        <v>1369</v>
      </c>
      <c r="F173">
        <v>1.8422205989773499</v>
      </c>
      <c r="G173">
        <v>1.7472725151191899</v>
      </c>
      <c r="H173">
        <v>5.1767639930315197E-2</v>
      </c>
      <c r="I173">
        <v>1.8341203884505199</v>
      </c>
      <c r="J173">
        <v>5.15</v>
      </c>
      <c r="K173">
        <v>2522</v>
      </c>
      <c r="L173">
        <v>1127.5352760736196</v>
      </c>
    </row>
    <row r="174" spans="1:12">
      <c r="A174" s="14">
        <v>43619</v>
      </c>
      <c r="B174">
        <v>2500</v>
      </c>
      <c r="C174">
        <v>2528</v>
      </c>
      <c r="D174">
        <v>1342</v>
      </c>
      <c r="E174">
        <v>1341</v>
      </c>
      <c r="F174">
        <v>1.88516032811334</v>
      </c>
      <c r="G174">
        <v>1.74567583732591</v>
      </c>
      <c r="H174">
        <v>5.0649182304595801E-2</v>
      </c>
      <c r="I174">
        <v>2.7539337150320402</v>
      </c>
      <c r="J174">
        <v>7.4</v>
      </c>
      <c r="K174">
        <v>2528</v>
      </c>
      <c r="L174">
        <v>1104.4739263803681</v>
      </c>
    </row>
    <row r="175" spans="1:12">
      <c r="A175" s="14">
        <v>43616</v>
      </c>
      <c r="B175">
        <v>2567</v>
      </c>
      <c r="C175">
        <v>2553</v>
      </c>
      <c r="D175">
        <v>1383</v>
      </c>
      <c r="E175">
        <v>1378</v>
      </c>
      <c r="F175">
        <v>1.85268505079825</v>
      </c>
      <c r="G175">
        <v>1.74290224757419</v>
      </c>
      <c r="H175">
        <v>4.8588695886829701E-2</v>
      </c>
      <c r="I175">
        <v>2.25943094829629</v>
      </c>
      <c r="J175">
        <v>5.93</v>
      </c>
      <c r="K175">
        <v>2553</v>
      </c>
      <c r="L175">
        <v>1134.9478527607362</v>
      </c>
    </row>
    <row r="176" spans="1:12">
      <c r="A176" s="14">
        <v>43615</v>
      </c>
      <c r="B176">
        <v>2518</v>
      </c>
      <c r="C176">
        <v>2566</v>
      </c>
      <c r="D176">
        <v>1377</v>
      </c>
      <c r="E176">
        <v>1401</v>
      </c>
      <c r="F176">
        <v>1.83154889364739</v>
      </c>
      <c r="G176">
        <v>1.7405096856967199</v>
      </c>
      <c r="H176">
        <v>4.75304022849454E-2</v>
      </c>
      <c r="I176">
        <v>1.91538896315014</v>
      </c>
      <c r="J176">
        <v>4.97</v>
      </c>
      <c r="K176">
        <v>2566</v>
      </c>
      <c r="L176">
        <v>1153.8911042944785</v>
      </c>
    </row>
    <row r="177" spans="1:12">
      <c r="A177" s="14">
        <v>43614</v>
      </c>
      <c r="B177">
        <v>2472</v>
      </c>
      <c r="C177">
        <v>2513</v>
      </c>
      <c r="D177">
        <v>1371</v>
      </c>
      <c r="E177">
        <v>1380</v>
      </c>
      <c r="F177">
        <v>1.82101449275362</v>
      </c>
      <c r="G177">
        <v>1.7390263897420299</v>
      </c>
      <c r="H177">
        <v>4.6388310094533203E-2</v>
      </c>
      <c r="I177">
        <v>1.76743026086757</v>
      </c>
      <c r="J177">
        <v>4.5</v>
      </c>
      <c r="K177">
        <v>2513</v>
      </c>
      <c r="L177">
        <v>1136.5950920245398</v>
      </c>
    </row>
    <row r="178" spans="1:12">
      <c r="A178" s="14">
        <v>43613</v>
      </c>
      <c r="B178">
        <v>2456</v>
      </c>
      <c r="C178">
        <v>2473</v>
      </c>
      <c r="D178">
        <v>1379</v>
      </c>
      <c r="E178">
        <v>1395</v>
      </c>
      <c r="F178">
        <v>1.77275985663082</v>
      </c>
      <c r="G178">
        <v>1.7375579586860399</v>
      </c>
      <c r="H178">
        <v>4.5504428386226203E-2</v>
      </c>
      <c r="I178">
        <v>0.77359279510107903</v>
      </c>
      <c r="J178">
        <v>1.99</v>
      </c>
      <c r="K178">
        <v>2473</v>
      </c>
      <c r="L178">
        <v>1148.9493865030674</v>
      </c>
    </row>
    <row r="179" spans="1:12">
      <c r="A179" s="14">
        <v>43612</v>
      </c>
      <c r="B179">
        <v>2454</v>
      </c>
      <c r="C179">
        <v>2455</v>
      </c>
      <c r="D179">
        <v>1397</v>
      </c>
      <c r="E179">
        <v>1393</v>
      </c>
      <c r="F179">
        <v>1.7623833452979101</v>
      </c>
      <c r="G179">
        <v>1.7369930983811701</v>
      </c>
      <c r="H179">
        <v>4.5326544797550598E-2</v>
      </c>
      <c r="I179">
        <v>0.56016285887548101</v>
      </c>
      <c r="J179">
        <v>1.44</v>
      </c>
      <c r="K179">
        <v>2455</v>
      </c>
      <c r="L179">
        <v>1147.3021472392638</v>
      </c>
    </row>
    <row r="180" spans="1:12">
      <c r="A180" s="14">
        <v>43609</v>
      </c>
      <c r="B180">
        <v>2455</v>
      </c>
      <c r="C180">
        <v>2452</v>
      </c>
      <c r="D180">
        <v>1394</v>
      </c>
      <c r="E180">
        <v>1403</v>
      </c>
      <c r="F180">
        <v>1.7476835352815301</v>
      </c>
      <c r="G180">
        <v>1.7362785842875099</v>
      </c>
      <c r="H180">
        <v>4.5343042835919597E-2</v>
      </c>
      <c r="I180">
        <v>0.25152592946381203</v>
      </c>
      <c r="J180">
        <v>0.65</v>
      </c>
      <c r="K180">
        <v>2452</v>
      </c>
      <c r="L180">
        <v>1155.5383435582821</v>
      </c>
    </row>
    <row r="181" spans="1:12">
      <c r="A181" s="14">
        <v>43608</v>
      </c>
      <c r="B181">
        <v>2459</v>
      </c>
      <c r="C181">
        <v>2473</v>
      </c>
      <c r="D181">
        <v>1425</v>
      </c>
      <c r="E181">
        <v>1406</v>
      </c>
      <c r="F181">
        <v>1.75889046941678</v>
      </c>
      <c r="G181">
        <v>1.73602698460805</v>
      </c>
      <c r="H181">
        <v>4.5331412365990302E-2</v>
      </c>
      <c r="I181">
        <v>0.50436294867973996</v>
      </c>
      <c r="J181">
        <v>1.3</v>
      </c>
      <c r="K181">
        <v>2473</v>
      </c>
      <c r="L181">
        <v>1158.0092024539877</v>
      </c>
    </row>
    <row r="182" spans="1:12">
      <c r="A182" s="14">
        <v>43607</v>
      </c>
      <c r="B182">
        <v>2497</v>
      </c>
      <c r="C182">
        <v>2489</v>
      </c>
      <c r="D182">
        <v>1455</v>
      </c>
      <c r="E182">
        <v>1444</v>
      </c>
      <c r="F182">
        <v>1.7236842105263099</v>
      </c>
      <c r="G182">
        <v>1.73552693204439</v>
      </c>
      <c r="H182">
        <v>4.5283274490978201E-2</v>
      </c>
      <c r="I182">
        <v>-0.261525290544877</v>
      </c>
      <c r="J182">
        <v>-0.69</v>
      </c>
      <c r="K182">
        <v>2489</v>
      </c>
      <c r="L182">
        <v>1189.3067484662577</v>
      </c>
    </row>
    <row r="183" spans="1:12">
      <c r="A183" s="14">
        <v>43606</v>
      </c>
      <c r="B183">
        <v>2504</v>
      </c>
      <c r="C183">
        <v>2464</v>
      </c>
      <c r="D183">
        <v>1430</v>
      </c>
      <c r="E183">
        <v>1441</v>
      </c>
      <c r="F183">
        <v>1.70992366412213</v>
      </c>
      <c r="G183">
        <v>1.73559678891744</v>
      </c>
      <c r="H183">
        <v>4.5268990229059197E-2</v>
      </c>
      <c r="I183">
        <v>-0.56712386703129802</v>
      </c>
      <c r="J183">
        <v>-1.5</v>
      </c>
      <c r="K183">
        <v>2464</v>
      </c>
      <c r="L183">
        <v>1186.8358895705521</v>
      </c>
    </row>
    <row r="184" spans="1:12">
      <c r="A184" s="14">
        <v>43605</v>
      </c>
      <c r="B184">
        <v>2502</v>
      </c>
      <c r="C184">
        <v>2554</v>
      </c>
      <c r="D184">
        <v>1479</v>
      </c>
      <c r="E184">
        <v>1440</v>
      </c>
      <c r="F184">
        <v>1.7736111111111099</v>
      </c>
      <c r="G184">
        <v>1.73619254357125</v>
      </c>
      <c r="H184">
        <v>4.5221190344428702E-2</v>
      </c>
      <c r="I184">
        <v>0.82745649229614404</v>
      </c>
      <c r="J184">
        <v>2.11</v>
      </c>
      <c r="K184">
        <v>2554</v>
      </c>
      <c r="L184">
        <v>1186.0122699386502</v>
      </c>
    </row>
    <row r="185" spans="1:12">
      <c r="A185" s="14">
        <v>43602</v>
      </c>
      <c r="B185">
        <v>2576</v>
      </c>
      <c r="C185">
        <v>2534</v>
      </c>
      <c r="D185">
        <v>1493</v>
      </c>
      <c r="E185">
        <v>1483</v>
      </c>
      <c r="F185">
        <v>1.7086985839514399</v>
      </c>
      <c r="G185">
        <v>1.7360769319436899</v>
      </c>
      <c r="H185">
        <v>4.5136383337191902E-2</v>
      </c>
      <c r="I185">
        <v>-0.60656937858113003</v>
      </c>
      <c r="J185">
        <v>-1.6</v>
      </c>
      <c r="K185">
        <v>2534</v>
      </c>
      <c r="L185">
        <v>1221.4279141104294</v>
      </c>
    </row>
    <row r="186" spans="1:12">
      <c r="A186" s="14">
        <v>43601</v>
      </c>
      <c r="B186">
        <v>2573</v>
      </c>
      <c r="C186">
        <v>2543</v>
      </c>
      <c r="D186">
        <v>1512</v>
      </c>
      <c r="E186">
        <v>1481</v>
      </c>
      <c r="F186">
        <v>1.71708305199189</v>
      </c>
      <c r="G186">
        <v>1.73705851724541</v>
      </c>
      <c r="H186">
        <v>4.5330392133204001E-2</v>
      </c>
      <c r="I186">
        <v>-0.44066385295803301</v>
      </c>
      <c r="J186">
        <v>-1.1599999999999999</v>
      </c>
      <c r="K186">
        <v>2543</v>
      </c>
      <c r="L186">
        <v>1219.7806748466257</v>
      </c>
    </row>
    <row r="187" spans="1:12">
      <c r="A187" s="14">
        <v>43600</v>
      </c>
      <c r="B187">
        <v>2670</v>
      </c>
      <c r="C187">
        <v>2600</v>
      </c>
      <c r="D187">
        <v>1520</v>
      </c>
      <c r="E187">
        <v>1511</v>
      </c>
      <c r="F187">
        <v>1.7207147584381199</v>
      </c>
      <c r="G187">
        <v>1.73807913959133</v>
      </c>
      <c r="H187">
        <v>4.5729128753303601E-2</v>
      </c>
      <c r="I187">
        <v>-0.37972254505207398</v>
      </c>
      <c r="J187">
        <v>-1.01</v>
      </c>
      <c r="K187">
        <v>2600</v>
      </c>
      <c r="L187">
        <v>1244.4892638036808</v>
      </c>
    </row>
    <row r="188" spans="1:12">
      <c r="A188" s="14">
        <v>43599</v>
      </c>
      <c r="B188">
        <v>2840</v>
      </c>
      <c r="C188">
        <v>2820</v>
      </c>
      <c r="D188">
        <v>1462</v>
      </c>
      <c r="E188">
        <v>1516</v>
      </c>
      <c r="F188">
        <v>1.8601583113456399</v>
      </c>
      <c r="G188">
        <v>1.73932610665397</v>
      </c>
      <c r="H188">
        <v>4.6507119681890197E-2</v>
      </c>
      <c r="I188">
        <v>2.59814423077948</v>
      </c>
      <c r="J188">
        <v>6.5</v>
      </c>
      <c r="K188">
        <v>2820</v>
      </c>
      <c r="L188">
        <v>1248.6073619631902</v>
      </c>
    </row>
    <row r="189" spans="1:12">
      <c r="A189" s="14">
        <v>43598</v>
      </c>
      <c r="B189">
        <v>2871</v>
      </c>
      <c r="C189">
        <v>2852</v>
      </c>
      <c r="D189">
        <v>1578</v>
      </c>
      <c r="E189">
        <v>1510</v>
      </c>
      <c r="F189">
        <v>1.8887417218542999</v>
      </c>
      <c r="G189">
        <v>1.7387798044396601</v>
      </c>
      <c r="H189">
        <v>4.5309771476279799E-2</v>
      </c>
      <c r="I189">
        <v>3.3097036804334001</v>
      </c>
      <c r="J189">
        <v>7.94</v>
      </c>
      <c r="K189">
        <v>2852</v>
      </c>
      <c r="L189">
        <v>1243.6656441717791</v>
      </c>
    </row>
    <row r="190" spans="1:12">
      <c r="A190" s="14">
        <v>43595</v>
      </c>
      <c r="B190">
        <v>2884</v>
      </c>
      <c r="C190">
        <v>2897</v>
      </c>
      <c r="D190">
        <v>1676</v>
      </c>
      <c r="E190">
        <v>1617</v>
      </c>
      <c r="F190">
        <v>1.79158936301793</v>
      </c>
      <c r="G190">
        <v>1.7380011791827501</v>
      </c>
      <c r="H190">
        <v>4.3177658086067501E-2</v>
      </c>
      <c r="I190">
        <v>1.24110908767582</v>
      </c>
      <c r="J190">
        <v>2.99</v>
      </c>
      <c r="K190">
        <v>2897</v>
      </c>
      <c r="L190">
        <v>1331.7929447852759</v>
      </c>
    </row>
    <row r="191" spans="1:12">
      <c r="A191" s="14">
        <v>43594</v>
      </c>
      <c r="B191">
        <v>2935</v>
      </c>
      <c r="C191">
        <v>2904</v>
      </c>
      <c r="D191">
        <v>1665</v>
      </c>
      <c r="E191">
        <v>1679</v>
      </c>
      <c r="F191">
        <v>1.7296009529481799</v>
      </c>
      <c r="G191">
        <v>1.7383805330064499</v>
      </c>
      <c r="H191">
        <v>4.3767764537689803E-2</v>
      </c>
      <c r="I191">
        <v>-0.20059466484091401</v>
      </c>
      <c r="J191">
        <v>-0.51</v>
      </c>
      <c r="K191">
        <v>2904</v>
      </c>
      <c r="L191">
        <v>1382.8573619631902</v>
      </c>
    </row>
    <row r="192" spans="1:12">
      <c r="A192" s="14">
        <v>43593</v>
      </c>
      <c r="B192">
        <v>2975</v>
      </c>
      <c r="C192">
        <v>2948</v>
      </c>
      <c r="D192">
        <v>1692</v>
      </c>
      <c r="E192">
        <v>1667</v>
      </c>
      <c r="F192">
        <v>1.7684463107378501</v>
      </c>
      <c r="G192">
        <v>1.73976057890854</v>
      </c>
      <c r="H192">
        <v>4.5081257090515102E-2</v>
      </c>
      <c r="I192">
        <v>0.63631171091161498</v>
      </c>
      <c r="J192">
        <v>1.62</v>
      </c>
      <c r="K192">
        <v>2948</v>
      </c>
      <c r="L192">
        <v>1372.9739263803681</v>
      </c>
    </row>
    <row r="193" spans="1:12">
      <c r="A193" s="14">
        <v>43592</v>
      </c>
      <c r="B193">
        <v>3030</v>
      </c>
      <c r="C193">
        <v>3010</v>
      </c>
      <c r="D193">
        <v>1775</v>
      </c>
      <c r="E193">
        <v>1715</v>
      </c>
      <c r="F193">
        <v>1.75510204081632</v>
      </c>
      <c r="G193">
        <v>1.74091518832279</v>
      </c>
      <c r="H193">
        <v>4.6874432982940403E-2</v>
      </c>
      <c r="I193">
        <v>0.30265651423874601</v>
      </c>
      <c r="J193">
        <v>0.81</v>
      </c>
      <c r="K193">
        <v>3010</v>
      </c>
      <c r="L193">
        <v>1412.5076687116564</v>
      </c>
    </row>
    <row r="194" spans="1:12">
      <c r="A194" s="14">
        <v>43581</v>
      </c>
      <c r="B194">
        <v>3000</v>
      </c>
      <c r="C194">
        <v>3030</v>
      </c>
      <c r="D194">
        <v>1768</v>
      </c>
      <c r="E194">
        <v>1785</v>
      </c>
      <c r="F194">
        <v>1.69747899159663</v>
      </c>
      <c r="G194">
        <v>1.74239267981338</v>
      </c>
      <c r="H194">
        <v>4.8996683325523697E-2</v>
      </c>
      <c r="I194">
        <v>-0.91666792869128999</v>
      </c>
      <c r="J194">
        <v>-2.65</v>
      </c>
      <c r="K194">
        <v>3030</v>
      </c>
      <c r="L194">
        <v>1470.1610429447853</v>
      </c>
    </row>
    <row r="195" spans="1:12">
      <c r="A195" s="14">
        <v>43580</v>
      </c>
      <c r="B195">
        <v>3065</v>
      </c>
      <c r="C195">
        <v>3040</v>
      </c>
      <c r="D195">
        <v>1766</v>
      </c>
      <c r="E195">
        <v>1780</v>
      </c>
      <c r="F195">
        <v>1.70786516853932</v>
      </c>
      <c r="G195">
        <v>1.74416389177522</v>
      </c>
      <c r="H195">
        <v>4.9736544386194501E-2</v>
      </c>
      <c r="I195">
        <v>-0.72981996807111205</v>
      </c>
      <c r="J195">
        <v>-2.13</v>
      </c>
      <c r="K195">
        <v>3040</v>
      </c>
      <c r="L195">
        <v>1466.0429447852759</v>
      </c>
    </row>
    <row r="196" spans="1:12">
      <c r="A196" s="14">
        <v>43579</v>
      </c>
      <c r="B196">
        <v>3080</v>
      </c>
      <c r="C196">
        <v>3030</v>
      </c>
      <c r="D196">
        <v>1804</v>
      </c>
      <c r="E196">
        <v>1778</v>
      </c>
      <c r="F196">
        <v>1.70416197975253</v>
      </c>
      <c r="G196">
        <v>1.7461050800839699</v>
      </c>
      <c r="H196">
        <v>5.11042681666245E-2</v>
      </c>
      <c r="I196">
        <v>-0.820735759187328</v>
      </c>
      <c r="J196">
        <v>-2.46</v>
      </c>
      <c r="K196">
        <v>3030</v>
      </c>
      <c r="L196">
        <v>1464.3957055214723</v>
      </c>
    </row>
    <row r="197" spans="1:12">
      <c r="A197" s="14">
        <v>43578</v>
      </c>
      <c r="B197">
        <v>3055</v>
      </c>
      <c r="C197">
        <v>3065</v>
      </c>
      <c r="D197">
        <v>1817</v>
      </c>
      <c r="E197">
        <v>1804</v>
      </c>
      <c r="F197">
        <v>1.6990022172949</v>
      </c>
      <c r="G197">
        <v>1.74815174146263</v>
      </c>
      <c r="H197">
        <v>5.2439798482305101E-2</v>
      </c>
      <c r="I197">
        <v>-0.937256160210442</v>
      </c>
      <c r="J197">
        <v>-2.89</v>
      </c>
      <c r="K197">
        <v>3065</v>
      </c>
      <c r="L197">
        <v>1485.8098159509202</v>
      </c>
    </row>
    <row r="198" spans="1:12">
      <c r="A198" s="14">
        <v>43577</v>
      </c>
      <c r="B198">
        <v>3040</v>
      </c>
      <c r="C198">
        <v>3070</v>
      </c>
      <c r="D198">
        <v>1813</v>
      </c>
      <c r="E198">
        <v>1805</v>
      </c>
      <c r="F198">
        <v>1.7008310249307399</v>
      </c>
      <c r="G198">
        <v>1.7495021029601501</v>
      </c>
      <c r="H198">
        <v>5.2460751535072403E-2</v>
      </c>
      <c r="I198">
        <v>-0.92776173816093499</v>
      </c>
      <c r="J198">
        <v>-2.86</v>
      </c>
      <c r="K198">
        <v>3070</v>
      </c>
      <c r="L198">
        <v>1486.6334355828221</v>
      </c>
    </row>
    <row r="199" spans="1:12">
      <c r="A199" s="14">
        <v>43574</v>
      </c>
      <c r="B199">
        <v>3055</v>
      </c>
      <c r="C199">
        <v>3050</v>
      </c>
      <c r="D199">
        <v>1824</v>
      </c>
      <c r="E199">
        <v>1820</v>
      </c>
      <c r="F199">
        <v>1.6758241758241701</v>
      </c>
      <c r="G199">
        <v>1.7507136358109401</v>
      </c>
      <c r="H199">
        <v>5.2371894261953003E-2</v>
      </c>
      <c r="I199">
        <v>-1.4299551513678801</v>
      </c>
      <c r="J199">
        <v>-4.47</v>
      </c>
      <c r="K199">
        <v>3050</v>
      </c>
      <c r="L199">
        <v>1498.9877300613496</v>
      </c>
    </row>
    <row r="200" spans="1:12">
      <c r="A200" s="14">
        <v>43573</v>
      </c>
      <c r="B200">
        <v>3090</v>
      </c>
      <c r="C200">
        <v>3040</v>
      </c>
      <c r="D200">
        <v>1838</v>
      </c>
      <c r="E200">
        <v>1808</v>
      </c>
      <c r="F200">
        <v>1.68141592920353</v>
      </c>
      <c r="G200">
        <v>1.7520198747160101</v>
      </c>
      <c r="H200">
        <v>5.1705236696712301E-2</v>
      </c>
      <c r="I200">
        <v>-1.3655086026705501</v>
      </c>
      <c r="J200">
        <v>-4.2</v>
      </c>
      <c r="K200">
        <v>3040</v>
      </c>
      <c r="L200">
        <v>1489.1042944785274</v>
      </c>
    </row>
    <row r="201" spans="1:12">
      <c r="A201" s="14">
        <v>43572</v>
      </c>
      <c r="B201">
        <v>3105</v>
      </c>
      <c r="C201">
        <v>3085</v>
      </c>
      <c r="D201">
        <v>1824</v>
      </c>
      <c r="E201">
        <v>1825</v>
      </c>
      <c r="F201">
        <v>1.6904109589041001</v>
      </c>
      <c r="G201">
        <v>1.7527041879391001</v>
      </c>
      <c r="H201">
        <v>5.1102388733696602E-2</v>
      </c>
      <c r="I201">
        <v>-1.2189885948310599</v>
      </c>
      <c r="J201">
        <v>-3.69</v>
      </c>
      <c r="K201">
        <v>3085</v>
      </c>
      <c r="L201">
        <v>1503.1058282208589</v>
      </c>
    </row>
    <row r="202" spans="1:12">
      <c r="A202" s="14">
        <v>43571</v>
      </c>
      <c r="B202">
        <v>3110</v>
      </c>
      <c r="C202">
        <v>3125</v>
      </c>
      <c r="D202">
        <v>1838</v>
      </c>
      <c r="E202">
        <v>1813</v>
      </c>
      <c r="F202">
        <v>1.72366243794815</v>
      </c>
      <c r="G202">
        <v>1.7532568877189101</v>
      </c>
      <c r="H202">
        <v>5.0647808716625199E-2</v>
      </c>
      <c r="I202">
        <v>-0.584318463536042</v>
      </c>
      <c r="J202">
        <v>-1.72</v>
      </c>
      <c r="K202">
        <v>3125</v>
      </c>
      <c r="L202">
        <v>1493.2223926380368</v>
      </c>
    </row>
    <row r="203" spans="1:12">
      <c r="A203" s="14">
        <v>43570</v>
      </c>
      <c r="B203">
        <v>3100</v>
      </c>
      <c r="C203">
        <v>3120</v>
      </c>
      <c r="D203">
        <v>1848</v>
      </c>
      <c r="E203">
        <v>1841</v>
      </c>
      <c r="F203">
        <v>1.69473112438891</v>
      </c>
      <c r="G203">
        <v>1.75403419157657</v>
      </c>
      <c r="H203">
        <v>5.0635004326053799E-2</v>
      </c>
      <c r="I203">
        <v>-1.1711871654199799</v>
      </c>
      <c r="J203">
        <v>-3.5</v>
      </c>
      <c r="K203">
        <v>3120</v>
      </c>
      <c r="L203">
        <v>1516.2837423312883</v>
      </c>
    </row>
    <row r="204" spans="1:12">
      <c r="A204" s="14">
        <v>43567</v>
      </c>
      <c r="B204">
        <v>3100</v>
      </c>
      <c r="C204">
        <v>3090</v>
      </c>
      <c r="D204">
        <v>1808</v>
      </c>
      <c r="E204">
        <v>1799</v>
      </c>
      <c r="F204">
        <v>1.7176209005002701</v>
      </c>
      <c r="G204">
        <v>1.75514764029459</v>
      </c>
      <c r="H204">
        <v>5.0235292876188699E-2</v>
      </c>
      <c r="I204">
        <v>-0.74701942888642103</v>
      </c>
      <c r="J204">
        <v>-2.1800000000000002</v>
      </c>
      <c r="K204">
        <v>3090</v>
      </c>
      <c r="L204">
        <v>1481.6917177914111</v>
      </c>
    </row>
    <row r="205" spans="1:12">
      <c r="A205" s="14">
        <v>43566</v>
      </c>
      <c r="B205">
        <v>3085</v>
      </c>
      <c r="C205">
        <v>3085</v>
      </c>
      <c r="D205">
        <v>1801</v>
      </c>
      <c r="E205">
        <v>1812</v>
      </c>
      <c r="F205">
        <v>1.70253863134657</v>
      </c>
      <c r="G205">
        <v>1.7557915450572501</v>
      </c>
      <c r="H205">
        <v>5.0059352221189402E-2</v>
      </c>
      <c r="I205">
        <v>-1.0637955016952201</v>
      </c>
      <c r="J205">
        <v>-3.13</v>
      </c>
      <c r="K205">
        <v>3085</v>
      </c>
      <c r="L205">
        <v>1492.3987730061349</v>
      </c>
    </row>
    <row r="206" spans="1:12">
      <c r="A206" s="14">
        <v>43565</v>
      </c>
      <c r="B206">
        <v>3040</v>
      </c>
      <c r="C206">
        <v>3060</v>
      </c>
      <c r="D206">
        <v>1800</v>
      </c>
      <c r="E206">
        <v>1811</v>
      </c>
      <c r="F206">
        <v>1.68967421314191</v>
      </c>
      <c r="G206">
        <v>1.7577135619122399</v>
      </c>
      <c r="H206">
        <v>5.07405139890168E-2</v>
      </c>
      <c r="I206">
        <v>-1.3409274644923199</v>
      </c>
      <c r="J206">
        <v>-4.03</v>
      </c>
      <c r="K206">
        <v>3060</v>
      </c>
      <c r="L206">
        <v>1491.575153374233</v>
      </c>
    </row>
    <row r="207" spans="1:12">
      <c r="A207" s="14">
        <v>43564</v>
      </c>
      <c r="B207">
        <v>3080</v>
      </c>
      <c r="C207">
        <v>3090</v>
      </c>
      <c r="D207">
        <v>1826</v>
      </c>
      <c r="E207">
        <v>1828</v>
      </c>
      <c r="F207">
        <v>1.6903719912472599</v>
      </c>
      <c r="G207">
        <v>1.7596770230424701</v>
      </c>
      <c r="H207">
        <v>5.0918541001594902E-2</v>
      </c>
      <c r="I207">
        <v>-1.36109618288234</v>
      </c>
      <c r="J207">
        <v>-4.0999999999999996</v>
      </c>
      <c r="K207">
        <v>3090</v>
      </c>
      <c r="L207">
        <v>1505.5766871165642</v>
      </c>
    </row>
    <row r="208" spans="1:12">
      <c r="A208" s="14">
        <v>43563</v>
      </c>
      <c r="B208">
        <v>3105</v>
      </c>
      <c r="C208">
        <v>3100</v>
      </c>
      <c r="D208">
        <v>1834</v>
      </c>
      <c r="E208">
        <v>1828</v>
      </c>
      <c r="F208">
        <v>1.69584245076586</v>
      </c>
      <c r="G208">
        <v>1.7612377669647701</v>
      </c>
      <c r="H208">
        <v>5.0563041850211099E-2</v>
      </c>
      <c r="I208">
        <v>-1.2933422081811099</v>
      </c>
      <c r="J208">
        <v>-3.86</v>
      </c>
      <c r="K208">
        <v>3100</v>
      </c>
      <c r="L208">
        <v>1505.5766871165642</v>
      </c>
    </row>
    <row r="209" spans="1:12">
      <c r="A209" s="14">
        <v>43560</v>
      </c>
      <c r="B209">
        <v>3080</v>
      </c>
      <c r="C209">
        <v>3080</v>
      </c>
      <c r="D209">
        <v>1818</v>
      </c>
      <c r="E209">
        <v>1818</v>
      </c>
      <c r="F209">
        <v>1.6941694169416901</v>
      </c>
      <c r="G209">
        <v>1.76245060836196</v>
      </c>
      <c r="H209">
        <v>5.0068410626465498E-2</v>
      </c>
      <c r="I209">
        <v>-1.36375791773545</v>
      </c>
      <c r="J209">
        <v>-4.03</v>
      </c>
      <c r="K209">
        <v>3080</v>
      </c>
      <c r="L209">
        <v>1497.340490797546</v>
      </c>
    </row>
    <row r="210" spans="1:12">
      <c r="A210" s="14">
        <v>43559</v>
      </c>
      <c r="B210">
        <v>3090</v>
      </c>
      <c r="C210">
        <v>3075</v>
      </c>
      <c r="D210">
        <v>1808</v>
      </c>
      <c r="E210">
        <v>1805</v>
      </c>
      <c r="F210">
        <v>1.7036011080332401</v>
      </c>
      <c r="G210">
        <v>1.7634485372628299</v>
      </c>
      <c r="H210">
        <v>4.9439457812564098E-2</v>
      </c>
      <c r="I210">
        <v>-1.21051952989637</v>
      </c>
      <c r="J210">
        <v>-3.51</v>
      </c>
      <c r="K210">
        <v>3075</v>
      </c>
      <c r="L210">
        <v>1486.6334355828221</v>
      </c>
    </row>
    <row r="211" spans="1:12">
      <c r="A211" s="14">
        <v>43558</v>
      </c>
      <c r="B211">
        <v>3035</v>
      </c>
      <c r="C211">
        <v>3055</v>
      </c>
      <c r="D211">
        <v>1810</v>
      </c>
      <c r="E211">
        <v>1819</v>
      </c>
      <c r="F211">
        <v>1.6794942275975799</v>
      </c>
      <c r="G211">
        <v>1.7646469997355301</v>
      </c>
      <c r="H211">
        <v>4.90621779260631E-2</v>
      </c>
      <c r="I211">
        <v>-1.73560929696767</v>
      </c>
      <c r="J211">
        <v>-5.07</v>
      </c>
      <c r="K211">
        <v>3055</v>
      </c>
      <c r="L211">
        <v>1498.1641104294479</v>
      </c>
    </row>
    <row r="212" spans="1:12">
      <c r="A212" s="14">
        <v>43557</v>
      </c>
      <c r="B212">
        <v>3100</v>
      </c>
      <c r="C212">
        <v>3060</v>
      </c>
      <c r="D212">
        <v>1800</v>
      </c>
      <c r="E212">
        <v>1788</v>
      </c>
      <c r="F212">
        <v>1.71140939597315</v>
      </c>
      <c r="G212">
        <v>1.76644590289623</v>
      </c>
      <c r="H212">
        <v>4.8375634486820203E-2</v>
      </c>
      <c r="I212">
        <v>-1.13769064751131</v>
      </c>
      <c r="J212">
        <v>-3.22</v>
      </c>
      <c r="K212">
        <v>3060</v>
      </c>
      <c r="L212">
        <v>1472.6319018404906</v>
      </c>
    </row>
    <row r="213" spans="1:12">
      <c r="A213" s="14">
        <v>43556</v>
      </c>
      <c r="B213">
        <v>3095</v>
      </c>
      <c r="C213">
        <v>3090</v>
      </c>
      <c r="D213">
        <v>1759</v>
      </c>
      <c r="E213">
        <v>1776</v>
      </c>
      <c r="F213">
        <v>1.73986486486486</v>
      </c>
      <c r="G213">
        <v>1.7671674015707901</v>
      </c>
      <c r="H213">
        <v>4.7951078646622597E-2</v>
      </c>
      <c r="I213">
        <v>-0.56938316043192505</v>
      </c>
      <c r="J213">
        <v>-1.57</v>
      </c>
      <c r="K213">
        <v>3090</v>
      </c>
      <c r="L213">
        <v>1462.7484662576687</v>
      </c>
    </row>
    <row r="214" spans="1:12">
      <c r="A214" s="14">
        <v>43553</v>
      </c>
      <c r="B214">
        <v>2978</v>
      </c>
      <c r="C214">
        <v>3055</v>
      </c>
      <c r="D214">
        <v>1723</v>
      </c>
      <c r="E214">
        <v>1721</v>
      </c>
      <c r="F214">
        <v>1.7751307379430501</v>
      </c>
      <c r="G214">
        <v>1.76738215796696</v>
      </c>
      <c r="H214">
        <v>4.7864308806392503E-2</v>
      </c>
      <c r="I214">
        <v>0.16188638610527301</v>
      </c>
      <c r="J214">
        <v>0.44</v>
      </c>
      <c r="K214">
        <v>3055</v>
      </c>
      <c r="L214">
        <v>1417.4493865030674</v>
      </c>
    </row>
    <row r="215" spans="1:12">
      <c r="A215" s="14">
        <v>43552</v>
      </c>
      <c r="B215">
        <v>2962</v>
      </c>
      <c r="C215">
        <v>2954</v>
      </c>
      <c r="D215">
        <v>1719</v>
      </c>
      <c r="E215">
        <v>1685</v>
      </c>
      <c r="F215">
        <v>1.75311572700296</v>
      </c>
      <c r="G215">
        <v>1.7670961324314101</v>
      </c>
      <c r="H215">
        <v>4.7881243289579697E-2</v>
      </c>
      <c r="I215">
        <v>-0.29198083566653699</v>
      </c>
      <c r="J215">
        <v>-0.8</v>
      </c>
      <c r="K215">
        <v>2954</v>
      </c>
      <c r="L215">
        <v>1387.7990797546013</v>
      </c>
    </row>
    <row r="216" spans="1:12">
      <c r="A216" s="14">
        <v>43551</v>
      </c>
      <c r="B216">
        <v>2982</v>
      </c>
      <c r="C216">
        <v>3000</v>
      </c>
      <c r="D216">
        <v>1725</v>
      </c>
      <c r="E216">
        <v>1720</v>
      </c>
      <c r="F216">
        <v>1.7441860465116199</v>
      </c>
      <c r="G216">
        <v>1.7669971181403299</v>
      </c>
      <c r="H216">
        <v>4.79177155364141E-2</v>
      </c>
      <c r="I216">
        <v>-0.47604672663025199</v>
      </c>
      <c r="J216">
        <v>-1.31</v>
      </c>
      <c r="K216">
        <v>3000</v>
      </c>
      <c r="L216">
        <v>1416.6257668711655</v>
      </c>
    </row>
    <row r="217" spans="1:12">
      <c r="A217" s="14">
        <v>43550</v>
      </c>
      <c r="B217">
        <v>2944</v>
      </c>
      <c r="C217">
        <v>2999</v>
      </c>
      <c r="D217">
        <v>1726</v>
      </c>
      <c r="E217">
        <v>1740</v>
      </c>
      <c r="F217">
        <v>1.7235632183908001</v>
      </c>
      <c r="G217">
        <v>1.76757463752018</v>
      </c>
      <c r="H217">
        <v>4.7900322642656798E-2</v>
      </c>
      <c r="I217">
        <v>-0.91881258207192096</v>
      </c>
      <c r="J217">
        <v>-2.5499999999999998</v>
      </c>
      <c r="K217">
        <v>2999</v>
      </c>
      <c r="L217">
        <v>1433.0981595092023</v>
      </c>
    </row>
    <row r="218" spans="1:12">
      <c r="A218" s="14">
        <v>43549</v>
      </c>
      <c r="B218">
        <v>2940</v>
      </c>
      <c r="C218">
        <v>2931</v>
      </c>
      <c r="D218">
        <v>1704</v>
      </c>
      <c r="E218">
        <v>1704</v>
      </c>
      <c r="F218">
        <v>1.7200704225352099</v>
      </c>
      <c r="G218">
        <v>1.7678393549267299</v>
      </c>
      <c r="H218">
        <v>4.7710851013200502E-2</v>
      </c>
      <c r="I218">
        <v>-1.00121736202754</v>
      </c>
      <c r="J218">
        <v>-2.78</v>
      </c>
      <c r="K218">
        <v>2931</v>
      </c>
      <c r="L218">
        <v>1403.4478527607362</v>
      </c>
    </row>
    <row r="219" spans="1:12">
      <c r="A219" s="14">
        <v>43546</v>
      </c>
      <c r="B219">
        <v>2974</v>
      </c>
      <c r="C219">
        <v>2970</v>
      </c>
      <c r="D219">
        <v>1764</v>
      </c>
      <c r="E219">
        <v>1754</v>
      </c>
      <c r="F219">
        <v>1.6932725199543801</v>
      </c>
      <c r="G219">
        <v>1.76803751395058</v>
      </c>
      <c r="H219">
        <v>4.7542605863418602E-2</v>
      </c>
      <c r="I219">
        <v>-1.5725893151708401</v>
      </c>
      <c r="J219">
        <v>-4.42</v>
      </c>
      <c r="K219">
        <v>2970</v>
      </c>
      <c r="L219">
        <v>1444.6288343558281</v>
      </c>
    </row>
    <row r="220" spans="1:12">
      <c r="A220" s="14">
        <v>43544</v>
      </c>
      <c r="B220">
        <v>2990</v>
      </c>
      <c r="C220">
        <v>2978</v>
      </c>
      <c r="D220">
        <v>1768</v>
      </c>
      <c r="E220">
        <v>1754</v>
      </c>
      <c r="F220">
        <v>1.69783352337514</v>
      </c>
      <c r="G220">
        <v>1.76846644492308</v>
      </c>
      <c r="H220">
        <v>4.7008254389790997E-2</v>
      </c>
      <c r="I220">
        <v>-1.5025642297255599</v>
      </c>
      <c r="J220">
        <v>-4.16</v>
      </c>
      <c r="K220">
        <v>2978</v>
      </c>
      <c r="L220">
        <v>1444.6288343558281</v>
      </c>
    </row>
    <row r="221" spans="1:12">
      <c r="A221" s="14">
        <v>43543</v>
      </c>
      <c r="B221">
        <v>3015</v>
      </c>
      <c r="C221">
        <v>3000</v>
      </c>
      <c r="D221">
        <v>1761</v>
      </c>
      <c r="E221">
        <v>1768</v>
      </c>
      <c r="F221">
        <v>1.6968325791855201</v>
      </c>
      <c r="G221">
        <v>1.7693065663049199</v>
      </c>
      <c r="H221">
        <v>4.6296058328407698E-2</v>
      </c>
      <c r="I221">
        <v>-1.5654461683390699</v>
      </c>
      <c r="J221">
        <v>-4.2699999999999996</v>
      </c>
      <c r="K221">
        <v>3000</v>
      </c>
      <c r="L221">
        <v>1456.1595092024538</v>
      </c>
    </row>
    <row r="222" spans="1:12">
      <c r="A222" s="14">
        <v>43542</v>
      </c>
      <c r="B222">
        <v>3015</v>
      </c>
      <c r="C222">
        <v>2989</v>
      </c>
      <c r="D222">
        <v>1749</v>
      </c>
      <c r="E222">
        <v>1761</v>
      </c>
      <c r="F222">
        <v>1.69733106189664</v>
      </c>
      <c r="G222">
        <v>1.7699422281702299</v>
      </c>
      <c r="H222">
        <v>4.5618943451034302E-2</v>
      </c>
      <c r="I222">
        <v>-1.5916889077346299</v>
      </c>
      <c r="J222">
        <v>-4.28</v>
      </c>
      <c r="K222">
        <v>2989</v>
      </c>
      <c r="L222">
        <v>1450.3941717791411</v>
      </c>
    </row>
    <row r="223" spans="1:12">
      <c r="A223" s="14">
        <v>43539</v>
      </c>
      <c r="B223">
        <v>2966</v>
      </c>
      <c r="C223">
        <v>2981</v>
      </c>
      <c r="D223">
        <v>1715</v>
      </c>
      <c r="E223">
        <v>1729</v>
      </c>
      <c r="F223">
        <v>1.7241179872758801</v>
      </c>
      <c r="G223">
        <v>1.7700697680346</v>
      </c>
      <c r="H223">
        <v>4.5428736278382301E-2</v>
      </c>
      <c r="I223">
        <v>-1.0115135159633699</v>
      </c>
      <c r="J223">
        <v>-2.67</v>
      </c>
      <c r="K223">
        <v>2981</v>
      </c>
      <c r="L223">
        <v>1424.0383435582821</v>
      </c>
    </row>
    <row r="224" spans="1:12">
      <c r="A224" s="14">
        <v>43538</v>
      </c>
      <c r="B224">
        <v>3000</v>
      </c>
      <c r="C224">
        <v>2958</v>
      </c>
      <c r="D224">
        <v>1739</v>
      </c>
      <c r="E224">
        <v>1700</v>
      </c>
      <c r="F224">
        <v>1.74</v>
      </c>
      <c r="G224">
        <v>1.77012086567837</v>
      </c>
      <c r="H224">
        <v>4.5379149795070899E-2</v>
      </c>
      <c r="I224">
        <v>-0.66376002667304002</v>
      </c>
      <c r="J224">
        <v>-1.73</v>
      </c>
      <c r="K224">
        <v>2958</v>
      </c>
      <c r="L224">
        <v>1400.1533742331287</v>
      </c>
    </row>
    <row r="225" spans="1:12">
      <c r="A225" s="14">
        <v>43537</v>
      </c>
      <c r="B225">
        <v>3010</v>
      </c>
      <c r="C225">
        <v>2984</v>
      </c>
      <c r="D225">
        <v>1711</v>
      </c>
      <c r="E225">
        <v>1714</v>
      </c>
      <c r="F225">
        <v>1.74095682613768</v>
      </c>
      <c r="G225">
        <v>1.77047195445559</v>
      </c>
      <c r="H225">
        <v>4.52464200429833E-2</v>
      </c>
      <c r="I225">
        <v>-0.65231963744020205</v>
      </c>
      <c r="J225">
        <v>-1.7</v>
      </c>
      <c r="K225">
        <v>2984</v>
      </c>
      <c r="L225">
        <v>1411.6840490797545</v>
      </c>
    </row>
    <row r="226" spans="1:12">
      <c r="A226" s="14">
        <v>43536</v>
      </c>
      <c r="B226">
        <v>3030</v>
      </c>
      <c r="C226">
        <v>3020</v>
      </c>
      <c r="D226">
        <v>1702</v>
      </c>
      <c r="E226">
        <v>1722</v>
      </c>
      <c r="F226">
        <v>1.75377468060394</v>
      </c>
      <c r="G226">
        <v>1.7713236172018101</v>
      </c>
      <c r="H226">
        <v>4.5283982094044599E-2</v>
      </c>
      <c r="I226">
        <v>-0.38753077327480601</v>
      </c>
      <c r="J226">
        <v>-1</v>
      </c>
      <c r="K226">
        <v>3020</v>
      </c>
      <c r="L226">
        <v>1418.2730061349694</v>
      </c>
    </row>
    <row r="227" spans="1:12">
      <c r="A227" s="14">
        <v>43535</v>
      </c>
      <c r="B227">
        <v>3000</v>
      </c>
      <c r="C227">
        <v>3005</v>
      </c>
      <c r="D227">
        <v>1634</v>
      </c>
      <c r="E227">
        <v>1672</v>
      </c>
      <c r="F227">
        <v>1.7972488038277501</v>
      </c>
      <c r="G227">
        <v>1.77213282691116</v>
      </c>
      <c r="H227">
        <v>4.5504881064566099E-2</v>
      </c>
      <c r="I227">
        <v>0.55194028264682804</v>
      </c>
      <c r="J227">
        <v>1.4</v>
      </c>
      <c r="K227">
        <v>3005</v>
      </c>
      <c r="L227">
        <v>1377.0920245398772</v>
      </c>
    </row>
    <row r="228" spans="1:12">
      <c r="A228" s="14">
        <v>43532</v>
      </c>
      <c r="B228">
        <v>3020</v>
      </c>
      <c r="C228">
        <v>2987</v>
      </c>
      <c r="D228">
        <v>1680</v>
      </c>
      <c r="E228">
        <v>1632</v>
      </c>
      <c r="F228">
        <v>1.83026960784313</v>
      </c>
      <c r="G228">
        <v>1.7722459426478101</v>
      </c>
      <c r="H228">
        <v>4.55776597439186E-2</v>
      </c>
      <c r="I228">
        <v>1.2730724991439699</v>
      </c>
      <c r="J228">
        <v>3.17</v>
      </c>
      <c r="K228">
        <v>2987</v>
      </c>
      <c r="L228">
        <v>1344.1472392638036</v>
      </c>
    </row>
    <row r="229" spans="1:12">
      <c r="A229" s="14">
        <v>43531</v>
      </c>
      <c r="B229">
        <v>3020</v>
      </c>
      <c r="C229">
        <v>3070</v>
      </c>
      <c r="D229">
        <v>1678</v>
      </c>
      <c r="E229">
        <v>1696</v>
      </c>
      <c r="F229">
        <v>1.8101415094339599</v>
      </c>
      <c r="G229">
        <v>1.77290027137383</v>
      </c>
      <c r="H229">
        <v>4.6743330857263898E-2</v>
      </c>
      <c r="I229">
        <v>0.79671767880306898</v>
      </c>
      <c r="J229">
        <v>2.06</v>
      </c>
      <c r="K229">
        <v>3070</v>
      </c>
      <c r="L229">
        <v>1396.8588957055215</v>
      </c>
    </row>
    <row r="230" spans="1:12">
      <c r="A230" s="14">
        <v>43530</v>
      </c>
      <c r="B230">
        <v>3020</v>
      </c>
      <c r="C230">
        <v>3055</v>
      </c>
      <c r="D230">
        <v>1683</v>
      </c>
      <c r="E230">
        <v>1701</v>
      </c>
      <c r="F230">
        <v>1.7960023515579</v>
      </c>
      <c r="G230">
        <v>1.7740479895354699</v>
      </c>
      <c r="H230">
        <v>4.8661081847932802E-2</v>
      </c>
      <c r="I230">
        <v>0.45116880243311402</v>
      </c>
      <c r="J230">
        <v>1.22</v>
      </c>
      <c r="K230">
        <v>3055</v>
      </c>
      <c r="L230">
        <v>1400.9769938650306</v>
      </c>
    </row>
    <row r="231" spans="1:12">
      <c r="A231" s="14">
        <v>43529</v>
      </c>
      <c r="B231">
        <v>3000</v>
      </c>
      <c r="C231">
        <v>3010</v>
      </c>
      <c r="D231">
        <v>1702</v>
      </c>
      <c r="E231">
        <v>1695</v>
      </c>
      <c r="F231">
        <v>1.77581120943952</v>
      </c>
      <c r="G231">
        <v>1.7754173088307199</v>
      </c>
      <c r="H231">
        <v>5.0663384848112197E-2</v>
      </c>
      <c r="I231">
        <v>7.7748577199944499E-3</v>
      </c>
      <c r="J231">
        <v>0.02</v>
      </c>
      <c r="K231">
        <v>3010</v>
      </c>
      <c r="L231">
        <v>1396.0352760736196</v>
      </c>
    </row>
    <row r="232" spans="1:12">
      <c r="A232" s="14">
        <v>43528</v>
      </c>
      <c r="B232">
        <v>3055</v>
      </c>
      <c r="C232">
        <v>3005</v>
      </c>
      <c r="D232">
        <v>1673</v>
      </c>
      <c r="E232">
        <v>1700</v>
      </c>
      <c r="F232">
        <v>1.76764705882352</v>
      </c>
      <c r="G232">
        <v>1.77706356704538</v>
      </c>
      <c r="H232">
        <v>5.2617751572891697E-2</v>
      </c>
      <c r="I232">
        <v>-0.178960672783855</v>
      </c>
      <c r="J232">
        <v>-0.53</v>
      </c>
      <c r="K232">
        <v>3005</v>
      </c>
      <c r="L232">
        <v>1400.1533742331287</v>
      </c>
    </row>
    <row r="233" spans="1:12">
      <c r="A233" s="14">
        <v>43525</v>
      </c>
      <c r="B233">
        <v>3005</v>
      </c>
      <c r="C233">
        <v>3040</v>
      </c>
      <c r="D233">
        <v>1668</v>
      </c>
      <c r="E233">
        <v>1637</v>
      </c>
      <c r="F233">
        <v>1.8570555894929699</v>
      </c>
      <c r="G233">
        <v>1.7788842659286099</v>
      </c>
      <c r="H233">
        <v>5.4586119260397199E-2</v>
      </c>
      <c r="I233">
        <v>1.43207329305554</v>
      </c>
      <c r="J233">
        <v>4.21</v>
      </c>
      <c r="K233">
        <v>3040</v>
      </c>
      <c r="L233">
        <v>1348.2653374233128</v>
      </c>
    </row>
    <row r="234" spans="1:12">
      <c r="A234" s="14">
        <v>43524</v>
      </c>
      <c r="B234">
        <v>3005</v>
      </c>
      <c r="C234">
        <v>3005</v>
      </c>
      <c r="D234">
        <v>1638</v>
      </c>
      <c r="E234">
        <v>1643</v>
      </c>
      <c r="F234">
        <v>1.8289713937918399</v>
      </c>
      <c r="G234">
        <v>1.7794016618634401</v>
      </c>
      <c r="H234">
        <v>5.5500857281000002E-2</v>
      </c>
      <c r="I234">
        <v>0.89313452722766895</v>
      </c>
      <c r="J234">
        <v>2.71</v>
      </c>
      <c r="K234">
        <v>3005</v>
      </c>
      <c r="L234">
        <v>1353.2070552147238</v>
      </c>
    </row>
    <row r="235" spans="1:12">
      <c r="A235" s="14">
        <v>43523</v>
      </c>
      <c r="B235">
        <v>2896</v>
      </c>
      <c r="C235">
        <v>2954</v>
      </c>
      <c r="D235">
        <v>1650</v>
      </c>
      <c r="E235">
        <v>1646</v>
      </c>
      <c r="F235">
        <v>1.7946537059538199</v>
      </c>
      <c r="G235">
        <v>1.7796781395710299</v>
      </c>
      <c r="H235">
        <v>5.5797953053054898E-2</v>
      </c>
      <c r="I235">
        <v>0.26838917134746099</v>
      </c>
      <c r="J235">
        <v>0.83</v>
      </c>
      <c r="K235">
        <v>2954</v>
      </c>
      <c r="L235">
        <v>1355.6779141104294</v>
      </c>
    </row>
    <row r="236" spans="1:12">
      <c r="A236" s="14">
        <v>43522</v>
      </c>
      <c r="B236">
        <v>2876</v>
      </c>
      <c r="C236">
        <v>2877</v>
      </c>
      <c r="D236">
        <v>1659</v>
      </c>
      <c r="E236">
        <v>1643</v>
      </c>
      <c r="F236">
        <v>1.7510651247717499</v>
      </c>
      <c r="G236">
        <v>1.7801135132672099</v>
      </c>
      <c r="H236">
        <v>5.6039969835659502E-2</v>
      </c>
      <c r="I236">
        <v>-0.51835125144851701</v>
      </c>
      <c r="J236">
        <v>-1.66</v>
      </c>
      <c r="K236">
        <v>2877</v>
      </c>
      <c r="L236">
        <v>1353.2070552147238</v>
      </c>
    </row>
    <row r="237" spans="1:12">
      <c r="A237" s="14">
        <v>43521</v>
      </c>
      <c r="B237">
        <v>2894</v>
      </c>
      <c r="C237">
        <v>2869</v>
      </c>
      <c r="D237">
        <v>1677</v>
      </c>
      <c r="E237">
        <v>1661</v>
      </c>
      <c r="F237">
        <v>1.72727272727272</v>
      </c>
      <c r="G237">
        <v>1.7824784545210399</v>
      </c>
      <c r="H237">
        <v>5.8454776045107397E-2</v>
      </c>
      <c r="I237">
        <v>-0.944417735955697</v>
      </c>
      <c r="J237">
        <v>-3.2</v>
      </c>
      <c r="K237">
        <v>2869</v>
      </c>
      <c r="L237">
        <v>1368.032208588957</v>
      </c>
    </row>
    <row r="238" spans="1:12">
      <c r="A238" s="14">
        <v>43518</v>
      </c>
      <c r="B238">
        <v>2839</v>
      </c>
      <c r="C238">
        <v>2853</v>
      </c>
      <c r="D238">
        <v>1631</v>
      </c>
      <c r="E238">
        <v>1652</v>
      </c>
      <c r="F238">
        <v>1.72699757869249</v>
      </c>
      <c r="G238">
        <v>1.7865970686597501</v>
      </c>
      <c r="H238">
        <v>6.4942123188746398E-2</v>
      </c>
      <c r="I238">
        <v>-0.91773239064020495</v>
      </c>
      <c r="J238">
        <v>-3.45</v>
      </c>
      <c r="K238">
        <v>2853</v>
      </c>
      <c r="L238">
        <v>1360.6196319018404</v>
      </c>
    </row>
    <row r="239" spans="1:12">
      <c r="A239" s="14">
        <v>43517</v>
      </c>
      <c r="B239">
        <v>2905</v>
      </c>
      <c r="C239">
        <v>2875</v>
      </c>
      <c r="D239">
        <v>1650</v>
      </c>
      <c r="E239">
        <v>1651</v>
      </c>
      <c r="F239">
        <v>1.74136886735311</v>
      </c>
      <c r="G239">
        <v>1.7906183126524899</v>
      </c>
      <c r="H239">
        <v>7.0247854221316894E-2</v>
      </c>
      <c r="I239">
        <v>-0.70108113401183503</v>
      </c>
      <c r="J239">
        <v>-2.83</v>
      </c>
      <c r="K239">
        <v>2875</v>
      </c>
      <c r="L239">
        <v>1359.7960122699385</v>
      </c>
    </row>
    <row r="240" spans="1:12">
      <c r="A240" s="14">
        <v>43516</v>
      </c>
      <c r="B240">
        <v>2918</v>
      </c>
      <c r="C240">
        <v>2918</v>
      </c>
      <c r="D240">
        <v>1655</v>
      </c>
      <c r="E240">
        <v>1662</v>
      </c>
      <c r="F240">
        <v>1.7557160048134699</v>
      </c>
      <c r="G240">
        <v>1.7942767734165499</v>
      </c>
      <c r="H240">
        <v>7.4597905454109201E-2</v>
      </c>
      <c r="I240">
        <v>-0.51691489685057102</v>
      </c>
      <c r="J240">
        <v>-2.2000000000000002</v>
      </c>
      <c r="K240">
        <v>2918</v>
      </c>
      <c r="L240">
        <v>1368.8558282208589</v>
      </c>
    </row>
    <row r="241" spans="1:12">
      <c r="A241" s="14">
        <v>43515</v>
      </c>
      <c r="B241">
        <v>2849</v>
      </c>
      <c r="C241">
        <v>2907</v>
      </c>
      <c r="D241">
        <v>1636</v>
      </c>
      <c r="E241">
        <v>1652</v>
      </c>
      <c r="F241">
        <v>1.7596852300242101</v>
      </c>
      <c r="G241">
        <v>1.7981775715132899</v>
      </c>
      <c r="H241">
        <v>7.9937554760962898E-2</v>
      </c>
      <c r="I241">
        <v>-0.481530134417889</v>
      </c>
      <c r="J241">
        <v>-2.19</v>
      </c>
      <c r="K241">
        <v>2907</v>
      </c>
      <c r="L241">
        <v>1360.6196319018404</v>
      </c>
    </row>
    <row r="242" spans="1:12">
      <c r="A242" s="14">
        <v>43514</v>
      </c>
      <c r="B242">
        <v>2823</v>
      </c>
      <c r="C242">
        <v>2809</v>
      </c>
      <c r="D242">
        <v>1643</v>
      </c>
      <c r="E242">
        <v>1649</v>
      </c>
      <c r="F242">
        <v>1.70345664038811</v>
      </c>
      <c r="G242">
        <v>1.8022651928543201</v>
      </c>
      <c r="H242">
        <v>8.5508879053177902E-2</v>
      </c>
      <c r="I242">
        <v>-1.15553558367616</v>
      </c>
      <c r="J242">
        <v>-5.8</v>
      </c>
      <c r="K242">
        <v>2809</v>
      </c>
      <c r="L242">
        <v>1358.1487730061349</v>
      </c>
    </row>
    <row r="243" spans="1:12">
      <c r="A243" s="14">
        <v>43511</v>
      </c>
      <c r="B243">
        <v>2800</v>
      </c>
      <c r="C243">
        <v>2773</v>
      </c>
      <c r="D243">
        <v>1610</v>
      </c>
      <c r="E243">
        <v>1609</v>
      </c>
      <c r="F243">
        <v>1.7234307022995601</v>
      </c>
      <c r="G243">
        <v>1.80684902557565</v>
      </c>
      <c r="H243">
        <v>8.9223188151496893E-2</v>
      </c>
      <c r="I243">
        <v>-0.93493995231879701</v>
      </c>
      <c r="J243">
        <v>-4.84</v>
      </c>
      <c r="K243">
        <v>2773</v>
      </c>
      <c r="L243">
        <v>1325.2039877300613</v>
      </c>
    </row>
    <row r="244" spans="1:12">
      <c r="A244" s="14">
        <v>43510</v>
      </c>
      <c r="B244">
        <v>2779</v>
      </c>
      <c r="C244">
        <v>2792</v>
      </c>
      <c r="D244">
        <v>1629</v>
      </c>
      <c r="E244">
        <v>1626</v>
      </c>
      <c r="F244">
        <v>1.7170971709717</v>
      </c>
      <c r="G244">
        <v>1.8102874753181899</v>
      </c>
      <c r="H244">
        <v>9.0895628004311405E-2</v>
      </c>
      <c r="I244">
        <v>-1.0252451783716301</v>
      </c>
      <c r="J244">
        <v>-5.43</v>
      </c>
      <c r="K244">
        <v>2792</v>
      </c>
      <c r="L244">
        <v>1339.2055214723925</v>
      </c>
    </row>
    <row r="245" spans="1:12">
      <c r="A245" s="14">
        <v>43509</v>
      </c>
      <c r="B245">
        <v>2815</v>
      </c>
      <c r="C245">
        <v>2789</v>
      </c>
      <c r="D245">
        <v>1599</v>
      </c>
      <c r="E245">
        <v>1604</v>
      </c>
      <c r="F245">
        <v>1.73877805486284</v>
      </c>
      <c r="G245">
        <v>1.81326349313807</v>
      </c>
      <c r="H245">
        <v>9.1448005173988101E-2</v>
      </c>
      <c r="I245">
        <v>-0.814511351379542</v>
      </c>
      <c r="J245">
        <v>-4.28</v>
      </c>
      <c r="K245">
        <v>2789</v>
      </c>
      <c r="L245">
        <v>1321.0858895705521</v>
      </c>
    </row>
    <row r="246" spans="1:12">
      <c r="A246" s="14">
        <v>43508</v>
      </c>
      <c r="B246">
        <v>2717</v>
      </c>
      <c r="C246">
        <v>2802</v>
      </c>
      <c r="D246">
        <v>1539</v>
      </c>
      <c r="E246">
        <v>1577</v>
      </c>
      <c r="F246">
        <v>1.7767913760304299</v>
      </c>
      <c r="G246">
        <v>1.81601266045326</v>
      </c>
      <c r="H246">
        <v>9.2263090855258204E-2</v>
      </c>
      <c r="I246">
        <v>-0.42510265003321102</v>
      </c>
      <c r="J246">
        <v>-2.21</v>
      </c>
      <c r="K246">
        <v>2802</v>
      </c>
      <c r="L246">
        <v>1298.8481595092023</v>
      </c>
    </row>
    <row r="247" spans="1:12">
      <c r="A247" s="14">
        <v>43504</v>
      </c>
      <c r="B247">
        <v>2692</v>
      </c>
      <c r="C247">
        <v>2719</v>
      </c>
      <c r="D247">
        <v>1553</v>
      </c>
      <c r="E247">
        <v>1524</v>
      </c>
      <c r="F247">
        <v>1.7841207349081301</v>
      </c>
      <c r="G247">
        <v>1.8175954988092999</v>
      </c>
      <c r="H247">
        <v>9.2594351581461995E-2</v>
      </c>
      <c r="I247">
        <v>-0.36152058229731299</v>
      </c>
      <c r="J247">
        <v>-1.88</v>
      </c>
      <c r="K247">
        <v>2719</v>
      </c>
      <c r="L247">
        <v>1255.1963190184049</v>
      </c>
    </row>
    <row r="248" spans="1:12">
      <c r="A248" s="14">
        <v>43503</v>
      </c>
      <c r="B248">
        <v>2721</v>
      </c>
      <c r="C248">
        <v>2706</v>
      </c>
      <c r="D248">
        <v>1614</v>
      </c>
      <c r="E248">
        <v>1571</v>
      </c>
      <c r="F248">
        <v>1.7224697644812199</v>
      </c>
      <c r="G248">
        <v>1.8193236257460501</v>
      </c>
      <c r="H248">
        <v>9.3161214799384898E-2</v>
      </c>
      <c r="I248">
        <v>-1.0396371652451999</v>
      </c>
      <c r="J248">
        <v>-5.62</v>
      </c>
      <c r="K248">
        <v>2706</v>
      </c>
      <c r="L248">
        <v>1293.9064417177913</v>
      </c>
    </row>
    <row r="249" spans="1:12">
      <c r="A249" s="14">
        <v>43502</v>
      </c>
      <c r="B249">
        <v>2744</v>
      </c>
      <c r="C249">
        <v>2722</v>
      </c>
      <c r="D249">
        <v>1616</v>
      </c>
      <c r="E249">
        <v>1623</v>
      </c>
      <c r="F249">
        <v>1.67714109673444</v>
      </c>
      <c r="G249">
        <v>1.8218840041031501</v>
      </c>
      <c r="H249">
        <v>9.3102935748885202E-2</v>
      </c>
      <c r="I249">
        <v>-1.5546546003566499</v>
      </c>
      <c r="J249">
        <v>-8.6300000000000008</v>
      </c>
      <c r="K249">
        <v>2722</v>
      </c>
      <c r="L249">
        <v>1336.734662576687</v>
      </c>
    </row>
    <row r="250" spans="1:12">
      <c r="A250" s="14">
        <v>43501</v>
      </c>
      <c r="B250">
        <v>2745</v>
      </c>
      <c r="C250">
        <v>2714</v>
      </c>
      <c r="D250">
        <v>1615</v>
      </c>
      <c r="E250">
        <v>1622</v>
      </c>
      <c r="F250">
        <v>1.67324290998766</v>
      </c>
      <c r="G250">
        <v>1.825211345871</v>
      </c>
      <c r="H250">
        <v>9.2326634522500006E-2</v>
      </c>
      <c r="I250">
        <v>-1.64598695348636</v>
      </c>
      <c r="J250">
        <v>-9.08</v>
      </c>
      <c r="K250">
        <v>2714</v>
      </c>
      <c r="L250">
        <v>1335.9110429447853</v>
      </c>
    </row>
    <row r="251" spans="1:12">
      <c r="A251" s="14">
        <v>43500</v>
      </c>
      <c r="B251">
        <v>2682</v>
      </c>
      <c r="C251">
        <v>2737</v>
      </c>
      <c r="D251">
        <v>1560</v>
      </c>
      <c r="E251">
        <v>1591</v>
      </c>
      <c r="F251">
        <v>1.72030169704588</v>
      </c>
      <c r="G251">
        <v>1.82909635039829</v>
      </c>
      <c r="H251">
        <v>9.1979957450143604E-2</v>
      </c>
      <c r="I251">
        <v>-1.1828082591947999</v>
      </c>
      <c r="J251">
        <v>-6.32</v>
      </c>
      <c r="K251">
        <v>2737</v>
      </c>
      <c r="L251">
        <v>1310.3788343558281</v>
      </c>
    </row>
    <row r="252" spans="1:12">
      <c r="A252" s="14">
        <v>43497</v>
      </c>
      <c r="B252">
        <v>2680</v>
      </c>
      <c r="C252">
        <v>2657</v>
      </c>
      <c r="D252">
        <v>1536</v>
      </c>
      <c r="E252">
        <v>1553</v>
      </c>
      <c r="F252">
        <v>1.71088216355441</v>
      </c>
      <c r="G252">
        <v>1.8332582310789001</v>
      </c>
      <c r="H252">
        <v>9.4002682939482607E-2</v>
      </c>
      <c r="I252">
        <v>-1.3018359018889001</v>
      </c>
      <c r="J252">
        <v>-7.15</v>
      </c>
      <c r="K252">
        <v>2657</v>
      </c>
      <c r="L252">
        <v>1279.0812883435583</v>
      </c>
    </row>
    <row r="253" spans="1:12">
      <c r="A253" s="14">
        <v>43496</v>
      </c>
      <c r="B253">
        <v>2656</v>
      </c>
      <c r="C253">
        <v>2670</v>
      </c>
      <c r="D253">
        <v>1557</v>
      </c>
      <c r="E253">
        <v>1543</v>
      </c>
      <c r="F253">
        <v>1.7303953337653899</v>
      </c>
      <c r="G253">
        <v>1.8378296272263599</v>
      </c>
      <c r="H253">
        <v>9.6250051818762603E-2</v>
      </c>
      <c r="I253">
        <v>-1.11619985060657</v>
      </c>
      <c r="J253">
        <v>-6.21</v>
      </c>
      <c r="K253">
        <v>2670</v>
      </c>
      <c r="L253">
        <v>1270.8450920245398</v>
      </c>
    </row>
    <row r="254" spans="1:12">
      <c r="A254" s="14">
        <v>43495</v>
      </c>
      <c r="B254">
        <v>2642</v>
      </c>
      <c r="C254">
        <v>2623</v>
      </c>
      <c r="D254">
        <v>1543</v>
      </c>
      <c r="E254">
        <v>1535</v>
      </c>
      <c r="F254">
        <v>1.7087947882736101</v>
      </c>
      <c r="G254">
        <v>1.8418756381607799</v>
      </c>
      <c r="H254">
        <v>9.8010749178792295E-2</v>
      </c>
      <c r="I254">
        <v>-1.35781892294687</v>
      </c>
      <c r="J254">
        <v>-7.79</v>
      </c>
      <c r="K254">
        <v>2623</v>
      </c>
      <c r="L254">
        <v>1264.2561349693251</v>
      </c>
    </row>
    <row r="255" spans="1:12">
      <c r="A255" s="14">
        <v>43494</v>
      </c>
      <c r="B255">
        <v>2619</v>
      </c>
      <c r="C255">
        <v>2652</v>
      </c>
      <c r="D255">
        <v>1529</v>
      </c>
      <c r="E255">
        <v>1534</v>
      </c>
      <c r="F255">
        <v>1.72881355932203</v>
      </c>
      <c r="G255">
        <v>1.8453714335674301</v>
      </c>
      <c r="H255">
        <v>9.7877389809666496E-2</v>
      </c>
      <c r="I255">
        <v>-1.19085597268235</v>
      </c>
      <c r="J255">
        <v>-6.74</v>
      </c>
      <c r="K255">
        <v>2652</v>
      </c>
      <c r="L255">
        <v>1263.4325153374232</v>
      </c>
    </row>
    <row r="256" spans="1:12">
      <c r="A256" s="14">
        <v>43493</v>
      </c>
      <c r="B256">
        <v>2647</v>
      </c>
      <c r="C256">
        <v>2632</v>
      </c>
      <c r="D256">
        <v>1541</v>
      </c>
      <c r="E256">
        <v>1529</v>
      </c>
      <c r="F256">
        <v>1.72138652714192</v>
      </c>
      <c r="G256">
        <v>1.8472352618777199</v>
      </c>
      <c r="H256">
        <v>9.6966803835846299E-2</v>
      </c>
      <c r="I256">
        <v>-1.2978537990057799</v>
      </c>
      <c r="J256">
        <v>-7.31</v>
      </c>
      <c r="K256">
        <v>2632</v>
      </c>
      <c r="L256">
        <v>1259.314417177914</v>
      </c>
    </row>
    <row r="257" spans="1:12">
      <c r="A257" s="14">
        <v>43490</v>
      </c>
      <c r="B257">
        <v>2667</v>
      </c>
      <c r="C257">
        <v>2666</v>
      </c>
      <c r="D257">
        <v>1529</v>
      </c>
      <c r="E257">
        <v>1542</v>
      </c>
      <c r="F257">
        <v>1.7289234760051799</v>
      </c>
      <c r="G257">
        <v>1.8488507853834</v>
      </c>
      <c r="H257">
        <v>9.5859645662269802E-2</v>
      </c>
      <c r="I257">
        <v>-1.2510719036114399</v>
      </c>
      <c r="J257">
        <v>-6.94</v>
      </c>
      <c r="K257">
        <v>2666</v>
      </c>
      <c r="L257">
        <v>1270.0214723926381</v>
      </c>
    </row>
    <row r="258" spans="1:12">
      <c r="A258" s="14">
        <v>43489</v>
      </c>
      <c r="B258">
        <v>2658</v>
      </c>
      <c r="C258">
        <v>2667</v>
      </c>
      <c r="D258">
        <v>1502</v>
      </c>
      <c r="E258">
        <v>1520</v>
      </c>
      <c r="F258">
        <v>1.7546052631578899</v>
      </c>
      <c r="G258">
        <v>1.8507609348324601</v>
      </c>
      <c r="H258">
        <v>9.48731529281963E-2</v>
      </c>
      <c r="I258">
        <v>-1.0135182473311699</v>
      </c>
      <c r="J258">
        <v>-5.48</v>
      </c>
      <c r="K258">
        <v>2667</v>
      </c>
      <c r="L258">
        <v>1251.9018404907974</v>
      </c>
    </row>
    <row r="259" spans="1:12">
      <c r="A259" s="14">
        <v>43488</v>
      </c>
      <c r="B259">
        <v>2630</v>
      </c>
      <c r="C259">
        <v>2658</v>
      </c>
      <c r="D259">
        <v>1485</v>
      </c>
      <c r="E259">
        <v>1506</v>
      </c>
      <c r="F259">
        <v>1.76494023904382</v>
      </c>
      <c r="G259">
        <v>1.8526089164369499</v>
      </c>
      <c r="H259">
        <v>9.4330482806317603E-2</v>
      </c>
      <c r="I259">
        <v>-0.92937802060378405</v>
      </c>
      <c r="J259">
        <v>-4.97</v>
      </c>
      <c r="K259">
        <v>2658</v>
      </c>
      <c r="L259">
        <v>1240.3711656441717</v>
      </c>
    </row>
    <row r="260" spans="1:12">
      <c r="A260" s="14">
        <v>43487</v>
      </c>
      <c r="B260">
        <v>2692</v>
      </c>
      <c r="C260">
        <v>2661</v>
      </c>
      <c r="D260">
        <v>1513</v>
      </c>
      <c r="E260">
        <v>1493</v>
      </c>
      <c r="F260">
        <v>1.7823174815807099</v>
      </c>
      <c r="G260">
        <v>1.8544097132496999</v>
      </c>
      <c r="H260">
        <v>9.3927979615861801E-2</v>
      </c>
      <c r="I260">
        <v>-0.76752669400358597</v>
      </c>
      <c r="J260">
        <v>-4.04</v>
      </c>
      <c r="K260">
        <v>2661</v>
      </c>
      <c r="L260">
        <v>1229.6641104294479</v>
      </c>
    </row>
    <row r="261" spans="1:12">
      <c r="A261" s="14">
        <v>43486</v>
      </c>
      <c r="B261">
        <v>2726</v>
      </c>
      <c r="C261">
        <v>2703</v>
      </c>
      <c r="D261">
        <v>1498</v>
      </c>
      <c r="E261">
        <v>1507</v>
      </c>
      <c r="F261">
        <v>1.7936297279362901</v>
      </c>
      <c r="G261">
        <v>1.8559476244114701</v>
      </c>
      <c r="H261">
        <v>9.3678946909469304E-2</v>
      </c>
      <c r="I261">
        <v>-0.66522840543248896</v>
      </c>
      <c r="J261">
        <v>-3.47</v>
      </c>
      <c r="K261">
        <v>2703</v>
      </c>
      <c r="L261">
        <v>1241.1947852760736</v>
      </c>
    </row>
    <row r="262" spans="1:12">
      <c r="A262" s="14">
        <v>43483</v>
      </c>
      <c r="B262">
        <v>2641</v>
      </c>
      <c r="C262">
        <v>2676</v>
      </c>
      <c r="D262">
        <v>1458</v>
      </c>
      <c r="E262">
        <v>1475</v>
      </c>
      <c r="F262">
        <v>1.8142372881355899</v>
      </c>
      <c r="G262">
        <v>1.8581395193941701</v>
      </c>
      <c r="H262">
        <v>9.4117386238454198E-2</v>
      </c>
      <c r="I262">
        <v>-0.46646249979102</v>
      </c>
      <c r="J262">
        <v>-2.42</v>
      </c>
      <c r="K262">
        <v>2676</v>
      </c>
      <c r="L262">
        <v>1214.8389570552147</v>
      </c>
    </row>
    <row r="263" spans="1:12">
      <c r="A263" s="14">
        <v>43482</v>
      </c>
      <c r="B263">
        <v>2659</v>
      </c>
      <c r="C263">
        <v>2636</v>
      </c>
      <c r="D263">
        <v>1457</v>
      </c>
      <c r="E263">
        <v>1449</v>
      </c>
      <c r="F263">
        <v>1.8191856452726001</v>
      </c>
      <c r="G263">
        <v>1.85954695851027</v>
      </c>
      <c r="H263">
        <v>9.4239526936909707E-2</v>
      </c>
      <c r="I263">
        <v>-0.42828433619681799</v>
      </c>
      <c r="J263">
        <v>-2.2200000000000002</v>
      </c>
      <c r="K263">
        <v>2636</v>
      </c>
      <c r="L263">
        <v>1193.4248466257668</v>
      </c>
    </row>
    <row r="264" spans="1:12">
      <c r="A264" s="14">
        <v>43481</v>
      </c>
      <c r="B264">
        <v>2697</v>
      </c>
      <c r="C264">
        <v>2654</v>
      </c>
      <c r="D264">
        <v>1477</v>
      </c>
      <c r="E264">
        <v>1450</v>
      </c>
      <c r="F264">
        <v>1.8303448275862</v>
      </c>
      <c r="G264">
        <v>1.8605850444838099</v>
      </c>
      <c r="H264">
        <v>9.4218020968108704E-2</v>
      </c>
      <c r="I264">
        <v>-0.32096000942159397</v>
      </c>
      <c r="J264">
        <v>-1.65</v>
      </c>
      <c r="K264">
        <v>2654</v>
      </c>
      <c r="L264">
        <v>1194.2484662576687</v>
      </c>
    </row>
    <row r="265" spans="1:12">
      <c r="A265" s="14">
        <v>43480</v>
      </c>
      <c r="B265">
        <v>2650</v>
      </c>
      <c r="C265">
        <v>2670</v>
      </c>
      <c r="D265">
        <v>1435</v>
      </c>
      <c r="E265">
        <v>1467</v>
      </c>
      <c r="F265">
        <v>1.8200408997955</v>
      </c>
      <c r="G265">
        <v>1.8616377932105399</v>
      </c>
      <c r="H265">
        <v>9.43153088672148E-2</v>
      </c>
      <c r="I265">
        <v>-0.44104073786803799</v>
      </c>
      <c r="J265">
        <v>-2.29</v>
      </c>
      <c r="K265">
        <v>2670</v>
      </c>
      <c r="L265">
        <v>1208.25</v>
      </c>
    </row>
    <row r="266" spans="1:12">
      <c r="A266" s="14">
        <v>43476</v>
      </c>
      <c r="B266">
        <v>2661</v>
      </c>
      <c r="C266">
        <v>2669</v>
      </c>
      <c r="D266">
        <v>1450</v>
      </c>
      <c r="E266">
        <v>1456</v>
      </c>
      <c r="F266">
        <v>1.83310439560439</v>
      </c>
      <c r="G266">
        <v>1.8626125479186499</v>
      </c>
      <c r="H266">
        <v>9.4258128615799394E-2</v>
      </c>
      <c r="I266">
        <v>-0.31305684451404803</v>
      </c>
      <c r="J266">
        <v>-1.61</v>
      </c>
      <c r="K266">
        <v>2669</v>
      </c>
      <c r="L266">
        <v>1199.1901840490798</v>
      </c>
    </row>
    <row r="267" spans="1:12">
      <c r="A267" s="14">
        <v>43475</v>
      </c>
      <c r="B267">
        <v>2630</v>
      </c>
      <c r="C267">
        <v>2649</v>
      </c>
      <c r="D267">
        <v>1411</v>
      </c>
      <c r="E267">
        <v>1428</v>
      </c>
      <c r="F267">
        <v>1.8550420168067201</v>
      </c>
      <c r="G267">
        <v>1.8638910770818</v>
      </c>
      <c r="H267">
        <v>9.4499226813444498E-2</v>
      </c>
      <c r="I267">
        <v>-9.3641615635098693E-2</v>
      </c>
      <c r="J267">
        <v>-0.48</v>
      </c>
      <c r="K267">
        <v>2649</v>
      </c>
      <c r="L267">
        <v>1176.1288343558281</v>
      </c>
    </row>
    <row r="268" spans="1:12">
      <c r="A268" s="14">
        <v>43474</v>
      </c>
      <c r="B268">
        <v>2694</v>
      </c>
      <c r="C268">
        <v>2644</v>
      </c>
      <c r="D268">
        <v>1440</v>
      </c>
      <c r="E268">
        <v>1417</v>
      </c>
      <c r="F268">
        <v>1.86591390261115</v>
      </c>
      <c r="G268">
        <v>1.86518656486102</v>
      </c>
      <c r="H268">
        <v>9.5033517901965098E-2</v>
      </c>
      <c r="I268">
        <v>7.65348654017565E-3</v>
      </c>
      <c r="J268">
        <v>0.04</v>
      </c>
      <c r="K268">
        <v>2644</v>
      </c>
      <c r="L268">
        <v>1167.0690184049079</v>
      </c>
    </row>
    <row r="269" spans="1:12">
      <c r="A269" s="14">
        <v>43473</v>
      </c>
      <c r="B269">
        <v>2650</v>
      </c>
      <c r="C269">
        <v>2632</v>
      </c>
      <c r="D269">
        <v>1453</v>
      </c>
      <c r="E269">
        <v>1438</v>
      </c>
      <c r="F269">
        <v>1.8303198887343499</v>
      </c>
      <c r="G269">
        <v>1.86690661159791</v>
      </c>
      <c r="H269">
        <v>9.6191502390675504E-2</v>
      </c>
      <c r="I269">
        <v>-0.38035296210434399</v>
      </c>
      <c r="J269">
        <v>-2</v>
      </c>
      <c r="K269">
        <v>2632</v>
      </c>
      <c r="L269">
        <v>1184.3650306748466</v>
      </c>
    </row>
    <row r="270" spans="1:12">
      <c r="A270" s="14">
        <v>43472</v>
      </c>
      <c r="B270">
        <v>2637</v>
      </c>
      <c r="C270">
        <v>2656</v>
      </c>
      <c r="D270">
        <v>1433</v>
      </c>
      <c r="E270">
        <v>1433</v>
      </c>
      <c r="F270">
        <v>1.8534542916957399</v>
      </c>
      <c r="G270">
        <v>1.8690506448717701</v>
      </c>
      <c r="H270">
        <v>9.7139527752870394E-2</v>
      </c>
      <c r="I270">
        <v>-0.160556197222925</v>
      </c>
      <c r="J270">
        <v>-0.84</v>
      </c>
      <c r="K270">
        <v>2656</v>
      </c>
      <c r="L270">
        <v>1180.2469325153374</v>
      </c>
    </row>
    <row r="271" spans="1:12">
      <c r="A271" s="14">
        <v>43469</v>
      </c>
      <c r="B271">
        <v>2507</v>
      </c>
      <c r="C271">
        <v>2558</v>
      </c>
      <c r="D271">
        <v>1372</v>
      </c>
      <c r="E271">
        <v>1377</v>
      </c>
      <c r="F271">
        <v>1.85766158315177</v>
      </c>
      <c r="G271">
        <v>1.87041032106619</v>
      </c>
      <c r="H271">
        <v>9.76241829873956E-2</v>
      </c>
      <c r="I271">
        <v>-0.130589957572955</v>
      </c>
      <c r="J271">
        <v>-0.69</v>
      </c>
      <c r="K271">
        <v>2558</v>
      </c>
      <c r="L271">
        <v>1134.1242331288342</v>
      </c>
    </row>
    <row r="272" spans="1:12">
      <c r="A272" s="14">
        <v>43462</v>
      </c>
      <c r="B272">
        <v>2544</v>
      </c>
      <c r="C272">
        <v>2578</v>
      </c>
      <c r="D272">
        <v>1413</v>
      </c>
      <c r="E272">
        <v>1432</v>
      </c>
      <c r="F272">
        <v>1.8002793296089299</v>
      </c>
      <c r="G272">
        <v>1.87124774738866</v>
      </c>
      <c r="H272">
        <v>9.7780487711568595E-2</v>
      </c>
      <c r="I272">
        <v>-0.72579324812804302</v>
      </c>
      <c r="J272">
        <v>-3.94</v>
      </c>
      <c r="K272">
        <v>2578</v>
      </c>
      <c r="L272">
        <v>1179.4233128834355</v>
      </c>
    </row>
    <row r="273" spans="1:12">
      <c r="A273" s="14">
        <v>43461</v>
      </c>
      <c r="B273">
        <v>2516</v>
      </c>
      <c r="C273">
        <v>2546</v>
      </c>
      <c r="D273">
        <v>1420</v>
      </c>
      <c r="E273">
        <v>1421</v>
      </c>
      <c r="F273">
        <v>1.7916959887403201</v>
      </c>
      <c r="G273">
        <v>1.8726739984238501</v>
      </c>
      <c r="H273">
        <v>9.7514698520797902E-2</v>
      </c>
      <c r="I273">
        <v>-0.83041850010187901</v>
      </c>
      <c r="J273">
        <v>-4.5199999999999996</v>
      </c>
      <c r="K273">
        <v>2546</v>
      </c>
      <c r="L273">
        <v>1170.3634969325153</v>
      </c>
    </row>
    <row r="274" spans="1:12">
      <c r="A274" s="14">
        <v>43460</v>
      </c>
      <c r="B274">
        <v>2365</v>
      </c>
      <c r="C274">
        <v>2423</v>
      </c>
      <c r="D274">
        <v>1356</v>
      </c>
      <c r="E274">
        <v>1366</v>
      </c>
      <c r="F274">
        <v>1.77379209370424</v>
      </c>
      <c r="G274">
        <v>1.87357877121613</v>
      </c>
      <c r="H274">
        <v>9.7072964564552403E-2</v>
      </c>
      <c r="I274">
        <v>-1.0279553937546699</v>
      </c>
      <c r="J274">
        <v>-5.63</v>
      </c>
      <c r="K274">
        <v>2423</v>
      </c>
      <c r="L274">
        <v>1125.064417177914</v>
      </c>
    </row>
    <row r="275" spans="1:12">
      <c r="A275" s="14">
        <v>43459</v>
      </c>
      <c r="B275">
        <v>2344</v>
      </c>
      <c r="C275">
        <v>2334</v>
      </c>
      <c r="D275">
        <v>1348</v>
      </c>
      <c r="E275">
        <v>1347</v>
      </c>
      <c r="F275">
        <v>1.7327394209354099</v>
      </c>
      <c r="G275">
        <v>1.8743766297640001</v>
      </c>
      <c r="H275">
        <v>9.6493709295148097E-2</v>
      </c>
      <c r="I275">
        <v>-1.46783878309993</v>
      </c>
      <c r="J275">
        <v>-8.17</v>
      </c>
      <c r="K275">
        <v>2334</v>
      </c>
      <c r="L275">
        <v>1109.4156441717791</v>
      </c>
    </row>
    <row r="276" spans="1:12">
      <c r="A276" s="14">
        <v>43455</v>
      </c>
      <c r="B276">
        <v>2483</v>
      </c>
      <c r="C276">
        <v>2435</v>
      </c>
      <c r="D276">
        <v>1395</v>
      </c>
      <c r="E276">
        <v>1406</v>
      </c>
      <c r="F276">
        <v>1.7318634423897501</v>
      </c>
      <c r="G276">
        <v>1.87539779797285</v>
      </c>
      <c r="H276">
        <v>9.5388317720988103E-2</v>
      </c>
      <c r="I276">
        <v>-1.50473725727023</v>
      </c>
      <c r="J276">
        <v>-8.2899999999999991</v>
      </c>
      <c r="K276">
        <v>2435</v>
      </c>
      <c r="L276">
        <v>1158.0092024539877</v>
      </c>
    </row>
    <row r="277" spans="1:12">
      <c r="A277" s="14">
        <v>43454</v>
      </c>
      <c r="B277">
        <v>2555</v>
      </c>
      <c r="C277">
        <v>2509</v>
      </c>
      <c r="D277">
        <v>1429</v>
      </c>
      <c r="E277">
        <v>1408</v>
      </c>
      <c r="F277">
        <v>1.78196022727272</v>
      </c>
      <c r="G277">
        <v>1.8765875596889301</v>
      </c>
      <c r="H277">
        <v>9.4138925173639795E-2</v>
      </c>
      <c r="I277">
        <v>-1.0051881540145999</v>
      </c>
      <c r="J277">
        <v>-5.31</v>
      </c>
      <c r="K277">
        <v>2509</v>
      </c>
      <c r="L277">
        <v>1159.6564417177913</v>
      </c>
    </row>
    <row r="278" spans="1:12">
      <c r="A278" s="14">
        <v>43453</v>
      </c>
      <c r="B278">
        <v>2534</v>
      </c>
      <c r="C278">
        <v>2566</v>
      </c>
      <c r="D278">
        <v>1453</v>
      </c>
      <c r="E278">
        <v>1443</v>
      </c>
      <c r="F278">
        <v>1.7782397782397701</v>
      </c>
      <c r="G278">
        <v>1.87657761271056</v>
      </c>
      <c r="H278">
        <v>9.4148962111340301E-2</v>
      </c>
      <c r="I278">
        <v>-1.04449196534412</v>
      </c>
      <c r="J278">
        <v>-5.53</v>
      </c>
      <c r="K278">
        <v>2566</v>
      </c>
      <c r="L278">
        <v>1188.4831288343557</v>
      </c>
    </row>
    <row r="279" spans="1:12">
      <c r="A279" s="14">
        <v>43452</v>
      </c>
      <c r="B279">
        <v>2617</v>
      </c>
      <c r="C279">
        <v>2580</v>
      </c>
      <c r="D279">
        <v>1442</v>
      </c>
      <c r="E279">
        <v>1461</v>
      </c>
      <c r="F279">
        <v>1.7659137577002</v>
      </c>
      <c r="G279">
        <v>1.8761541339772201</v>
      </c>
      <c r="H279">
        <v>9.4660370606637595E-2</v>
      </c>
      <c r="I279">
        <v>-1.1645884710838901</v>
      </c>
      <c r="J279">
        <v>-6.24</v>
      </c>
      <c r="K279">
        <v>2580</v>
      </c>
      <c r="L279">
        <v>1203.3082822085889</v>
      </c>
    </row>
    <row r="280" spans="1:12">
      <c r="A280" s="14">
        <v>43451</v>
      </c>
      <c r="B280">
        <v>2634</v>
      </c>
      <c r="C280">
        <v>2650</v>
      </c>
      <c r="D280">
        <v>1437</v>
      </c>
      <c r="E280">
        <v>1435</v>
      </c>
      <c r="F280">
        <v>1.8466898954703801</v>
      </c>
      <c r="G280">
        <v>1.87499841274343</v>
      </c>
      <c r="H280">
        <v>9.6510316686619704E-2</v>
      </c>
      <c r="I280">
        <v>-0.29332115202743297</v>
      </c>
      <c r="J280">
        <v>-1.53</v>
      </c>
      <c r="K280">
        <v>2650</v>
      </c>
      <c r="L280">
        <v>1181.8941717791411</v>
      </c>
    </row>
    <row r="281" spans="1:12">
      <c r="A281" s="14">
        <v>43448</v>
      </c>
      <c r="B281">
        <v>2632</v>
      </c>
      <c r="C281">
        <v>2636</v>
      </c>
      <c r="D281">
        <v>1445</v>
      </c>
      <c r="E281">
        <v>1435</v>
      </c>
      <c r="F281">
        <v>1.8369337979094</v>
      </c>
      <c r="G281">
        <v>1.8727235106006599</v>
      </c>
      <c r="H281">
        <v>9.9126196044916903E-2</v>
      </c>
      <c r="I281">
        <v>-0.361052013688134</v>
      </c>
      <c r="J281">
        <v>-1.95</v>
      </c>
      <c r="K281">
        <v>2636</v>
      </c>
      <c r="L281">
        <v>1181.8941717791411</v>
      </c>
    </row>
    <row r="282" spans="1:12">
      <c r="A282" s="14">
        <v>43447</v>
      </c>
      <c r="B282">
        <v>2591</v>
      </c>
      <c r="C282">
        <v>2628</v>
      </c>
      <c r="D282">
        <v>1447</v>
      </c>
      <c r="E282">
        <v>1454</v>
      </c>
      <c r="F282">
        <v>1.80742778541953</v>
      </c>
      <c r="G282">
        <v>1.8709671790231199</v>
      </c>
      <c r="H282">
        <v>0.100895925550032</v>
      </c>
      <c r="I282">
        <v>-0.62975182850257705</v>
      </c>
      <c r="J282">
        <v>-3.52</v>
      </c>
      <c r="K282">
        <v>2628</v>
      </c>
      <c r="L282">
        <v>1197.5429447852759</v>
      </c>
    </row>
    <row r="283" spans="1:12">
      <c r="A283" s="14">
        <v>43446</v>
      </c>
      <c r="B283">
        <v>2543</v>
      </c>
      <c r="C283">
        <v>2573</v>
      </c>
      <c r="D283">
        <v>1420</v>
      </c>
      <c r="E283">
        <v>1440</v>
      </c>
      <c r="F283">
        <v>1.78680555555555</v>
      </c>
      <c r="G283">
        <v>1.8697032133403499</v>
      </c>
      <c r="H283">
        <v>0.102268441383101</v>
      </c>
      <c r="I283">
        <v>-0.81058884504033801</v>
      </c>
      <c r="J283">
        <v>-4.6399999999999997</v>
      </c>
      <c r="K283">
        <v>2573</v>
      </c>
      <c r="L283">
        <v>1186.0122699386502</v>
      </c>
    </row>
    <row r="284" spans="1:12">
      <c r="A284" s="14">
        <v>43445</v>
      </c>
      <c r="B284">
        <v>2558</v>
      </c>
      <c r="C284">
        <v>2512</v>
      </c>
      <c r="D284">
        <v>1439</v>
      </c>
      <c r="E284">
        <v>1420</v>
      </c>
      <c r="F284">
        <v>1.7690140845070399</v>
      </c>
      <c r="G284">
        <v>1.8683093337588701</v>
      </c>
      <c r="H284">
        <v>0.104085097056671</v>
      </c>
      <c r="I284">
        <v>-0.95398142538855402</v>
      </c>
      <c r="J284">
        <v>-5.61</v>
      </c>
      <c r="K284">
        <v>2512</v>
      </c>
      <c r="L284">
        <v>1169.5398773006134</v>
      </c>
    </row>
    <row r="285" spans="1:12">
      <c r="A285" s="14">
        <v>43444</v>
      </c>
      <c r="B285">
        <v>2612</v>
      </c>
      <c r="C285">
        <v>2588</v>
      </c>
      <c r="D285">
        <v>1448</v>
      </c>
      <c r="E285">
        <v>1443</v>
      </c>
      <c r="F285">
        <v>1.79348579348579</v>
      </c>
      <c r="G285">
        <v>1.86682409592695</v>
      </c>
      <c r="H285">
        <v>0.106263354340141</v>
      </c>
      <c r="I285">
        <v>-0.69015610222888801</v>
      </c>
      <c r="J285">
        <v>-4.09</v>
      </c>
      <c r="K285">
        <v>2588</v>
      </c>
      <c r="L285">
        <v>1188.4831288343557</v>
      </c>
    </row>
    <row r="286" spans="1:12">
      <c r="A286" s="14">
        <v>43441</v>
      </c>
      <c r="B286">
        <v>2688</v>
      </c>
      <c r="C286">
        <v>2669</v>
      </c>
      <c r="D286">
        <v>1498</v>
      </c>
      <c r="E286">
        <v>1471</v>
      </c>
      <c r="F286">
        <v>1.81441196464989</v>
      </c>
      <c r="G286">
        <v>1.86583548031569</v>
      </c>
      <c r="H286">
        <v>0.107281088539388</v>
      </c>
      <c r="I286">
        <v>-0.47933439496111702</v>
      </c>
      <c r="J286">
        <v>-2.83</v>
      </c>
      <c r="K286">
        <v>2669</v>
      </c>
      <c r="L286">
        <v>1211.5444785276072</v>
      </c>
    </row>
    <row r="287" spans="1:12">
      <c r="A287" s="14">
        <v>43440</v>
      </c>
      <c r="B287">
        <v>2703</v>
      </c>
      <c r="C287">
        <v>2673</v>
      </c>
      <c r="D287">
        <v>1518</v>
      </c>
      <c r="E287">
        <v>1514</v>
      </c>
      <c r="F287">
        <v>1.76552179656538</v>
      </c>
      <c r="G287">
        <v>1.8649327419447099</v>
      </c>
      <c r="H287">
        <v>0.10799250541420501</v>
      </c>
      <c r="I287">
        <v>-0.92053559641045601</v>
      </c>
      <c r="J287">
        <v>-5.63</v>
      </c>
      <c r="K287">
        <v>2673</v>
      </c>
      <c r="L287">
        <v>1246.9601226993864</v>
      </c>
    </row>
    <row r="288" spans="1:12">
      <c r="A288" s="14">
        <v>43439</v>
      </c>
      <c r="B288">
        <v>2685</v>
      </c>
      <c r="C288">
        <v>2720</v>
      </c>
      <c r="D288">
        <v>1534</v>
      </c>
      <c r="E288">
        <v>1549</v>
      </c>
      <c r="F288">
        <v>1.7559715945771399</v>
      </c>
      <c r="G288">
        <v>1.86437552885237</v>
      </c>
      <c r="H288">
        <v>0.108610051938354</v>
      </c>
      <c r="I288">
        <v>-0.99810222295775397</v>
      </c>
      <c r="J288">
        <v>-6.17</v>
      </c>
      <c r="K288">
        <v>2720</v>
      </c>
      <c r="L288">
        <v>1275.7868098159508</v>
      </c>
    </row>
    <row r="289" spans="1:12">
      <c r="A289" s="14">
        <v>43438</v>
      </c>
      <c r="B289">
        <v>2833</v>
      </c>
      <c r="C289">
        <v>2741</v>
      </c>
      <c r="D289">
        <v>1621</v>
      </c>
      <c r="E289">
        <v>1563</v>
      </c>
      <c r="F289">
        <v>1.7536788227767099</v>
      </c>
      <c r="G289">
        <v>1.8643097388499901</v>
      </c>
      <c r="H289">
        <v>0.108677170869725</v>
      </c>
      <c r="I289">
        <v>-1.01797751255317</v>
      </c>
      <c r="J289">
        <v>-6.31</v>
      </c>
      <c r="K289">
        <v>2741</v>
      </c>
      <c r="L289">
        <v>1287.3174846625766</v>
      </c>
    </row>
    <row r="290" spans="1:12">
      <c r="A290" s="14">
        <v>43437</v>
      </c>
      <c r="B290">
        <v>2881</v>
      </c>
      <c r="C290">
        <v>2835</v>
      </c>
      <c r="D290">
        <v>1629</v>
      </c>
      <c r="E290">
        <v>1624</v>
      </c>
      <c r="F290">
        <v>1.7456896551724099</v>
      </c>
      <c r="G290">
        <v>1.8642291669970501</v>
      </c>
      <c r="H290">
        <v>0.108761368780402</v>
      </c>
      <c r="I290">
        <v>-1.0899045603588999</v>
      </c>
      <c r="J290">
        <v>-6.79</v>
      </c>
      <c r="K290">
        <v>2835</v>
      </c>
      <c r="L290">
        <v>1337.5582822085889</v>
      </c>
    </row>
    <row r="291" spans="1:12">
      <c r="A291" s="14">
        <v>43434</v>
      </c>
      <c r="B291">
        <v>2817</v>
      </c>
      <c r="C291">
        <v>2860</v>
      </c>
      <c r="D291">
        <v>1640</v>
      </c>
      <c r="E291">
        <v>1600</v>
      </c>
      <c r="F291">
        <v>1.7875000000000001</v>
      </c>
      <c r="G291">
        <v>1.8644987417834999</v>
      </c>
      <c r="H291">
        <v>0.108491946399998</v>
      </c>
      <c r="I291">
        <v>-0.70971850297180405</v>
      </c>
      <c r="J291">
        <v>-4.3099999999999996</v>
      </c>
      <c r="K291">
        <v>2860</v>
      </c>
      <c r="L291">
        <v>1317.7914110429447</v>
      </c>
    </row>
    <row r="292" spans="1:12">
      <c r="A292" s="14">
        <v>43433</v>
      </c>
      <c r="B292">
        <v>2852</v>
      </c>
      <c r="C292">
        <v>2847</v>
      </c>
      <c r="D292">
        <v>1643</v>
      </c>
      <c r="E292">
        <v>1633</v>
      </c>
      <c r="F292">
        <v>1.74341702388242</v>
      </c>
      <c r="G292">
        <v>1.8639234346094999</v>
      </c>
      <c r="H292">
        <v>0.109011883243175</v>
      </c>
      <c r="I292">
        <v>-1.1054428851418301</v>
      </c>
      <c r="J292">
        <v>-6.91</v>
      </c>
      <c r="K292">
        <v>2847</v>
      </c>
      <c r="L292">
        <v>1344.9708588957055</v>
      </c>
    </row>
    <row r="293" spans="1:12">
      <c r="A293" s="14">
        <v>43432</v>
      </c>
      <c r="B293">
        <v>2828</v>
      </c>
      <c r="C293">
        <v>2821</v>
      </c>
      <c r="D293">
        <v>1632</v>
      </c>
      <c r="E293">
        <v>1626</v>
      </c>
      <c r="F293">
        <v>1.7349323493234901</v>
      </c>
      <c r="G293">
        <v>1.8638500738639701</v>
      </c>
      <c r="H293">
        <v>0.109094774492702</v>
      </c>
      <c r="I293">
        <v>-1.1817039371496301</v>
      </c>
      <c r="J293">
        <v>-7.43</v>
      </c>
      <c r="K293">
        <v>2821</v>
      </c>
      <c r="L293">
        <v>1339.2055214723925</v>
      </c>
    </row>
    <row r="294" spans="1:12">
      <c r="A294" s="14">
        <v>43431</v>
      </c>
      <c r="B294">
        <v>2854</v>
      </c>
      <c r="C294">
        <v>2828</v>
      </c>
      <c r="D294">
        <v>1629</v>
      </c>
      <c r="E294">
        <v>1639</v>
      </c>
      <c r="F294">
        <v>1.725442342892</v>
      </c>
      <c r="G294">
        <v>1.86345689755398</v>
      </c>
      <c r="H294">
        <v>0.109610602111572</v>
      </c>
      <c r="I294">
        <v>-1.2591350836800601</v>
      </c>
      <c r="J294">
        <v>-8</v>
      </c>
      <c r="K294">
        <v>2828</v>
      </c>
      <c r="L294">
        <v>1349.9125766871166</v>
      </c>
    </row>
    <row r="295" spans="1:12">
      <c r="A295" s="14">
        <v>43430</v>
      </c>
      <c r="B295">
        <v>2770</v>
      </c>
      <c r="C295">
        <v>2842</v>
      </c>
      <c r="D295">
        <v>1592</v>
      </c>
      <c r="E295">
        <v>1614</v>
      </c>
      <c r="F295">
        <v>1.7608426270136299</v>
      </c>
      <c r="G295">
        <v>1.86352939719524</v>
      </c>
      <c r="H295">
        <v>0.10952105296476</v>
      </c>
      <c r="I295">
        <v>-0.93759845620412297</v>
      </c>
      <c r="J295">
        <v>-5.83</v>
      </c>
      <c r="K295">
        <v>2842</v>
      </c>
      <c r="L295">
        <v>1329.3220858895704</v>
      </c>
    </row>
    <row r="296" spans="1:12">
      <c r="A296" s="14">
        <v>43426</v>
      </c>
      <c r="B296">
        <v>2772</v>
      </c>
      <c r="C296">
        <v>2779</v>
      </c>
      <c r="D296">
        <v>1635</v>
      </c>
      <c r="E296">
        <v>1593</v>
      </c>
      <c r="F296">
        <v>1.74450721908349</v>
      </c>
      <c r="G296">
        <v>1.8628386894753599</v>
      </c>
      <c r="H296">
        <v>0.110326868176869</v>
      </c>
      <c r="I296">
        <v>-1.0725535161767401</v>
      </c>
      <c r="J296">
        <v>-6.78</v>
      </c>
      <c r="K296">
        <v>2779</v>
      </c>
      <c r="L296">
        <v>1312.0260736196319</v>
      </c>
    </row>
    <row r="297" spans="1:12">
      <c r="A297" s="14">
        <v>43425</v>
      </c>
      <c r="B297">
        <v>2739</v>
      </c>
      <c r="C297">
        <v>2772</v>
      </c>
      <c r="D297">
        <v>1590</v>
      </c>
      <c r="E297">
        <v>1624</v>
      </c>
      <c r="F297">
        <v>1.7068965517241299</v>
      </c>
      <c r="G297">
        <v>1.8618561196160801</v>
      </c>
      <c r="H297">
        <v>0.11169600948662101</v>
      </c>
      <c r="I297">
        <v>-1.38733307129033</v>
      </c>
      <c r="J297">
        <v>-9.08</v>
      </c>
      <c r="K297">
        <v>2772</v>
      </c>
      <c r="L297">
        <v>1337.5582822085889</v>
      </c>
    </row>
    <row r="298" spans="1:12">
      <c r="A298" s="14">
        <v>43424</v>
      </c>
      <c r="B298">
        <v>2785</v>
      </c>
      <c r="C298">
        <v>2782</v>
      </c>
      <c r="D298">
        <v>1571</v>
      </c>
      <c r="E298">
        <v>1610</v>
      </c>
      <c r="F298">
        <v>1.7279503105589999</v>
      </c>
      <c r="G298">
        <v>1.86182220214859</v>
      </c>
      <c r="H298">
        <v>0.11174343531792</v>
      </c>
      <c r="I298">
        <v>-1.1980291388814599</v>
      </c>
      <c r="J298">
        <v>-7.75</v>
      </c>
      <c r="K298">
        <v>2782</v>
      </c>
      <c r="L298">
        <v>1326.0276073619632</v>
      </c>
    </row>
    <row r="299" spans="1:12">
      <c r="A299" s="14">
        <v>43423</v>
      </c>
      <c r="B299">
        <v>2828</v>
      </c>
      <c r="C299">
        <v>2812</v>
      </c>
      <c r="D299">
        <v>1574</v>
      </c>
      <c r="E299">
        <v>1592</v>
      </c>
      <c r="F299">
        <v>1.7663316582914499</v>
      </c>
      <c r="G299">
        <v>1.86095556662433</v>
      </c>
      <c r="H299">
        <v>0.11302305003101799</v>
      </c>
      <c r="I299">
        <v>-0.83720894372347598</v>
      </c>
      <c r="J299">
        <v>-5.36</v>
      </c>
      <c r="K299">
        <v>2812</v>
      </c>
      <c r="L299">
        <v>1311.20245398773</v>
      </c>
    </row>
    <row r="300" spans="1:12">
      <c r="A300" s="14">
        <v>43420</v>
      </c>
      <c r="B300">
        <v>2885</v>
      </c>
      <c r="C300">
        <v>2839</v>
      </c>
      <c r="D300">
        <v>1587</v>
      </c>
      <c r="E300">
        <v>1573</v>
      </c>
      <c r="F300">
        <v>1.8048315321042501</v>
      </c>
      <c r="G300">
        <v>1.8591065282916699</v>
      </c>
      <c r="H300">
        <v>0.11565957837384799</v>
      </c>
      <c r="I300">
        <v>-0.46926503581038997</v>
      </c>
      <c r="J300">
        <v>-3.01</v>
      </c>
      <c r="K300">
        <v>2839</v>
      </c>
      <c r="L300">
        <v>1295.5536809815951</v>
      </c>
    </row>
    <row r="301" spans="1:12">
      <c r="A301" s="14">
        <v>43419</v>
      </c>
      <c r="B301">
        <v>2804</v>
      </c>
      <c r="C301">
        <v>2885</v>
      </c>
      <c r="D301">
        <v>1557</v>
      </c>
      <c r="E301">
        <v>1590</v>
      </c>
      <c r="F301">
        <v>1.81446540880503</v>
      </c>
      <c r="G301">
        <v>1.85720328002479</v>
      </c>
      <c r="H301">
        <v>0.117693627048849</v>
      </c>
      <c r="I301">
        <v>-0.36312816837587197</v>
      </c>
      <c r="J301">
        <v>-2.36</v>
      </c>
      <c r="K301">
        <v>2885</v>
      </c>
      <c r="L301">
        <v>1309.5552147239264</v>
      </c>
    </row>
    <row r="302" spans="1:12">
      <c r="A302" s="14">
        <v>43418</v>
      </c>
      <c r="B302">
        <v>2855</v>
      </c>
      <c r="C302">
        <v>2835</v>
      </c>
      <c r="D302">
        <v>1529</v>
      </c>
      <c r="E302">
        <v>1570</v>
      </c>
      <c r="F302">
        <v>1.8057324840764299</v>
      </c>
      <c r="G302">
        <v>1.8563788678815101</v>
      </c>
      <c r="H302">
        <v>0.118205548034787</v>
      </c>
      <c r="I302">
        <v>-0.42846029350646098</v>
      </c>
      <c r="J302">
        <v>-2.8</v>
      </c>
      <c r="K302">
        <v>2835</v>
      </c>
      <c r="L302">
        <v>1293.0828220858896</v>
      </c>
    </row>
    <row r="303" spans="1:12">
      <c r="A303" s="14">
        <v>43417</v>
      </c>
      <c r="B303">
        <v>2900</v>
      </c>
      <c r="C303">
        <v>2866</v>
      </c>
      <c r="D303">
        <v>1522</v>
      </c>
      <c r="E303">
        <v>1525</v>
      </c>
      <c r="F303">
        <v>1.87934426229508</v>
      </c>
      <c r="G303">
        <v>1.8558428190171501</v>
      </c>
      <c r="H303">
        <v>0.11852473682627</v>
      </c>
      <c r="I303">
        <v>0.19828302434765299</v>
      </c>
      <c r="J303">
        <v>1.25</v>
      </c>
      <c r="K303">
        <v>2866</v>
      </c>
      <c r="L303">
        <v>1256.0199386503066</v>
      </c>
    </row>
    <row r="304" spans="1:12">
      <c r="A304" s="14">
        <v>43416</v>
      </c>
      <c r="B304">
        <v>2916</v>
      </c>
      <c r="C304">
        <v>2960</v>
      </c>
      <c r="D304">
        <v>1531</v>
      </c>
      <c r="E304">
        <v>1561</v>
      </c>
      <c r="F304">
        <v>1.8962203715566901</v>
      </c>
      <c r="G304">
        <v>1.8544735588024599</v>
      </c>
      <c r="H304">
        <v>0.118838102891414</v>
      </c>
      <c r="I304">
        <v>0.35129147755224499</v>
      </c>
      <c r="J304">
        <v>2.2000000000000002</v>
      </c>
      <c r="K304">
        <v>2960</v>
      </c>
      <c r="L304">
        <v>1285.670245398773</v>
      </c>
    </row>
    <row r="305" spans="1:12">
      <c r="A305" s="14">
        <v>43413</v>
      </c>
      <c r="B305">
        <v>2888</v>
      </c>
      <c r="C305">
        <v>2924</v>
      </c>
      <c r="D305">
        <v>1525</v>
      </c>
      <c r="E305">
        <v>1540</v>
      </c>
      <c r="F305">
        <v>1.8987012987012899</v>
      </c>
      <c r="G305">
        <v>1.85177457042966</v>
      </c>
      <c r="H305">
        <v>0.120150747829052</v>
      </c>
      <c r="I305">
        <v>0.39056542817691903</v>
      </c>
      <c r="J305">
        <v>2.4700000000000002</v>
      </c>
      <c r="K305">
        <v>2924</v>
      </c>
      <c r="L305">
        <v>1268.3742331288342</v>
      </c>
    </row>
    <row r="306" spans="1:12">
      <c r="A306" s="14">
        <v>43412</v>
      </c>
      <c r="B306">
        <v>2929</v>
      </c>
      <c r="C306">
        <v>2904</v>
      </c>
      <c r="D306">
        <v>1555</v>
      </c>
      <c r="E306">
        <v>1529</v>
      </c>
      <c r="F306">
        <v>1.8992805755395601</v>
      </c>
      <c r="G306">
        <v>1.84958003027594</v>
      </c>
      <c r="H306">
        <v>0.120775086441356</v>
      </c>
      <c r="I306">
        <v>0.41151322452380601</v>
      </c>
      <c r="J306">
        <v>2.62</v>
      </c>
      <c r="K306">
        <v>2904</v>
      </c>
      <c r="L306">
        <v>1259.314417177914</v>
      </c>
    </row>
    <row r="307" spans="1:12">
      <c r="A307" s="14">
        <v>43411</v>
      </c>
      <c r="B307">
        <v>3035</v>
      </c>
      <c r="C307">
        <v>2902</v>
      </c>
      <c r="D307">
        <v>1548</v>
      </c>
      <c r="E307">
        <v>1524</v>
      </c>
      <c r="F307">
        <v>1.9041994750656099</v>
      </c>
      <c r="G307">
        <v>1.8471756284329801</v>
      </c>
      <c r="H307">
        <v>0.12155421139606799</v>
      </c>
      <c r="I307">
        <v>0.46912275582805402</v>
      </c>
      <c r="J307">
        <v>2.99</v>
      </c>
      <c r="K307">
        <v>2902</v>
      </c>
      <c r="L307">
        <v>1255.1963190184049</v>
      </c>
    </row>
    <row r="308" spans="1:12">
      <c r="A308" s="14">
        <v>43410</v>
      </c>
      <c r="B308">
        <v>2885</v>
      </c>
      <c r="C308">
        <v>2931</v>
      </c>
      <c r="D308">
        <v>1546</v>
      </c>
      <c r="E308">
        <v>1546</v>
      </c>
      <c r="F308">
        <v>1.89586028460543</v>
      </c>
      <c r="G308">
        <v>1.84462921397617</v>
      </c>
      <c r="H308">
        <v>0.122330888906186</v>
      </c>
      <c r="I308">
        <v>0.41879096185223003</v>
      </c>
      <c r="J308">
        <v>2.7</v>
      </c>
      <c r="K308">
        <v>2931</v>
      </c>
      <c r="L308">
        <v>1273.3159509202453</v>
      </c>
    </row>
    <row r="309" spans="1:12">
      <c r="A309" s="14">
        <v>43409</v>
      </c>
      <c r="B309">
        <v>2883</v>
      </c>
      <c r="C309">
        <v>2843</v>
      </c>
      <c r="D309">
        <v>1577</v>
      </c>
      <c r="E309">
        <v>1537</v>
      </c>
      <c r="F309">
        <v>1.84970722186076</v>
      </c>
      <c r="G309">
        <v>1.84185059983989</v>
      </c>
      <c r="H309">
        <v>0.123496862991733</v>
      </c>
      <c r="I309">
        <v>6.3617988591313401E-2</v>
      </c>
      <c r="J309">
        <v>0.42</v>
      </c>
      <c r="K309">
        <v>2843</v>
      </c>
      <c r="L309">
        <v>1265.9033742331287</v>
      </c>
    </row>
    <row r="310" spans="1:12">
      <c r="A310" s="14">
        <v>43406</v>
      </c>
      <c r="B310">
        <v>3035</v>
      </c>
      <c r="C310">
        <v>2931</v>
      </c>
      <c r="D310">
        <v>1571</v>
      </c>
      <c r="E310">
        <v>1604</v>
      </c>
      <c r="F310">
        <v>1.82730673316708</v>
      </c>
      <c r="G310">
        <v>1.83994062427121</v>
      </c>
      <c r="H310">
        <v>0.12446451602915801</v>
      </c>
      <c r="I310">
        <v>-0.101505967380906</v>
      </c>
      <c r="J310">
        <v>-0.69</v>
      </c>
      <c r="K310">
        <v>2931</v>
      </c>
      <c r="L310">
        <v>1321.0858895705521</v>
      </c>
    </row>
    <row r="311" spans="1:12">
      <c r="A311" s="14">
        <v>43405</v>
      </c>
      <c r="B311">
        <v>3040</v>
      </c>
      <c r="C311">
        <v>3045</v>
      </c>
      <c r="D311">
        <v>1507</v>
      </c>
      <c r="E311">
        <v>1579</v>
      </c>
      <c r="F311">
        <v>1.9284357188093699</v>
      </c>
      <c r="G311">
        <v>1.8385089381369499</v>
      </c>
      <c r="H311">
        <v>0.125216895615751</v>
      </c>
      <c r="I311">
        <v>0.71816810527212704</v>
      </c>
      <c r="J311">
        <v>4.66</v>
      </c>
      <c r="K311">
        <v>3045</v>
      </c>
      <c r="L311">
        <v>1300.4953987730062</v>
      </c>
    </row>
    <row r="312" spans="1:12">
      <c r="A312" s="14">
        <v>43404</v>
      </c>
      <c r="B312">
        <v>3020</v>
      </c>
      <c r="C312">
        <v>3040</v>
      </c>
      <c r="D312">
        <v>1478</v>
      </c>
      <c r="E312">
        <v>1493</v>
      </c>
      <c r="F312">
        <v>2.0361687876758201</v>
      </c>
      <c r="G312">
        <v>1.8360072171253801</v>
      </c>
      <c r="H312">
        <v>0.125269567364477</v>
      </c>
      <c r="I312">
        <v>1.59784674571484</v>
      </c>
      <c r="J312">
        <v>9.83</v>
      </c>
      <c r="K312">
        <v>3040</v>
      </c>
      <c r="L312">
        <v>1229.6641104294479</v>
      </c>
    </row>
    <row r="313" spans="1:12">
      <c r="A313" s="14">
        <v>43403</v>
      </c>
      <c r="B313">
        <v>2961</v>
      </c>
      <c r="C313">
        <v>2980</v>
      </c>
      <c r="D313">
        <v>1439</v>
      </c>
      <c r="E313">
        <v>1469</v>
      </c>
      <c r="F313">
        <v>2.0285908781484001</v>
      </c>
      <c r="G313">
        <v>1.8323137554118201</v>
      </c>
      <c r="H313">
        <v>0.123383017918836</v>
      </c>
      <c r="I313">
        <v>1.5907952816139199</v>
      </c>
      <c r="J313">
        <v>9.68</v>
      </c>
      <c r="K313">
        <v>2980</v>
      </c>
      <c r="L313">
        <v>1209.8972392638036</v>
      </c>
    </row>
    <row r="314" spans="1:12">
      <c r="A314" s="14">
        <v>43402</v>
      </c>
      <c r="B314">
        <v>2997</v>
      </c>
      <c r="C314">
        <v>2943</v>
      </c>
      <c r="D314">
        <v>1463</v>
      </c>
      <c r="E314">
        <v>1460</v>
      </c>
      <c r="F314">
        <v>2.0157534246575302</v>
      </c>
      <c r="G314">
        <v>1.8280564829177</v>
      </c>
      <c r="H314">
        <v>0.122038362950578</v>
      </c>
      <c r="I314">
        <v>1.5380158927224801</v>
      </c>
      <c r="J314">
        <v>9.31</v>
      </c>
      <c r="K314">
        <v>2943</v>
      </c>
      <c r="L314">
        <v>1202.484662576687</v>
      </c>
    </row>
    <row r="315" spans="1:12">
      <c r="A315" s="14">
        <v>43399</v>
      </c>
      <c r="B315">
        <v>3075</v>
      </c>
      <c r="C315">
        <v>2970</v>
      </c>
      <c r="D315">
        <v>1470</v>
      </c>
      <c r="E315">
        <v>1450</v>
      </c>
      <c r="F315">
        <v>2.0482758620689601</v>
      </c>
      <c r="G315">
        <v>1.82346592325484</v>
      </c>
      <c r="H315">
        <v>0.121365207641341</v>
      </c>
      <c r="I315">
        <v>1.85234255503012</v>
      </c>
      <c r="J315">
        <v>10.98</v>
      </c>
      <c r="K315">
        <v>2970</v>
      </c>
      <c r="L315">
        <v>1194.2484662576687</v>
      </c>
    </row>
    <row r="316" spans="1:12">
      <c r="A316" s="14">
        <v>43398</v>
      </c>
      <c r="B316">
        <v>3040</v>
      </c>
      <c r="C316">
        <v>3025</v>
      </c>
      <c r="D316">
        <v>1469</v>
      </c>
      <c r="E316">
        <v>1464</v>
      </c>
      <c r="F316">
        <v>2.0662568306010902</v>
      </c>
      <c r="G316">
        <v>1.81863878702445</v>
      </c>
      <c r="H316">
        <v>0.119513301746883</v>
      </c>
      <c r="I316">
        <v>2.0718868942393298</v>
      </c>
      <c r="J316">
        <v>11.98</v>
      </c>
      <c r="K316">
        <v>3025</v>
      </c>
      <c r="L316">
        <v>1205.7791411042945</v>
      </c>
    </row>
    <row r="317" spans="1:12">
      <c r="A317" s="14">
        <v>43397</v>
      </c>
      <c r="B317">
        <v>3065</v>
      </c>
      <c r="C317">
        <v>3120</v>
      </c>
      <c r="D317">
        <v>1563</v>
      </c>
      <c r="E317">
        <v>1524</v>
      </c>
      <c r="F317">
        <v>2.04724409448818</v>
      </c>
      <c r="G317">
        <v>1.8133602720261399</v>
      </c>
      <c r="H317">
        <v>0.117180030313043</v>
      </c>
      <c r="I317">
        <v>1.9959358419453599</v>
      </c>
      <c r="J317">
        <v>11.42</v>
      </c>
      <c r="K317">
        <v>3120</v>
      </c>
      <c r="L317">
        <v>1255.1963190184049</v>
      </c>
    </row>
    <row r="318" spans="1:12">
      <c r="A318" s="14">
        <v>43396</v>
      </c>
      <c r="B318">
        <v>3135</v>
      </c>
      <c r="C318">
        <v>3075</v>
      </c>
      <c r="D318">
        <v>1575</v>
      </c>
      <c r="E318">
        <v>1552</v>
      </c>
      <c r="F318">
        <v>1.9813144329896899</v>
      </c>
      <c r="G318">
        <v>1.80850522195139</v>
      </c>
      <c r="H318">
        <v>0.114910469477792</v>
      </c>
      <c r="I318">
        <v>1.5038595858464501</v>
      </c>
      <c r="J318">
        <v>8.7200000000000006</v>
      </c>
      <c r="K318">
        <v>3075</v>
      </c>
      <c r="L318">
        <v>1278.2576687116564</v>
      </c>
    </row>
    <row r="319" spans="1:12">
      <c r="A319" s="14">
        <v>43395</v>
      </c>
      <c r="B319">
        <v>3070</v>
      </c>
      <c r="C319">
        <v>3120</v>
      </c>
      <c r="D319">
        <v>1591</v>
      </c>
      <c r="E319">
        <v>1608</v>
      </c>
      <c r="F319">
        <v>1.94029850746268</v>
      </c>
      <c r="G319">
        <v>1.8045517214098099</v>
      </c>
      <c r="H319">
        <v>0.11399405993355299</v>
      </c>
      <c r="I319">
        <v>1.1908233300225901</v>
      </c>
      <c r="J319">
        <v>7</v>
      </c>
      <c r="K319">
        <v>3120</v>
      </c>
      <c r="L319">
        <v>1324.3803680981594</v>
      </c>
    </row>
    <row r="320" spans="1:12">
      <c r="A320" s="14">
        <v>43392</v>
      </c>
      <c r="B320">
        <v>3070</v>
      </c>
      <c r="C320">
        <v>3110</v>
      </c>
      <c r="D320">
        <v>1629</v>
      </c>
      <c r="E320">
        <v>1599</v>
      </c>
      <c r="F320">
        <v>1.9449656035021801</v>
      </c>
      <c r="G320">
        <v>1.8006795133633899</v>
      </c>
      <c r="H320">
        <v>0.114249384012025</v>
      </c>
      <c r="I320">
        <v>1.26290475337357</v>
      </c>
      <c r="J320">
        <v>7.42</v>
      </c>
      <c r="K320">
        <v>3110</v>
      </c>
      <c r="L320">
        <v>1316.967791411043</v>
      </c>
    </row>
    <row r="321" spans="1:12">
      <c r="A321" s="14">
        <v>43391</v>
      </c>
      <c r="B321">
        <v>3145</v>
      </c>
      <c r="C321">
        <v>3120</v>
      </c>
      <c r="D321">
        <v>1634</v>
      </c>
      <c r="E321">
        <v>1646</v>
      </c>
      <c r="F321">
        <v>1.8955042527339001</v>
      </c>
      <c r="G321">
        <v>1.7968024217590599</v>
      </c>
      <c r="H321">
        <v>0.11422108858940801</v>
      </c>
      <c r="I321">
        <v>0.86412966461594398</v>
      </c>
      <c r="J321">
        <v>5.21</v>
      </c>
      <c r="K321">
        <v>3120</v>
      </c>
      <c r="L321">
        <v>1355.6779141104294</v>
      </c>
    </row>
    <row r="322" spans="1:12">
      <c r="A322" s="14">
        <v>43390</v>
      </c>
      <c r="B322">
        <v>3155</v>
      </c>
      <c r="C322">
        <v>3150</v>
      </c>
      <c r="D322">
        <v>1651</v>
      </c>
      <c r="E322">
        <v>1646</v>
      </c>
      <c r="F322">
        <v>1.9137302551640301</v>
      </c>
      <c r="G322">
        <v>1.7941188201132099</v>
      </c>
      <c r="H322">
        <v>0.114234983272074</v>
      </c>
      <c r="I322">
        <v>1.04706484497778</v>
      </c>
      <c r="J322">
        <v>6.25</v>
      </c>
      <c r="K322">
        <v>3150</v>
      </c>
      <c r="L322">
        <v>1355.6779141104294</v>
      </c>
    </row>
    <row r="323" spans="1:12">
      <c r="A323" s="14">
        <v>43389</v>
      </c>
      <c r="B323">
        <v>3075</v>
      </c>
      <c r="C323">
        <v>3090</v>
      </c>
      <c r="D323">
        <v>1585</v>
      </c>
      <c r="E323">
        <v>1614</v>
      </c>
      <c r="F323">
        <v>1.9144981412639399</v>
      </c>
      <c r="G323">
        <v>1.79121077433979</v>
      </c>
      <c r="H323">
        <v>0.11392874256819301</v>
      </c>
      <c r="I323">
        <v>1.08214454179855</v>
      </c>
      <c r="J323">
        <v>6.44</v>
      </c>
      <c r="K323">
        <v>3090</v>
      </c>
      <c r="L323">
        <v>1329.3220858895704</v>
      </c>
    </row>
    <row r="324" spans="1:12">
      <c r="A324" s="14">
        <v>43388</v>
      </c>
      <c r="B324">
        <v>3115</v>
      </c>
      <c r="C324">
        <v>3075</v>
      </c>
      <c r="D324">
        <v>1590</v>
      </c>
      <c r="E324">
        <v>1596</v>
      </c>
      <c r="F324">
        <v>1.9266917293232999</v>
      </c>
      <c r="G324">
        <v>1.78887458068489</v>
      </c>
      <c r="H324">
        <v>0.113170620362315</v>
      </c>
      <c r="I324">
        <v>1.21778203739798</v>
      </c>
      <c r="J324">
        <v>7.15</v>
      </c>
      <c r="K324">
        <v>3075</v>
      </c>
      <c r="L324">
        <v>1314.4969325153374</v>
      </c>
    </row>
    <row r="325" spans="1:12">
      <c r="A325" s="14">
        <v>43385</v>
      </c>
      <c r="B325">
        <v>3150</v>
      </c>
      <c r="C325">
        <v>3165</v>
      </c>
      <c r="D325">
        <v>1564</v>
      </c>
      <c r="E325">
        <v>1611</v>
      </c>
      <c r="F325">
        <v>1.96461824953445</v>
      </c>
      <c r="G325">
        <v>1.78623554313789</v>
      </c>
      <c r="H325">
        <v>0.112229917902261</v>
      </c>
      <c r="I325">
        <v>1.58943987245814</v>
      </c>
      <c r="J325">
        <v>9.08</v>
      </c>
      <c r="K325">
        <v>3165</v>
      </c>
      <c r="L325">
        <v>1326.8512269938649</v>
      </c>
    </row>
    <row r="326" spans="1:12">
      <c r="A326" s="14">
        <v>43384</v>
      </c>
      <c r="B326">
        <v>3200</v>
      </c>
      <c r="C326">
        <v>3195</v>
      </c>
      <c r="D326">
        <v>1553</v>
      </c>
      <c r="E326">
        <v>1572</v>
      </c>
      <c r="F326">
        <v>2.0324427480915999</v>
      </c>
      <c r="G326">
        <v>1.783701382651</v>
      </c>
      <c r="H326">
        <v>0.11030267174363501</v>
      </c>
      <c r="I326">
        <v>2.2550801490894199</v>
      </c>
      <c r="J326">
        <v>12.24</v>
      </c>
      <c r="K326">
        <v>3195</v>
      </c>
      <c r="L326">
        <v>1294.7300613496932</v>
      </c>
    </row>
    <row r="327" spans="1:12">
      <c r="A327" s="14">
        <v>43383</v>
      </c>
      <c r="B327">
        <v>3295</v>
      </c>
      <c r="C327">
        <v>3325</v>
      </c>
      <c r="D327">
        <v>1628</v>
      </c>
      <c r="E327">
        <v>1619</v>
      </c>
      <c r="F327">
        <v>2.0537368746139499</v>
      </c>
      <c r="G327">
        <v>1.7803641346572601</v>
      </c>
      <c r="H327">
        <v>0.106445341546438</v>
      </c>
      <c r="I327">
        <v>2.5681982507184502</v>
      </c>
      <c r="J327">
        <v>13.31</v>
      </c>
      <c r="K327">
        <v>3325</v>
      </c>
      <c r="L327">
        <v>1333.4401840490798</v>
      </c>
    </row>
    <row r="328" spans="1:12">
      <c r="A328" s="14">
        <v>43382</v>
      </c>
      <c r="B328">
        <v>3265</v>
      </c>
      <c r="C328">
        <v>3305</v>
      </c>
      <c r="D328">
        <v>1614</v>
      </c>
      <c r="E328">
        <v>1625</v>
      </c>
      <c r="F328">
        <v>2.0338461538461501</v>
      </c>
      <c r="G328">
        <v>1.7767624228699599</v>
      </c>
      <c r="H328">
        <v>0.101594012394384</v>
      </c>
      <c r="I328">
        <v>2.5305008131601499</v>
      </c>
      <c r="J328">
        <v>12.64</v>
      </c>
      <c r="K328">
        <v>3305</v>
      </c>
      <c r="L328">
        <v>1338.3819018404906</v>
      </c>
    </row>
    <row r="329" spans="1:12">
      <c r="A329" s="14">
        <v>43378</v>
      </c>
      <c r="B329">
        <v>3275</v>
      </c>
      <c r="C329">
        <v>3260</v>
      </c>
      <c r="D329">
        <v>1678</v>
      </c>
      <c r="E329">
        <v>1654</v>
      </c>
      <c r="F329">
        <v>1.97097944377267</v>
      </c>
      <c r="G329">
        <v>1.77299540279326</v>
      </c>
      <c r="H329">
        <v>9.7131646653091194E-2</v>
      </c>
      <c r="I329">
        <v>2.0383062349031702</v>
      </c>
      <c r="J329">
        <v>10.039999999999999</v>
      </c>
      <c r="K329">
        <v>3260</v>
      </c>
      <c r="L329">
        <v>1362.266871165644</v>
      </c>
    </row>
    <row r="330" spans="1:12">
      <c r="A330" s="14">
        <v>43377</v>
      </c>
      <c r="B330">
        <v>3300</v>
      </c>
      <c r="C330">
        <v>3285</v>
      </c>
      <c r="D330">
        <v>1778</v>
      </c>
      <c r="E330">
        <v>1758</v>
      </c>
      <c r="F330">
        <v>1.8686006825938499</v>
      </c>
      <c r="G330">
        <v>1.7701958099747399</v>
      </c>
      <c r="H330">
        <v>9.4371598795344597E-2</v>
      </c>
      <c r="I330">
        <v>1.04273821653175</v>
      </c>
      <c r="J330">
        <v>5.27</v>
      </c>
      <c r="K330">
        <v>3285</v>
      </c>
      <c r="L330">
        <v>1447.9233128834355</v>
      </c>
    </row>
    <row r="331" spans="1:12">
      <c r="A331" s="14">
        <v>43376</v>
      </c>
      <c r="B331">
        <v>3325</v>
      </c>
      <c r="C331">
        <v>3265</v>
      </c>
      <c r="D331">
        <v>1768</v>
      </c>
      <c r="E331">
        <v>1772</v>
      </c>
      <c r="F331">
        <v>1.84255079006772</v>
      </c>
      <c r="G331">
        <v>1.7680178178130701</v>
      </c>
      <c r="H331">
        <v>9.3959452244498406E-2</v>
      </c>
      <c r="I331">
        <v>0.79324613409509404</v>
      </c>
      <c r="J331">
        <v>4.05</v>
      </c>
      <c r="K331">
        <v>3265</v>
      </c>
      <c r="L331">
        <v>1459.4539877300613</v>
      </c>
    </row>
    <row r="332" spans="1:12">
      <c r="A332" s="14">
        <v>43375</v>
      </c>
      <c r="B332">
        <v>3385</v>
      </c>
      <c r="C332">
        <v>3325</v>
      </c>
      <c r="D332">
        <v>1768</v>
      </c>
      <c r="E332">
        <v>1776</v>
      </c>
      <c r="F332">
        <v>1.8721846846846799</v>
      </c>
      <c r="G332">
        <v>1.76539476466677</v>
      </c>
      <c r="H332">
        <v>9.4586050499797805E-2</v>
      </c>
      <c r="I332">
        <v>1.12902398877659</v>
      </c>
      <c r="J332">
        <v>5.7</v>
      </c>
      <c r="K332">
        <v>3325</v>
      </c>
      <c r="L332">
        <v>1462.7484662576687</v>
      </c>
    </row>
    <row r="333" spans="1:12">
      <c r="A333" s="14">
        <v>43374</v>
      </c>
      <c r="B333">
        <v>3295</v>
      </c>
      <c r="C333">
        <v>3315</v>
      </c>
      <c r="D333">
        <v>1746</v>
      </c>
      <c r="E333">
        <v>1751</v>
      </c>
      <c r="F333">
        <v>1.8932038834951399</v>
      </c>
      <c r="G333">
        <v>1.76236445559664</v>
      </c>
      <c r="H333">
        <v>9.4756705457562401E-2</v>
      </c>
      <c r="I333">
        <v>1.38079334086912</v>
      </c>
      <c r="J333">
        <v>6.91</v>
      </c>
      <c r="K333">
        <v>3315</v>
      </c>
      <c r="L333">
        <v>1442.1579754601225</v>
      </c>
    </row>
    <row r="334" spans="1:12">
      <c r="A334" s="14">
        <v>43371</v>
      </c>
      <c r="B334">
        <v>3240</v>
      </c>
      <c r="C334">
        <v>3325</v>
      </c>
      <c r="D334">
        <v>1737</v>
      </c>
      <c r="E334">
        <v>1750</v>
      </c>
      <c r="F334">
        <v>1.9</v>
      </c>
      <c r="G334">
        <v>1.7590600631412301</v>
      </c>
      <c r="H334">
        <v>9.44571346976463E-2</v>
      </c>
      <c r="I334">
        <v>1.49210472358609</v>
      </c>
      <c r="J334">
        <v>7.42</v>
      </c>
      <c r="K334">
        <v>3325</v>
      </c>
      <c r="L334">
        <v>1441.3343558282209</v>
      </c>
    </row>
    <row r="335" spans="1:12">
      <c r="A335" s="14">
        <v>43370</v>
      </c>
      <c r="B335">
        <v>3385</v>
      </c>
      <c r="C335">
        <v>3245</v>
      </c>
      <c r="D335">
        <v>1735</v>
      </c>
      <c r="E335">
        <v>1710</v>
      </c>
      <c r="F335">
        <v>1.89766081871345</v>
      </c>
      <c r="G335">
        <v>1.7552037757160801</v>
      </c>
      <c r="H335">
        <v>9.4528254945634105E-2</v>
      </c>
      <c r="I335">
        <v>1.5070313429492299</v>
      </c>
      <c r="J335">
        <v>7.51</v>
      </c>
      <c r="K335">
        <v>3245</v>
      </c>
      <c r="L335">
        <v>1408.3895705521472</v>
      </c>
    </row>
    <row r="336" spans="1:12">
      <c r="A336" s="14">
        <v>43369</v>
      </c>
      <c r="B336">
        <v>3370</v>
      </c>
      <c r="C336">
        <v>3405</v>
      </c>
      <c r="D336">
        <v>1723</v>
      </c>
      <c r="E336">
        <v>1739</v>
      </c>
      <c r="F336">
        <v>1.9580218516388701</v>
      </c>
      <c r="G336">
        <v>1.75101214359595</v>
      </c>
      <c r="H336">
        <v>9.5086800641267094E-2</v>
      </c>
      <c r="I336">
        <v>2.1770603979400298</v>
      </c>
      <c r="J336">
        <v>10.57</v>
      </c>
      <c r="K336">
        <v>3405</v>
      </c>
      <c r="L336">
        <v>1432.2745398773006</v>
      </c>
    </row>
    <row r="337" spans="1:12">
      <c r="A337" s="14">
        <v>43368</v>
      </c>
      <c r="B337">
        <v>3320</v>
      </c>
      <c r="C337">
        <v>3375</v>
      </c>
      <c r="D337">
        <v>1740</v>
      </c>
      <c r="E337">
        <v>1758</v>
      </c>
      <c r="F337">
        <v>1.9197952218430001</v>
      </c>
      <c r="G337">
        <v>1.74558213046157</v>
      </c>
      <c r="H337">
        <v>9.4737859086447995E-2</v>
      </c>
      <c r="I337">
        <v>1.8388962243960301</v>
      </c>
      <c r="J337">
        <v>9.07</v>
      </c>
      <c r="K337">
        <v>3375</v>
      </c>
      <c r="L337">
        <v>1447.9233128834355</v>
      </c>
    </row>
    <row r="338" spans="1:12">
      <c r="A338" s="14">
        <v>43364</v>
      </c>
      <c r="B338">
        <v>3300</v>
      </c>
      <c r="C338">
        <v>3335</v>
      </c>
      <c r="D338">
        <v>1745</v>
      </c>
      <c r="E338">
        <v>1758</v>
      </c>
      <c r="F338">
        <v>1.89704209328782</v>
      </c>
      <c r="G338">
        <v>1.7402346006913101</v>
      </c>
      <c r="H338">
        <v>9.6063271247971802E-2</v>
      </c>
      <c r="I338">
        <v>1.63233554884611</v>
      </c>
      <c r="J338">
        <v>8.27</v>
      </c>
      <c r="K338">
        <v>3335</v>
      </c>
      <c r="L338">
        <v>1447.9233128834355</v>
      </c>
    </row>
    <row r="339" spans="1:12">
      <c r="A339" s="14">
        <v>43363</v>
      </c>
      <c r="B339">
        <v>3265</v>
      </c>
      <c r="C339">
        <v>3305</v>
      </c>
      <c r="D339">
        <v>1744</v>
      </c>
      <c r="E339">
        <v>1731</v>
      </c>
      <c r="F339">
        <v>1.9093009820912701</v>
      </c>
      <c r="G339">
        <v>1.7351571110007</v>
      </c>
      <c r="H339">
        <v>9.7691155915124506E-2</v>
      </c>
      <c r="I339">
        <v>1.7825960749391501</v>
      </c>
      <c r="J339">
        <v>9.1199999999999992</v>
      </c>
      <c r="K339">
        <v>3305</v>
      </c>
      <c r="L339">
        <v>1425.6855828220857</v>
      </c>
    </row>
    <row r="340" spans="1:12">
      <c r="A340" s="14">
        <v>43362</v>
      </c>
      <c r="B340">
        <v>3290</v>
      </c>
      <c r="C340">
        <v>3260</v>
      </c>
      <c r="D340">
        <v>1726</v>
      </c>
      <c r="E340">
        <v>1722</v>
      </c>
      <c r="F340">
        <v>1.8931475029036</v>
      </c>
      <c r="G340">
        <v>1.7296620610595399</v>
      </c>
      <c r="H340">
        <v>9.9318557541825503E-2</v>
      </c>
      <c r="I340">
        <v>1.64607144818038</v>
      </c>
      <c r="J340">
        <v>8.64</v>
      </c>
      <c r="K340">
        <v>3260</v>
      </c>
      <c r="L340">
        <v>1418.2730061349694</v>
      </c>
    </row>
    <row r="341" spans="1:12">
      <c r="A341" s="14">
        <v>43361</v>
      </c>
      <c r="B341">
        <v>3170</v>
      </c>
      <c r="C341">
        <v>3260</v>
      </c>
      <c r="D341">
        <v>1641</v>
      </c>
      <c r="E341">
        <v>1690</v>
      </c>
      <c r="F341">
        <v>1.9289940828402301</v>
      </c>
      <c r="G341">
        <v>1.7243692555132799</v>
      </c>
      <c r="H341">
        <v>0.101027734144023</v>
      </c>
      <c r="I341">
        <v>2.0254322148336201</v>
      </c>
      <c r="J341">
        <v>10.61</v>
      </c>
      <c r="K341">
        <v>3260</v>
      </c>
      <c r="L341">
        <v>1391.9171779141104</v>
      </c>
    </row>
    <row r="342" spans="1:12">
      <c r="A342" s="14">
        <v>43357</v>
      </c>
      <c r="B342">
        <v>3140</v>
      </c>
      <c r="C342">
        <v>3145</v>
      </c>
      <c r="D342">
        <v>1585</v>
      </c>
      <c r="E342">
        <v>1611</v>
      </c>
      <c r="F342">
        <v>1.9522036002482901</v>
      </c>
      <c r="G342">
        <v>1.7186110402399</v>
      </c>
      <c r="H342">
        <v>0.10150702757041399</v>
      </c>
      <c r="I342">
        <v>2.3012452004502499</v>
      </c>
      <c r="J342">
        <v>11.97</v>
      </c>
      <c r="K342">
        <v>3145</v>
      </c>
      <c r="L342">
        <v>1326.8512269938649</v>
      </c>
    </row>
    <row r="343" spans="1:12">
      <c r="A343" s="14">
        <v>43356</v>
      </c>
      <c r="B343">
        <v>3135</v>
      </c>
      <c r="C343">
        <v>3140</v>
      </c>
      <c r="D343">
        <v>1568</v>
      </c>
      <c r="E343">
        <v>1574</v>
      </c>
      <c r="F343">
        <v>1.9949174078780101</v>
      </c>
      <c r="G343">
        <v>1.7124769468613701</v>
      </c>
      <c r="H343">
        <v>0.10110551424922599</v>
      </c>
      <c r="I343">
        <v>2.7935218282993</v>
      </c>
      <c r="J343">
        <v>14.16</v>
      </c>
      <c r="K343">
        <v>3140</v>
      </c>
      <c r="L343">
        <v>1296.3773006134968</v>
      </c>
    </row>
    <row r="344" spans="1:12">
      <c r="A344" s="14">
        <v>43355</v>
      </c>
      <c r="B344">
        <v>3105</v>
      </c>
      <c r="C344">
        <v>3140</v>
      </c>
      <c r="D344">
        <v>1609</v>
      </c>
      <c r="E344">
        <v>1577</v>
      </c>
      <c r="F344">
        <v>1.9911223842739301</v>
      </c>
      <c r="G344">
        <v>1.7063804532206099</v>
      </c>
      <c r="H344">
        <v>9.7616122804142696E-2</v>
      </c>
      <c r="I344">
        <v>2.9169559584396501</v>
      </c>
      <c r="J344">
        <v>14.3</v>
      </c>
      <c r="K344">
        <v>3140</v>
      </c>
      <c r="L344">
        <v>1298.8481595092023</v>
      </c>
    </row>
    <row r="345" spans="1:12">
      <c r="A345" s="14">
        <v>43354</v>
      </c>
      <c r="B345">
        <v>3130</v>
      </c>
      <c r="C345">
        <v>3115</v>
      </c>
      <c r="D345">
        <v>1615</v>
      </c>
      <c r="E345">
        <v>1593</v>
      </c>
      <c r="F345">
        <v>1.9554300062774601</v>
      </c>
      <c r="G345">
        <v>1.6999626044718299</v>
      </c>
      <c r="H345">
        <v>9.4456424075054099E-2</v>
      </c>
      <c r="I345">
        <v>2.7046058995694802</v>
      </c>
      <c r="J345">
        <v>13.06</v>
      </c>
      <c r="K345">
        <v>3115</v>
      </c>
      <c r="L345">
        <v>1312.0260736196319</v>
      </c>
    </row>
    <row r="346" spans="1:12">
      <c r="A346" s="14">
        <v>43353</v>
      </c>
      <c r="B346">
        <v>3105</v>
      </c>
      <c r="C346">
        <v>3115</v>
      </c>
      <c r="D346">
        <v>1616</v>
      </c>
      <c r="E346">
        <v>1622</v>
      </c>
      <c r="F346">
        <v>1.92046855733662</v>
      </c>
      <c r="G346">
        <v>1.6936172600005499</v>
      </c>
      <c r="H346">
        <v>9.3056166135020504E-2</v>
      </c>
      <c r="I346">
        <v>2.4377889908650898</v>
      </c>
      <c r="J346">
        <v>11.81</v>
      </c>
      <c r="K346">
        <v>3115</v>
      </c>
      <c r="L346">
        <v>1335.9110429447853</v>
      </c>
    </row>
    <row r="347" spans="1:12">
      <c r="A347" s="14">
        <v>43350</v>
      </c>
      <c r="B347">
        <v>3075</v>
      </c>
      <c r="C347">
        <v>3105</v>
      </c>
      <c r="D347">
        <v>1640</v>
      </c>
      <c r="E347">
        <v>1628</v>
      </c>
      <c r="F347">
        <v>1.9072481572481499</v>
      </c>
      <c r="G347">
        <v>1.6877092293046501</v>
      </c>
      <c r="H347">
        <v>9.2530634795672598E-2</v>
      </c>
      <c r="I347">
        <v>2.37260803871379</v>
      </c>
      <c r="J347">
        <v>11.51</v>
      </c>
      <c r="K347">
        <v>3105</v>
      </c>
      <c r="L347">
        <v>1340.8527607361962</v>
      </c>
    </row>
    <row r="348" spans="1:12">
      <c r="A348" s="14">
        <v>43349</v>
      </c>
      <c r="B348">
        <v>3065</v>
      </c>
      <c r="C348">
        <v>3085</v>
      </c>
      <c r="D348">
        <v>1664</v>
      </c>
      <c r="E348">
        <v>1659</v>
      </c>
      <c r="F348">
        <v>1.85955394816154</v>
      </c>
      <c r="G348">
        <v>1.68212711002958</v>
      </c>
      <c r="H348">
        <v>9.1742997158186596E-2</v>
      </c>
      <c r="I348">
        <v>1.93395510968568</v>
      </c>
      <c r="J348">
        <v>9.5399999999999991</v>
      </c>
      <c r="K348">
        <v>3085</v>
      </c>
      <c r="L348">
        <v>1366.3849693251534</v>
      </c>
    </row>
    <row r="349" spans="1:12">
      <c r="A349" s="14">
        <v>43348</v>
      </c>
      <c r="B349">
        <v>3080</v>
      </c>
      <c r="C349">
        <v>3075</v>
      </c>
      <c r="D349">
        <v>1679</v>
      </c>
      <c r="E349">
        <v>1677</v>
      </c>
      <c r="F349">
        <v>1.8336314847942701</v>
      </c>
      <c r="G349">
        <v>1.67680256237138</v>
      </c>
      <c r="H349">
        <v>9.2872503956676303E-2</v>
      </c>
      <c r="I349">
        <v>1.68864750858928</v>
      </c>
      <c r="J349">
        <v>8.5500000000000007</v>
      </c>
      <c r="K349">
        <v>3075</v>
      </c>
      <c r="L349">
        <v>1381.2101226993864</v>
      </c>
    </row>
    <row r="350" spans="1:12">
      <c r="A350" s="14">
        <v>43347</v>
      </c>
      <c r="B350">
        <v>3095</v>
      </c>
      <c r="C350">
        <v>3065</v>
      </c>
      <c r="D350">
        <v>1722</v>
      </c>
      <c r="E350">
        <v>1694</v>
      </c>
      <c r="F350">
        <v>1.80932703659976</v>
      </c>
      <c r="G350">
        <v>1.6719450211790901</v>
      </c>
      <c r="H350">
        <v>9.4062630017110904E-2</v>
      </c>
      <c r="I350">
        <v>1.4605376800083201</v>
      </c>
      <c r="J350">
        <v>7.59</v>
      </c>
      <c r="K350">
        <v>3065</v>
      </c>
      <c r="L350">
        <v>1395.2116564417177</v>
      </c>
    </row>
    <row r="351" spans="1:12">
      <c r="A351" s="14">
        <v>43346</v>
      </c>
      <c r="B351">
        <v>3130</v>
      </c>
      <c r="C351">
        <v>3125</v>
      </c>
      <c r="D351">
        <v>1748</v>
      </c>
      <c r="E351">
        <v>1716</v>
      </c>
      <c r="F351">
        <v>1.8210955710955701</v>
      </c>
      <c r="G351">
        <v>1.66734209638401</v>
      </c>
      <c r="H351">
        <v>9.5660294944644397E-2</v>
      </c>
      <c r="I351">
        <v>1.6072862288426699</v>
      </c>
      <c r="J351">
        <v>8.44</v>
      </c>
      <c r="K351">
        <v>3125</v>
      </c>
      <c r="L351">
        <v>1413.3312883435583</v>
      </c>
    </row>
    <row r="352" spans="1:12">
      <c r="A352" s="14">
        <v>43343</v>
      </c>
      <c r="B352">
        <v>3075</v>
      </c>
      <c r="C352">
        <v>3110</v>
      </c>
      <c r="D352">
        <v>1750</v>
      </c>
      <c r="E352">
        <v>1746</v>
      </c>
      <c r="F352">
        <v>1.7812142038946099</v>
      </c>
      <c r="G352">
        <v>1.6626283537062001</v>
      </c>
      <c r="H352">
        <v>9.6672730281564798E-2</v>
      </c>
      <c r="I352">
        <v>1.22667322876913</v>
      </c>
      <c r="J352">
        <v>6.66</v>
      </c>
      <c r="K352">
        <v>3110</v>
      </c>
      <c r="L352">
        <v>1438.0398773006134</v>
      </c>
    </row>
    <row r="353" spans="1:12">
      <c r="A353" s="14">
        <v>43342</v>
      </c>
      <c r="B353">
        <v>3035</v>
      </c>
      <c r="C353">
        <v>3100</v>
      </c>
      <c r="D353">
        <v>1790</v>
      </c>
      <c r="E353">
        <v>1775</v>
      </c>
      <c r="F353">
        <v>1.7464788732394301</v>
      </c>
      <c r="G353">
        <v>1.65846195588338</v>
      </c>
      <c r="H353">
        <v>9.8193795957469507E-2</v>
      </c>
      <c r="I353">
        <v>0.89635925058006705</v>
      </c>
      <c r="J353">
        <v>5.04</v>
      </c>
      <c r="K353">
        <v>3100</v>
      </c>
      <c r="L353">
        <v>1461.9248466257668</v>
      </c>
    </row>
    <row r="354" spans="1:12">
      <c r="A354" s="14">
        <v>43341</v>
      </c>
      <c r="B354">
        <v>2980</v>
      </c>
      <c r="C354">
        <v>2984</v>
      </c>
      <c r="D354">
        <v>1760</v>
      </c>
      <c r="E354">
        <v>1777</v>
      </c>
      <c r="F354">
        <v>1.6792346651660099</v>
      </c>
      <c r="G354">
        <v>1.6550192678147699</v>
      </c>
      <c r="H354">
        <v>9.9564288107208299E-2</v>
      </c>
      <c r="I354">
        <v>0.243213684460408</v>
      </c>
      <c r="J354">
        <v>1.44</v>
      </c>
      <c r="K354">
        <v>2984</v>
      </c>
      <c r="L354">
        <v>1463.5720858895704</v>
      </c>
    </row>
    <row r="355" spans="1:12">
      <c r="A355" s="14">
        <v>43340</v>
      </c>
      <c r="B355">
        <v>2997</v>
      </c>
      <c r="C355">
        <v>2970</v>
      </c>
      <c r="D355">
        <v>1772</v>
      </c>
      <c r="E355">
        <v>1772</v>
      </c>
      <c r="F355">
        <v>1.67607223476297</v>
      </c>
      <c r="G355">
        <v>1.65221952604267</v>
      </c>
      <c r="H355">
        <v>0.10177183668680399</v>
      </c>
      <c r="I355">
        <v>0.234374356372405</v>
      </c>
      <c r="J355">
        <v>1.42</v>
      </c>
      <c r="K355">
        <v>2970</v>
      </c>
      <c r="L355">
        <v>1459.4539877300613</v>
      </c>
    </row>
    <row r="356" spans="1:12">
      <c r="A356" s="14">
        <v>43339</v>
      </c>
      <c r="B356">
        <v>2956</v>
      </c>
      <c r="C356">
        <v>2979</v>
      </c>
      <c r="D356">
        <v>1741</v>
      </c>
      <c r="E356">
        <v>1747</v>
      </c>
      <c r="F356">
        <v>1.7052089295935799</v>
      </c>
      <c r="G356">
        <v>1.6496257219278001</v>
      </c>
      <c r="H356">
        <v>0.103593565913786</v>
      </c>
      <c r="I356">
        <v>0.53655077103963</v>
      </c>
      <c r="J356">
        <v>3.26</v>
      </c>
      <c r="K356">
        <v>2979</v>
      </c>
      <c r="L356">
        <v>1438.8634969325153</v>
      </c>
    </row>
    <row r="357" spans="1:12">
      <c r="A357" s="14">
        <v>43336</v>
      </c>
      <c r="B357">
        <v>2950</v>
      </c>
      <c r="C357">
        <v>2956</v>
      </c>
      <c r="D357">
        <v>1749</v>
      </c>
      <c r="E357">
        <v>1726</v>
      </c>
      <c r="F357">
        <v>1.71263035921205</v>
      </c>
      <c r="G357">
        <v>1.6462431583116</v>
      </c>
      <c r="H357">
        <v>0.105840861374961</v>
      </c>
      <c r="I357">
        <v>0.62723602243991206</v>
      </c>
      <c r="J357">
        <v>3.88</v>
      </c>
      <c r="K357">
        <v>2956</v>
      </c>
      <c r="L357">
        <v>1421.5674846625766</v>
      </c>
    </row>
    <row r="358" spans="1:12">
      <c r="A358" s="14">
        <v>43335</v>
      </c>
      <c r="B358">
        <v>2875</v>
      </c>
      <c r="C358">
        <v>2912</v>
      </c>
      <c r="D358">
        <v>1748</v>
      </c>
      <c r="E358">
        <v>1731</v>
      </c>
      <c r="F358">
        <v>1.6822645869439601</v>
      </c>
      <c r="G358">
        <v>1.64368814150025</v>
      </c>
      <c r="H358">
        <v>0.106518201801104</v>
      </c>
      <c r="I358">
        <v>0.36215824893233001</v>
      </c>
      <c r="J358">
        <v>2.29</v>
      </c>
      <c r="K358">
        <v>2912</v>
      </c>
      <c r="L358">
        <v>1425.6855828220857</v>
      </c>
    </row>
    <row r="359" spans="1:12">
      <c r="A359" s="14">
        <v>43334</v>
      </c>
      <c r="B359">
        <v>2888</v>
      </c>
      <c r="C359">
        <v>2871</v>
      </c>
      <c r="D359">
        <v>1698</v>
      </c>
      <c r="E359">
        <v>1732</v>
      </c>
      <c r="F359">
        <v>1.6576212471131599</v>
      </c>
      <c r="G359">
        <v>1.64021344658785</v>
      </c>
      <c r="H359">
        <v>0.109414276526571</v>
      </c>
      <c r="I359">
        <v>0.159099900652209</v>
      </c>
      <c r="J359">
        <v>1.05</v>
      </c>
      <c r="K359">
        <v>2871</v>
      </c>
      <c r="L359">
        <v>1426.5092024539877</v>
      </c>
    </row>
    <row r="360" spans="1:12">
      <c r="A360" s="14">
        <v>43333</v>
      </c>
      <c r="B360">
        <v>2929</v>
      </c>
      <c r="C360">
        <v>2916</v>
      </c>
      <c r="D360">
        <v>1672</v>
      </c>
      <c r="E360">
        <v>1696</v>
      </c>
      <c r="F360">
        <v>1.7193396226415001</v>
      </c>
      <c r="G360">
        <v>1.6375102210054899</v>
      </c>
      <c r="H360">
        <v>0.111436615154272</v>
      </c>
      <c r="I360">
        <v>0.73431341684892004</v>
      </c>
      <c r="J360">
        <v>4.76</v>
      </c>
      <c r="K360">
        <v>2916</v>
      </c>
      <c r="L360">
        <v>1396.8588957055215</v>
      </c>
    </row>
    <row r="361" spans="1:12">
      <c r="A361" s="14">
        <v>43332</v>
      </c>
      <c r="B361">
        <v>2914</v>
      </c>
      <c r="C361">
        <v>2917</v>
      </c>
      <c r="D361">
        <v>1658</v>
      </c>
      <c r="E361">
        <v>1670</v>
      </c>
      <c r="F361">
        <v>1.7467065868263401</v>
      </c>
      <c r="G361">
        <v>1.6341755432423599</v>
      </c>
      <c r="H361">
        <v>0.112673224117532</v>
      </c>
      <c r="I361">
        <v>0.99873811604606999</v>
      </c>
      <c r="J361">
        <v>6.44</v>
      </c>
      <c r="K361">
        <v>2917</v>
      </c>
      <c r="L361">
        <v>1375.4447852760736</v>
      </c>
    </row>
    <row r="362" spans="1:12">
      <c r="A362" s="14">
        <v>43329</v>
      </c>
      <c r="B362">
        <v>2939</v>
      </c>
      <c r="C362">
        <v>2920</v>
      </c>
      <c r="D362">
        <v>1688</v>
      </c>
      <c r="E362">
        <v>1694</v>
      </c>
      <c r="F362">
        <v>1.7237308146399</v>
      </c>
      <c r="G362">
        <v>1.63016364305711</v>
      </c>
      <c r="H362">
        <v>0.113944654078071</v>
      </c>
      <c r="I362">
        <v>0.82116333003808695</v>
      </c>
      <c r="J362">
        <v>5.43</v>
      </c>
      <c r="K362">
        <v>2920</v>
      </c>
      <c r="L362">
        <v>1395.2116564417177</v>
      </c>
    </row>
    <row r="363" spans="1:12">
      <c r="A363" s="14">
        <v>43328</v>
      </c>
      <c r="B363">
        <v>2931</v>
      </c>
      <c r="C363">
        <v>2954</v>
      </c>
      <c r="D363">
        <v>1652</v>
      </c>
      <c r="E363">
        <v>1687</v>
      </c>
      <c r="F363">
        <v>1.75103734439834</v>
      </c>
      <c r="G363">
        <v>1.6264329341763</v>
      </c>
      <c r="H363">
        <v>0.115391448577305</v>
      </c>
      <c r="I363">
        <v>1.07984093932713</v>
      </c>
      <c r="J363">
        <v>7.12</v>
      </c>
      <c r="K363">
        <v>2954</v>
      </c>
      <c r="L363">
        <v>1389.4463190184049</v>
      </c>
    </row>
    <row r="364" spans="1:12">
      <c r="A364" s="14">
        <v>43327</v>
      </c>
      <c r="B364">
        <v>3025</v>
      </c>
      <c r="C364">
        <v>2957</v>
      </c>
      <c r="D364">
        <v>1720</v>
      </c>
      <c r="E364">
        <v>1692</v>
      </c>
      <c r="F364">
        <v>1.74763593380614</v>
      </c>
      <c r="G364">
        <v>1.6226532258150099</v>
      </c>
      <c r="H364">
        <v>0.115889724282882</v>
      </c>
      <c r="I364">
        <v>1.0784623810653999</v>
      </c>
      <c r="J364">
        <v>7.15</v>
      </c>
      <c r="K364">
        <v>2957</v>
      </c>
      <c r="L364">
        <v>1393.564417177914</v>
      </c>
    </row>
    <row r="365" spans="1:12">
      <c r="A365" s="14">
        <v>43326</v>
      </c>
      <c r="B365">
        <v>2969</v>
      </c>
      <c r="C365">
        <v>3025</v>
      </c>
      <c r="D365">
        <v>1690</v>
      </c>
      <c r="E365">
        <v>1713</v>
      </c>
      <c r="F365">
        <v>1.76590776415645</v>
      </c>
      <c r="G365">
        <v>1.6187372428375899</v>
      </c>
      <c r="H365">
        <v>0.116560508572642</v>
      </c>
      <c r="I365">
        <v>1.26261049407777</v>
      </c>
      <c r="J365">
        <v>8.33</v>
      </c>
      <c r="K365">
        <v>3025</v>
      </c>
      <c r="L365">
        <v>1410.8604294478528</v>
      </c>
    </row>
    <row r="366" spans="1:12">
      <c r="A366" s="14">
        <v>43325</v>
      </c>
      <c r="B366">
        <v>2978</v>
      </c>
      <c r="C366">
        <v>2934</v>
      </c>
      <c r="D366">
        <v>1706</v>
      </c>
      <c r="E366">
        <v>1682</v>
      </c>
      <c r="F366">
        <v>1.74435196195005</v>
      </c>
      <c r="G366">
        <v>1.61464022273395</v>
      </c>
      <c r="H366">
        <v>0.116715737780686</v>
      </c>
      <c r="I366">
        <v>1.11134746421116</v>
      </c>
      <c r="J366">
        <v>7.44</v>
      </c>
      <c r="K366">
        <v>2934</v>
      </c>
      <c r="L366">
        <v>1385.3282208588957</v>
      </c>
    </row>
    <row r="367" spans="1:12">
      <c r="A367" s="14">
        <v>43322</v>
      </c>
      <c r="B367">
        <v>2970</v>
      </c>
      <c r="C367">
        <v>2984</v>
      </c>
      <c r="D367">
        <v>1742</v>
      </c>
      <c r="E367">
        <v>1717</v>
      </c>
      <c r="F367">
        <v>1.73791496796738</v>
      </c>
      <c r="G367">
        <v>1.61020730567163</v>
      </c>
      <c r="H367">
        <v>0.11801150983783799</v>
      </c>
      <c r="I367">
        <v>1.08216276930303</v>
      </c>
      <c r="J367">
        <v>7.35</v>
      </c>
      <c r="K367">
        <v>2984</v>
      </c>
      <c r="L367">
        <v>1414.15490797546</v>
      </c>
    </row>
    <row r="368" spans="1:12">
      <c r="A368" s="14">
        <v>43321</v>
      </c>
      <c r="B368">
        <v>2995</v>
      </c>
      <c r="C368">
        <v>2976</v>
      </c>
      <c r="D368">
        <v>1731</v>
      </c>
      <c r="E368">
        <v>1745</v>
      </c>
      <c r="F368">
        <v>1.7054441260744899</v>
      </c>
      <c r="G368">
        <v>1.60541974694613</v>
      </c>
      <c r="H368">
        <v>0.120000140670912</v>
      </c>
      <c r="I368">
        <v>0.833535515617981</v>
      </c>
      <c r="J368">
        <v>5.87</v>
      </c>
      <c r="K368">
        <v>2976</v>
      </c>
      <c r="L368">
        <v>1437.2162576687117</v>
      </c>
    </row>
    <row r="369" spans="1:12">
      <c r="A369" s="14">
        <v>43320</v>
      </c>
      <c r="B369">
        <v>3015</v>
      </c>
      <c r="C369">
        <v>3010</v>
      </c>
      <c r="D369">
        <v>1746</v>
      </c>
      <c r="E369">
        <v>1739</v>
      </c>
      <c r="F369">
        <v>1.73087981598619</v>
      </c>
      <c r="G369">
        <v>1.6011537490935901</v>
      </c>
      <c r="H369">
        <v>0.122038243088292</v>
      </c>
      <c r="I369">
        <v>1.0629952022395901</v>
      </c>
      <c r="J369">
        <v>7.49</v>
      </c>
      <c r="K369">
        <v>3010</v>
      </c>
      <c r="L369">
        <v>1432.2745398773006</v>
      </c>
    </row>
    <row r="370" spans="1:12">
      <c r="A370" s="14">
        <v>43319</v>
      </c>
      <c r="B370">
        <v>2963</v>
      </c>
      <c r="C370">
        <v>3025</v>
      </c>
      <c r="D370">
        <v>1749</v>
      </c>
      <c r="E370">
        <v>1770</v>
      </c>
      <c r="F370">
        <v>1.7090395480225899</v>
      </c>
      <c r="G370">
        <v>1.5962287467596099</v>
      </c>
      <c r="H370">
        <v>0.12413882697555</v>
      </c>
      <c r="I370">
        <v>0.908747118137334</v>
      </c>
      <c r="J370">
        <v>6.6</v>
      </c>
      <c r="K370">
        <v>3025</v>
      </c>
      <c r="L370">
        <v>1457.8067484662577</v>
      </c>
    </row>
    <row r="371" spans="1:12">
      <c r="A371" s="14">
        <v>43318</v>
      </c>
      <c r="B371">
        <v>3000</v>
      </c>
      <c r="C371">
        <v>2954</v>
      </c>
      <c r="D371">
        <v>1769</v>
      </c>
      <c r="E371">
        <v>1768</v>
      </c>
      <c r="F371">
        <v>1.670814479638</v>
      </c>
      <c r="G371">
        <v>1.59234772438658</v>
      </c>
      <c r="H371">
        <v>0.12509763643035501</v>
      </c>
      <c r="I371">
        <v>0.62724410700683197</v>
      </c>
      <c r="J371">
        <v>4.7</v>
      </c>
      <c r="K371">
        <v>2954</v>
      </c>
      <c r="L371">
        <v>1456.1595092024538</v>
      </c>
    </row>
    <row r="372" spans="1:12">
      <c r="A372" s="14">
        <v>43315</v>
      </c>
      <c r="B372">
        <v>3010</v>
      </c>
      <c r="C372">
        <v>3015</v>
      </c>
      <c r="D372">
        <v>1772</v>
      </c>
      <c r="E372">
        <v>1769</v>
      </c>
      <c r="F372">
        <v>1.7043527416619499</v>
      </c>
      <c r="G372">
        <v>1.5892598472934201</v>
      </c>
      <c r="H372">
        <v>0.12597783985278499</v>
      </c>
      <c r="I372">
        <v>0.91359634760390895</v>
      </c>
      <c r="J372">
        <v>6.75</v>
      </c>
      <c r="K372">
        <v>3015</v>
      </c>
      <c r="L372">
        <v>1456.9831288343557</v>
      </c>
    </row>
    <row r="373" spans="1:12">
      <c r="A373" s="14">
        <v>43314</v>
      </c>
      <c r="B373">
        <v>3005</v>
      </c>
      <c r="C373">
        <v>2985</v>
      </c>
      <c r="D373">
        <v>1858</v>
      </c>
      <c r="E373">
        <v>1795</v>
      </c>
      <c r="F373">
        <v>1.6629526462395501</v>
      </c>
      <c r="G373">
        <v>1.5853726292432599</v>
      </c>
      <c r="H373">
        <v>0.12686137367081199</v>
      </c>
      <c r="I373">
        <v>0.61153379276498798</v>
      </c>
      <c r="J373">
        <v>4.67</v>
      </c>
      <c r="K373">
        <v>2985</v>
      </c>
      <c r="L373">
        <v>1478.3972392638036</v>
      </c>
    </row>
    <row r="374" spans="1:12">
      <c r="A374" s="14">
        <v>43313</v>
      </c>
      <c r="B374">
        <v>3025</v>
      </c>
      <c r="C374">
        <v>2990</v>
      </c>
      <c r="D374">
        <v>1827</v>
      </c>
      <c r="E374">
        <v>1837</v>
      </c>
      <c r="F374">
        <v>1.6276537833424001</v>
      </c>
      <c r="G374">
        <v>1.58188823020077</v>
      </c>
      <c r="H374">
        <v>0.12826381161742301</v>
      </c>
      <c r="I374">
        <v>0.35680799256252499</v>
      </c>
      <c r="J374">
        <v>2.81</v>
      </c>
      <c r="K374">
        <v>2990</v>
      </c>
      <c r="L374">
        <v>1512.9892638036808</v>
      </c>
    </row>
    <row r="375" spans="1:12">
      <c r="A375" s="14">
        <v>43312</v>
      </c>
      <c r="B375">
        <v>3130</v>
      </c>
      <c r="C375">
        <v>3025</v>
      </c>
      <c r="D375">
        <v>1810</v>
      </c>
      <c r="E375">
        <v>1820</v>
      </c>
      <c r="F375">
        <v>1.66208791208791</v>
      </c>
      <c r="G375">
        <v>1.57923872066921</v>
      </c>
      <c r="H375">
        <v>0.129338955802871</v>
      </c>
      <c r="I375">
        <v>0.64055868477064704</v>
      </c>
      <c r="J375">
        <v>4.9800000000000004</v>
      </c>
      <c r="K375">
        <v>3025</v>
      </c>
      <c r="L375">
        <v>1498.9877300613496</v>
      </c>
    </row>
    <row r="376" spans="1:12">
      <c r="A376" s="14">
        <v>43311</v>
      </c>
      <c r="B376">
        <v>3190</v>
      </c>
      <c r="C376">
        <v>3160</v>
      </c>
      <c r="D376">
        <v>1800</v>
      </c>
      <c r="E376">
        <v>1803</v>
      </c>
      <c r="F376">
        <v>1.75263449805879</v>
      </c>
      <c r="G376">
        <v>1.5760038142232999</v>
      </c>
      <c r="H376">
        <v>0.130257163259</v>
      </c>
      <c r="I376">
        <v>1.3560151274312799</v>
      </c>
      <c r="J376">
        <v>10.08</v>
      </c>
      <c r="K376">
        <v>3160</v>
      </c>
      <c r="L376">
        <v>1484.9861963190183</v>
      </c>
    </row>
    <row r="377" spans="1:12">
      <c r="A377" s="14">
        <v>43308</v>
      </c>
      <c r="B377">
        <v>3185</v>
      </c>
      <c r="C377">
        <v>3155</v>
      </c>
      <c r="D377">
        <v>1792</v>
      </c>
      <c r="E377">
        <v>1787</v>
      </c>
      <c r="F377">
        <v>1.7655288192501399</v>
      </c>
      <c r="G377">
        <v>1.5719548057474</v>
      </c>
      <c r="H377">
        <v>0.12942086795249799</v>
      </c>
      <c r="I377">
        <v>1.4956939832437299</v>
      </c>
      <c r="J377">
        <v>10.96</v>
      </c>
      <c r="K377">
        <v>3155</v>
      </c>
      <c r="L377">
        <v>1471.8082822085889</v>
      </c>
    </row>
    <row r="378" spans="1:12">
      <c r="A378" s="14">
        <v>43307</v>
      </c>
      <c r="B378">
        <v>3020</v>
      </c>
      <c r="C378">
        <v>3150</v>
      </c>
      <c r="D378">
        <v>1780</v>
      </c>
      <c r="E378">
        <v>1773</v>
      </c>
      <c r="F378">
        <v>1.7766497461928901</v>
      </c>
      <c r="G378">
        <v>1.5681564019649299</v>
      </c>
      <c r="H378">
        <v>0.12785491389552101</v>
      </c>
      <c r="I378">
        <v>1.6307026290622699</v>
      </c>
      <c r="J378">
        <v>11.74</v>
      </c>
      <c r="K378">
        <v>3150</v>
      </c>
      <c r="L378">
        <v>1460.2776073619632</v>
      </c>
    </row>
    <row r="379" spans="1:12">
      <c r="A379" s="14">
        <v>43306</v>
      </c>
      <c r="B379">
        <v>2970</v>
      </c>
      <c r="C379">
        <v>2976</v>
      </c>
      <c r="D379">
        <v>1733</v>
      </c>
      <c r="E379">
        <v>1757</v>
      </c>
      <c r="F379">
        <v>1.69379624359704</v>
      </c>
      <c r="G379">
        <v>1.56383586079808</v>
      </c>
      <c r="H379">
        <v>0.126200770504134</v>
      </c>
      <c r="I379">
        <v>1.0297907237792501</v>
      </c>
      <c r="J379">
        <v>7.67</v>
      </c>
      <c r="K379">
        <v>2976</v>
      </c>
      <c r="L379">
        <v>1447.0996932515336</v>
      </c>
    </row>
    <row r="380" spans="1:12">
      <c r="A380" s="14">
        <v>43305</v>
      </c>
      <c r="B380">
        <v>2960</v>
      </c>
      <c r="C380">
        <v>2974</v>
      </c>
      <c r="D380">
        <v>1729</v>
      </c>
      <c r="E380">
        <v>1715</v>
      </c>
      <c r="F380">
        <v>1.7341107871720101</v>
      </c>
      <c r="G380">
        <v>1.5601919387774601</v>
      </c>
      <c r="H380">
        <v>0.126341156729287</v>
      </c>
      <c r="I380">
        <v>1.3765810991204099</v>
      </c>
      <c r="J380">
        <v>10.029999999999999</v>
      </c>
      <c r="K380">
        <v>2974</v>
      </c>
      <c r="L380">
        <v>1412.5076687116564</v>
      </c>
    </row>
    <row r="381" spans="1:12">
      <c r="A381" s="14">
        <v>43304</v>
      </c>
      <c r="B381">
        <v>2965</v>
      </c>
      <c r="C381">
        <v>2948</v>
      </c>
      <c r="D381">
        <v>1722</v>
      </c>
      <c r="E381">
        <v>1715</v>
      </c>
      <c r="F381">
        <v>1.71895043731778</v>
      </c>
      <c r="G381">
        <v>1.5563593037941801</v>
      </c>
      <c r="H381">
        <v>0.125363254928192</v>
      </c>
      <c r="I381">
        <v>1.29696005114679</v>
      </c>
      <c r="J381">
        <v>9.4600000000000009</v>
      </c>
      <c r="K381">
        <v>2948</v>
      </c>
      <c r="L381">
        <v>1412.5076687116564</v>
      </c>
    </row>
    <row r="382" spans="1:12">
      <c r="A382" s="14">
        <v>43301</v>
      </c>
      <c r="B382">
        <v>2941</v>
      </c>
      <c r="C382">
        <v>2981</v>
      </c>
      <c r="D382">
        <v>1758</v>
      </c>
      <c r="E382">
        <v>1740</v>
      </c>
      <c r="F382">
        <v>1.7132183908045899</v>
      </c>
      <c r="G382">
        <v>1.5513384450696499</v>
      </c>
      <c r="H382">
        <v>0.126288238233698</v>
      </c>
      <c r="I382">
        <v>1.28182915526451</v>
      </c>
      <c r="J382">
        <v>9.4499999999999993</v>
      </c>
      <c r="K382">
        <v>2981</v>
      </c>
      <c r="L382">
        <v>1433.0981595092023</v>
      </c>
    </row>
    <row r="383" spans="1:12">
      <c r="A383" s="14">
        <v>43300</v>
      </c>
      <c r="B383">
        <v>2961</v>
      </c>
      <c r="C383">
        <v>2948</v>
      </c>
      <c r="D383">
        <v>1735</v>
      </c>
      <c r="E383">
        <v>1747</v>
      </c>
      <c r="F383">
        <v>1.68746422438465</v>
      </c>
      <c r="G383">
        <v>1.54639279675442</v>
      </c>
      <c r="H383">
        <v>0.127112213856378</v>
      </c>
      <c r="I383">
        <v>1.1098180367594399</v>
      </c>
      <c r="J383">
        <v>8.36</v>
      </c>
      <c r="K383">
        <v>2948</v>
      </c>
      <c r="L383">
        <v>1438.8634969325153</v>
      </c>
    </row>
    <row r="384" spans="1:12">
      <c r="A384" s="14">
        <v>43299</v>
      </c>
      <c r="B384">
        <v>2960</v>
      </c>
      <c r="C384">
        <v>2959</v>
      </c>
      <c r="D384">
        <v>1746</v>
      </c>
      <c r="E384">
        <v>1734</v>
      </c>
      <c r="F384">
        <v>1.7064590542099101</v>
      </c>
      <c r="G384">
        <v>1.5420669646949401</v>
      </c>
      <c r="H384">
        <v>0.12775664838018</v>
      </c>
      <c r="I384">
        <v>1.2867595667176099</v>
      </c>
      <c r="J384">
        <v>9.6300000000000008</v>
      </c>
      <c r="K384">
        <v>2959</v>
      </c>
      <c r="L384">
        <v>1428.1564417177913</v>
      </c>
    </row>
    <row r="385" spans="1:12">
      <c r="A385" s="14">
        <v>43298</v>
      </c>
      <c r="B385">
        <v>2935</v>
      </c>
      <c r="C385">
        <v>2960</v>
      </c>
      <c r="D385">
        <v>1701</v>
      </c>
      <c r="E385">
        <v>1721</v>
      </c>
      <c r="F385">
        <v>1.7199302730970301</v>
      </c>
      <c r="G385">
        <v>1.53742555745075</v>
      </c>
      <c r="H385">
        <v>0.128023032553858</v>
      </c>
      <c r="I385">
        <v>1.4255615728326101</v>
      </c>
      <c r="J385">
        <v>10.61</v>
      </c>
      <c r="K385">
        <v>2960</v>
      </c>
      <c r="L385">
        <v>1417.4493865030674</v>
      </c>
    </row>
    <row r="386" spans="1:12">
      <c r="A386" s="14">
        <v>43294</v>
      </c>
      <c r="B386">
        <v>2942</v>
      </c>
      <c r="C386">
        <v>2935</v>
      </c>
      <c r="D386">
        <v>1672</v>
      </c>
      <c r="E386">
        <v>1686</v>
      </c>
      <c r="F386">
        <v>1.74080664294187</v>
      </c>
      <c r="G386">
        <v>1.5319190887293199</v>
      </c>
      <c r="H386">
        <v>0.12893313183031399</v>
      </c>
      <c r="I386">
        <v>1.62012316964004</v>
      </c>
      <c r="J386">
        <v>12</v>
      </c>
      <c r="K386">
        <v>2935</v>
      </c>
      <c r="L386">
        <v>1388.622699386503</v>
      </c>
    </row>
    <row r="387" spans="1:12">
      <c r="A387" s="14">
        <v>43293</v>
      </c>
      <c r="B387">
        <v>2891</v>
      </c>
      <c r="C387">
        <v>2929</v>
      </c>
      <c r="D387">
        <v>1674</v>
      </c>
      <c r="E387">
        <v>1665</v>
      </c>
      <c r="F387">
        <v>1.75915915915915</v>
      </c>
      <c r="G387">
        <v>1.5263766104627201</v>
      </c>
      <c r="H387">
        <v>0.12876899417035501</v>
      </c>
      <c r="I387">
        <v>1.8077531023382201</v>
      </c>
      <c r="J387">
        <v>13.23</v>
      </c>
      <c r="K387">
        <v>2929</v>
      </c>
      <c r="L387">
        <v>1371.3266871165645</v>
      </c>
    </row>
    <row r="388" spans="1:12">
      <c r="A388" s="14">
        <v>43292</v>
      </c>
      <c r="B388">
        <v>2876</v>
      </c>
      <c r="C388">
        <v>2887</v>
      </c>
      <c r="D388">
        <v>1726</v>
      </c>
      <c r="E388">
        <v>1689</v>
      </c>
      <c r="F388">
        <v>1.7092954410893999</v>
      </c>
      <c r="G388">
        <v>1.5202159828747801</v>
      </c>
      <c r="H388">
        <v>0.12853726022124401</v>
      </c>
      <c r="I388">
        <v>1.4710089346012301</v>
      </c>
      <c r="J388">
        <v>11.06</v>
      </c>
      <c r="K388">
        <v>2887</v>
      </c>
      <c r="L388">
        <v>1391.0935582822085</v>
      </c>
    </row>
    <row r="389" spans="1:12">
      <c r="A389" s="14">
        <v>43291</v>
      </c>
      <c r="B389">
        <v>2940</v>
      </c>
      <c r="C389">
        <v>2905</v>
      </c>
      <c r="D389">
        <v>1774</v>
      </c>
      <c r="E389">
        <v>1738</v>
      </c>
      <c r="F389">
        <v>1.67146144994246</v>
      </c>
      <c r="G389">
        <v>1.5149762612111399</v>
      </c>
      <c r="H389">
        <v>0.128732382673477</v>
      </c>
      <c r="I389">
        <v>1.21558527451662</v>
      </c>
      <c r="J389">
        <v>9.36</v>
      </c>
      <c r="K389">
        <v>2905</v>
      </c>
      <c r="L389">
        <v>1431.4509202453987</v>
      </c>
    </row>
    <row r="390" spans="1:12">
      <c r="A390" s="14">
        <v>43290</v>
      </c>
      <c r="B390">
        <v>2891</v>
      </c>
      <c r="C390">
        <v>2929</v>
      </c>
      <c r="D390">
        <v>1719</v>
      </c>
      <c r="E390">
        <v>1737</v>
      </c>
      <c r="F390">
        <v>1.6862406447898599</v>
      </c>
      <c r="G390">
        <v>1.50962482945347</v>
      </c>
      <c r="H390">
        <v>0.13044686868240299</v>
      </c>
      <c r="I390">
        <v>1.3539291293100599</v>
      </c>
      <c r="J390">
        <v>10.47</v>
      </c>
      <c r="K390">
        <v>2929</v>
      </c>
      <c r="L390">
        <v>1430.6273006134968</v>
      </c>
    </row>
    <row r="391" spans="1:12">
      <c r="A391" s="14">
        <v>43287</v>
      </c>
      <c r="B391">
        <v>2843</v>
      </c>
      <c r="C391">
        <v>2858</v>
      </c>
      <c r="D391">
        <v>1672</v>
      </c>
      <c r="E391">
        <v>1711</v>
      </c>
      <c r="F391">
        <v>1.6703682057276401</v>
      </c>
      <c r="G391">
        <v>1.5040963533665599</v>
      </c>
      <c r="H391">
        <v>0.131625576793233</v>
      </c>
      <c r="I391">
        <v>1.26321841401895</v>
      </c>
      <c r="J391">
        <v>9.9499999999999993</v>
      </c>
      <c r="K391">
        <v>2858</v>
      </c>
      <c r="L391">
        <v>1409.2131901840489</v>
      </c>
    </row>
    <row r="392" spans="1:12">
      <c r="A392" s="14">
        <v>43286</v>
      </c>
      <c r="B392">
        <v>2861</v>
      </c>
      <c r="C392">
        <v>2831</v>
      </c>
      <c r="D392">
        <v>1694</v>
      </c>
      <c r="E392">
        <v>1682</v>
      </c>
      <c r="F392">
        <v>1.6831153388822799</v>
      </c>
      <c r="G392">
        <v>1.4986875223882301</v>
      </c>
      <c r="H392">
        <v>0.13300948561384501</v>
      </c>
      <c r="I392">
        <v>1.38657642079361</v>
      </c>
      <c r="J392">
        <v>10.96</v>
      </c>
      <c r="K392">
        <v>2831</v>
      </c>
      <c r="L392">
        <v>1385.3282208588957</v>
      </c>
    </row>
    <row r="393" spans="1:12">
      <c r="A393" s="14">
        <v>43285</v>
      </c>
      <c r="B393">
        <v>2768</v>
      </c>
      <c r="C393">
        <v>2849</v>
      </c>
      <c r="D393">
        <v>1696</v>
      </c>
      <c r="E393">
        <v>1691</v>
      </c>
      <c r="F393">
        <v>1.6848018923713699</v>
      </c>
      <c r="G393">
        <v>1.49286750096181</v>
      </c>
      <c r="H393">
        <v>0.134355318584368</v>
      </c>
      <c r="I393">
        <v>1.42855819502994</v>
      </c>
      <c r="J393">
        <v>11.39</v>
      </c>
      <c r="K393">
        <v>2849</v>
      </c>
      <c r="L393">
        <v>1392.7407975460121</v>
      </c>
    </row>
    <row r="394" spans="1:12">
      <c r="A394" s="14">
        <v>43284</v>
      </c>
      <c r="B394">
        <v>2845</v>
      </c>
      <c r="C394">
        <v>2818</v>
      </c>
      <c r="D394">
        <v>1710</v>
      </c>
      <c r="E394">
        <v>1708</v>
      </c>
      <c r="F394">
        <v>1.6498829039812599</v>
      </c>
      <c r="G394">
        <v>1.48712758689306</v>
      </c>
      <c r="H394">
        <v>0.13522583778658201</v>
      </c>
      <c r="I394">
        <v>1.20358150300436</v>
      </c>
      <c r="J394">
        <v>9.86</v>
      </c>
      <c r="K394">
        <v>2818</v>
      </c>
      <c r="L394">
        <v>1406.7423312883434</v>
      </c>
    </row>
    <row r="395" spans="1:12">
      <c r="A395" s="14">
        <v>43283</v>
      </c>
      <c r="B395">
        <v>2911</v>
      </c>
      <c r="C395">
        <v>2827</v>
      </c>
      <c r="D395">
        <v>1729</v>
      </c>
      <c r="E395">
        <v>1709</v>
      </c>
      <c r="F395">
        <v>1.6541837331772899</v>
      </c>
      <c r="G395">
        <v>1.4818672656010801</v>
      </c>
      <c r="H395">
        <v>0.136460211096046</v>
      </c>
      <c r="I395">
        <v>1.2627597905071799</v>
      </c>
      <c r="J395">
        <v>10.42</v>
      </c>
      <c r="K395">
        <v>2827</v>
      </c>
      <c r="L395">
        <v>1407.5659509202453</v>
      </c>
    </row>
    <row r="396" spans="1:12">
      <c r="A396" s="14">
        <v>43280</v>
      </c>
      <c r="B396">
        <v>2890</v>
      </c>
      <c r="C396">
        <v>2909</v>
      </c>
      <c r="D396">
        <v>1711</v>
      </c>
      <c r="E396">
        <v>1717</v>
      </c>
      <c r="F396">
        <v>1.6942341292952801</v>
      </c>
      <c r="G396">
        <v>1.4763570763617799</v>
      </c>
      <c r="H396">
        <v>0.137728712493459</v>
      </c>
      <c r="I396">
        <v>1.5819290617694499</v>
      </c>
      <c r="J396">
        <v>12.86</v>
      </c>
      <c r="K396">
        <v>2909</v>
      </c>
      <c r="L396">
        <v>1414.15490797546</v>
      </c>
    </row>
    <row r="397" spans="1:12">
      <c r="A397" s="14">
        <v>43279</v>
      </c>
      <c r="B397">
        <v>2943</v>
      </c>
      <c r="C397">
        <v>2908</v>
      </c>
      <c r="D397">
        <v>1703</v>
      </c>
      <c r="E397">
        <v>1715</v>
      </c>
      <c r="F397">
        <v>1.69562682215743</v>
      </c>
      <c r="G397">
        <v>1.47070625510733</v>
      </c>
      <c r="H397">
        <v>0.13736732313342001</v>
      </c>
      <c r="I397">
        <v>1.6373658736265899</v>
      </c>
      <c r="J397">
        <v>13.26</v>
      </c>
      <c r="K397">
        <v>2908</v>
      </c>
      <c r="L397">
        <v>1412.5076687116564</v>
      </c>
    </row>
    <row r="398" spans="1:12">
      <c r="A398" s="14">
        <v>43278</v>
      </c>
      <c r="B398">
        <v>2951</v>
      </c>
      <c r="C398">
        <v>2962</v>
      </c>
      <c r="D398">
        <v>1704</v>
      </c>
      <c r="E398">
        <v>1703</v>
      </c>
      <c r="F398">
        <v>1.73928361714621</v>
      </c>
      <c r="G398">
        <v>1.4654098269717999</v>
      </c>
      <c r="H398">
        <v>0.13624642894143399</v>
      </c>
      <c r="I398">
        <v>2.0101355485224199</v>
      </c>
      <c r="J398">
        <v>15.75</v>
      </c>
      <c r="K398">
        <v>2962</v>
      </c>
      <c r="L398">
        <v>1402.6242331288342</v>
      </c>
    </row>
    <row r="399" spans="1:12">
      <c r="A399" s="14">
        <v>43277</v>
      </c>
      <c r="B399">
        <v>2949</v>
      </c>
      <c r="C399">
        <v>2951</v>
      </c>
      <c r="D399">
        <v>1670</v>
      </c>
      <c r="E399">
        <v>1707</v>
      </c>
      <c r="F399">
        <v>1.72876391329818</v>
      </c>
      <c r="G399">
        <v>1.45952028479945</v>
      </c>
      <c r="H399">
        <v>0.13380554264684399</v>
      </c>
      <c r="I399">
        <v>2.0122008638262998</v>
      </c>
      <c r="J399">
        <v>15.57</v>
      </c>
      <c r="K399">
        <v>2951</v>
      </c>
      <c r="L399">
        <v>1405.9187116564417</v>
      </c>
    </row>
    <row r="400" spans="1:12">
      <c r="A400" s="14">
        <v>43276</v>
      </c>
      <c r="B400">
        <v>3080</v>
      </c>
      <c r="C400">
        <v>2999</v>
      </c>
      <c r="D400">
        <v>1699</v>
      </c>
      <c r="E400">
        <v>1690</v>
      </c>
      <c r="F400">
        <v>1.7745562130177499</v>
      </c>
      <c r="G400">
        <v>1.45403835325706</v>
      </c>
      <c r="H400">
        <v>0.13105643592715999</v>
      </c>
      <c r="I400">
        <v>2.4456476135122598</v>
      </c>
      <c r="J400">
        <v>18.059999999999999</v>
      </c>
      <c r="K400">
        <v>2999</v>
      </c>
      <c r="L400">
        <v>1391.9171779141104</v>
      </c>
    </row>
    <row r="401" spans="1:12">
      <c r="A401" s="14">
        <v>43273</v>
      </c>
      <c r="B401">
        <v>3010</v>
      </c>
      <c r="C401">
        <v>3035</v>
      </c>
      <c r="D401">
        <v>1676</v>
      </c>
      <c r="E401">
        <v>1703</v>
      </c>
      <c r="F401">
        <v>1.7821491485613601</v>
      </c>
      <c r="G401">
        <v>1.44787957753825</v>
      </c>
      <c r="H401">
        <v>0.12662800848111</v>
      </c>
      <c r="I401">
        <v>2.6397759471433702</v>
      </c>
      <c r="J401">
        <v>18.760000000000002</v>
      </c>
      <c r="K401">
        <v>3035</v>
      </c>
      <c r="L401">
        <v>1402.6242331288342</v>
      </c>
    </row>
    <row r="402" spans="1:12">
      <c r="A402" s="14">
        <v>43272</v>
      </c>
      <c r="B402">
        <v>2975</v>
      </c>
      <c r="C402">
        <v>3025</v>
      </c>
      <c r="D402">
        <v>1710</v>
      </c>
      <c r="E402">
        <v>1696</v>
      </c>
      <c r="F402">
        <v>1.7836084905660301</v>
      </c>
      <c r="G402">
        <v>1.44162078173879</v>
      </c>
      <c r="H402">
        <v>0.121446158430273</v>
      </c>
      <c r="I402">
        <v>2.8159615194711201</v>
      </c>
      <c r="J402">
        <v>19.170000000000002</v>
      </c>
      <c r="K402">
        <v>3025</v>
      </c>
      <c r="L402">
        <v>1396.8588957055215</v>
      </c>
    </row>
    <row r="403" spans="1:12">
      <c r="A403" s="14">
        <v>43271</v>
      </c>
      <c r="B403">
        <v>2997</v>
      </c>
      <c r="C403">
        <v>2986</v>
      </c>
      <c r="D403">
        <v>1701</v>
      </c>
      <c r="E403">
        <v>1705</v>
      </c>
      <c r="F403">
        <v>1.75131964809384</v>
      </c>
      <c r="G403">
        <v>1.43465604053434</v>
      </c>
      <c r="H403">
        <v>0.116511894271059</v>
      </c>
      <c r="I403">
        <v>2.7178650689756898</v>
      </c>
      <c r="J403">
        <v>18.079999999999998</v>
      </c>
      <c r="K403">
        <v>2986</v>
      </c>
      <c r="L403">
        <v>1404.2714723926381</v>
      </c>
    </row>
    <row r="404" spans="1:12">
      <c r="A404" s="14">
        <v>43270</v>
      </c>
      <c r="B404">
        <v>3000</v>
      </c>
      <c r="C404">
        <v>2999</v>
      </c>
      <c r="D404">
        <v>1731</v>
      </c>
      <c r="E404">
        <v>1703</v>
      </c>
      <c r="F404">
        <v>1.76100998238402</v>
      </c>
      <c r="G404">
        <v>1.4280936747222801</v>
      </c>
      <c r="H404">
        <v>0.112275021158229</v>
      </c>
      <c r="I404">
        <v>2.9651858821969301</v>
      </c>
      <c r="J404">
        <v>18.899999999999999</v>
      </c>
      <c r="K404">
        <v>2999</v>
      </c>
      <c r="L404">
        <v>1402.6242331288342</v>
      </c>
    </row>
    <row r="405" spans="1:12">
      <c r="A405" s="14">
        <v>43269</v>
      </c>
      <c r="B405">
        <v>2974</v>
      </c>
      <c r="C405">
        <v>3020</v>
      </c>
      <c r="D405">
        <v>1795</v>
      </c>
      <c r="E405">
        <v>1771</v>
      </c>
      <c r="F405">
        <v>1.70525127046866</v>
      </c>
      <c r="G405">
        <v>1.4215557638460501</v>
      </c>
      <c r="H405">
        <v>0.106843823859398</v>
      </c>
      <c r="I405">
        <v>2.6552354303224801</v>
      </c>
      <c r="J405">
        <v>16.64</v>
      </c>
      <c r="K405">
        <v>3020</v>
      </c>
      <c r="L405">
        <v>1458.6303680981594</v>
      </c>
    </row>
    <row r="406" spans="1:12">
      <c r="A406" s="14">
        <v>43266</v>
      </c>
      <c r="B406">
        <v>2984</v>
      </c>
      <c r="C406">
        <v>2974</v>
      </c>
      <c r="D406">
        <v>1818</v>
      </c>
      <c r="E406">
        <v>1807</v>
      </c>
      <c r="F406">
        <v>1.64582180409518</v>
      </c>
      <c r="G406">
        <v>1.41571803494363</v>
      </c>
      <c r="H406">
        <v>0.103078511856376</v>
      </c>
      <c r="I406">
        <v>2.2323155913636201</v>
      </c>
      <c r="J406">
        <v>13.98</v>
      </c>
      <c r="K406">
        <v>2974</v>
      </c>
      <c r="L406">
        <v>1488.2806748466257</v>
      </c>
    </row>
    <row r="407" spans="1:12">
      <c r="A407" s="14">
        <v>43265</v>
      </c>
      <c r="B407">
        <v>2994</v>
      </c>
      <c r="C407">
        <v>2974</v>
      </c>
      <c r="D407">
        <v>1828</v>
      </c>
      <c r="E407">
        <v>1808</v>
      </c>
      <c r="F407">
        <v>1.64491150442477</v>
      </c>
      <c r="G407">
        <v>1.4107033754842999</v>
      </c>
      <c r="H407">
        <v>0.10088736007947</v>
      </c>
      <c r="I407">
        <v>2.3214813902949301</v>
      </c>
      <c r="J407">
        <v>14.24</v>
      </c>
      <c r="K407">
        <v>2974</v>
      </c>
      <c r="L407">
        <v>1489.1042944785274</v>
      </c>
    </row>
    <row r="408" spans="1:12">
      <c r="A408" s="14">
        <v>43264</v>
      </c>
      <c r="B408">
        <v>2961</v>
      </c>
      <c r="C408">
        <v>2988</v>
      </c>
      <c r="D408">
        <v>1827</v>
      </c>
      <c r="E408">
        <v>1816</v>
      </c>
      <c r="F408">
        <v>1.6453744493392</v>
      </c>
      <c r="G408">
        <v>1.4056388343851101</v>
      </c>
      <c r="H408">
        <v>9.8508957453600707E-2</v>
      </c>
      <c r="I408">
        <v>2.4336427991029002</v>
      </c>
      <c r="J408">
        <v>14.57</v>
      </c>
      <c r="K408">
        <v>2988</v>
      </c>
      <c r="L408">
        <v>1495.6932515337423</v>
      </c>
    </row>
    <row r="409" spans="1:12">
      <c r="A409" s="14">
        <v>43263</v>
      </c>
      <c r="B409">
        <v>2941</v>
      </c>
      <c r="C409">
        <v>2959</v>
      </c>
      <c r="D409">
        <v>1866</v>
      </c>
      <c r="E409">
        <v>1837</v>
      </c>
      <c r="F409">
        <v>1.6107784431137699</v>
      </c>
      <c r="G409">
        <v>1.4008182801166</v>
      </c>
      <c r="H409">
        <v>9.5458318811680903E-2</v>
      </c>
      <c r="I409">
        <v>2.1994957130072099</v>
      </c>
      <c r="J409">
        <v>13.03</v>
      </c>
      <c r="K409">
        <v>2959</v>
      </c>
      <c r="L409">
        <v>1512.9892638036808</v>
      </c>
    </row>
    <row r="410" spans="1:12">
      <c r="A410" s="14">
        <v>43262</v>
      </c>
      <c r="B410">
        <v>2920</v>
      </c>
      <c r="C410">
        <v>2937</v>
      </c>
      <c r="D410">
        <v>1864</v>
      </c>
      <c r="E410">
        <v>1855</v>
      </c>
      <c r="F410">
        <v>1.5832884097035</v>
      </c>
      <c r="G410">
        <v>1.3961192072605499</v>
      </c>
      <c r="H410">
        <v>9.3664665520387394E-2</v>
      </c>
      <c r="I410">
        <v>1.99829040549133</v>
      </c>
      <c r="J410">
        <v>11.82</v>
      </c>
      <c r="K410">
        <v>2937</v>
      </c>
      <c r="L410">
        <v>1527.814417177914</v>
      </c>
    </row>
    <row r="411" spans="1:12">
      <c r="A411" s="14">
        <v>43259</v>
      </c>
      <c r="B411">
        <v>2906</v>
      </c>
      <c r="C411">
        <v>2917</v>
      </c>
      <c r="D411">
        <v>1893</v>
      </c>
      <c r="E411">
        <v>1881</v>
      </c>
      <c r="F411">
        <v>1.5507708665603399</v>
      </c>
      <c r="G411">
        <v>1.3916651053875799</v>
      </c>
      <c r="H411">
        <v>9.2594902210294205E-2</v>
      </c>
      <c r="I411">
        <v>1.71829935962784</v>
      </c>
      <c r="J411">
        <v>10.26</v>
      </c>
      <c r="K411">
        <v>2917</v>
      </c>
      <c r="L411">
        <v>1549.2285276073619</v>
      </c>
    </row>
    <row r="412" spans="1:12">
      <c r="A412" s="14">
        <v>43258</v>
      </c>
      <c r="B412">
        <v>2941</v>
      </c>
      <c r="C412">
        <v>2919</v>
      </c>
      <c r="D412">
        <v>1920</v>
      </c>
      <c r="E412">
        <v>1922</v>
      </c>
      <c r="F412">
        <v>1.51873048907388</v>
      </c>
      <c r="G412">
        <v>1.38757010616181</v>
      </c>
      <c r="H412">
        <v>9.2258589618899295E-2</v>
      </c>
      <c r="I412">
        <v>1.4216603944831401</v>
      </c>
      <c r="J412">
        <v>8.64</v>
      </c>
      <c r="K412">
        <v>2919</v>
      </c>
      <c r="L412">
        <v>1582.9969325153374</v>
      </c>
    </row>
    <row r="413" spans="1:12">
      <c r="A413" s="14">
        <v>43257</v>
      </c>
      <c r="B413">
        <v>2923</v>
      </c>
      <c r="C413">
        <v>2896</v>
      </c>
      <c r="D413">
        <v>1930</v>
      </c>
      <c r="E413">
        <v>1910</v>
      </c>
      <c r="F413">
        <v>1.5162303664921399</v>
      </c>
      <c r="G413">
        <v>1.38379024763542</v>
      </c>
      <c r="H413">
        <v>9.2614115720037901E-2</v>
      </c>
      <c r="I413">
        <v>1.4300208756197901</v>
      </c>
      <c r="J413">
        <v>8.73</v>
      </c>
      <c r="K413">
        <v>2896</v>
      </c>
      <c r="L413">
        <v>1573.1134969325153</v>
      </c>
    </row>
    <row r="414" spans="1:12">
      <c r="A414" s="14">
        <v>43256</v>
      </c>
      <c r="B414">
        <v>2970</v>
      </c>
      <c r="C414">
        <v>2912</v>
      </c>
      <c r="D414">
        <v>1986</v>
      </c>
      <c r="E414">
        <v>1945</v>
      </c>
      <c r="F414">
        <v>1.49717223650385</v>
      </c>
      <c r="G414">
        <v>1.3799112725774101</v>
      </c>
      <c r="H414">
        <v>9.3077106262511297E-2</v>
      </c>
      <c r="I414">
        <v>1.2598260585768499</v>
      </c>
      <c r="J414">
        <v>7.83</v>
      </c>
      <c r="K414">
        <v>2912</v>
      </c>
      <c r="L414">
        <v>1601.9401840490798</v>
      </c>
    </row>
    <row r="415" spans="1:12">
      <c r="A415" s="14">
        <v>43255</v>
      </c>
      <c r="B415">
        <v>2908</v>
      </c>
      <c r="C415">
        <v>2943</v>
      </c>
      <c r="D415">
        <v>1937</v>
      </c>
      <c r="E415">
        <v>1967</v>
      </c>
      <c r="F415">
        <v>1.49618708693441</v>
      </c>
      <c r="G415">
        <v>1.3763316640178</v>
      </c>
      <c r="H415">
        <v>9.3659261263407206E-2</v>
      </c>
      <c r="I415">
        <v>1.2796964368481401</v>
      </c>
      <c r="J415">
        <v>8.01</v>
      </c>
      <c r="K415">
        <v>2943</v>
      </c>
      <c r="L415">
        <v>1620.0598159509202</v>
      </c>
    </row>
    <row r="416" spans="1:12">
      <c r="A416" s="14">
        <v>43252</v>
      </c>
      <c r="B416">
        <v>2828</v>
      </c>
      <c r="C416">
        <v>2867</v>
      </c>
      <c r="D416">
        <v>1874</v>
      </c>
      <c r="E416">
        <v>1915</v>
      </c>
      <c r="F416">
        <v>1.49712793733681</v>
      </c>
      <c r="G416">
        <v>1.3726368768127299</v>
      </c>
      <c r="H416">
        <v>9.4321705554033602E-2</v>
      </c>
      <c r="I416">
        <v>1.31985591007748</v>
      </c>
      <c r="J416">
        <v>8.32</v>
      </c>
      <c r="K416">
        <v>2867</v>
      </c>
      <c r="L416">
        <v>1577.2315950920245</v>
      </c>
    </row>
    <row r="417" spans="1:12">
      <c r="A417" s="14">
        <v>43251</v>
      </c>
      <c r="B417">
        <v>2870</v>
      </c>
      <c r="C417">
        <v>2850</v>
      </c>
      <c r="D417">
        <v>1872</v>
      </c>
      <c r="E417">
        <v>1910</v>
      </c>
      <c r="F417">
        <v>1.49214659685863</v>
      </c>
      <c r="G417">
        <v>1.3687650586220199</v>
      </c>
      <c r="H417">
        <v>9.5088920830593698E-2</v>
      </c>
      <c r="I417">
        <v>1.2975385266641399</v>
      </c>
      <c r="J417">
        <v>8.27</v>
      </c>
      <c r="K417">
        <v>2850</v>
      </c>
      <c r="L417">
        <v>1573.1134969325153</v>
      </c>
    </row>
    <row r="418" spans="1:12">
      <c r="A418" s="14">
        <v>43250</v>
      </c>
      <c r="B418">
        <v>2918</v>
      </c>
      <c r="C418">
        <v>2877</v>
      </c>
      <c r="D418">
        <v>1879</v>
      </c>
      <c r="E418">
        <v>1871</v>
      </c>
      <c r="F418">
        <v>1.5376803848209499</v>
      </c>
      <c r="G418">
        <v>1.3647687693578601</v>
      </c>
      <c r="H418">
        <v>9.6112280665679395E-2</v>
      </c>
      <c r="I418">
        <v>1.7990584997618799</v>
      </c>
      <c r="J418">
        <v>11.24</v>
      </c>
      <c r="K418">
        <v>2877</v>
      </c>
      <c r="L418">
        <v>1540.9923312883434</v>
      </c>
    </row>
    <row r="419" spans="1:12">
      <c r="A419" s="14">
        <v>43249</v>
      </c>
      <c r="B419">
        <v>2894</v>
      </c>
      <c r="C419">
        <v>2932</v>
      </c>
      <c r="D419">
        <v>1956</v>
      </c>
      <c r="E419">
        <v>1942</v>
      </c>
      <c r="F419">
        <v>1.5097837281153399</v>
      </c>
      <c r="G419">
        <v>1.3599070511489699</v>
      </c>
      <c r="H419">
        <v>9.6464303696558396E-2</v>
      </c>
      <c r="I419">
        <v>1.55370091549955</v>
      </c>
      <c r="J419">
        <v>9.93</v>
      </c>
      <c r="K419">
        <v>2932</v>
      </c>
      <c r="L419">
        <v>1599.4693251533743</v>
      </c>
    </row>
    <row r="420" spans="1:12">
      <c r="A420" s="14">
        <v>43248</v>
      </c>
      <c r="B420">
        <v>2883</v>
      </c>
      <c r="C420">
        <v>2891</v>
      </c>
      <c r="D420">
        <v>1944</v>
      </c>
      <c r="E420">
        <v>1954</v>
      </c>
      <c r="F420">
        <v>1.47952917093142</v>
      </c>
      <c r="G420">
        <v>1.3549466101591601</v>
      </c>
      <c r="H420">
        <v>9.8179912406616901E-2</v>
      </c>
      <c r="I420">
        <v>1.26892108292265</v>
      </c>
      <c r="J420">
        <v>8.42</v>
      </c>
      <c r="K420">
        <v>2891</v>
      </c>
      <c r="L420">
        <v>1609.3527607361962</v>
      </c>
    </row>
    <row r="421" spans="1:12">
      <c r="A421" s="14">
        <v>43245</v>
      </c>
      <c r="B421">
        <v>2876</v>
      </c>
      <c r="C421">
        <v>2872</v>
      </c>
      <c r="D421">
        <v>1919</v>
      </c>
      <c r="E421">
        <v>1944</v>
      </c>
      <c r="F421">
        <v>1.4773662551440301</v>
      </c>
      <c r="G421">
        <v>1.3503686060372599</v>
      </c>
      <c r="H421">
        <v>0.100247280539065</v>
      </c>
      <c r="I421">
        <v>1.2668438328088101</v>
      </c>
      <c r="J421">
        <v>8.6</v>
      </c>
      <c r="K421">
        <v>2872</v>
      </c>
      <c r="L421">
        <v>1601.1165644171779</v>
      </c>
    </row>
    <row r="422" spans="1:12">
      <c r="A422" s="14">
        <v>43244</v>
      </c>
      <c r="B422">
        <v>2883</v>
      </c>
      <c r="C422">
        <v>2870</v>
      </c>
      <c r="D422">
        <v>1967</v>
      </c>
      <c r="E422">
        <v>1928</v>
      </c>
      <c r="F422">
        <v>1.48858921161825</v>
      </c>
      <c r="G422">
        <v>1.34578636532494</v>
      </c>
      <c r="H422">
        <v>0.10217349203801999</v>
      </c>
      <c r="I422">
        <v>1.3976506376054401</v>
      </c>
      <c r="J422">
        <v>9.59</v>
      </c>
      <c r="K422">
        <v>2870</v>
      </c>
      <c r="L422">
        <v>1587.9386503067483</v>
      </c>
    </row>
    <row r="423" spans="1:12">
      <c r="A423" s="14">
        <v>43243</v>
      </c>
      <c r="B423">
        <v>2900</v>
      </c>
      <c r="C423">
        <v>2881</v>
      </c>
      <c r="D423">
        <v>1983</v>
      </c>
      <c r="E423">
        <v>1973</v>
      </c>
      <c r="F423">
        <v>1.4602128737962401</v>
      </c>
      <c r="G423">
        <v>1.3412092532292399</v>
      </c>
      <c r="H423">
        <v>0.103356034585367</v>
      </c>
      <c r="I423">
        <v>1.1513949915397601</v>
      </c>
      <c r="J423">
        <v>8.15</v>
      </c>
      <c r="K423">
        <v>2881</v>
      </c>
      <c r="L423">
        <v>1625.0015337423313</v>
      </c>
    </row>
    <row r="424" spans="1:12">
      <c r="A424" s="14">
        <v>43242</v>
      </c>
      <c r="B424">
        <v>2937</v>
      </c>
      <c r="C424">
        <v>2921</v>
      </c>
      <c r="D424">
        <v>1993</v>
      </c>
      <c r="E424">
        <v>1988</v>
      </c>
      <c r="F424">
        <v>1.4693158953722301</v>
      </c>
      <c r="G424">
        <v>1.3368224149119601</v>
      </c>
      <c r="H424">
        <v>0.105178194181308</v>
      </c>
      <c r="I424">
        <v>1.2597048417837799</v>
      </c>
      <c r="J424">
        <v>9.02</v>
      </c>
      <c r="K424">
        <v>2921</v>
      </c>
      <c r="L424">
        <v>1637.3558282208589</v>
      </c>
    </row>
    <row r="425" spans="1:12">
      <c r="A425" s="14">
        <v>43241</v>
      </c>
      <c r="B425">
        <v>2941</v>
      </c>
      <c r="C425">
        <v>2937</v>
      </c>
      <c r="D425">
        <v>2007</v>
      </c>
      <c r="E425">
        <v>2006</v>
      </c>
      <c r="F425">
        <v>1.4641076769690899</v>
      </c>
      <c r="G425">
        <v>1.33226857334403</v>
      </c>
      <c r="H425">
        <v>0.106725427605373</v>
      </c>
      <c r="I425">
        <v>1.2353110836204999</v>
      </c>
      <c r="J425">
        <v>9</v>
      </c>
      <c r="K425">
        <v>2937</v>
      </c>
      <c r="L425">
        <v>1652.1809815950919</v>
      </c>
    </row>
    <row r="426" spans="1:12">
      <c r="A426" s="14">
        <v>43238</v>
      </c>
      <c r="B426">
        <v>2927</v>
      </c>
      <c r="C426">
        <v>2941</v>
      </c>
      <c r="D426">
        <v>2010</v>
      </c>
      <c r="E426">
        <v>2004</v>
      </c>
      <c r="F426">
        <v>1.4675648702594799</v>
      </c>
      <c r="G426">
        <v>1.3279689718252199</v>
      </c>
      <c r="H426">
        <v>0.10781749438520399</v>
      </c>
      <c r="I426">
        <v>1.29474255759941</v>
      </c>
      <c r="J426">
        <v>9.51</v>
      </c>
      <c r="K426">
        <v>2941</v>
      </c>
      <c r="L426">
        <v>1650.5337423312883</v>
      </c>
    </row>
    <row r="427" spans="1:12">
      <c r="A427" s="14">
        <v>43237</v>
      </c>
      <c r="B427">
        <v>2924</v>
      </c>
      <c r="C427">
        <v>2936</v>
      </c>
      <c r="D427">
        <v>1985</v>
      </c>
      <c r="E427">
        <v>1999</v>
      </c>
      <c r="F427">
        <v>1.46873436718359</v>
      </c>
      <c r="G427">
        <v>1.32384339975317</v>
      </c>
      <c r="H427">
        <v>0.108315704031315</v>
      </c>
      <c r="I427">
        <v>1.33767276616256</v>
      </c>
      <c r="J427">
        <v>9.8699999999999992</v>
      </c>
      <c r="K427">
        <v>2936</v>
      </c>
      <c r="L427">
        <v>1646.4156441717791</v>
      </c>
    </row>
    <row r="428" spans="1:12">
      <c r="A428" s="14">
        <v>43236</v>
      </c>
      <c r="B428">
        <v>2912</v>
      </c>
      <c r="C428">
        <v>2920</v>
      </c>
      <c r="D428">
        <v>1965</v>
      </c>
      <c r="E428">
        <v>1962</v>
      </c>
      <c r="F428">
        <v>1.4882772680937799</v>
      </c>
      <c r="G428">
        <v>1.3197290877346499</v>
      </c>
      <c r="H428">
        <v>0.108594098057838</v>
      </c>
      <c r="I428">
        <v>1.55209337683667</v>
      </c>
      <c r="J428">
        <v>11.33</v>
      </c>
      <c r="K428">
        <v>2920</v>
      </c>
      <c r="L428">
        <v>1615.9417177914111</v>
      </c>
    </row>
    <row r="429" spans="1:12">
      <c r="A429" s="14">
        <v>43235</v>
      </c>
      <c r="B429">
        <v>2941</v>
      </c>
      <c r="C429">
        <v>2915</v>
      </c>
      <c r="D429">
        <v>2004</v>
      </c>
      <c r="E429">
        <v>1984</v>
      </c>
      <c r="F429">
        <v>1.4692540322580601</v>
      </c>
      <c r="G429">
        <v>1.31555178932499</v>
      </c>
      <c r="H429">
        <v>0.108054675371835</v>
      </c>
      <c r="I429">
        <v>1.4224487964463199</v>
      </c>
      <c r="J429">
        <v>10.46</v>
      </c>
      <c r="K429">
        <v>2915</v>
      </c>
      <c r="L429">
        <v>1634.0613496932515</v>
      </c>
    </row>
    <row r="430" spans="1:12">
      <c r="A430" s="14">
        <v>43234</v>
      </c>
      <c r="B430">
        <v>2925</v>
      </c>
      <c r="C430">
        <v>2969</v>
      </c>
      <c r="D430">
        <v>2000</v>
      </c>
      <c r="E430">
        <v>2004</v>
      </c>
      <c r="F430">
        <v>1.4815369261477001</v>
      </c>
      <c r="G430">
        <v>1.3115589190343799</v>
      </c>
      <c r="H430">
        <v>0.10783399095165901</v>
      </c>
      <c r="I430">
        <v>1.57629338961881</v>
      </c>
      <c r="J430">
        <v>11.47</v>
      </c>
      <c r="K430">
        <v>2969</v>
      </c>
      <c r="L430">
        <v>1650.5337423312883</v>
      </c>
    </row>
    <row r="431" spans="1:12">
      <c r="A431" s="14">
        <v>43231</v>
      </c>
      <c r="B431">
        <v>2941</v>
      </c>
      <c r="C431">
        <v>2919</v>
      </c>
      <c r="D431">
        <v>1964</v>
      </c>
      <c r="E431">
        <v>2011</v>
      </c>
      <c r="F431">
        <v>1.4515166583789101</v>
      </c>
      <c r="G431">
        <v>1.3075151919402099</v>
      </c>
      <c r="H431">
        <v>0.107067773821567</v>
      </c>
      <c r="I431">
        <v>1.34495620202848</v>
      </c>
      <c r="J431">
        <v>9.92</v>
      </c>
      <c r="K431">
        <v>2919</v>
      </c>
      <c r="L431">
        <v>1656.2990797546011</v>
      </c>
    </row>
    <row r="432" spans="1:12">
      <c r="A432" s="14">
        <v>43230</v>
      </c>
      <c r="B432">
        <v>2948</v>
      </c>
      <c r="C432">
        <v>2969</v>
      </c>
      <c r="D432">
        <v>1948</v>
      </c>
      <c r="E432">
        <v>1952</v>
      </c>
      <c r="F432">
        <v>1.5210040983606501</v>
      </c>
      <c r="G432">
        <v>1.30377601816248</v>
      </c>
      <c r="H432">
        <v>0.10687020303408</v>
      </c>
      <c r="I432">
        <v>2.0326346730050902</v>
      </c>
      <c r="J432">
        <v>14.28</v>
      </c>
      <c r="K432">
        <v>2969</v>
      </c>
      <c r="L432">
        <v>1607.7055214723925</v>
      </c>
    </row>
    <row r="433" spans="1:12">
      <c r="A433" s="14">
        <v>43229</v>
      </c>
      <c r="B433">
        <v>2796</v>
      </c>
      <c r="C433">
        <v>2822</v>
      </c>
      <c r="D433">
        <v>1900</v>
      </c>
      <c r="E433">
        <v>1985</v>
      </c>
      <c r="F433">
        <v>1.4216624685138499</v>
      </c>
      <c r="G433">
        <v>1.2993780756748601</v>
      </c>
      <c r="H433">
        <v>0.104603190921395</v>
      </c>
      <c r="I433">
        <v>1.1690311907490401</v>
      </c>
      <c r="J433">
        <v>8.6</v>
      </c>
      <c r="K433">
        <v>2822</v>
      </c>
      <c r="L433">
        <v>1634.8849693251534</v>
      </c>
    </row>
    <row r="434" spans="1:12">
      <c r="A434" s="14">
        <v>43228</v>
      </c>
      <c r="B434">
        <v>2783</v>
      </c>
      <c r="C434">
        <v>2773</v>
      </c>
      <c r="D434">
        <v>1912</v>
      </c>
      <c r="E434">
        <v>1906</v>
      </c>
      <c r="F434">
        <v>1.45487932843651</v>
      </c>
      <c r="G434">
        <v>1.2958707444500901</v>
      </c>
      <c r="H434">
        <v>0.104853923932407</v>
      </c>
      <c r="I434">
        <v>1.5164771905810699</v>
      </c>
      <c r="J434">
        <v>10.93</v>
      </c>
      <c r="K434">
        <v>2773</v>
      </c>
      <c r="L434">
        <v>1569.8190184049079</v>
      </c>
    </row>
    <row r="435" spans="1:12">
      <c r="A435" s="14">
        <v>43227</v>
      </c>
      <c r="B435">
        <v>2795</v>
      </c>
      <c r="C435">
        <v>2818</v>
      </c>
      <c r="D435">
        <v>1919</v>
      </c>
      <c r="E435">
        <v>1918</v>
      </c>
      <c r="F435">
        <v>1.4692387904066699</v>
      </c>
      <c r="G435">
        <v>1.2923021185528401</v>
      </c>
      <c r="H435">
        <v>0.103931986324811</v>
      </c>
      <c r="I435">
        <v>1.70242750197098</v>
      </c>
      <c r="J435">
        <v>12.04</v>
      </c>
      <c r="K435">
        <v>2818</v>
      </c>
      <c r="L435">
        <v>1579.70245398773</v>
      </c>
    </row>
    <row r="436" spans="1:12">
      <c r="A436" s="14">
        <v>43222</v>
      </c>
      <c r="B436">
        <v>2825</v>
      </c>
      <c r="C436">
        <v>2815</v>
      </c>
      <c r="D436">
        <v>1946</v>
      </c>
      <c r="E436">
        <v>1947</v>
      </c>
      <c r="F436">
        <v>1.44581407293271</v>
      </c>
      <c r="G436">
        <v>1.28842152944433</v>
      </c>
      <c r="H436">
        <v>0.102679037068863</v>
      </c>
      <c r="I436">
        <v>1.5328595590823999</v>
      </c>
      <c r="J436">
        <v>10.89</v>
      </c>
      <c r="K436">
        <v>2815</v>
      </c>
      <c r="L436">
        <v>1603.5874233128834</v>
      </c>
    </row>
    <row r="437" spans="1:12">
      <c r="A437" s="14">
        <v>43221</v>
      </c>
      <c r="B437">
        <v>2849</v>
      </c>
      <c r="C437">
        <v>2794</v>
      </c>
      <c r="D437">
        <v>1920</v>
      </c>
      <c r="E437">
        <v>1935</v>
      </c>
      <c r="F437">
        <v>1.44392764857881</v>
      </c>
      <c r="G437">
        <v>1.2844794057887099</v>
      </c>
      <c r="H437">
        <v>0.10223525808339699</v>
      </c>
      <c r="I437">
        <v>1.55962087619542</v>
      </c>
      <c r="J437">
        <v>11.04</v>
      </c>
      <c r="K437">
        <v>2794</v>
      </c>
      <c r="L437">
        <v>1593.7039877300613</v>
      </c>
    </row>
    <row r="438" spans="1:12">
      <c r="A438" s="14">
        <v>43217</v>
      </c>
      <c r="B438">
        <v>2849</v>
      </c>
      <c r="C438">
        <v>2850</v>
      </c>
      <c r="D438">
        <v>1968</v>
      </c>
      <c r="E438">
        <v>1942</v>
      </c>
      <c r="F438">
        <v>1.46755921730175</v>
      </c>
      <c r="G438">
        <v>1.2801685129679701</v>
      </c>
      <c r="H438">
        <v>0.102237568420883</v>
      </c>
      <c r="I438">
        <v>1.8328947688030099</v>
      </c>
      <c r="J438">
        <v>12.77</v>
      </c>
      <c r="K438">
        <v>2850</v>
      </c>
      <c r="L438">
        <v>1599.4693251533743</v>
      </c>
    </row>
    <row r="439" spans="1:12">
      <c r="A439" s="14">
        <v>43216</v>
      </c>
      <c r="B439">
        <v>2820</v>
      </c>
      <c r="C439">
        <v>2825</v>
      </c>
      <c r="D439">
        <v>1934</v>
      </c>
      <c r="E439">
        <v>1943</v>
      </c>
      <c r="F439">
        <v>1.4539372104992201</v>
      </c>
      <c r="G439">
        <v>1.2756226687382901</v>
      </c>
      <c r="H439">
        <v>0.10138052216726801</v>
      </c>
      <c r="I439">
        <v>1.75886391142003</v>
      </c>
      <c r="J439">
        <v>12.26</v>
      </c>
      <c r="K439">
        <v>2825</v>
      </c>
      <c r="L439">
        <v>1600.2929447852759</v>
      </c>
    </row>
    <row r="440" spans="1:12">
      <c r="A440" s="14">
        <v>43215</v>
      </c>
      <c r="B440">
        <v>2800</v>
      </c>
      <c r="C440">
        <v>2856</v>
      </c>
      <c r="D440">
        <v>1962</v>
      </c>
      <c r="E440">
        <v>1958</v>
      </c>
      <c r="F440">
        <v>1.45863125638406</v>
      </c>
      <c r="G440">
        <v>1.27117756059281</v>
      </c>
      <c r="H440">
        <v>0.100771625104893</v>
      </c>
      <c r="I440">
        <v>1.86018331644573</v>
      </c>
      <c r="J440">
        <v>12.85</v>
      </c>
      <c r="K440">
        <v>2856</v>
      </c>
      <c r="L440">
        <v>1612.6472392638036</v>
      </c>
    </row>
    <row r="441" spans="1:12">
      <c r="A441" s="14">
        <v>43214</v>
      </c>
      <c r="B441">
        <v>2805</v>
      </c>
      <c r="C441">
        <v>2804</v>
      </c>
      <c r="D441">
        <v>2003</v>
      </c>
      <c r="E441">
        <v>1986</v>
      </c>
      <c r="F441">
        <v>1.4118831822759299</v>
      </c>
      <c r="G441">
        <v>1.2668007338937799</v>
      </c>
      <c r="H441">
        <v>9.9657438406214396E-2</v>
      </c>
      <c r="I441">
        <v>1.45581153501836</v>
      </c>
      <c r="J441">
        <v>10.28</v>
      </c>
      <c r="K441">
        <v>2804</v>
      </c>
      <c r="L441">
        <v>1635.7085889570551</v>
      </c>
    </row>
    <row r="442" spans="1:12">
      <c r="A442" s="14">
        <v>43213</v>
      </c>
      <c r="B442">
        <v>2780</v>
      </c>
      <c r="C442">
        <v>2777</v>
      </c>
      <c r="D442">
        <v>2020</v>
      </c>
      <c r="E442">
        <v>2014</v>
      </c>
      <c r="F442">
        <v>1.3788480635551099</v>
      </c>
      <c r="G442">
        <v>1.26310256682026</v>
      </c>
      <c r="H442">
        <v>9.9350809260188702E-2</v>
      </c>
      <c r="I442">
        <v>1.16501815734309</v>
      </c>
      <c r="J442">
        <v>8.39</v>
      </c>
      <c r="K442">
        <v>2777</v>
      </c>
      <c r="L442">
        <v>1658.7699386503066</v>
      </c>
    </row>
    <row r="443" spans="1:12">
      <c r="A443" s="14">
        <v>43210</v>
      </c>
      <c r="B443">
        <v>2780</v>
      </c>
      <c r="C443">
        <v>2789</v>
      </c>
      <c r="D443">
        <v>2024</v>
      </c>
      <c r="E443">
        <v>2013</v>
      </c>
      <c r="F443">
        <v>1.38549428713363</v>
      </c>
      <c r="G443">
        <v>1.25994632586845</v>
      </c>
      <c r="H443">
        <v>9.9383697662575002E-2</v>
      </c>
      <c r="I443">
        <v>1.2632651452699799</v>
      </c>
      <c r="J443">
        <v>9.06</v>
      </c>
      <c r="K443">
        <v>2789</v>
      </c>
      <c r="L443">
        <v>1657.9463190184049</v>
      </c>
    </row>
    <row r="444" spans="1:12">
      <c r="A444" s="14">
        <v>43209</v>
      </c>
      <c r="B444">
        <v>2820</v>
      </c>
      <c r="C444">
        <v>2787</v>
      </c>
      <c r="D444">
        <v>2020</v>
      </c>
      <c r="E444">
        <v>2047</v>
      </c>
      <c r="F444">
        <v>1.3615046409379501</v>
      </c>
      <c r="G444">
        <v>1.25671636821226</v>
      </c>
      <c r="H444">
        <v>9.9187219548529396E-2</v>
      </c>
      <c r="I444">
        <v>1.05646950486826</v>
      </c>
      <c r="J444">
        <v>7.7</v>
      </c>
      <c r="K444">
        <v>2787</v>
      </c>
      <c r="L444">
        <v>1685.9493865030674</v>
      </c>
    </row>
    <row r="445" spans="1:12">
      <c r="A445" s="14">
        <v>43208</v>
      </c>
      <c r="B445">
        <v>2839</v>
      </c>
      <c r="C445">
        <v>2826</v>
      </c>
      <c r="D445">
        <v>1975</v>
      </c>
      <c r="E445">
        <v>1993</v>
      </c>
      <c r="F445">
        <v>1.4179628700451501</v>
      </c>
      <c r="G445">
        <v>1.25429536552556</v>
      </c>
      <c r="H445">
        <v>9.8815241429789397E-2</v>
      </c>
      <c r="I445">
        <v>1.6562981798297101</v>
      </c>
      <c r="J445">
        <v>11.54</v>
      </c>
      <c r="K445">
        <v>2826</v>
      </c>
      <c r="L445">
        <v>1641.4739263803681</v>
      </c>
    </row>
    <row r="446" spans="1:12">
      <c r="A446" s="14">
        <v>43207</v>
      </c>
      <c r="B446">
        <v>2784</v>
      </c>
      <c r="C446">
        <v>2818</v>
      </c>
      <c r="D446">
        <v>1969</v>
      </c>
      <c r="E446">
        <v>1958</v>
      </c>
      <c r="F446">
        <v>1.43922369765066</v>
      </c>
      <c r="G446">
        <v>1.2509647381825499</v>
      </c>
      <c r="H446">
        <v>9.7442848974408594E-2</v>
      </c>
      <c r="I446">
        <v>1.93199358854492</v>
      </c>
      <c r="J446">
        <v>13.08</v>
      </c>
      <c r="K446">
        <v>2818</v>
      </c>
      <c r="L446">
        <v>1612.6472392638036</v>
      </c>
    </row>
    <row r="447" spans="1:12">
      <c r="A447" s="14">
        <v>43206</v>
      </c>
      <c r="B447">
        <v>2792</v>
      </c>
      <c r="C447">
        <v>2779</v>
      </c>
      <c r="D447">
        <v>1980</v>
      </c>
      <c r="E447">
        <v>1967</v>
      </c>
      <c r="F447">
        <v>1.4128113879003501</v>
      </c>
      <c r="G447">
        <v>1.2472409273898599</v>
      </c>
      <c r="H447">
        <v>9.54943352808727E-2</v>
      </c>
      <c r="I447">
        <v>1.73382494389335</v>
      </c>
      <c r="J447">
        <v>11.72</v>
      </c>
      <c r="K447">
        <v>2779</v>
      </c>
      <c r="L447">
        <v>1620.0598159509202</v>
      </c>
    </row>
    <row r="448" spans="1:12">
      <c r="A448" s="14">
        <v>43203</v>
      </c>
      <c r="B448">
        <v>2787</v>
      </c>
      <c r="C448">
        <v>2764</v>
      </c>
      <c r="D448">
        <v>1941</v>
      </c>
      <c r="E448">
        <v>1972</v>
      </c>
      <c r="F448">
        <v>1.4016227180527301</v>
      </c>
      <c r="G448">
        <v>1.2435980800110999</v>
      </c>
      <c r="H448">
        <v>9.4312656491265898E-2</v>
      </c>
      <c r="I448">
        <v>1.67554010162218</v>
      </c>
      <c r="J448">
        <v>11.27</v>
      </c>
      <c r="K448">
        <v>2764</v>
      </c>
      <c r="L448">
        <v>1624.1779141104294</v>
      </c>
    </row>
    <row r="449" spans="1:12">
      <c r="A449" s="14">
        <v>43202</v>
      </c>
      <c r="B449">
        <v>2785</v>
      </c>
      <c r="C449">
        <v>2765</v>
      </c>
      <c r="D449">
        <v>1970</v>
      </c>
      <c r="E449">
        <v>1935</v>
      </c>
      <c r="F449">
        <v>1.4289405684754499</v>
      </c>
      <c r="G449">
        <v>1.24000197568529</v>
      </c>
      <c r="H449">
        <v>9.3355752438633102E-2</v>
      </c>
      <c r="I449">
        <v>2.0238559259040301</v>
      </c>
      <c r="J449">
        <v>13.22</v>
      </c>
      <c r="K449">
        <v>2765</v>
      </c>
      <c r="L449">
        <v>1593.7039877300613</v>
      </c>
    </row>
    <row r="450" spans="1:12">
      <c r="A450" s="14">
        <v>43201</v>
      </c>
      <c r="B450">
        <v>2864</v>
      </c>
      <c r="C450">
        <v>2785</v>
      </c>
      <c r="D450">
        <v>1987</v>
      </c>
      <c r="E450">
        <v>1962</v>
      </c>
      <c r="F450">
        <v>1.41946992864424</v>
      </c>
      <c r="G450">
        <v>1.2360243701728</v>
      </c>
      <c r="H450">
        <v>9.1558886583094801E-2</v>
      </c>
      <c r="I450">
        <v>2.0035800490534301</v>
      </c>
      <c r="J450">
        <v>12.92</v>
      </c>
      <c r="K450">
        <v>2785</v>
      </c>
      <c r="L450">
        <v>1615.9417177914111</v>
      </c>
    </row>
    <row r="451" spans="1:12">
      <c r="A451" s="14">
        <v>43200</v>
      </c>
      <c r="B451">
        <v>2850</v>
      </c>
      <c r="C451">
        <v>2853</v>
      </c>
      <c r="D451">
        <v>1906</v>
      </c>
      <c r="E451">
        <v>1969</v>
      </c>
      <c r="F451">
        <v>1.44895886236668</v>
      </c>
      <c r="G451">
        <v>1.2320181200642499</v>
      </c>
      <c r="H451">
        <v>9.00048614811646E-2</v>
      </c>
      <c r="I451">
        <v>2.4103224951668101</v>
      </c>
      <c r="J451">
        <v>14.97</v>
      </c>
      <c r="K451">
        <v>2853</v>
      </c>
      <c r="L451">
        <v>1621.7070552147238</v>
      </c>
    </row>
    <row r="452" spans="1:12">
      <c r="A452" s="14">
        <v>43199</v>
      </c>
      <c r="B452">
        <v>2750</v>
      </c>
      <c r="C452">
        <v>2831</v>
      </c>
      <c r="D452">
        <v>1884</v>
      </c>
      <c r="E452">
        <v>1912</v>
      </c>
      <c r="F452">
        <v>1.48064853556485</v>
      </c>
      <c r="G452">
        <v>1.22767359598752</v>
      </c>
      <c r="H452">
        <v>8.7250262770238299E-2</v>
      </c>
      <c r="I452">
        <v>2.8994175094177899</v>
      </c>
      <c r="J452">
        <v>17.09</v>
      </c>
      <c r="K452">
        <v>2831</v>
      </c>
      <c r="L452">
        <v>1574.7607361963189</v>
      </c>
    </row>
    <row r="453" spans="1:12">
      <c r="A453" s="14">
        <v>43196</v>
      </c>
      <c r="B453">
        <v>2729</v>
      </c>
      <c r="C453">
        <v>2728</v>
      </c>
      <c r="D453">
        <v>1909</v>
      </c>
      <c r="E453">
        <v>1878</v>
      </c>
      <c r="F453">
        <v>1.4526091586794401</v>
      </c>
      <c r="G453">
        <v>1.2237338800811199</v>
      </c>
      <c r="H453">
        <v>8.2267188550728995E-2</v>
      </c>
      <c r="I453">
        <v>2.7820967585052601</v>
      </c>
      <c r="J453">
        <v>15.76</v>
      </c>
      <c r="K453">
        <v>2728</v>
      </c>
      <c r="L453">
        <v>1546.7576687116564</v>
      </c>
    </row>
    <row r="454" spans="1:12">
      <c r="A454" s="14">
        <v>43195</v>
      </c>
      <c r="B454">
        <v>2785</v>
      </c>
      <c r="C454">
        <v>2716</v>
      </c>
      <c r="D454">
        <v>1916</v>
      </c>
      <c r="E454">
        <v>1912</v>
      </c>
      <c r="F454">
        <v>1.4205020920502001</v>
      </c>
      <c r="G454">
        <v>1.21876702679965</v>
      </c>
      <c r="H454">
        <v>7.9497567179050294E-2</v>
      </c>
      <c r="I454">
        <v>2.5376256457784701</v>
      </c>
      <c r="J454">
        <v>14.2</v>
      </c>
      <c r="K454">
        <v>2716</v>
      </c>
      <c r="L454">
        <v>1574.7607361963189</v>
      </c>
    </row>
    <row r="455" spans="1:12">
      <c r="A455" s="14">
        <v>43194</v>
      </c>
      <c r="B455">
        <v>2756</v>
      </c>
      <c r="C455">
        <v>2753</v>
      </c>
      <c r="D455">
        <v>1986</v>
      </c>
      <c r="E455">
        <v>1903</v>
      </c>
      <c r="F455">
        <v>1.44666316342616</v>
      </c>
      <c r="G455">
        <v>1.21391778590538</v>
      </c>
      <c r="H455">
        <v>7.8124640719138494E-2</v>
      </c>
      <c r="I455">
        <v>2.9791545327871098</v>
      </c>
      <c r="J455">
        <v>16.09</v>
      </c>
      <c r="K455">
        <v>2753</v>
      </c>
      <c r="L455">
        <v>1567.3481595092023</v>
      </c>
    </row>
    <row r="456" spans="1:12">
      <c r="A456" s="14">
        <v>43193</v>
      </c>
      <c r="B456">
        <v>2754</v>
      </c>
      <c r="C456">
        <v>2768</v>
      </c>
      <c r="D456">
        <v>2051</v>
      </c>
      <c r="E456">
        <v>2062</v>
      </c>
      <c r="F456">
        <v>1.34238603297769</v>
      </c>
      <c r="G456">
        <v>1.2086545028317901</v>
      </c>
      <c r="H456">
        <v>7.5520916839723395E-2</v>
      </c>
      <c r="I456">
        <v>1.7707879583838799</v>
      </c>
      <c r="J456">
        <v>9.9600000000000009</v>
      </c>
      <c r="K456">
        <v>2768</v>
      </c>
      <c r="L456">
        <v>1698.3036809815951</v>
      </c>
    </row>
    <row r="457" spans="1:12">
      <c r="A457" s="14">
        <v>43192</v>
      </c>
      <c r="B457">
        <v>2826</v>
      </c>
      <c r="C457">
        <v>2796</v>
      </c>
      <c r="D457">
        <v>2088</v>
      </c>
      <c r="E457">
        <v>2083</v>
      </c>
      <c r="F457">
        <v>1.3422947671627401</v>
      </c>
      <c r="G457">
        <v>1.2046484274553799</v>
      </c>
      <c r="H457">
        <v>7.6285850946083603E-2</v>
      </c>
      <c r="I457">
        <v>1.80434953533707</v>
      </c>
      <c r="J457">
        <v>10.25</v>
      </c>
      <c r="K457">
        <v>2796</v>
      </c>
      <c r="L457">
        <v>1715.5996932515336</v>
      </c>
    </row>
    <row r="458" spans="1:12">
      <c r="A458" s="14">
        <v>43189</v>
      </c>
      <c r="B458">
        <v>2839</v>
      </c>
      <c r="C458">
        <v>2846</v>
      </c>
      <c r="D458">
        <v>2108</v>
      </c>
      <c r="E458">
        <v>2088</v>
      </c>
      <c r="F458">
        <v>1.3630268199233699</v>
      </c>
      <c r="G458">
        <v>1.20087068580556</v>
      </c>
      <c r="H458">
        <v>7.6391262587016007E-2</v>
      </c>
      <c r="I458">
        <v>2.12270524961012</v>
      </c>
      <c r="J458">
        <v>11.9</v>
      </c>
      <c r="K458">
        <v>2846</v>
      </c>
      <c r="L458">
        <v>1719.717791411043</v>
      </c>
    </row>
    <row r="459" spans="1:12">
      <c r="A459" s="14">
        <v>43188</v>
      </c>
      <c r="B459">
        <v>2750</v>
      </c>
      <c r="C459">
        <v>2805</v>
      </c>
      <c r="D459">
        <v>2082</v>
      </c>
      <c r="E459">
        <v>2065</v>
      </c>
      <c r="F459">
        <v>1.35835351089588</v>
      </c>
      <c r="G459">
        <v>1.1971808924785401</v>
      </c>
      <c r="H459">
        <v>7.5142919103175804E-2</v>
      </c>
      <c r="I459">
        <v>2.1448809860053899</v>
      </c>
      <c r="J459">
        <v>11.87</v>
      </c>
      <c r="K459">
        <v>2805</v>
      </c>
      <c r="L459">
        <v>1700.7745398773006</v>
      </c>
    </row>
    <row r="460" spans="1:12">
      <c r="A460" s="14">
        <v>43187</v>
      </c>
      <c r="B460">
        <v>2684</v>
      </c>
      <c r="C460">
        <v>2691</v>
      </c>
      <c r="D460">
        <v>2028</v>
      </c>
      <c r="E460">
        <v>2059</v>
      </c>
      <c r="F460">
        <v>1.3069451189898</v>
      </c>
      <c r="G460">
        <v>1.19343994399786</v>
      </c>
      <c r="H460">
        <v>7.4001275914357803E-2</v>
      </c>
      <c r="I460">
        <v>1.53382726972574</v>
      </c>
      <c r="J460">
        <v>8.68</v>
      </c>
      <c r="K460">
        <v>2691</v>
      </c>
      <c r="L460">
        <v>1695.8328220858896</v>
      </c>
    </row>
    <row r="461" spans="1:12">
      <c r="A461" s="14">
        <v>43186</v>
      </c>
      <c r="B461">
        <v>2699</v>
      </c>
      <c r="C461">
        <v>2743</v>
      </c>
      <c r="D461">
        <v>2052</v>
      </c>
      <c r="E461">
        <v>2070</v>
      </c>
      <c r="F461">
        <v>1.3251207729468599</v>
      </c>
      <c r="G461">
        <v>1.1905783641593799</v>
      </c>
      <c r="H461">
        <v>7.3705765683834606E-2</v>
      </c>
      <c r="I461">
        <v>1.8253986989919699</v>
      </c>
      <c r="J461">
        <v>10.15</v>
      </c>
      <c r="K461">
        <v>2743</v>
      </c>
      <c r="L461">
        <v>1704.8926380368098</v>
      </c>
    </row>
    <row r="462" spans="1:12">
      <c r="A462" s="14">
        <v>43185</v>
      </c>
      <c r="B462">
        <v>2600</v>
      </c>
      <c r="C462">
        <v>2650</v>
      </c>
      <c r="D462">
        <v>1955</v>
      </c>
      <c r="E462">
        <v>2043</v>
      </c>
      <c r="F462">
        <v>1.2971120900636299</v>
      </c>
      <c r="G462">
        <v>1.1874014291780901</v>
      </c>
      <c r="H462">
        <v>7.2969518978313205E-2</v>
      </c>
      <c r="I462">
        <v>1.5035135549973999</v>
      </c>
      <c r="J462">
        <v>8.4600000000000009</v>
      </c>
      <c r="K462">
        <v>2650</v>
      </c>
      <c r="L462">
        <v>1682.65490797546</v>
      </c>
    </row>
    <row r="463" spans="1:12">
      <c r="A463" s="14">
        <v>43182</v>
      </c>
      <c r="B463">
        <v>2602</v>
      </c>
      <c r="C463">
        <v>2630</v>
      </c>
      <c r="D463">
        <v>2043</v>
      </c>
      <c r="E463">
        <v>1998</v>
      </c>
      <c r="F463">
        <v>1.3163163163163101</v>
      </c>
      <c r="G463">
        <v>1.1844668163643399</v>
      </c>
      <c r="H463">
        <v>7.2924060176170397E-2</v>
      </c>
      <c r="I463">
        <v>1.80803838449816</v>
      </c>
      <c r="J463">
        <v>10.02</v>
      </c>
      <c r="K463">
        <v>2630</v>
      </c>
      <c r="L463">
        <v>1645.5920245398772</v>
      </c>
    </row>
    <row r="464" spans="1:12">
      <c r="A464" s="14">
        <v>43181</v>
      </c>
      <c r="B464">
        <v>2653</v>
      </c>
      <c r="C464">
        <v>2685</v>
      </c>
      <c r="D464">
        <v>2105</v>
      </c>
      <c r="E464">
        <v>2114</v>
      </c>
      <c r="F464">
        <v>1.2701040681173099</v>
      </c>
      <c r="G464">
        <v>1.18142715979235</v>
      </c>
      <c r="H464">
        <v>7.2111636010361899E-2</v>
      </c>
      <c r="I464">
        <v>1.2297170502721599</v>
      </c>
      <c r="J464">
        <v>6.98</v>
      </c>
      <c r="K464">
        <v>2685</v>
      </c>
      <c r="L464">
        <v>1741.1319018404906</v>
      </c>
    </row>
    <row r="465" spans="1:12">
      <c r="A465" s="14">
        <v>43179</v>
      </c>
      <c r="B465">
        <v>2657</v>
      </c>
      <c r="C465">
        <v>2678</v>
      </c>
      <c r="D465">
        <v>2074</v>
      </c>
      <c r="E465">
        <v>2106</v>
      </c>
      <c r="F465">
        <v>1.2716049382715999</v>
      </c>
      <c r="G465">
        <v>1.1788930890263301</v>
      </c>
      <c r="H465">
        <v>7.2290061626528707E-2</v>
      </c>
      <c r="I465">
        <v>1.28249785875467</v>
      </c>
      <c r="J465">
        <v>7.29</v>
      </c>
      <c r="K465">
        <v>2678</v>
      </c>
      <c r="L465">
        <v>1734.5429447852759</v>
      </c>
    </row>
    <row r="466" spans="1:12">
      <c r="A466" s="14">
        <v>43178</v>
      </c>
      <c r="B466">
        <v>2644</v>
      </c>
      <c r="C466">
        <v>2666</v>
      </c>
      <c r="D466">
        <v>2130</v>
      </c>
      <c r="E466">
        <v>2108</v>
      </c>
      <c r="F466">
        <v>1.26470588235294</v>
      </c>
      <c r="G466">
        <v>1.1763846466600101</v>
      </c>
      <c r="H466">
        <v>7.2293549496034601E-2</v>
      </c>
      <c r="I466">
        <v>1.22170285327836</v>
      </c>
      <c r="J466">
        <v>6.98</v>
      </c>
      <c r="K466">
        <v>2666</v>
      </c>
      <c r="L466">
        <v>1736.1901840490798</v>
      </c>
    </row>
    <row r="467" spans="1:12">
      <c r="A467" s="14">
        <v>43175</v>
      </c>
      <c r="B467">
        <v>2703</v>
      </c>
      <c r="C467">
        <v>2669</v>
      </c>
      <c r="D467">
        <v>2168</v>
      </c>
      <c r="E467">
        <v>2141</v>
      </c>
      <c r="F467">
        <v>1.24661373190098</v>
      </c>
      <c r="G467">
        <v>1.17383522672871</v>
      </c>
      <c r="H467">
        <v>7.2505086500489299E-2</v>
      </c>
      <c r="I467">
        <v>1.00377102745445</v>
      </c>
      <c r="J467">
        <v>5.84</v>
      </c>
      <c r="K467">
        <v>2669</v>
      </c>
      <c r="L467">
        <v>1763.3696319018404</v>
      </c>
    </row>
    <row r="468" spans="1:12">
      <c r="A468" s="14">
        <v>43174</v>
      </c>
      <c r="B468">
        <v>2694</v>
      </c>
      <c r="C468">
        <v>2693</v>
      </c>
      <c r="D468">
        <v>2141</v>
      </c>
      <c r="E468">
        <v>2147</v>
      </c>
      <c r="F468">
        <v>1.2543083372147099</v>
      </c>
      <c r="G468">
        <v>1.17146123770245</v>
      </c>
      <c r="H468">
        <v>7.2996491638658303E-2</v>
      </c>
      <c r="I468">
        <v>1.1349463193706</v>
      </c>
      <c r="J468">
        <v>6.61</v>
      </c>
      <c r="K468">
        <v>2693</v>
      </c>
      <c r="L468">
        <v>1768.3113496932515</v>
      </c>
    </row>
    <row r="469" spans="1:12">
      <c r="A469" s="14">
        <v>43173</v>
      </c>
      <c r="B469">
        <v>2679</v>
      </c>
      <c r="C469">
        <v>2694</v>
      </c>
      <c r="D469">
        <v>2157</v>
      </c>
      <c r="E469">
        <v>2146</v>
      </c>
      <c r="F469">
        <v>1.25535880708294</v>
      </c>
      <c r="G469">
        <v>1.16900783361029</v>
      </c>
      <c r="H469">
        <v>7.3262494817850493E-2</v>
      </c>
      <c r="I469">
        <v>1.1786518284333001</v>
      </c>
      <c r="J469">
        <v>6.88</v>
      </c>
      <c r="K469">
        <v>2694</v>
      </c>
      <c r="L469">
        <v>1767.4877300613496</v>
      </c>
    </row>
    <row r="470" spans="1:12">
      <c r="A470" s="14">
        <v>43172</v>
      </c>
      <c r="B470">
        <v>2670</v>
      </c>
      <c r="C470">
        <v>2699</v>
      </c>
      <c r="D470">
        <v>2180</v>
      </c>
      <c r="E470">
        <v>2175</v>
      </c>
      <c r="F470">
        <v>1.24091954022988</v>
      </c>
      <c r="G470">
        <v>1.16615326319107</v>
      </c>
      <c r="H470">
        <v>7.4009442819402305E-2</v>
      </c>
      <c r="I470">
        <v>1.0102261845323599</v>
      </c>
      <c r="J470">
        <v>6.03</v>
      </c>
      <c r="K470">
        <v>2699</v>
      </c>
      <c r="L470">
        <v>1791.372699386503</v>
      </c>
    </row>
    <row r="471" spans="1:12">
      <c r="A471" s="14">
        <v>43171</v>
      </c>
      <c r="B471">
        <v>2772</v>
      </c>
      <c r="C471">
        <v>2706</v>
      </c>
      <c r="D471">
        <v>2168</v>
      </c>
      <c r="E471">
        <v>2130</v>
      </c>
      <c r="F471">
        <v>1.2704225352112599</v>
      </c>
      <c r="G471">
        <v>1.1636887172132699</v>
      </c>
      <c r="H471">
        <v>7.45542943136768E-2</v>
      </c>
      <c r="I471">
        <v>1.4316253541200601</v>
      </c>
      <c r="J471">
        <v>8.4</v>
      </c>
      <c r="K471">
        <v>2706</v>
      </c>
      <c r="L471">
        <v>1754.3098159509202</v>
      </c>
    </row>
    <row r="472" spans="1:12">
      <c r="A472" s="14">
        <v>43168</v>
      </c>
      <c r="B472">
        <v>2751</v>
      </c>
      <c r="C472">
        <v>2750</v>
      </c>
      <c r="D472">
        <v>2118</v>
      </c>
      <c r="E472">
        <v>2118</v>
      </c>
      <c r="F472">
        <v>1.2983947119924399</v>
      </c>
      <c r="G472">
        <v>1.16023235703434</v>
      </c>
      <c r="H472">
        <v>7.5528519546360195E-2</v>
      </c>
      <c r="I472">
        <v>1.8292739721092299</v>
      </c>
      <c r="J472">
        <v>10.64</v>
      </c>
      <c r="K472">
        <v>2750</v>
      </c>
      <c r="L472">
        <v>1744.4263803680981</v>
      </c>
    </row>
    <row r="473" spans="1:12">
      <c r="A473" s="14">
        <v>43167</v>
      </c>
      <c r="B473">
        <v>2770</v>
      </c>
      <c r="C473">
        <v>2721</v>
      </c>
      <c r="D473">
        <v>2116</v>
      </c>
      <c r="E473">
        <v>2097</v>
      </c>
      <c r="F473">
        <v>1.29756795422031</v>
      </c>
      <c r="G473">
        <v>1.15636141798654</v>
      </c>
      <c r="H473">
        <v>7.5787529776676202E-2</v>
      </c>
      <c r="I473">
        <v>1.86318958606864</v>
      </c>
      <c r="J473">
        <v>10.88</v>
      </c>
      <c r="K473">
        <v>2721</v>
      </c>
      <c r="L473">
        <v>1727.1303680981594</v>
      </c>
    </row>
    <row r="474" spans="1:12">
      <c r="A474" s="14">
        <v>43166</v>
      </c>
      <c r="B474">
        <v>2749</v>
      </c>
      <c r="C474">
        <v>2767</v>
      </c>
      <c r="D474">
        <v>2089</v>
      </c>
      <c r="E474">
        <v>2100</v>
      </c>
      <c r="F474">
        <v>1.3176190476190399</v>
      </c>
      <c r="G474">
        <v>1.15244270519846</v>
      </c>
      <c r="H474">
        <v>7.5983030242261607E-2</v>
      </c>
      <c r="I474">
        <v>2.1738583193371501</v>
      </c>
      <c r="J474">
        <v>12.54</v>
      </c>
      <c r="K474">
        <v>2767</v>
      </c>
      <c r="L474">
        <v>1729.6012269938649</v>
      </c>
    </row>
    <row r="475" spans="1:12">
      <c r="A475" s="14">
        <v>43165</v>
      </c>
      <c r="B475">
        <v>2768</v>
      </c>
      <c r="C475">
        <v>2771</v>
      </c>
      <c r="D475">
        <v>2128</v>
      </c>
      <c r="E475">
        <v>2111</v>
      </c>
      <c r="F475">
        <v>1.3126480341070501</v>
      </c>
      <c r="G475">
        <v>1.14802556407675</v>
      </c>
      <c r="H475">
        <v>7.5881687493825303E-2</v>
      </c>
      <c r="I475">
        <v>2.1694624285168</v>
      </c>
      <c r="J475">
        <v>12.54</v>
      </c>
      <c r="K475">
        <v>2771</v>
      </c>
      <c r="L475">
        <v>1738.6610429447851</v>
      </c>
    </row>
    <row r="476" spans="1:12">
      <c r="A476" s="14">
        <v>43164</v>
      </c>
      <c r="B476">
        <v>2713</v>
      </c>
      <c r="C476">
        <v>2741</v>
      </c>
      <c r="D476">
        <v>2132</v>
      </c>
      <c r="E476">
        <v>2088</v>
      </c>
      <c r="F476">
        <v>1.3127394636015299</v>
      </c>
      <c r="G476">
        <v>1.1435497519442499</v>
      </c>
      <c r="H476">
        <v>7.5939621896491505E-2</v>
      </c>
      <c r="I476">
        <v>2.2279504089167599</v>
      </c>
      <c r="J476">
        <v>12.89</v>
      </c>
      <c r="K476">
        <v>2741</v>
      </c>
      <c r="L476">
        <v>1719.717791411043</v>
      </c>
    </row>
    <row r="477" spans="1:12">
      <c r="A477" s="14">
        <v>43161</v>
      </c>
      <c r="B477">
        <v>2706</v>
      </c>
      <c r="C477">
        <v>2718</v>
      </c>
      <c r="D477">
        <v>2150</v>
      </c>
      <c r="E477">
        <v>2155</v>
      </c>
      <c r="F477">
        <v>1.2612529002320101</v>
      </c>
      <c r="G477">
        <v>1.13817376041386</v>
      </c>
      <c r="H477">
        <v>7.8015359674650994E-2</v>
      </c>
      <c r="I477">
        <v>1.5776270253887801</v>
      </c>
      <c r="J477">
        <v>9.76</v>
      </c>
      <c r="K477">
        <v>2718</v>
      </c>
      <c r="L477">
        <v>1774.9003067484662</v>
      </c>
    </row>
    <row r="478" spans="1:12">
      <c r="A478" s="14">
        <v>43160</v>
      </c>
      <c r="B478">
        <v>2809</v>
      </c>
      <c r="C478">
        <v>2789</v>
      </c>
      <c r="D478">
        <v>2210</v>
      </c>
      <c r="E478">
        <v>2215</v>
      </c>
      <c r="F478">
        <v>1.2591422121896101</v>
      </c>
      <c r="G478">
        <v>1.13349335584444</v>
      </c>
      <c r="H478">
        <v>8.0965016157784106E-2</v>
      </c>
      <c r="I478">
        <v>1.5518907091960601</v>
      </c>
      <c r="J478">
        <v>9.98</v>
      </c>
      <c r="K478">
        <v>2789</v>
      </c>
      <c r="L478">
        <v>1824.3174846625766</v>
      </c>
    </row>
    <row r="479" spans="1:12">
      <c r="A479" s="14">
        <v>43159</v>
      </c>
      <c r="B479">
        <v>2905</v>
      </c>
      <c r="C479">
        <v>2859</v>
      </c>
      <c r="D479">
        <v>2282</v>
      </c>
      <c r="E479">
        <v>2250</v>
      </c>
      <c r="F479">
        <v>1.2706666666666599</v>
      </c>
      <c r="G479">
        <v>1.12899057994634</v>
      </c>
      <c r="H479">
        <v>8.3211452792448098E-2</v>
      </c>
      <c r="I479">
        <v>1.70260321104719</v>
      </c>
      <c r="J479">
        <v>11.15</v>
      </c>
      <c r="K479">
        <v>2859</v>
      </c>
      <c r="L479">
        <v>1853.1441717791411</v>
      </c>
    </row>
    <row r="480" spans="1:12">
      <c r="A480" s="14">
        <v>43158</v>
      </c>
      <c r="B480">
        <v>2921</v>
      </c>
      <c r="C480">
        <v>2910</v>
      </c>
      <c r="D480">
        <v>2298</v>
      </c>
      <c r="E480">
        <v>2296</v>
      </c>
      <c r="F480">
        <v>1.2674216027874501</v>
      </c>
      <c r="G480">
        <v>1.12479429664549</v>
      </c>
      <c r="H480">
        <v>8.3893805517409506E-2</v>
      </c>
      <c r="I480">
        <v>1.70009341288447</v>
      </c>
      <c r="J480">
        <v>11.25</v>
      </c>
      <c r="K480">
        <v>2910</v>
      </c>
      <c r="L480">
        <v>1891.0306748466257</v>
      </c>
    </row>
    <row r="481" spans="1:12">
      <c r="A481" s="14">
        <v>43157</v>
      </c>
      <c r="B481">
        <v>2877</v>
      </c>
      <c r="C481">
        <v>2881</v>
      </c>
      <c r="D481">
        <v>2286</v>
      </c>
      <c r="E481">
        <v>2269</v>
      </c>
      <c r="F481">
        <v>1.2697223446452099</v>
      </c>
      <c r="G481">
        <v>1.12112826570966</v>
      </c>
      <c r="H481">
        <v>8.3588051178589806E-2</v>
      </c>
      <c r="I481">
        <v>1.77769521887851</v>
      </c>
      <c r="J481">
        <v>11.7</v>
      </c>
      <c r="K481">
        <v>2881</v>
      </c>
      <c r="L481">
        <v>1868.7929447852759</v>
      </c>
    </row>
    <row r="482" spans="1:12">
      <c r="A482" s="14">
        <v>43154</v>
      </c>
      <c r="B482">
        <v>2812</v>
      </c>
      <c r="C482">
        <v>2854</v>
      </c>
      <c r="D482">
        <v>2218</v>
      </c>
      <c r="E482">
        <v>2256</v>
      </c>
      <c r="F482">
        <v>1.2650709219858101</v>
      </c>
      <c r="G482">
        <v>1.1170524627539899</v>
      </c>
      <c r="H482">
        <v>8.3695773416995606E-2</v>
      </c>
      <c r="I482">
        <v>1.7685296782473301</v>
      </c>
      <c r="J482">
        <v>11.7</v>
      </c>
      <c r="K482">
        <v>2854</v>
      </c>
      <c r="L482">
        <v>1858.0858895705521</v>
      </c>
    </row>
    <row r="483" spans="1:12">
      <c r="A483" s="14">
        <v>43153</v>
      </c>
      <c r="B483">
        <v>2814</v>
      </c>
      <c r="C483">
        <v>2827</v>
      </c>
      <c r="D483">
        <v>2235</v>
      </c>
      <c r="E483">
        <v>2202</v>
      </c>
      <c r="F483">
        <v>1.2838328792007201</v>
      </c>
      <c r="G483">
        <v>1.1137562790322699</v>
      </c>
      <c r="H483">
        <v>8.26630971088234E-2</v>
      </c>
      <c r="I483">
        <v>2.0574670695503499</v>
      </c>
      <c r="J483">
        <v>13.25</v>
      </c>
      <c r="K483">
        <v>2827</v>
      </c>
      <c r="L483">
        <v>1813.6104294478528</v>
      </c>
    </row>
    <row r="484" spans="1:12">
      <c r="A484" s="14">
        <v>43152</v>
      </c>
      <c r="B484">
        <v>2850</v>
      </c>
      <c r="C484">
        <v>2864</v>
      </c>
      <c r="D484">
        <v>2285</v>
      </c>
      <c r="E484">
        <v>2276</v>
      </c>
      <c r="F484">
        <v>1.25834797891036</v>
      </c>
      <c r="G484">
        <v>1.11009762680645</v>
      </c>
      <c r="H484">
        <v>8.1112451770325694E-2</v>
      </c>
      <c r="I484">
        <v>1.8277138573457199</v>
      </c>
      <c r="J484">
        <v>11.78</v>
      </c>
      <c r="K484">
        <v>2864</v>
      </c>
      <c r="L484">
        <v>1874.5582822085889</v>
      </c>
    </row>
    <row r="485" spans="1:12">
      <c r="A485" s="14">
        <v>43151</v>
      </c>
      <c r="B485">
        <v>2825</v>
      </c>
      <c r="C485">
        <v>2842</v>
      </c>
      <c r="D485">
        <v>2270</v>
      </c>
      <c r="E485">
        <v>2275</v>
      </c>
      <c r="F485">
        <v>1.24923076923076</v>
      </c>
      <c r="G485">
        <v>1.10595095900653</v>
      </c>
      <c r="H485">
        <v>8.1376649561025305E-2</v>
      </c>
      <c r="I485">
        <v>1.76069930375779</v>
      </c>
      <c r="J485">
        <v>11.47</v>
      </c>
      <c r="K485">
        <v>2842</v>
      </c>
      <c r="L485">
        <v>1873.734662576687</v>
      </c>
    </row>
    <row r="486" spans="1:12">
      <c r="A486" s="14">
        <v>43150</v>
      </c>
      <c r="B486">
        <v>2789</v>
      </c>
      <c r="C486">
        <v>2838</v>
      </c>
      <c r="D486">
        <v>2245</v>
      </c>
      <c r="E486">
        <v>2282</v>
      </c>
      <c r="F486">
        <v>1.24364592462751</v>
      </c>
      <c r="G486">
        <v>1.1021308880954701</v>
      </c>
      <c r="H486">
        <v>8.1285661183662997E-2</v>
      </c>
      <c r="I486">
        <v>1.7409594074936801</v>
      </c>
      <c r="J486">
        <v>11.38</v>
      </c>
      <c r="K486">
        <v>2838</v>
      </c>
      <c r="L486">
        <v>1879.5</v>
      </c>
    </row>
    <row r="487" spans="1:12">
      <c r="A487" s="14">
        <v>43147</v>
      </c>
      <c r="B487">
        <v>2725</v>
      </c>
      <c r="C487">
        <v>2741</v>
      </c>
      <c r="D487">
        <v>2209</v>
      </c>
      <c r="E487">
        <v>2219</v>
      </c>
      <c r="F487">
        <v>1.2352410995944101</v>
      </c>
      <c r="G487">
        <v>1.09845788683345</v>
      </c>
      <c r="H487">
        <v>8.1031588473577096E-2</v>
      </c>
      <c r="I487">
        <v>1.68802334173122</v>
      </c>
      <c r="J487">
        <v>11.07</v>
      </c>
      <c r="K487">
        <v>2741</v>
      </c>
      <c r="L487">
        <v>1827.611963190184</v>
      </c>
    </row>
    <row r="488" spans="1:12">
      <c r="A488" s="14">
        <v>43146</v>
      </c>
      <c r="B488">
        <v>2725</v>
      </c>
      <c r="C488">
        <v>2692</v>
      </c>
      <c r="D488">
        <v>2235</v>
      </c>
      <c r="E488">
        <v>2197</v>
      </c>
      <c r="F488">
        <v>1.2253072371415501</v>
      </c>
      <c r="G488">
        <v>1.09425304429479</v>
      </c>
      <c r="H488">
        <v>8.2001136850117007E-2</v>
      </c>
      <c r="I488">
        <v>1.5981997065029001</v>
      </c>
      <c r="J488">
        <v>10.7</v>
      </c>
      <c r="K488">
        <v>2692</v>
      </c>
      <c r="L488">
        <v>1809.4923312883434</v>
      </c>
    </row>
    <row r="489" spans="1:12">
      <c r="A489" s="14">
        <v>43145</v>
      </c>
      <c r="B489">
        <v>2688</v>
      </c>
      <c r="C489">
        <v>2697</v>
      </c>
      <c r="D489">
        <v>2194</v>
      </c>
      <c r="E489">
        <v>2195</v>
      </c>
      <c r="F489">
        <v>1.22870159453302</v>
      </c>
      <c r="G489">
        <v>1.0903176323164501</v>
      </c>
      <c r="H489">
        <v>8.2696762660551204E-2</v>
      </c>
      <c r="I489">
        <v>1.6733903210287</v>
      </c>
      <c r="J489">
        <v>11.26</v>
      </c>
      <c r="K489">
        <v>2697</v>
      </c>
      <c r="L489">
        <v>1807.8450920245398</v>
      </c>
    </row>
    <row r="490" spans="1:12">
      <c r="A490" s="14">
        <v>43144</v>
      </c>
      <c r="B490">
        <v>2769</v>
      </c>
      <c r="C490">
        <v>2671</v>
      </c>
      <c r="D490">
        <v>2257</v>
      </c>
      <c r="E490">
        <v>2191</v>
      </c>
      <c r="F490">
        <v>1.21907804655408</v>
      </c>
      <c r="G490">
        <v>1.0861775102898801</v>
      </c>
      <c r="H490">
        <v>8.3434445785689801E-2</v>
      </c>
      <c r="I490">
        <v>1.5928737227496399</v>
      </c>
      <c r="J490">
        <v>10.9</v>
      </c>
      <c r="K490">
        <v>2671</v>
      </c>
      <c r="L490">
        <v>1804.5506134969323</v>
      </c>
    </row>
    <row r="491" spans="1:12">
      <c r="A491" s="14">
        <v>43140</v>
      </c>
      <c r="B491">
        <v>2656</v>
      </c>
      <c r="C491">
        <v>2685</v>
      </c>
      <c r="D491">
        <v>2210</v>
      </c>
      <c r="E491">
        <v>2225</v>
      </c>
      <c r="F491">
        <v>1.2067415730337001</v>
      </c>
      <c r="G491">
        <v>1.08249744631459</v>
      </c>
      <c r="H491">
        <v>8.3578192345632907E-2</v>
      </c>
      <c r="I491">
        <v>1.48656154473058</v>
      </c>
      <c r="J491">
        <v>10.3</v>
      </c>
      <c r="K491">
        <v>2685</v>
      </c>
      <c r="L491">
        <v>1832.5536809815951</v>
      </c>
    </row>
    <row r="492" spans="1:12">
      <c r="A492" s="14">
        <v>43139</v>
      </c>
      <c r="B492">
        <v>2720</v>
      </c>
      <c r="C492">
        <v>2739</v>
      </c>
      <c r="D492">
        <v>2277</v>
      </c>
      <c r="E492">
        <v>2297</v>
      </c>
      <c r="F492">
        <v>1.1924249020461399</v>
      </c>
      <c r="G492">
        <v>1.0791724795024</v>
      </c>
      <c r="H492">
        <v>8.3529629223545204E-2</v>
      </c>
      <c r="I492">
        <v>1.35583533168396</v>
      </c>
      <c r="J492">
        <v>9.5</v>
      </c>
      <c r="K492">
        <v>2739</v>
      </c>
      <c r="L492">
        <v>1891.8542944785274</v>
      </c>
    </row>
    <row r="493" spans="1:12">
      <c r="A493" s="14">
        <v>43138</v>
      </c>
      <c r="B493">
        <v>2860</v>
      </c>
      <c r="C493">
        <v>2664</v>
      </c>
      <c r="D493">
        <v>2389</v>
      </c>
      <c r="E493">
        <v>2271</v>
      </c>
      <c r="F493">
        <v>1.1730515191545501</v>
      </c>
      <c r="G493">
        <v>1.0763599005615401</v>
      </c>
      <c r="H493">
        <v>8.3219712947243701E-2</v>
      </c>
      <c r="I493">
        <v>1.1618835870572299</v>
      </c>
      <c r="J493">
        <v>8.24</v>
      </c>
      <c r="K493">
        <v>2664</v>
      </c>
      <c r="L493">
        <v>1870.4401840490796</v>
      </c>
    </row>
    <row r="494" spans="1:12">
      <c r="A494" s="14">
        <v>43137</v>
      </c>
      <c r="B494">
        <v>2670</v>
      </c>
      <c r="C494">
        <v>2610</v>
      </c>
      <c r="D494">
        <v>2325</v>
      </c>
      <c r="E494">
        <v>2294</v>
      </c>
      <c r="F494">
        <v>1.13775065387968</v>
      </c>
      <c r="G494">
        <v>1.0742465871668501</v>
      </c>
      <c r="H494">
        <v>8.2748608186945197E-2</v>
      </c>
      <c r="I494">
        <v>0.76743365361946003</v>
      </c>
      <c r="J494">
        <v>5.58</v>
      </c>
      <c r="K494">
        <v>2610</v>
      </c>
      <c r="L494">
        <v>1889.3834355828219</v>
      </c>
    </row>
    <row r="495" spans="1:12">
      <c r="A495" s="14">
        <v>43136</v>
      </c>
      <c r="B495">
        <v>2811</v>
      </c>
      <c r="C495">
        <v>2795</v>
      </c>
      <c r="D495">
        <v>2501</v>
      </c>
      <c r="E495">
        <v>2460</v>
      </c>
      <c r="F495">
        <v>1.1361788617886099</v>
      </c>
      <c r="G495">
        <v>1.0728153171871899</v>
      </c>
      <c r="H495">
        <v>8.2565978018658101E-2</v>
      </c>
      <c r="I495">
        <v>0.76742922595918095</v>
      </c>
      <c r="J495">
        <v>5.58</v>
      </c>
      <c r="K495">
        <v>2795</v>
      </c>
      <c r="L495">
        <v>2026.1042944785274</v>
      </c>
    </row>
    <row r="496" spans="1:12">
      <c r="A496" s="14">
        <v>43133</v>
      </c>
      <c r="B496">
        <v>2900</v>
      </c>
      <c r="C496">
        <v>2900</v>
      </c>
      <c r="D496">
        <v>2548</v>
      </c>
      <c r="E496">
        <v>2558</v>
      </c>
      <c r="F496">
        <v>1.1336982017200901</v>
      </c>
      <c r="G496">
        <v>1.0711267410974501</v>
      </c>
      <c r="H496">
        <v>8.2547851547024903E-2</v>
      </c>
      <c r="I496">
        <v>0.75800229139814301</v>
      </c>
      <c r="J496">
        <v>5.52</v>
      </c>
      <c r="K496">
        <v>2900</v>
      </c>
      <c r="L496">
        <v>2106.8190184049081</v>
      </c>
    </row>
    <row r="497" spans="1:12">
      <c r="A497" s="14">
        <v>43132</v>
      </c>
      <c r="B497">
        <v>2863</v>
      </c>
      <c r="C497">
        <v>2940</v>
      </c>
      <c r="D497">
        <v>2536</v>
      </c>
      <c r="E497">
        <v>2567</v>
      </c>
      <c r="F497">
        <v>1.1453058044409801</v>
      </c>
      <c r="G497">
        <v>1.0690212971494699</v>
      </c>
      <c r="H497">
        <v>8.2937931979278304E-2</v>
      </c>
      <c r="I497">
        <v>0.91977826636145898</v>
      </c>
      <c r="J497">
        <v>6.66</v>
      </c>
      <c r="K497">
        <v>2940</v>
      </c>
      <c r="L497">
        <v>2114.2315950920242</v>
      </c>
    </row>
    <row r="498" spans="1:12">
      <c r="A498" s="14">
        <v>43131</v>
      </c>
      <c r="B498">
        <v>2823</v>
      </c>
      <c r="C498">
        <v>2828</v>
      </c>
      <c r="D498">
        <v>2518</v>
      </c>
      <c r="E498">
        <v>2500</v>
      </c>
      <c r="F498">
        <v>1.1312</v>
      </c>
      <c r="G498">
        <v>1.06662392749135</v>
      </c>
      <c r="H498">
        <v>8.3296113049867407E-2</v>
      </c>
      <c r="I498">
        <v>0.77525913448063899</v>
      </c>
      <c r="J498">
        <v>5.71</v>
      </c>
      <c r="K498">
        <v>2828</v>
      </c>
      <c r="L498">
        <v>2059.0490797546013</v>
      </c>
    </row>
    <row r="499" spans="1:12">
      <c r="A499" s="14">
        <v>43130</v>
      </c>
      <c r="B499">
        <v>2918</v>
      </c>
      <c r="C499">
        <v>2842</v>
      </c>
      <c r="D499">
        <v>2559</v>
      </c>
      <c r="E499">
        <v>2520</v>
      </c>
      <c r="F499">
        <v>1.12777777777777</v>
      </c>
      <c r="G499">
        <v>1.06367868542474</v>
      </c>
      <c r="H499">
        <v>8.4851443595312603E-2</v>
      </c>
      <c r="I499">
        <v>0.75542724598470701</v>
      </c>
      <c r="J499">
        <v>5.68</v>
      </c>
      <c r="K499">
        <v>2842</v>
      </c>
      <c r="L499">
        <v>2075.5214723926379</v>
      </c>
    </row>
    <row r="500" spans="1:12">
      <c r="A500" s="14">
        <v>43129</v>
      </c>
      <c r="B500">
        <v>2950</v>
      </c>
      <c r="C500">
        <v>2942</v>
      </c>
      <c r="D500">
        <v>2504</v>
      </c>
      <c r="E500">
        <v>2577</v>
      </c>
      <c r="F500">
        <v>1.1416375630578099</v>
      </c>
      <c r="G500">
        <v>1.06054024601445</v>
      </c>
      <c r="H500">
        <v>8.6754311639075904E-2</v>
      </c>
      <c r="I500">
        <v>0.93479292857222795</v>
      </c>
      <c r="J500">
        <v>7.1</v>
      </c>
      <c r="K500">
        <v>2942</v>
      </c>
      <c r="L500">
        <v>2122.467791411043</v>
      </c>
    </row>
    <row r="501" spans="1:12">
      <c r="A501" s="14">
        <v>43126</v>
      </c>
      <c r="B501">
        <v>2867</v>
      </c>
      <c r="C501">
        <v>2900</v>
      </c>
      <c r="D501">
        <v>2485</v>
      </c>
      <c r="E501">
        <v>2504</v>
      </c>
      <c r="F501">
        <v>1.1581469648562299</v>
      </c>
      <c r="G501">
        <v>1.0574664386053401</v>
      </c>
      <c r="H501">
        <v>8.7902952891996303E-2</v>
      </c>
      <c r="I501">
        <v>1.1453600014392</v>
      </c>
      <c r="J501">
        <v>8.69</v>
      </c>
      <c r="K501">
        <v>2900</v>
      </c>
      <c r="L501">
        <v>2062.3435582822085</v>
      </c>
    </row>
    <row r="502" spans="1:12">
      <c r="A502" s="14">
        <v>43125</v>
      </c>
      <c r="B502">
        <v>2899</v>
      </c>
      <c r="C502">
        <v>2883</v>
      </c>
      <c r="D502">
        <v>2452</v>
      </c>
      <c r="E502">
        <v>2485</v>
      </c>
      <c r="F502">
        <v>1.16016096579476</v>
      </c>
      <c r="G502">
        <v>1.0539889091466801</v>
      </c>
      <c r="H502">
        <v>8.9003301957194095E-2</v>
      </c>
      <c r="I502">
        <v>1.1929001993560699</v>
      </c>
      <c r="J502">
        <v>9.15</v>
      </c>
      <c r="K502">
        <v>2883</v>
      </c>
      <c r="L502">
        <v>2046.6947852760736</v>
      </c>
    </row>
    <row r="503" spans="1:12">
      <c r="A503" s="14">
        <v>43124</v>
      </c>
      <c r="B503">
        <v>2932</v>
      </c>
      <c r="C503">
        <v>2921</v>
      </c>
      <c r="D503">
        <v>2498</v>
      </c>
      <c r="E503">
        <v>2486</v>
      </c>
      <c r="F503">
        <v>1.1749798873692601</v>
      </c>
      <c r="G503">
        <v>1.05046431724018</v>
      </c>
      <c r="H503">
        <v>8.9958016741755797E-2</v>
      </c>
      <c r="I503">
        <v>1.38415201489521</v>
      </c>
      <c r="J503">
        <v>10.6</v>
      </c>
      <c r="K503">
        <v>2921</v>
      </c>
      <c r="L503">
        <v>2047.5184049079753</v>
      </c>
    </row>
    <row r="504" spans="1:12">
      <c r="A504" s="14">
        <v>43123</v>
      </c>
      <c r="B504">
        <v>2944</v>
      </c>
      <c r="C504">
        <v>2935</v>
      </c>
      <c r="D504">
        <v>2508</v>
      </c>
      <c r="E504">
        <v>2509</v>
      </c>
      <c r="F504">
        <v>1.16978876046233</v>
      </c>
      <c r="G504">
        <v>1.04674168732803</v>
      </c>
      <c r="H504">
        <v>9.0503502918829803E-2</v>
      </c>
      <c r="I504">
        <v>1.35958354280117</v>
      </c>
      <c r="J504">
        <v>10.52</v>
      </c>
      <c r="K504">
        <v>2935</v>
      </c>
      <c r="L504">
        <v>2066.4616564417179</v>
      </c>
    </row>
    <row r="505" spans="1:12">
      <c r="A505" s="14">
        <v>43122</v>
      </c>
      <c r="B505">
        <v>2952</v>
      </c>
      <c r="C505">
        <v>2948</v>
      </c>
      <c r="D505">
        <v>2505</v>
      </c>
      <c r="E505">
        <v>2502</v>
      </c>
      <c r="F505">
        <v>1.1782573940847301</v>
      </c>
      <c r="G505">
        <v>1.04289529249873</v>
      </c>
      <c r="H505">
        <v>9.1318785167026406E-2</v>
      </c>
      <c r="I505">
        <v>1.4823029165183199</v>
      </c>
      <c r="J505">
        <v>11.49</v>
      </c>
      <c r="K505">
        <v>2948</v>
      </c>
      <c r="L505">
        <v>2060.6963190184047</v>
      </c>
    </row>
    <row r="506" spans="1:12">
      <c r="A506" s="14">
        <v>43119</v>
      </c>
      <c r="B506">
        <v>2932</v>
      </c>
      <c r="C506">
        <v>2964</v>
      </c>
      <c r="D506">
        <v>2500</v>
      </c>
      <c r="E506">
        <v>2531</v>
      </c>
      <c r="F506">
        <v>1.1710786250493801</v>
      </c>
      <c r="G506">
        <v>1.0386560110315599</v>
      </c>
      <c r="H506">
        <v>9.2311082604665806E-2</v>
      </c>
      <c r="I506">
        <v>1.4345256309574399</v>
      </c>
      <c r="J506">
        <v>11.31</v>
      </c>
      <c r="K506">
        <v>2964</v>
      </c>
      <c r="L506">
        <v>2084.5812883435583</v>
      </c>
    </row>
    <row r="507" spans="1:12">
      <c r="A507" s="14">
        <v>43118</v>
      </c>
      <c r="B507">
        <v>2969</v>
      </c>
      <c r="C507">
        <v>2910</v>
      </c>
      <c r="D507">
        <v>2608</v>
      </c>
      <c r="E507">
        <v>2443</v>
      </c>
      <c r="F507">
        <v>1.1911584117887799</v>
      </c>
      <c r="G507">
        <v>1.0345458222363499</v>
      </c>
      <c r="H507">
        <v>9.3182092302628999E-2</v>
      </c>
      <c r="I507">
        <v>1.68071552894299</v>
      </c>
      <c r="J507">
        <v>13.15</v>
      </c>
      <c r="K507">
        <v>2910</v>
      </c>
      <c r="L507">
        <v>2012.1027607361962</v>
      </c>
    </row>
    <row r="508" spans="1:12">
      <c r="A508" s="14">
        <v>43117</v>
      </c>
      <c r="B508">
        <v>3010</v>
      </c>
      <c r="C508">
        <v>2973</v>
      </c>
      <c r="D508">
        <v>2540</v>
      </c>
      <c r="E508">
        <v>2566</v>
      </c>
      <c r="F508">
        <v>1.15861262665627</v>
      </c>
      <c r="G508">
        <v>1.03032375773604</v>
      </c>
      <c r="H508">
        <v>9.3164138681728695E-2</v>
      </c>
      <c r="I508">
        <v>1.3770198569483501</v>
      </c>
      <c r="J508">
        <v>11.07</v>
      </c>
      <c r="K508">
        <v>2973</v>
      </c>
      <c r="L508">
        <v>2113.4079754601225</v>
      </c>
    </row>
    <row r="509" spans="1:12">
      <c r="A509" s="14">
        <v>43116</v>
      </c>
      <c r="B509">
        <v>3050</v>
      </c>
      <c r="C509">
        <v>3050</v>
      </c>
      <c r="D509">
        <v>2534</v>
      </c>
      <c r="E509">
        <v>2569</v>
      </c>
      <c r="F509">
        <v>1.1872323861424601</v>
      </c>
      <c r="G509">
        <v>1.0264174858870601</v>
      </c>
      <c r="H509">
        <v>9.3842726750716102E-2</v>
      </c>
      <c r="I509">
        <v>1.71366397613951</v>
      </c>
      <c r="J509">
        <v>13.55</v>
      </c>
      <c r="K509">
        <v>3050</v>
      </c>
      <c r="L509">
        <v>2115.8788343558281</v>
      </c>
    </row>
    <row r="510" spans="1:12">
      <c r="A510" s="14">
        <v>43115</v>
      </c>
      <c r="B510">
        <v>3005</v>
      </c>
      <c r="C510">
        <v>3015</v>
      </c>
      <c r="D510">
        <v>2598</v>
      </c>
      <c r="E510">
        <v>2559</v>
      </c>
      <c r="F510">
        <v>1.1781946072684599</v>
      </c>
      <c r="G510">
        <v>1.02223449878145</v>
      </c>
      <c r="H510">
        <v>9.3572914131140203E-2</v>
      </c>
      <c r="I510">
        <v>1.6667227897640799</v>
      </c>
      <c r="J510">
        <v>13.24</v>
      </c>
      <c r="K510">
        <v>3015</v>
      </c>
      <c r="L510">
        <v>2107.6426380368098</v>
      </c>
    </row>
    <row r="511" spans="1:12">
      <c r="A511" s="14">
        <v>43112</v>
      </c>
      <c r="B511">
        <v>2937</v>
      </c>
      <c r="C511">
        <v>2972</v>
      </c>
      <c r="D511">
        <v>2609</v>
      </c>
      <c r="E511">
        <v>2584</v>
      </c>
      <c r="F511">
        <v>1.1501547987616001</v>
      </c>
      <c r="G511">
        <v>1.0177194221902499</v>
      </c>
      <c r="H511">
        <v>9.4106877640364905E-2</v>
      </c>
      <c r="I511">
        <v>1.40728690497485</v>
      </c>
      <c r="J511">
        <v>11.51</v>
      </c>
      <c r="K511">
        <v>2972</v>
      </c>
      <c r="L511">
        <v>2128.2331288343557</v>
      </c>
    </row>
    <row r="512" spans="1:12">
      <c r="A512" s="14">
        <v>43111</v>
      </c>
      <c r="B512">
        <v>2930</v>
      </c>
      <c r="C512">
        <v>2936</v>
      </c>
      <c r="D512">
        <v>2601</v>
      </c>
      <c r="E512">
        <v>2620</v>
      </c>
      <c r="F512">
        <v>1.1206106870229</v>
      </c>
      <c r="G512">
        <v>1.0132744534082001</v>
      </c>
      <c r="H512">
        <v>9.5607716755778394E-2</v>
      </c>
      <c r="I512">
        <v>1.12267332864856</v>
      </c>
      <c r="J512">
        <v>9.58</v>
      </c>
      <c r="K512">
        <v>2936</v>
      </c>
      <c r="L512">
        <v>2157.8834355828221</v>
      </c>
    </row>
    <row r="513" spans="1:12">
      <c r="A513" s="14">
        <v>43110</v>
      </c>
      <c r="B513">
        <v>2979</v>
      </c>
      <c r="C513">
        <v>2954</v>
      </c>
      <c r="D513">
        <v>2658</v>
      </c>
      <c r="E513">
        <v>2622</v>
      </c>
      <c r="F513">
        <v>1.1266209000762699</v>
      </c>
      <c r="G513">
        <v>1.00908915042073</v>
      </c>
      <c r="H513">
        <v>9.7665789844761694E-2</v>
      </c>
      <c r="I513">
        <v>1.2034075579827499</v>
      </c>
      <c r="J513">
        <v>10.43</v>
      </c>
      <c r="K513">
        <v>2954</v>
      </c>
      <c r="L513">
        <v>2159.5306748466255</v>
      </c>
    </row>
    <row r="514" spans="1:12">
      <c r="A514" s="14">
        <v>43109</v>
      </c>
      <c r="B514">
        <v>3000</v>
      </c>
      <c r="C514">
        <v>2993</v>
      </c>
      <c r="D514">
        <v>2680</v>
      </c>
      <c r="E514">
        <v>2671</v>
      </c>
      <c r="F514">
        <v>1.12055409958816</v>
      </c>
      <c r="G514">
        <v>1.0046368965977699</v>
      </c>
      <c r="H514">
        <v>9.9794357988099602E-2</v>
      </c>
      <c r="I514">
        <v>1.1615606866694701</v>
      </c>
      <c r="J514">
        <v>10.34</v>
      </c>
      <c r="K514">
        <v>2993</v>
      </c>
      <c r="L514">
        <v>2199.8880368098157</v>
      </c>
    </row>
    <row r="515" spans="1:12">
      <c r="A515" s="14">
        <v>43105</v>
      </c>
      <c r="B515">
        <v>3020</v>
      </c>
      <c r="C515">
        <v>3000</v>
      </c>
      <c r="D515">
        <v>2650</v>
      </c>
      <c r="E515">
        <v>2654</v>
      </c>
      <c r="F515">
        <v>1.13036925395629</v>
      </c>
      <c r="G515">
        <v>1.0004342892704501</v>
      </c>
      <c r="H515">
        <v>0.101447455023187</v>
      </c>
      <c r="I515">
        <v>1.2808104910678799</v>
      </c>
      <c r="J515">
        <v>11.49</v>
      </c>
      <c r="K515">
        <v>3000</v>
      </c>
      <c r="L515">
        <v>2185.8865030674847</v>
      </c>
    </row>
    <row r="516" spans="1:12">
      <c r="A516" s="14">
        <v>43104</v>
      </c>
      <c r="B516">
        <v>2942</v>
      </c>
      <c r="C516">
        <v>2994</v>
      </c>
      <c r="D516">
        <v>2585</v>
      </c>
      <c r="E516">
        <v>2639</v>
      </c>
      <c r="F516">
        <v>1.1345206517620301</v>
      </c>
      <c r="G516">
        <v>0.99587610917939096</v>
      </c>
      <c r="H516">
        <v>0.103172431479073</v>
      </c>
      <c r="I516">
        <v>1.34381385216031</v>
      </c>
      <c r="J516">
        <v>12.22</v>
      </c>
      <c r="K516">
        <v>2994</v>
      </c>
      <c r="L516">
        <v>2173.532208588957</v>
      </c>
    </row>
    <row r="517" spans="1:12">
      <c r="A517" s="14">
        <v>43098</v>
      </c>
      <c r="B517">
        <v>2909</v>
      </c>
      <c r="C517">
        <v>2917</v>
      </c>
      <c r="D517">
        <v>2556</v>
      </c>
      <c r="E517">
        <v>2554</v>
      </c>
      <c r="F517">
        <v>1.1421299921691399</v>
      </c>
      <c r="G517">
        <v>0.99134193082025401</v>
      </c>
      <c r="H517">
        <v>0.10444434728201001</v>
      </c>
      <c r="I517">
        <v>1.44371682405893</v>
      </c>
      <c r="J517">
        <v>13.2</v>
      </c>
      <c r="K517">
        <v>2917</v>
      </c>
      <c r="L517">
        <v>2103.5245398773004</v>
      </c>
    </row>
    <row r="518" spans="1:12">
      <c r="A518" s="14">
        <v>43097</v>
      </c>
      <c r="B518">
        <v>2991</v>
      </c>
      <c r="C518">
        <v>2929</v>
      </c>
      <c r="D518">
        <v>2550</v>
      </c>
      <c r="E518">
        <v>2562</v>
      </c>
      <c r="F518">
        <v>1.1432474629195899</v>
      </c>
      <c r="G518">
        <v>0.98692294390630497</v>
      </c>
      <c r="H518">
        <v>0.104980911098077</v>
      </c>
      <c r="I518">
        <v>1.48907565554697</v>
      </c>
      <c r="J518">
        <v>13.67</v>
      </c>
      <c r="K518">
        <v>2929</v>
      </c>
      <c r="L518">
        <v>2110.1134969325153</v>
      </c>
    </row>
    <row r="519" spans="1:12">
      <c r="A519" s="14">
        <v>43096</v>
      </c>
      <c r="B519">
        <v>3000</v>
      </c>
      <c r="C519">
        <v>3010</v>
      </c>
      <c r="D519">
        <v>2548</v>
      </c>
      <c r="E519">
        <v>2551</v>
      </c>
      <c r="F519">
        <v>1.17992943943551</v>
      </c>
      <c r="G519">
        <v>0.98241835492015706</v>
      </c>
      <c r="H519">
        <v>0.105423878248162</v>
      </c>
      <c r="I519">
        <v>1.8734947698511499</v>
      </c>
      <c r="J519">
        <v>16.739999999999998</v>
      </c>
      <c r="K519">
        <v>3010</v>
      </c>
      <c r="L519">
        <v>2101.0536809815949</v>
      </c>
    </row>
    <row r="520" spans="1:12">
      <c r="A520" s="14">
        <v>43095</v>
      </c>
      <c r="B520">
        <v>3010</v>
      </c>
      <c r="C520">
        <v>2987</v>
      </c>
      <c r="D520">
        <v>2577</v>
      </c>
      <c r="E520">
        <v>2557</v>
      </c>
      <c r="F520">
        <v>1.1681658193195099</v>
      </c>
      <c r="G520">
        <v>0.97762098616614101</v>
      </c>
      <c r="H520">
        <v>0.10450941761018701</v>
      </c>
      <c r="I520">
        <v>1.8232312217458799</v>
      </c>
      <c r="J520">
        <v>16.309999999999999</v>
      </c>
      <c r="K520">
        <v>2987</v>
      </c>
      <c r="L520">
        <v>2105.9953987730059</v>
      </c>
    </row>
    <row r="521" spans="1:12">
      <c r="A521" s="14">
        <v>43094</v>
      </c>
      <c r="B521">
        <v>2961</v>
      </c>
      <c r="C521">
        <v>2988</v>
      </c>
      <c r="D521">
        <v>2553</v>
      </c>
      <c r="E521">
        <v>2576</v>
      </c>
      <c r="F521">
        <v>1.1599378881987501</v>
      </c>
      <c r="G521">
        <v>0.97289913247854998</v>
      </c>
      <c r="H521">
        <v>0.10379145190884601</v>
      </c>
      <c r="I521">
        <v>1.8020631976944601</v>
      </c>
      <c r="J521">
        <v>16.12</v>
      </c>
      <c r="K521">
        <v>2988</v>
      </c>
      <c r="L521">
        <v>2121.6441717791408</v>
      </c>
    </row>
    <row r="522" spans="1:12">
      <c r="A522" s="14">
        <v>43091</v>
      </c>
      <c r="B522">
        <v>2929</v>
      </c>
      <c r="C522">
        <v>2947</v>
      </c>
      <c r="D522">
        <v>2585</v>
      </c>
      <c r="E522">
        <v>2586</v>
      </c>
      <c r="F522">
        <v>1.1395978344934199</v>
      </c>
      <c r="G522">
        <v>0.96855331535389</v>
      </c>
      <c r="H522">
        <v>0.102686739133013</v>
      </c>
      <c r="I522">
        <v>1.6656923823238201</v>
      </c>
      <c r="J522">
        <v>15.01</v>
      </c>
      <c r="K522">
        <v>2947</v>
      </c>
      <c r="L522">
        <v>2129.8803680981596</v>
      </c>
    </row>
    <row r="523" spans="1:12">
      <c r="A523" s="14">
        <v>43090</v>
      </c>
      <c r="B523">
        <v>2884</v>
      </c>
      <c r="C523">
        <v>2926</v>
      </c>
      <c r="D523">
        <v>2585</v>
      </c>
      <c r="E523">
        <v>2585</v>
      </c>
      <c r="F523">
        <v>1.13191489361702</v>
      </c>
      <c r="G523">
        <v>0.96446091398236999</v>
      </c>
      <c r="H523">
        <v>0.101901590612081</v>
      </c>
      <c r="I523">
        <v>1.6432911265547701</v>
      </c>
      <c r="J523">
        <v>14.79</v>
      </c>
      <c r="K523">
        <v>2926</v>
      </c>
      <c r="L523">
        <v>2129.0567484662574</v>
      </c>
    </row>
    <row r="524" spans="1:12">
      <c r="A524" s="14">
        <v>43089</v>
      </c>
      <c r="B524">
        <v>2868</v>
      </c>
      <c r="C524">
        <v>2917</v>
      </c>
      <c r="D524">
        <v>2559</v>
      </c>
      <c r="E524">
        <v>2580</v>
      </c>
      <c r="F524">
        <v>1.13062015503875</v>
      </c>
      <c r="G524">
        <v>0.96040283613571797</v>
      </c>
      <c r="H524">
        <v>0.101210094797881</v>
      </c>
      <c r="I524">
        <v>1.68182155389704</v>
      </c>
      <c r="J524">
        <v>15.06</v>
      </c>
      <c r="K524">
        <v>2917</v>
      </c>
      <c r="L524">
        <v>2124.9386503067485</v>
      </c>
    </row>
    <row r="525" spans="1:12">
      <c r="A525" s="14">
        <v>43088</v>
      </c>
      <c r="B525">
        <v>2850</v>
      </c>
      <c r="C525">
        <v>2868</v>
      </c>
      <c r="D525">
        <v>2523</v>
      </c>
      <c r="E525">
        <v>2563</v>
      </c>
      <c r="F525">
        <v>1.11900117050331</v>
      </c>
      <c r="G525">
        <v>0.95602557515380604</v>
      </c>
      <c r="H525">
        <v>0.10085228131339</v>
      </c>
      <c r="I525">
        <v>1.61598323039491</v>
      </c>
      <c r="J525">
        <v>14.56</v>
      </c>
      <c r="K525">
        <v>2868</v>
      </c>
      <c r="L525">
        <v>2110.937116564417</v>
      </c>
    </row>
    <row r="526" spans="1:12">
      <c r="A526" s="14">
        <v>43087</v>
      </c>
      <c r="B526">
        <v>2911</v>
      </c>
      <c r="C526">
        <v>2837</v>
      </c>
      <c r="D526">
        <v>2446</v>
      </c>
      <c r="E526">
        <v>2526</v>
      </c>
      <c r="F526">
        <v>1.12311955661124</v>
      </c>
      <c r="G526">
        <v>0.95193823619537399</v>
      </c>
      <c r="H526">
        <v>0.100375190102665</v>
      </c>
      <c r="I526">
        <v>1.7054146571556199</v>
      </c>
      <c r="J526">
        <v>15.24</v>
      </c>
      <c r="K526">
        <v>2837</v>
      </c>
      <c r="L526">
        <v>2080.4631901840489</v>
      </c>
    </row>
    <row r="527" spans="1:12">
      <c r="A527" s="14">
        <v>43084</v>
      </c>
      <c r="B527">
        <v>2900</v>
      </c>
      <c r="C527">
        <v>2861</v>
      </c>
      <c r="D527">
        <v>2496</v>
      </c>
      <c r="E527">
        <v>2414</v>
      </c>
      <c r="F527">
        <v>1.18516984258492</v>
      </c>
      <c r="G527">
        <v>0.94800548564463905</v>
      </c>
      <c r="H527">
        <v>9.9364354343209102E-2</v>
      </c>
      <c r="I527">
        <v>2.3868152569190402</v>
      </c>
      <c r="J527">
        <v>20.010000000000002</v>
      </c>
      <c r="K527">
        <v>2861</v>
      </c>
      <c r="L527">
        <v>1988.2177914110428</v>
      </c>
    </row>
    <row r="528" spans="1:12">
      <c r="A528" s="14">
        <v>43083</v>
      </c>
      <c r="B528">
        <v>2700</v>
      </c>
      <c r="C528">
        <v>2724</v>
      </c>
      <c r="D528">
        <v>2493</v>
      </c>
      <c r="E528">
        <v>2522</v>
      </c>
      <c r="F528">
        <v>1.08009516256938</v>
      </c>
      <c r="G528">
        <v>0.94328887301355602</v>
      </c>
      <c r="H528">
        <v>9.6344622473356595E-2</v>
      </c>
      <c r="I528">
        <v>1.4199680900059</v>
      </c>
      <c r="J528">
        <v>12.67</v>
      </c>
      <c r="K528">
        <v>2724</v>
      </c>
      <c r="L528">
        <v>2077.1687116564417</v>
      </c>
    </row>
    <row r="529" spans="1:12">
      <c r="A529" s="14">
        <v>43082</v>
      </c>
      <c r="B529">
        <v>2620</v>
      </c>
      <c r="C529">
        <v>2623</v>
      </c>
      <c r="D529">
        <v>2505</v>
      </c>
      <c r="E529">
        <v>2482</v>
      </c>
      <c r="F529">
        <v>1.0568090249798501</v>
      </c>
      <c r="G529">
        <v>0.93980705088393601</v>
      </c>
      <c r="H529">
        <v>9.6055839291379896E-2</v>
      </c>
      <c r="I529">
        <v>1.21806206638828</v>
      </c>
      <c r="J529">
        <v>11.07</v>
      </c>
      <c r="K529">
        <v>2623</v>
      </c>
      <c r="L529">
        <v>2044.2239263803681</v>
      </c>
    </row>
    <row r="530" spans="1:12">
      <c r="A530" s="14">
        <v>43081</v>
      </c>
      <c r="B530">
        <v>2618</v>
      </c>
      <c r="C530">
        <v>2634</v>
      </c>
      <c r="D530">
        <v>2509</v>
      </c>
      <c r="E530">
        <v>2504</v>
      </c>
      <c r="F530">
        <v>1.0519169329073399</v>
      </c>
      <c r="G530">
        <v>0.936767314935255</v>
      </c>
      <c r="H530">
        <v>9.5912322731280503E-2</v>
      </c>
      <c r="I530">
        <v>1.2005716751820199</v>
      </c>
      <c r="J530">
        <v>10.95</v>
      </c>
      <c r="K530">
        <v>2634</v>
      </c>
      <c r="L530">
        <v>2062.3435582822085</v>
      </c>
    </row>
    <row r="531" spans="1:12">
      <c r="A531" s="14">
        <v>43080</v>
      </c>
      <c r="B531">
        <v>2642</v>
      </c>
      <c r="C531">
        <v>2634</v>
      </c>
      <c r="D531">
        <v>2527</v>
      </c>
      <c r="E531">
        <v>2528</v>
      </c>
      <c r="F531">
        <v>1.04193037974683</v>
      </c>
      <c r="G531">
        <v>0.93392015190183697</v>
      </c>
      <c r="H531">
        <v>9.5620830071592805E-2</v>
      </c>
      <c r="I531">
        <v>1.1295679797396501</v>
      </c>
      <c r="J531">
        <v>10.37</v>
      </c>
      <c r="K531">
        <v>2634</v>
      </c>
      <c r="L531">
        <v>2082.1104294478528</v>
      </c>
    </row>
    <row r="532" spans="1:12">
      <c r="A532" s="14">
        <v>43077</v>
      </c>
      <c r="B532">
        <v>2581</v>
      </c>
      <c r="C532">
        <v>2658</v>
      </c>
      <c r="D532">
        <v>2422</v>
      </c>
      <c r="E532">
        <v>2510</v>
      </c>
      <c r="F532">
        <v>1.05896414342629</v>
      </c>
      <c r="G532">
        <v>0.93141218941085702</v>
      </c>
      <c r="H532">
        <v>9.5220915542655493E-2</v>
      </c>
      <c r="I532">
        <v>1.3395371519852499</v>
      </c>
      <c r="J532">
        <v>12.04</v>
      </c>
      <c r="K532">
        <v>2658</v>
      </c>
      <c r="L532">
        <v>2067.2852760736196</v>
      </c>
    </row>
    <row r="533" spans="1:12">
      <c r="A533" s="14">
        <v>43076</v>
      </c>
      <c r="B533">
        <v>2616</v>
      </c>
      <c r="C533">
        <v>2631</v>
      </c>
      <c r="D533">
        <v>2423</v>
      </c>
      <c r="E533">
        <v>2422</v>
      </c>
      <c r="F533">
        <v>1.0862923203963599</v>
      </c>
      <c r="G533">
        <v>0.92881140517108995</v>
      </c>
      <c r="H533">
        <v>9.4361508859526697E-2</v>
      </c>
      <c r="I533">
        <v>1.6689105243083</v>
      </c>
      <c r="J533">
        <v>14.5</v>
      </c>
      <c r="K533">
        <v>2631</v>
      </c>
      <c r="L533">
        <v>1994.8067484662577</v>
      </c>
    </row>
    <row r="534" spans="1:12">
      <c r="A534" s="14">
        <v>43075</v>
      </c>
      <c r="B534">
        <v>2650</v>
      </c>
      <c r="C534">
        <v>2605</v>
      </c>
      <c r="D534">
        <v>2424</v>
      </c>
      <c r="E534">
        <v>2417</v>
      </c>
      <c r="F534">
        <v>1.0777823748448401</v>
      </c>
      <c r="G534">
        <v>0.92552905795340201</v>
      </c>
      <c r="H534">
        <v>9.3099633229361198E-2</v>
      </c>
      <c r="I534">
        <v>1.6353804156924301</v>
      </c>
      <c r="J534">
        <v>14.13</v>
      </c>
      <c r="K534">
        <v>2605</v>
      </c>
      <c r="L534">
        <v>1990.6886503067483</v>
      </c>
    </row>
    <row r="535" spans="1:12">
      <c r="A535" s="14">
        <v>43074</v>
      </c>
      <c r="B535">
        <v>2657</v>
      </c>
      <c r="C535">
        <v>2662</v>
      </c>
      <c r="D535">
        <v>2451</v>
      </c>
      <c r="E535">
        <v>2437</v>
      </c>
      <c r="F535">
        <v>1.09232663110381</v>
      </c>
      <c r="G535">
        <v>0.922537072404092</v>
      </c>
      <c r="H535">
        <v>9.1754610764325104E-2</v>
      </c>
      <c r="I535">
        <v>1.85047440434174</v>
      </c>
      <c r="J535">
        <v>15.54</v>
      </c>
      <c r="K535">
        <v>2662</v>
      </c>
      <c r="L535">
        <v>2007.1610429447851</v>
      </c>
    </row>
    <row r="536" spans="1:12">
      <c r="A536" s="14">
        <v>43073</v>
      </c>
      <c r="B536">
        <v>2717</v>
      </c>
      <c r="C536">
        <v>2678</v>
      </c>
      <c r="D536">
        <v>2490</v>
      </c>
      <c r="E536">
        <v>2464</v>
      </c>
      <c r="F536">
        <v>1.08685064935064</v>
      </c>
      <c r="G536">
        <v>0.91921034108508504</v>
      </c>
      <c r="H536">
        <v>9.0045480537755199E-2</v>
      </c>
      <c r="I536">
        <v>1.86172928684937</v>
      </c>
      <c r="J536">
        <v>15.42</v>
      </c>
      <c r="K536">
        <v>2678</v>
      </c>
      <c r="L536">
        <v>2029.3987730061349</v>
      </c>
    </row>
    <row r="537" spans="1:12">
      <c r="A537" s="14">
        <v>43070</v>
      </c>
      <c r="B537">
        <v>2698</v>
      </c>
      <c r="C537">
        <v>2671</v>
      </c>
      <c r="D537">
        <v>2490</v>
      </c>
      <c r="E537">
        <v>2480</v>
      </c>
      <c r="F537">
        <v>1.07701612903225</v>
      </c>
      <c r="G537">
        <v>0.91617785543962804</v>
      </c>
      <c r="H537">
        <v>8.8158701377103701E-2</v>
      </c>
      <c r="I537">
        <v>1.8244174548878</v>
      </c>
      <c r="J537">
        <v>14.93</v>
      </c>
      <c r="K537">
        <v>2671</v>
      </c>
      <c r="L537">
        <v>2042.5766871165642</v>
      </c>
    </row>
    <row r="538" spans="1:12">
      <c r="A538" s="14">
        <v>43069</v>
      </c>
      <c r="B538">
        <v>2662</v>
      </c>
      <c r="C538">
        <v>2698</v>
      </c>
      <c r="D538">
        <v>2478</v>
      </c>
      <c r="E538">
        <v>2479</v>
      </c>
      <c r="F538">
        <v>1.0883420734167</v>
      </c>
      <c r="G538">
        <v>0.91377622537292202</v>
      </c>
      <c r="H538">
        <v>8.6175563574273806E-2</v>
      </c>
      <c r="I538">
        <v>2.0257001034094801</v>
      </c>
      <c r="J538">
        <v>16.04</v>
      </c>
      <c r="K538">
        <v>2698</v>
      </c>
      <c r="L538">
        <v>2041.7530674846626</v>
      </c>
    </row>
    <row r="539" spans="1:12">
      <c r="A539" s="14">
        <v>43068</v>
      </c>
      <c r="B539">
        <v>2631</v>
      </c>
      <c r="C539">
        <v>2658</v>
      </c>
      <c r="D539">
        <v>2433</v>
      </c>
      <c r="E539">
        <v>2461</v>
      </c>
      <c r="F539">
        <v>1.08004876066639</v>
      </c>
      <c r="G539">
        <v>0.91154292208972398</v>
      </c>
      <c r="H539">
        <v>8.3759157214323907E-2</v>
      </c>
      <c r="I539">
        <v>2.0117900439888201</v>
      </c>
      <c r="J539">
        <v>15.6</v>
      </c>
      <c r="K539">
        <v>2658</v>
      </c>
      <c r="L539">
        <v>2026.9279141104294</v>
      </c>
    </row>
    <row r="540" spans="1:12">
      <c r="A540" s="14">
        <v>43067</v>
      </c>
      <c r="B540">
        <v>2621</v>
      </c>
      <c r="C540">
        <v>2609</v>
      </c>
      <c r="D540">
        <v>2430</v>
      </c>
      <c r="E540">
        <v>2408</v>
      </c>
      <c r="F540">
        <v>1.0834717607973401</v>
      </c>
      <c r="G540">
        <v>0.909077003882237</v>
      </c>
      <c r="H540">
        <v>8.1452617387477694E-2</v>
      </c>
      <c r="I540">
        <v>2.1410577401766302</v>
      </c>
      <c r="J540">
        <v>16.100000000000001</v>
      </c>
      <c r="K540">
        <v>2609</v>
      </c>
      <c r="L540">
        <v>1983.2760736196319</v>
      </c>
    </row>
    <row r="541" spans="1:12">
      <c r="A541" s="14">
        <v>43066</v>
      </c>
      <c r="B541">
        <v>2668</v>
      </c>
      <c r="C541">
        <v>2629</v>
      </c>
      <c r="D541">
        <v>2494</v>
      </c>
      <c r="E541">
        <v>2449</v>
      </c>
      <c r="F541">
        <v>1.0734993875051</v>
      </c>
      <c r="G541">
        <v>0.90637811858256301</v>
      </c>
      <c r="H541">
        <v>7.8944288238054106E-2</v>
      </c>
      <c r="I541">
        <v>2.11695200061328</v>
      </c>
      <c r="J541">
        <v>15.57</v>
      </c>
      <c r="K541">
        <v>2629</v>
      </c>
      <c r="L541">
        <v>2017.0444785276072</v>
      </c>
    </row>
    <row r="542" spans="1:12">
      <c r="A542" s="14">
        <v>43063</v>
      </c>
      <c r="B542">
        <v>2635</v>
      </c>
      <c r="C542">
        <v>2665</v>
      </c>
      <c r="D542">
        <v>2476</v>
      </c>
      <c r="E542">
        <v>2494</v>
      </c>
      <c r="F542">
        <v>1.0685645549318299</v>
      </c>
      <c r="G542">
        <v>0.90357380242483698</v>
      </c>
      <c r="H542">
        <v>7.6660478020022599E-2</v>
      </c>
      <c r="I542">
        <v>2.1522270245158799</v>
      </c>
      <c r="J542">
        <v>15.44</v>
      </c>
      <c r="K542">
        <v>2665</v>
      </c>
      <c r="L542">
        <v>2054.1073619631902</v>
      </c>
    </row>
    <row r="543" spans="1:12">
      <c r="A543" s="14">
        <v>43061</v>
      </c>
      <c r="B543">
        <v>2669</v>
      </c>
      <c r="C543">
        <v>2649</v>
      </c>
      <c r="D543">
        <v>2517</v>
      </c>
      <c r="E543">
        <v>2475</v>
      </c>
      <c r="F543">
        <v>1.0703030303030301</v>
      </c>
      <c r="G543">
        <v>0.90062708803387603</v>
      </c>
      <c r="H543">
        <v>7.4478311894289106E-2</v>
      </c>
      <c r="I543">
        <v>2.2781926436515199</v>
      </c>
      <c r="J543">
        <v>15.85</v>
      </c>
      <c r="K543">
        <v>2649</v>
      </c>
      <c r="L543">
        <v>2038.4585889570551</v>
      </c>
    </row>
    <row r="544" spans="1:12">
      <c r="A544" s="14">
        <v>43060</v>
      </c>
      <c r="B544">
        <v>2581</v>
      </c>
      <c r="C544">
        <v>2599</v>
      </c>
      <c r="D544">
        <v>2480</v>
      </c>
      <c r="E544">
        <v>2496</v>
      </c>
      <c r="F544">
        <v>1.04126602564102</v>
      </c>
      <c r="G544">
        <v>0.89739574658197396</v>
      </c>
      <c r="H544">
        <v>7.2271246925475596E-2</v>
      </c>
      <c r="I544">
        <v>1.9906987243129599</v>
      </c>
      <c r="J544">
        <v>13.82</v>
      </c>
      <c r="K544">
        <v>2599</v>
      </c>
      <c r="L544">
        <v>2055.7546012269936</v>
      </c>
    </row>
    <row r="545" spans="1:12">
      <c r="A545" s="14">
        <v>43059</v>
      </c>
      <c r="B545">
        <v>2529</v>
      </c>
      <c r="C545">
        <v>2580</v>
      </c>
      <c r="D545">
        <v>2479</v>
      </c>
      <c r="E545">
        <v>2443</v>
      </c>
      <c r="F545">
        <v>1.05607859189521</v>
      </c>
      <c r="G545">
        <v>0.89469425306781802</v>
      </c>
      <c r="H545">
        <v>7.0610628477356704E-2</v>
      </c>
      <c r="I545">
        <v>2.2855530719308699</v>
      </c>
      <c r="J545">
        <v>15.28</v>
      </c>
      <c r="K545">
        <v>2580</v>
      </c>
      <c r="L545">
        <v>2012.1027607361962</v>
      </c>
    </row>
    <row r="546" spans="1:12">
      <c r="A546" s="14">
        <v>43056</v>
      </c>
      <c r="B546">
        <v>2521</v>
      </c>
      <c r="C546">
        <v>2529</v>
      </c>
      <c r="D546">
        <v>2510</v>
      </c>
      <c r="E546">
        <v>2501</v>
      </c>
      <c r="F546">
        <v>1.01119552179128</v>
      </c>
      <c r="G546">
        <v>0.89146276769352295</v>
      </c>
      <c r="H546">
        <v>6.8670105755287203E-2</v>
      </c>
      <c r="I546">
        <v>1.7435935591018299</v>
      </c>
      <c r="J546">
        <v>11.84</v>
      </c>
      <c r="K546">
        <v>2529</v>
      </c>
      <c r="L546">
        <v>2059.872699386503</v>
      </c>
    </row>
    <row r="547" spans="1:12">
      <c r="A547" s="14">
        <v>43055</v>
      </c>
      <c r="B547">
        <v>2452</v>
      </c>
      <c r="C547">
        <v>2497</v>
      </c>
      <c r="D547">
        <v>2424</v>
      </c>
      <c r="E547">
        <v>2477</v>
      </c>
      <c r="F547">
        <v>1.00807428340734</v>
      </c>
      <c r="G547">
        <v>0.88753149153478506</v>
      </c>
      <c r="H547">
        <v>7.0127336800398801E-2</v>
      </c>
      <c r="I547">
        <v>1.71891301413112</v>
      </c>
      <c r="J547">
        <v>11.96</v>
      </c>
      <c r="K547">
        <v>2497</v>
      </c>
      <c r="L547">
        <v>2040.1058282208587</v>
      </c>
    </row>
    <row r="548" spans="1:12">
      <c r="A548" s="14">
        <v>43054</v>
      </c>
      <c r="B548">
        <v>2527</v>
      </c>
      <c r="C548">
        <v>2465</v>
      </c>
      <c r="D548">
        <v>2493</v>
      </c>
      <c r="E548">
        <v>2456</v>
      </c>
      <c r="F548">
        <v>1.0036644951139999</v>
      </c>
      <c r="G548">
        <v>0.883955084422687</v>
      </c>
      <c r="H548">
        <v>7.0725766661907705E-2</v>
      </c>
      <c r="I548">
        <v>1.69258555037755</v>
      </c>
      <c r="J548">
        <v>11.93</v>
      </c>
      <c r="K548">
        <v>2465</v>
      </c>
      <c r="L548">
        <v>2022.8098159509202</v>
      </c>
    </row>
    <row r="549" spans="1:12">
      <c r="A549" s="14">
        <v>43053</v>
      </c>
      <c r="B549">
        <v>2515</v>
      </c>
      <c r="C549">
        <v>2526</v>
      </c>
      <c r="D549">
        <v>2566</v>
      </c>
      <c r="E549">
        <v>2561</v>
      </c>
      <c r="F549">
        <v>0.98633346349082296</v>
      </c>
      <c r="G549">
        <v>0.88022174611633197</v>
      </c>
      <c r="H549">
        <v>7.1691707443064606E-2</v>
      </c>
      <c r="I549">
        <v>1.4801114544351099</v>
      </c>
      <c r="J549">
        <v>10.76</v>
      </c>
      <c r="K549">
        <v>2526</v>
      </c>
      <c r="L549">
        <v>2109.2898773006136</v>
      </c>
    </row>
    <row r="550" spans="1:12">
      <c r="A550" s="14">
        <v>43052</v>
      </c>
      <c r="B550">
        <v>2426</v>
      </c>
      <c r="C550">
        <v>2502</v>
      </c>
      <c r="D550">
        <v>2610</v>
      </c>
      <c r="E550">
        <v>2561</v>
      </c>
      <c r="F550">
        <v>0.97696212417024597</v>
      </c>
      <c r="G550">
        <v>0.87657699459294303</v>
      </c>
      <c r="H550">
        <v>7.3138437502984793E-2</v>
      </c>
      <c r="I550">
        <v>1.37253587859606</v>
      </c>
      <c r="J550">
        <v>10.28</v>
      </c>
      <c r="K550">
        <v>2502</v>
      </c>
      <c r="L550">
        <v>2109.2898773006136</v>
      </c>
    </row>
    <row r="551" spans="1:12">
      <c r="A551" s="14">
        <v>43049</v>
      </c>
      <c r="B551">
        <v>2381</v>
      </c>
      <c r="C551">
        <v>2393</v>
      </c>
      <c r="D551">
        <v>2615</v>
      </c>
      <c r="E551">
        <v>2631</v>
      </c>
      <c r="F551">
        <v>0.90954009882174003</v>
      </c>
      <c r="G551">
        <v>0.87295577494440002</v>
      </c>
      <c r="H551">
        <v>7.4783534164051896E-2</v>
      </c>
      <c r="I551">
        <v>0.48920292797457199</v>
      </c>
      <c r="J551">
        <v>4.0199999999999996</v>
      </c>
      <c r="K551">
        <v>2393</v>
      </c>
      <c r="L551">
        <v>2166.9432515337421</v>
      </c>
    </row>
    <row r="552" spans="1:12">
      <c r="A552" s="14">
        <v>43048</v>
      </c>
      <c r="B552">
        <v>2426</v>
      </c>
      <c r="C552">
        <v>2413</v>
      </c>
      <c r="D552">
        <v>2640</v>
      </c>
      <c r="E552">
        <v>2651</v>
      </c>
      <c r="F552">
        <v>0.91022255752546199</v>
      </c>
      <c r="G552">
        <v>0.87030357990660601</v>
      </c>
      <c r="H552">
        <v>7.6935334586507101E-2</v>
      </c>
      <c r="I552">
        <v>0.51886402825700795</v>
      </c>
      <c r="J552">
        <v>4.3899999999999997</v>
      </c>
      <c r="K552">
        <v>2413</v>
      </c>
      <c r="L552">
        <v>2183.4156441717791</v>
      </c>
    </row>
    <row r="553" spans="1:12">
      <c r="A553" s="14">
        <v>43047</v>
      </c>
      <c r="B553">
        <v>2452</v>
      </c>
      <c r="C553">
        <v>2416</v>
      </c>
      <c r="D553">
        <v>2563</v>
      </c>
      <c r="E553">
        <v>2622</v>
      </c>
      <c r="F553">
        <v>0.92143401983218898</v>
      </c>
      <c r="G553">
        <v>0.86771682868914901</v>
      </c>
      <c r="H553">
        <v>7.8788829396954294E-2</v>
      </c>
      <c r="I553">
        <v>0.68178689230679301</v>
      </c>
      <c r="J553">
        <v>5.83</v>
      </c>
      <c r="K553">
        <v>2416</v>
      </c>
      <c r="L553">
        <v>2159.5306748466255</v>
      </c>
    </row>
    <row r="554" spans="1:12">
      <c r="A554" s="14">
        <v>43046</v>
      </c>
      <c r="B554">
        <v>2505</v>
      </c>
      <c r="C554">
        <v>2452</v>
      </c>
      <c r="D554">
        <v>2489</v>
      </c>
      <c r="E554">
        <v>2565</v>
      </c>
      <c r="F554">
        <v>0.95594541910331299</v>
      </c>
      <c r="G554">
        <v>0.86512801145502305</v>
      </c>
      <c r="H554">
        <v>8.0159202734613702E-2</v>
      </c>
      <c r="I554">
        <v>1.1329629605843601</v>
      </c>
      <c r="J554">
        <v>9.5</v>
      </c>
      <c r="K554">
        <v>2452</v>
      </c>
      <c r="L554">
        <v>2112.5843558282209</v>
      </c>
    </row>
    <row r="555" spans="1:12">
      <c r="A555" s="14">
        <v>43045</v>
      </c>
      <c r="B555">
        <v>2512</v>
      </c>
      <c r="C555">
        <v>2504</v>
      </c>
      <c r="D555">
        <v>2565</v>
      </c>
      <c r="E555">
        <v>2523</v>
      </c>
      <c r="F555">
        <v>0.99246928260007905</v>
      </c>
      <c r="G555">
        <v>0.86232759782547397</v>
      </c>
      <c r="H555">
        <v>8.06050655445264E-2</v>
      </c>
      <c r="I555">
        <v>1.61455962966389</v>
      </c>
      <c r="J555">
        <v>13.11</v>
      </c>
      <c r="K555">
        <v>2504</v>
      </c>
      <c r="L555">
        <v>2077.9923312883434</v>
      </c>
    </row>
    <row r="556" spans="1:12">
      <c r="A556" s="14">
        <v>43041</v>
      </c>
      <c r="B556">
        <v>2518</v>
      </c>
      <c r="C556">
        <v>2493</v>
      </c>
      <c r="D556">
        <v>2489</v>
      </c>
      <c r="E556">
        <v>2586</v>
      </c>
      <c r="F556">
        <v>0.96403712296983701</v>
      </c>
      <c r="G556">
        <v>0.85901362830583905</v>
      </c>
      <c r="H556">
        <v>8.0295096939891605E-2</v>
      </c>
      <c r="I556">
        <v>1.30796896281995</v>
      </c>
      <c r="J556">
        <v>10.89</v>
      </c>
      <c r="K556">
        <v>2493</v>
      </c>
      <c r="L556">
        <v>2129.8803680981596</v>
      </c>
    </row>
    <row r="557" spans="1:12">
      <c r="A557" s="14">
        <v>43040</v>
      </c>
      <c r="B557">
        <v>2497</v>
      </c>
      <c r="C557">
        <v>2508</v>
      </c>
      <c r="D557">
        <v>2439</v>
      </c>
      <c r="E557">
        <v>2464</v>
      </c>
      <c r="F557">
        <v>1.0178571428571399</v>
      </c>
      <c r="G557">
        <v>0.85600354999957495</v>
      </c>
      <c r="H557">
        <v>8.0532769671995505E-2</v>
      </c>
      <c r="I557">
        <v>2.0097855011914501</v>
      </c>
      <c r="J557">
        <v>15.9</v>
      </c>
      <c r="K557">
        <v>2508</v>
      </c>
      <c r="L557">
        <v>2029.3987730061349</v>
      </c>
    </row>
    <row r="558" spans="1:12">
      <c r="A558" s="14">
        <v>43039</v>
      </c>
      <c r="B558">
        <v>2440</v>
      </c>
      <c r="C558">
        <v>2461</v>
      </c>
      <c r="D558">
        <v>2546</v>
      </c>
      <c r="E558">
        <v>2438</v>
      </c>
      <c r="F558">
        <v>1.0094339622641499</v>
      </c>
      <c r="G558">
        <v>0.852456063966055</v>
      </c>
      <c r="H558">
        <v>7.9173511356144297E-2</v>
      </c>
      <c r="I558">
        <v>1.98270729198766</v>
      </c>
      <c r="J558">
        <v>15.55</v>
      </c>
      <c r="K558">
        <v>2461</v>
      </c>
      <c r="L558">
        <v>2007.984662576687</v>
      </c>
    </row>
    <row r="559" spans="1:12">
      <c r="A559" s="14">
        <v>43038</v>
      </c>
      <c r="B559">
        <v>2396</v>
      </c>
      <c r="C559">
        <v>2429</v>
      </c>
      <c r="D559">
        <v>2496</v>
      </c>
      <c r="E559">
        <v>2564</v>
      </c>
      <c r="F559">
        <v>0.94734789391575602</v>
      </c>
      <c r="G559">
        <v>0.84924708041264696</v>
      </c>
      <c r="H559">
        <v>7.7607902276085106E-2</v>
      </c>
      <c r="I559">
        <v>1.2640570177263799</v>
      </c>
      <c r="J559">
        <v>10.36</v>
      </c>
      <c r="K559">
        <v>2429</v>
      </c>
      <c r="L559">
        <v>2111.7607361963187</v>
      </c>
    </row>
    <row r="560" spans="1:12">
      <c r="A560" s="14">
        <v>43035</v>
      </c>
      <c r="B560">
        <v>2410</v>
      </c>
      <c r="C560">
        <v>2402</v>
      </c>
      <c r="D560">
        <v>2487</v>
      </c>
      <c r="E560">
        <v>2495</v>
      </c>
      <c r="F560">
        <v>0.96272545090180295</v>
      </c>
      <c r="G560">
        <v>0.846877160231846</v>
      </c>
      <c r="H560">
        <v>7.7289241835041503E-2</v>
      </c>
      <c r="I560">
        <v>1.4988928331993701</v>
      </c>
      <c r="J560">
        <v>12.03</v>
      </c>
      <c r="K560">
        <v>2402</v>
      </c>
      <c r="L560">
        <v>2054.9309815950919</v>
      </c>
    </row>
    <row r="561" spans="1:12">
      <c r="A561" s="14">
        <v>43034</v>
      </c>
      <c r="B561">
        <v>2415</v>
      </c>
      <c r="C561">
        <v>2403</v>
      </c>
      <c r="D561">
        <v>2490</v>
      </c>
      <c r="E561">
        <v>2482</v>
      </c>
      <c r="F561">
        <v>0.96817082997582504</v>
      </c>
      <c r="G561">
        <v>0.84419121738635206</v>
      </c>
      <c r="H561">
        <v>7.6714799824971494E-2</v>
      </c>
      <c r="I561">
        <v>1.61611074880386</v>
      </c>
      <c r="J561">
        <v>12.81</v>
      </c>
      <c r="K561">
        <v>2403</v>
      </c>
      <c r="L561">
        <v>2044.2239263803681</v>
      </c>
    </row>
    <row r="562" spans="1:12">
      <c r="A562" s="14">
        <v>43033</v>
      </c>
      <c r="B562">
        <v>2417</v>
      </c>
      <c r="C562">
        <v>2411</v>
      </c>
      <c r="D562">
        <v>2587</v>
      </c>
      <c r="E562">
        <v>2621</v>
      </c>
      <c r="F562">
        <v>0.91987790919496304</v>
      </c>
      <c r="G562">
        <v>0.84191045634830497</v>
      </c>
      <c r="H562">
        <v>7.5528558968848802E-2</v>
      </c>
      <c r="I562">
        <v>1.0322910156251699</v>
      </c>
      <c r="J562">
        <v>8.48</v>
      </c>
      <c r="K562">
        <v>2411</v>
      </c>
      <c r="L562">
        <v>2158.7070552147238</v>
      </c>
    </row>
    <row r="563" spans="1:12">
      <c r="A563" s="14">
        <v>43032</v>
      </c>
      <c r="B563">
        <v>2377</v>
      </c>
      <c r="C563">
        <v>2397</v>
      </c>
      <c r="D563">
        <v>2570</v>
      </c>
      <c r="E563">
        <v>2577</v>
      </c>
      <c r="F563">
        <v>0.93015133876600697</v>
      </c>
      <c r="G563">
        <v>0.84050728970515698</v>
      </c>
      <c r="H563">
        <v>7.5043037200291596E-2</v>
      </c>
      <c r="I563">
        <v>1.19456850902219</v>
      </c>
      <c r="J563">
        <v>9.64</v>
      </c>
      <c r="K563">
        <v>2397</v>
      </c>
      <c r="L563">
        <v>2122.467791411043</v>
      </c>
    </row>
    <row r="564" spans="1:12">
      <c r="A564" s="14">
        <v>43031</v>
      </c>
      <c r="B564">
        <v>2385</v>
      </c>
      <c r="C564">
        <v>2357</v>
      </c>
      <c r="D564">
        <v>2541</v>
      </c>
      <c r="E564">
        <v>2567</v>
      </c>
      <c r="F564">
        <v>0.91819244253992904</v>
      </c>
      <c r="G564">
        <v>0.83877193852161003</v>
      </c>
      <c r="H564">
        <v>7.4452511408350505E-2</v>
      </c>
      <c r="I564">
        <v>1.0667269984046699</v>
      </c>
      <c r="J564">
        <v>8.65</v>
      </c>
      <c r="K564">
        <v>2357</v>
      </c>
      <c r="L564">
        <v>2114.2315950920242</v>
      </c>
    </row>
    <row r="565" spans="1:12">
      <c r="A565" s="14">
        <v>43028</v>
      </c>
      <c r="B565">
        <v>2358</v>
      </c>
      <c r="C565">
        <v>2369</v>
      </c>
      <c r="D565">
        <v>2455</v>
      </c>
      <c r="E565">
        <v>2512</v>
      </c>
      <c r="F565">
        <v>0.94307324840764295</v>
      </c>
      <c r="G565">
        <v>0.83731183177842905</v>
      </c>
      <c r="H565">
        <v>7.3952776107407206E-2</v>
      </c>
      <c r="I565">
        <v>1.43012097984811</v>
      </c>
      <c r="J565">
        <v>11.21</v>
      </c>
      <c r="K565">
        <v>2369</v>
      </c>
      <c r="L565">
        <v>2068.9325153374234</v>
      </c>
    </row>
    <row r="566" spans="1:12">
      <c r="A566" s="14">
        <v>43027</v>
      </c>
      <c r="B566">
        <v>2366</v>
      </c>
      <c r="C566">
        <v>2358</v>
      </c>
      <c r="D566">
        <v>2445</v>
      </c>
      <c r="E566">
        <v>2463</v>
      </c>
      <c r="F566">
        <v>0.95736906211936601</v>
      </c>
      <c r="G566">
        <v>0.83548141731357395</v>
      </c>
      <c r="H566">
        <v>7.3005270403732794E-2</v>
      </c>
      <c r="I566">
        <v>1.6695732257648099</v>
      </c>
      <c r="J566">
        <v>12.73</v>
      </c>
      <c r="K566">
        <v>2358</v>
      </c>
      <c r="L566">
        <v>2028.575153374233</v>
      </c>
    </row>
    <row r="567" spans="1:12">
      <c r="A567" s="14">
        <v>43026</v>
      </c>
      <c r="B567">
        <v>2416</v>
      </c>
      <c r="C567">
        <v>2385</v>
      </c>
      <c r="D567">
        <v>2411</v>
      </c>
      <c r="E567">
        <v>2430</v>
      </c>
      <c r="F567">
        <v>0.98148148148148096</v>
      </c>
      <c r="G567">
        <v>0.83365770702687303</v>
      </c>
      <c r="H567">
        <v>7.1633176845234001E-2</v>
      </c>
      <c r="I567">
        <v>2.0636216480247098</v>
      </c>
      <c r="J567">
        <v>15.06</v>
      </c>
      <c r="K567">
        <v>2385</v>
      </c>
      <c r="L567">
        <v>2001.3957055214723</v>
      </c>
    </row>
    <row r="568" spans="1:12">
      <c r="A568" s="14">
        <v>43025</v>
      </c>
      <c r="B568">
        <v>2450</v>
      </c>
      <c r="C568">
        <v>2440</v>
      </c>
      <c r="D568">
        <v>2370</v>
      </c>
      <c r="E568">
        <v>2405</v>
      </c>
      <c r="F568">
        <v>1.0145530145530099</v>
      </c>
      <c r="G568">
        <v>0.83164385159873599</v>
      </c>
      <c r="H568">
        <v>6.9541613559628193E-2</v>
      </c>
      <c r="I568">
        <v>2.63021166164692</v>
      </c>
      <c r="J568">
        <v>18.03</v>
      </c>
      <c r="K568">
        <v>2440</v>
      </c>
      <c r="L568">
        <v>1980.8052147239264</v>
      </c>
    </row>
    <row r="569" spans="1:12">
      <c r="A569" s="14">
        <v>43024</v>
      </c>
      <c r="B569">
        <v>2433</v>
      </c>
      <c r="C569">
        <v>2440</v>
      </c>
      <c r="D569">
        <v>2381</v>
      </c>
      <c r="E569">
        <v>2368</v>
      </c>
      <c r="F569">
        <v>1.0304054054053999</v>
      </c>
      <c r="G569">
        <v>0.82915056241567198</v>
      </c>
      <c r="H569">
        <v>6.6211520688250994E-2</v>
      </c>
      <c r="I569">
        <v>3.0395743957810102</v>
      </c>
      <c r="J569">
        <v>19.53</v>
      </c>
      <c r="K569">
        <v>2440</v>
      </c>
      <c r="L569">
        <v>1950.3312883435583</v>
      </c>
    </row>
    <row r="570" spans="1:12">
      <c r="A570" s="14">
        <v>43021</v>
      </c>
      <c r="B570">
        <v>2385</v>
      </c>
      <c r="C570">
        <v>2435</v>
      </c>
      <c r="D570">
        <v>2416</v>
      </c>
      <c r="E570">
        <v>2412</v>
      </c>
      <c r="F570">
        <v>1.0095356550580401</v>
      </c>
      <c r="G570">
        <v>0.82663897772393102</v>
      </c>
      <c r="H570">
        <v>6.19663180557588E-2</v>
      </c>
      <c r="I570">
        <v>2.9515498592241101</v>
      </c>
      <c r="J570">
        <v>18.12</v>
      </c>
      <c r="K570">
        <v>2435</v>
      </c>
      <c r="L570">
        <v>1986.5705521472391</v>
      </c>
    </row>
    <row r="571" spans="1:12">
      <c r="A571" s="14">
        <v>43020</v>
      </c>
      <c r="B571">
        <v>2373</v>
      </c>
      <c r="C571">
        <v>2378</v>
      </c>
      <c r="D571">
        <v>2456</v>
      </c>
      <c r="E571">
        <v>2437</v>
      </c>
      <c r="F571">
        <v>0.97578990562166601</v>
      </c>
      <c r="G571">
        <v>0.82463738826480204</v>
      </c>
      <c r="H571">
        <v>5.8344897954477698E-2</v>
      </c>
      <c r="I571">
        <v>2.5906724093475502</v>
      </c>
      <c r="J571">
        <v>15.49</v>
      </c>
      <c r="K571">
        <v>2378</v>
      </c>
      <c r="L571">
        <v>2007.1610429447851</v>
      </c>
    </row>
    <row r="572" spans="1:12">
      <c r="A572" s="14">
        <v>43019</v>
      </c>
      <c r="B572">
        <v>2320</v>
      </c>
      <c r="C572">
        <v>2351</v>
      </c>
      <c r="D572">
        <v>2522</v>
      </c>
      <c r="E572">
        <v>2435</v>
      </c>
      <c r="F572">
        <v>0.96550308008213503</v>
      </c>
      <c r="G572">
        <v>0.82309257723003504</v>
      </c>
      <c r="H572">
        <v>5.5800713325900003E-2</v>
      </c>
      <c r="I572">
        <v>2.55212692390438</v>
      </c>
      <c r="J572">
        <v>14.75</v>
      </c>
      <c r="K572">
        <v>2351</v>
      </c>
      <c r="L572">
        <v>2005.5138036809815</v>
      </c>
    </row>
    <row r="573" spans="1:12">
      <c r="A573" s="14">
        <v>43018</v>
      </c>
      <c r="B573">
        <v>2219</v>
      </c>
      <c r="C573">
        <v>2314</v>
      </c>
      <c r="D573">
        <v>2470</v>
      </c>
      <c r="E573">
        <v>2542</v>
      </c>
      <c r="F573">
        <v>0.910306845003933</v>
      </c>
      <c r="G573">
        <v>0.82172305125996403</v>
      </c>
      <c r="H573">
        <v>5.35018162856679E-2</v>
      </c>
      <c r="I573">
        <v>1.65571563535309</v>
      </c>
      <c r="J573">
        <v>9.73</v>
      </c>
      <c r="K573">
        <v>2314</v>
      </c>
      <c r="L573">
        <v>2093.6411042944783</v>
      </c>
    </row>
    <row r="574" spans="1:12">
      <c r="A574" s="14">
        <v>43014</v>
      </c>
      <c r="B574">
        <v>2216</v>
      </c>
      <c r="C574">
        <v>2206</v>
      </c>
      <c r="D574">
        <v>2490</v>
      </c>
      <c r="E574">
        <v>2472</v>
      </c>
      <c r="F574">
        <v>0.89239482200647202</v>
      </c>
      <c r="G574">
        <v>0.82114356529559895</v>
      </c>
      <c r="H574">
        <v>5.2769571822309798E-2</v>
      </c>
      <c r="I574">
        <v>1.3502337474102799</v>
      </c>
      <c r="J574">
        <v>7.98</v>
      </c>
      <c r="K574">
        <v>2206</v>
      </c>
      <c r="L574">
        <v>2035.9877300613496</v>
      </c>
    </row>
    <row r="575" spans="1:12">
      <c r="A575" s="14">
        <v>43013</v>
      </c>
      <c r="B575">
        <v>2218</v>
      </c>
      <c r="C575">
        <v>2224</v>
      </c>
      <c r="D575">
        <v>2448</v>
      </c>
      <c r="E575">
        <v>2441</v>
      </c>
      <c r="F575">
        <v>0.91110200737402702</v>
      </c>
      <c r="G575">
        <v>0.82080849532205902</v>
      </c>
      <c r="H575">
        <v>5.2394537086978998E-2</v>
      </c>
      <c r="I575">
        <v>1.7233382919687299</v>
      </c>
      <c r="J575">
        <v>9.91</v>
      </c>
      <c r="K575">
        <v>2224</v>
      </c>
      <c r="L575">
        <v>2010.4555214723925</v>
      </c>
    </row>
    <row r="576" spans="1:12">
      <c r="A576" s="14">
        <v>43012</v>
      </c>
      <c r="B576">
        <v>2214</v>
      </c>
      <c r="C576">
        <v>2220</v>
      </c>
      <c r="D576">
        <v>2469</v>
      </c>
      <c r="E576">
        <v>2474</v>
      </c>
      <c r="F576">
        <v>0.89733225545674999</v>
      </c>
      <c r="G576">
        <v>0.82045722399019105</v>
      </c>
      <c r="H576">
        <v>5.1873725976447703E-2</v>
      </c>
      <c r="I576">
        <v>1.4819647137254399</v>
      </c>
      <c r="J576">
        <v>8.57</v>
      </c>
      <c r="K576">
        <v>2220</v>
      </c>
      <c r="L576">
        <v>2037.6349693251532</v>
      </c>
    </row>
    <row r="577" spans="1:12">
      <c r="A577" s="14">
        <v>43011</v>
      </c>
      <c r="B577">
        <v>2205</v>
      </c>
      <c r="C577">
        <v>2227</v>
      </c>
      <c r="D577">
        <v>2486</v>
      </c>
      <c r="E577">
        <v>2486</v>
      </c>
      <c r="F577">
        <v>0.89581657280772298</v>
      </c>
      <c r="G577">
        <v>0.82022096119910803</v>
      </c>
      <c r="H577">
        <v>5.1562473908444803E-2</v>
      </c>
      <c r="I577">
        <v>1.46609745185702</v>
      </c>
      <c r="J577">
        <v>8.44</v>
      </c>
      <c r="K577">
        <v>2227</v>
      </c>
      <c r="L577">
        <v>2047.5184049079753</v>
      </c>
    </row>
    <row r="578" spans="1:12">
      <c r="A578" s="14">
        <v>43010</v>
      </c>
      <c r="B578">
        <v>2234</v>
      </c>
      <c r="C578">
        <v>2209</v>
      </c>
      <c r="D578">
        <v>2535</v>
      </c>
      <c r="E578">
        <v>2466</v>
      </c>
      <c r="F578">
        <v>0.89578264395782603</v>
      </c>
      <c r="G578">
        <v>0.82030695741436199</v>
      </c>
      <c r="H578">
        <v>5.1693692500771403E-2</v>
      </c>
      <c r="I578">
        <v>1.4600560124881199</v>
      </c>
      <c r="J578">
        <v>8.43</v>
      </c>
      <c r="K578">
        <v>2209</v>
      </c>
      <c r="L578">
        <v>2031.0460122699385</v>
      </c>
    </row>
    <row r="579" spans="1:12">
      <c r="A579" s="14">
        <v>43007</v>
      </c>
      <c r="B579">
        <v>2220</v>
      </c>
      <c r="C579">
        <v>2235</v>
      </c>
      <c r="D579">
        <v>2571</v>
      </c>
      <c r="E579">
        <v>2536</v>
      </c>
      <c r="F579">
        <v>0.88130914826498397</v>
      </c>
      <c r="G579">
        <v>0.82022329405883698</v>
      </c>
      <c r="H579">
        <v>5.1576416249996898E-2</v>
      </c>
      <c r="I579">
        <v>1.1843757020661601</v>
      </c>
      <c r="J579">
        <v>6.93</v>
      </c>
      <c r="K579">
        <v>2235</v>
      </c>
      <c r="L579">
        <v>2088.6993865030672</v>
      </c>
    </row>
    <row r="580" spans="1:12">
      <c r="A580" s="14">
        <v>43006</v>
      </c>
      <c r="B580">
        <v>2209</v>
      </c>
      <c r="C580">
        <v>2211</v>
      </c>
      <c r="D580">
        <v>2585</v>
      </c>
      <c r="E580">
        <v>2570</v>
      </c>
      <c r="F580">
        <v>0.86031128404669199</v>
      </c>
      <c r="G580">
        <v>0.820563641495204</v>
      </c>
      <c r="H580">
        <v>5.2060344148673499E-2</v>
      </c>
      <c r="I580">
        <v>0.76349173639684897</v>
      </c>
      <c r="J580">
        <v>4.62</v>
      </c>
      <c r="K580">
        <v>2211</v>
      </c>
      <c r="L580">
        <v>2116.7024539877298</v>
      </c>
    </row>
    <row r="581" spans="1:12">
      <c r="A581" s="14">
        <v>43005</v>
      </c>
      <c r="B581">
        <v>2200</v>
      </c>
      <c r="C581">
        <v>2195</v>
      </c>
      <c r="D581">
        <v>2514</v>
      </c>
      <c r="E581">
        <v>2544</v>
      </c>
      <c r="F581">
        <v>0.86281446540880502</v>
      </c>
      <c r="G581">
        <v>0.82075486569434697</v>
      </c>
      <c r="H581">
        <v>5.2232047542565302E-2</v>
      </c>
      <c r="I581">
        <v>0.80524508789708404</v>
      </c>
      <c r="J581">
        <v>4.87</v>
      </c>
      <c r="K581">
        <v>2195</v>
      </c>
      <c r="L581">
        <v>2095.2883435582821</v>
      </c>
    </row>
    <row r="582" spans="1:12">
      <c r="A582" s="14">
        <v>43004</v>
      </c>
      <c r="B582">
        <v>2185</v>
      </c>
      <c r="C582">
        <v>2202</v>
      </c>
      <c r="D582">
        <v>2500</v>
      </c>
      <c r="E582">
        <v>2518</v>
      </c>
      <c r="F582">
        <v>0.87450357426528902</v>
      </c>
      <c r="G582">
        <v>0.82055502064831598</v>
      </c>
      <c r="H582">
        <v>5.2099245679243497E-2</v>
      </c>
      <c r="I582">
        <v>1.03549586781188</v>
      </c>
      <c r="J582">
        <v>6.17</v>
      </c>
      <c r="K582">
        <v>2202</v>
      </c>
      <c r="L582">
        <v>2073.8742331288345</v>
      </c>
    </row>
    <row r="583" spans="1:12">
      <c r="A583" s="14">
        <v>43003</v>
      </c>
      <c r="B583">
        <v>2200</v>
      </c>
      <c r="C583">
        <v>2197</v>
      </c>
      <c r="D583">
        <v>2542</v>
      </c>
      <c r="E583">
        <v>2538</v>
      </c>
      <c r="F583">
        <v>0.86564223798266304</v>
      </c>
      <c r="G583">
        <v>0.82028025437672702</v>
      </c>
      <c r="H583">
        <v>5.1867828716579897E-2</v>
      </c>
      <c r="I583">
        <v>0.87456877853526505</v>
      </c>
      <c r="J583">
        <v>5.24</v>
      </c>
      <c r="K583">
        <v>2197</v>
      </c>
      <c r="L583">
        <v>2090.3466257668711</v>
      </c>
    </row>
    <row r="584" spans="1:12">
      <c r="A584" s="14">
        <v>43000</v>
      </c>
      <c r="B584">
        <v>2200</v>
      </c>
      <c r="C584">
        <v>2196</v>
      </c>
      <c r="D584">
        <v>2586</v>
      </c>
      <c r="E584">
        <v>2514</v>
      </c>
      <c r="F584">
        <v>0.87350835322195697</v>
      </c>
      <c r="G584">
        <v>0.82026037044890798</v>
      </c>
      <c r="H584">
        <v>5.1850718070054598E-2</v>
      </c>
      <c r="I584">
        <v>1.02694783707924</v>
      </c>
      <c r="J584">
        <v>6.1</v>
      </c>
      <c r="K584">
        <v>2196</v>
      </c>
      <c r="L584">
        <v>2070.5797546012268</v>
      </c>
    </row>
    <row r="585" spans="1:12">
      <c r="A585" s="14">
        <v>42999</v>
      </c>
      <c r="B585">
        <v>2133</v>
      </c>
      <c r="C585">
        <v>2156</v>
      </c>
      <c r="D585">
        <v>2602</v>
      </c>
      <c r="E585">
        <v>2568</v>
      </c>
      <c r="F585">
        <v>0.83956386292834895</v>
      </c>
      <c r="G585">
        <v>0.82039608918844598</v>
      </c>
      <c r="H585">
        <v>5.2003014443716397E-2</v>
      </c>
      <c r="I585">
        <v>0.36858966629037399</v>
      </c>
      <c r="J585">
        <v>2.2799999999999998</v>
      </c>
      <c r="K585">
        <v>2156</v>
      </c>
      <c r="L585">
        <v>2115.0552147239264</v>
      </c>
    </row>
    <row r="586" spans="1:12">
      <c r="A586" s="14">
        <v>42998</v>
      </c>
      <c r="B586">
        <v>2095</v>
      </c>
      <c r="C586">
        <v>2122</v>
      </c>
      <c r="D586">
        <v>2592</v>
      </c>
      <c r="E586">
        <v>2598</v>
      </c>
      <c r="F586">
        <v>0.81678214010777495</v>
      </c>
      <c r="G586">
        <v>0.82131008290919205</v>
      </c>
      <c r="H586">
        <v>5.2926084452820599E-2</v>
      </c>
      <c r="I586">
        <v>-8.5552196959777893E-2</v>
      </c>
      <c r="J586">
        <v>-0.55000000000000004</v>
      </c>
      <c r="K586">
        <v>2122</v>
      </c>
      <c r="L586">
        <v>2139.7638036809817</v>
      </c>
    </row>
    <row r="587" spans="1:12">
      <c r="A587" s="14">
        <v>42997</v>
      </c>
      <c r="B587">
        <v>2061</v>
      </c>
      <c r="C587">
        <v>2091</v>
      </c>
      <c r="D587">
        <v>2604</v>
      </c>
      <c r="E587">
        <v>2592</v>
      </c>
      <c r="F587">
        <v>0.80671296296296202</v>
      </c>
      <c r="G587">
        <v>0.82246666710703698</v>
      </c>
      <c r="H587">
        <v>5.3755793732559398E-2</v>
      </c>
      <c r="I587">
        <v>-0.29306058101292098</v>
      </c>
      <c r="J587">
        <v>-1.95</v>
      </c>
      <c r="K587">
        <v>2091</v>
      </c>
      <c r="L587">
        <v>2134.8220858895706</v>
      </c>
    </row>
    <row r="588" spans="1:12">
      <c r="A588" s="14">
        <v>42993</v>
      </c>
      <c r="B588">
        <v>2041</v>
      </c>
      <c r="C588">
        <v>2042</v>
      </c>
      <c r="D588">
        <v>2538</v>
      </c>
      <c r="E588">
        <v>2576</v>
      </c>
      <c r="F588">
        <v>0.79270186335403703</v>
      </c>
      <c r="G588">
        <v>0.82427880027846001</v>
      </c>
      <c r="H588">
        <v>5.5458028371055602E-2</v>
      </c>
      <c r="I588">
        <v>-0.56938441289599695</v>
      </c>
      <c r="J588">
        <v>-3.98</v>
      </c>
      <c r="K588">
        <v>2042</v>
      </c>
      <c r="L588">
        <v>2121.6441717791408</v>
      </c>
    </row>
    <row r="589" spans="1:12">
      <c r="A589" s="14">
        <v>42992</v>
      </c>
      <c r="B589">
        <v>2037</v>
      </c>
      <c r="C589">
        <v>2044</v>
      </c>
      <c r="D589">
        <v>2570</v>
      </c>
      <c r="E589">
        <v>2538</v>
      </c>
      <c r="F589">
        <v>0.80535855003940104</v>
      </c>
      <c r="G589">
        <v>0.82674521964202896</v>
      </c>
      <c r="H589">
        <v>5.80515941620608E-2</v>
      </c>
      <c r="I589">
        <v>-0.36840796383512397</v>
      </c>
      <c r="J589">
        <v>-2.66</v>
      </c>
      <c r="K589">
        <v>2044</v>
      </c>
      <c r="L589">
        <v>2090.3466257668711</v>
      </c>
    </row>
    <row r="590" spans="1:12">
      <c r="A590" s="14">
        <v>42991</v>
      </c>
      <c r="B590">
        <v>2063</v>
      </c>
      <c r="C590">
        <v>2058</v>
      </c>
      <c r="D590">
        <v>2614</v>
      </c>
      <c r="E590">
        <v>2610</v>
      </c>
      <c r="F590">
        <v>0.78850574712643595</v>
      </c>
      <c r="G590">
        <v>0.82919134419315399</v>
      </c>
      <c r="H590">
        <v>6.0894495180145503E-2</v>
      </c>
      <c r="I590">
        <v>-0.66813259468456598</v>
      </c>
      <c r="J590">
        <v>-5.16</v>
      </c>
      <c r="K590">
        <v>2058</v>
      </c>
      <c r="L590">
        <v>2149.6472392638034</v>
      </c>
    </row>
    <row r="591" spans="1:12">
      <c r="A591" s="14">
        <v>42990</v>
      </c>
      <c r="B591">
        <v>2101</v>
      </c>
      <c r="C591">
        <v>2064</v>
      </c>
      <c r="D591">
        <v>2608</v>
      </c>
      <c r="E591">
        <v>2598</v>
      </c>
      <c r="F591">
        <v>0.79445727482678896</v>
      </c>
      <c r="G591">
        <v>0.83189767154066196</v>
      </c>
      <c r="H591">
        <v>6.3481602263494794E-2</v>
      </c>
      <c r="I591">
        <v>-0.58978342352588797</v>
      </c>
      <c r="J591">
        <v>-4.71</v>
      </c>
      <c r="K591">
        <v>2064</v>
      </c>
      <c r="L591">
        <v>2139.7638036809817</v>
      </c>
    </row>
    <row r="592" spans="1:12">
      <c r="A592" s="14">
        <v>42989</v>
      </c>
      <c r="B592">
        <v>2064</v>
      </c>
      <c r="C592">
        <v>2090</v>
      </c>
      <c r="D592">
        <v>2580</v>
      </c>
      <c r="E592">
        <v>2578</v>
      </c>
      <c r="F592">
        <v>0.81070597362296304</v>
      </c>
      <c r="G592">
        <v>0.83457447925427197</v>
      </c>
      <c r="H592">
        <v>6.6028058476145401E-2</v>
      </c>
      <c r="I592">
        <v>-0.36149034489529602</v>
      </c>
      <c r="J592">
        <v>-2.94</v>
      </c>
      <c r="K592">
        <v>2090</v>
      </c>
      <c r="L592">
        <v>2123.2914110429447</v>
      </c>
    </row>
    <row r="593" spans="1:12">
      <c r="A593" s="14">
        <v>42986</v>
      </c>
      <c r="B593">
        <v>2054</v>
      </c>
      <c r="C593">
        <v>2057</v>
      </c>
      <c r="D593">
        <v>2524</v>
      </c>
      <c r="E593">
        <v>2554</v>
      </c>
      <c r="F593">
        <v>0.805403288958496</v>
      </c>
      <c r="G593">
        <v>0.83707712301022097</v>
      </c>
      <c r="H593">
        <v>6.8583631282437704E-2</v>
      </c>
      <c r="I593">
        <v>-0.46182789478275399</v>
      </c>
      <c r="J593">
        <v>-3.93</v>
      </c>
      <c r="K593">
        <v>2057</v>
      </c>
      <c r="L593">
        <v>2103.5245398773004</v>
      </c>
    </row>
    <row r="594" spans="1:12">
      <c r="A594" s="14">
        <v>42985</v>
      </c>
      <c r="B594">
        <v>2064</v>
      </c>
      <c r="C594">
        <v>2070</v>
      </c>
      <c r="D594">
        <v>2550</v>
      </c>
      <c r="E594">
        <v>2524</v>
      </c>
      <c r="F594">
        <v>0.82012678288430996</v>
      </c>
      <c r="G594">
        <v>0.83914362511080198</v>
      </c>
      <c r="H594">
        <v>6.9920084951527794E-2</v>
      </c>
      <c r="I594">
        <v>-0.27197967850975702</v>
      </c>
      <c r="J594">
        <v>-2.3199999999999998</v>
      </c>
      <c r="K594">
        <v>2070</v>
      </c>
      <c r="L594">
        <v>2078.8159509202451</v>
      </c>
    </row>
    <row r="595" spans="1:12">
      <c r="A595" s="14">
        <v>42984</v>
      </c>
      <c r="B595">
        <v>2069</v>
      </c>
      <c r="C595">
        <v>2066</v>
      </c>
      <c r="D595">
        <v>2452</v>
      </c>
      <c r="E595">
        <v>2538</v>
      </c>
      <c r="F595">
        <v>0.81402679275019696</v>
      </c>
      <c r="G595">
        <v>0.84143024182766701</v>
      </c>
      <c r="H595">
        <v>7.2033099375797105E-2</v>
      </c>
      <c r="I595">
        <v>-0.38042857123926599</v>
      </c>
      <c r="J595">
        <v>-3.37</v>
      </c>
      <c r="K595">
        <v>2066</v>
      </c>
      <c r="L595">
        <v>2090.3466257668711</v>
      </c>
    </row>
    <row r="596" spans="1:12">
      <c r="A596" s="14">
        <v>42983</v>
      </c>
      <c r="B596">
        <v>2087</v>
      </c>
      <c r="C596">
        <v>2080</v>
      </c>
      <c r="D596">
        <v>2526</v>
      </c>
      <c r="E596">
        <v>2494</v>
      </c>
      <c r="F596">
        <v>0.83400160384923805</v>
      </c>
      <c r="G596">
        <v>0.84355175786923497</v>
      </c>
      <c r="H596">
        <v>7.3522480475985905E-2</v>
      </c>
      <c r="I596">
        <v>-0.12989433923024801</v>
      </c>
      <c r="J596">
        <v>-1.1499999999999999</v>
      </c>
      <c r="K596">
        <v>2080</v>
      </c>
      <c r="L596">
        <v>2054.1073619631902</v>
      </c>
    </row>
    <row r="597" spans="1:12">
      <c r="A597" s="14">
        <v>42982</v>
      </c>
      <c r="B597">
        <v>2104</v>
      </c>
      <c r="C597">
        <v>2085</v>
      </c>
      <c r="D597">
        <v>2510</v>
      </c>
      <c r="E597">
        <v>2504</v>
      </c>
      <c r="F597">
        <v>0.832667731629393</v>
      </c>
      <c r="G597">
        <v>0.84531332443803497</v>
      </c>
      <c r="H597">
        <v>7.4843431994343498E-2</v>
      </c>
      <c r="I597">
        <v>-0.16896062181646099</v>
      </c>
      <c r="J597">
        <v>-1.52</v>
      </c>
      <c r="K597">
        <v>2085</v>
      </c>
      <c r="L597">
        <v>2062.3435582822085</v>
      </c>
    </row>
    <row r="598" spans="1:12">
      <c r="A598" s="14">
        <v>42979</v>
      </c>
      <c r="B598">
        <v>2080</v>
      </c>
      <c r="C598">
        <v>2102</v>
      </c>
      <c r="D598">
        <v>2556</v>
      </c>
      <c r="E598">
        <v>2540</v>
      </c>
      <c r="F598">
        <v>0.82755905511811001</v>
      </c>
      <c r="G598">
        <v>0.84730757007830904</v>
      </c>
      <c r="H598">
        <v>7.6455226347810601E-2</v>
      </c>
      <c r="I598">
        <v>-0.25830170027041599</v>
      </c>
      <c r="J598">
        <v>-2.39</v>
      </c>
      <c r="K598">
        <v>2102</v>
      </c>
      <c r="L598">
        <v>2091.9938650306749</v>
      </c>
    </row>
    <row r="599" spans="1:12">
      <c r="A599" s="14">
        <v>42978</v>
      </c>
      <c r="B599">
        <v>2081</v>
      </c>
      <c r="C599">
        <v>2070</v>
      </c>
      <c r="D599">
        <v>2600</v>
      </c>
      <c r="E599">
        <v>2580</v>
      </c>
      <c r="F599">
        <v>0.80232558139534804</v>
      </c>
      <c r="G599">
        <v>0.84921743841443897</v>
      </c>
      <c r="H599">
        <v>7.77167272317799E-2</v>
      </c>
      <c r="I599">
        <v>-0.60336891026357398</v>
      </c>
      <c r="J599">
        <v>-5.84</v>
      </c>
      <c r="K599">
        <v>2070</v>
      </c>
      <c r="L599">
        <v>2124.9386503067485</v>
      </c>
    </row>
    <row r="600" spans="1:12">
      <c r="A600" s="14">
        <v>42977</v>
      </c>
      <c r="B600">
        <v>2034</v>
      </c>
      <c r="C600">
        <v>2062</v>
      </c>
      <c r="D600">
        <v>2502</v>
      </c>
      <c r="E600">
        <v>2538</v>
      </c>
      <c r="F600">
        <v>0.81245074862096101</v>
      </c>
      <c r="G600">
        <v>0.85089596871501005</v>
      </c>
      <c r="H600">
        <v>7.8044623259267004E-2</v>
      </c>
      <c r="I600">
        <v>-0.49260562084248399</v>
      </c>
      <c r="J600">
        <v>-4.7300000000000004</v>
      </c>
      <c r="K600">
        <v>2062</v>
      </c>
      <c r="L600">
        <v>2090.3466257668711</v>
      </c>
    </row>
    <row r="601" spans="1:12">
      <c r="A601" s="14">
        <v>42976</v>
      </c>
      <c r="B601">
        <v>2022</v>
      </c>
      <c r="C601">
        <v>2029</v>
      </c>
      <c r="D601">
        <v>2426</v>
      </c>
      <c r="E601">
        <v>2450</v>
      </c>
      <c r="F601">
        <v>0.82816326530612205</v>
      </c>
      <c r="G601">
        <v>0.85255651699898005</v>
      </c>
      <c r="H601">
        <v>7.8532363111166695E-2</v>
      </c>
      <c r="I601">
        <v>-0.31061400327821098</v>
      </c>
      <c r="J601">
        <v>-2.95</v>
      </c>
      <c r="K601">
        <v>2029</v>
      </c>
      <c r="L601">
        <v>2017.8680981595091</v>
      </c>
    </row>
    <row r="602" spans="1:12">
      <c r="A602" s="14">
        <v>42975</v>
      </c>
      <c r="B602">
        <v>2020</v>
      </c>
      <c r="C602">
        <v>2032</v>
      </c>
      <c r="D602">
        <v>2466</v>
      </c>
      <c r="E602">
        <v>2444</v>
      </c>
      <c r="F602">
        <v>0.83142389525368199</v>
      </c>
      <c r="G602">
        <v>0.85346858849424501</v>
      </c>
      <c r="H602">
        <v>7.8640917996012097E-2</v>
      </c>
      <c r="I602">
        <v>-0.280320904210204</v>
      </c>
      <c r="J602">
        <v>-2.65</v>
      </c>
      <c r="K602">
        <v>2032</v>
      </c>
      <c r="L602">
        <v>2012.9263803680981</v>
      </c>
    </row>
    <row r="603" spans="1:12">
      <c r="A603" s="14">
        <v>42972</v>
      </c>
      <c r="B603">
        <v>2022</v>
      </c>
      <c r="C603">
        <v>2013</v>
      </c>
      <c r="D603">
        <v>2454</v>
      </c>
      <c r="E603">
        <v>2458</v>
      </c>
      <c r="F603">
        <v>0.818958502847843</v>
      </c>
      <c r="G603">
        <v>0.85392164113888802</v>
      </c>
      <c r="H603">
        <v>7.8610483816231994E-2</v>
      </c>
      <c r="I603">
        <v>-0.44476431887606299</v>
      </c>
      <c r="J603">
        <v>-4.2699999999999996</v>
      </c>
      <c r="K603">
        <v>2013</v>
      </c>
      <c r="L603">
        <v>2024.4570552147238</v>
      </c>
    </row>
    <row r="604" spans="1:12">
      <c r="A604" s="14">
        <v>42971</v>
      </c>
      <c r="B604">
        <v>2033</v>
      </c>
      <c r="C604">
        <v>2024</v>
      </c>
      <c r="D604">
        <v>2460</v>
      </c>
      <c r="E604">
        <v>2442</v>
      </c>
      <c r="F604">
        <v>0.82882882882882802</v>
      </c>
      <c r="G604">
        <v>0.85456489134666302</v>
      </c>
      <c r="H604">
        <v>7.8519087585676398E-2</v>
      </c>
      <c r="I604">
        <v>-0.327768232020686</v>
      </c>
      <c r="J604">
        <v>-3.11</v>
      </c>
      <c r="K604">
        <v>2024</v>
      </c>
      <c r="L604">
        <v>2011.2791411042945</v>
      </c>
    </row>
    <row r="605" spans="1:12">
      <c r="A605" s="14">
        <v>42970</v>
      </c>
      <c r="B605">
        <v>2051</v>
      </c>
      <c r="C605">
        <v>2049</v>
      </c>
      <c r="D605">
        <v>2424</v>
      </c>
      <c r="E605">
        <v>2444</v>
      </c>
      <c r="F605">
        <v>0.83837970540098194</v>
      </c>
      <c r="G605">
        <v>0.85467603697505001</v>
      </c>
      <c r="H605">
        <v>7.8488472794150596E-2</v>
      </c>
      <c r="I605">
        <v>-0.20762706922337801</v>
      </c>
      <c r="J605">
        <v>-1.94</v>
      </c>
      <c r="K605">
        <v>2049</v>
      </c>
      <c r="L605">
        <v>2012.9263803680981</v>
      </c>
    </row>
    <row r="606" spans="1:12">
      <c r="A606" s="14">
        <v>42969</v>
      </c>
      <c r="B606">
        <v>2023</v>
      </c>
      <c r="C606">
        <v>2027</v>
      </c>
      <c r="D606">
        <v>2368</v>
      </c>
      <c r="E606">
        <v>2374</v>
      </c>
      <c r="F606">
        <v>0.85383319292333604</v>
      </c>
      <c r="G606">
        <v>0.85435765345796499</v>
      </c>
      <c r="H606">
        <v>7.8602280914836106E-2</v>
      </c>
      <c r="I606">
        <v>-6.6723322596336197E-3</v>
      </c>
      <c r="J606">
        <v>-0.06</v>
      </c>
      <c r="K606">
        <v>2027</v>
      </c>
      <c r="L606">
        <v>1955.2730061349691</v>
      </c>
    </row>
    <row r="607" spans="1:12">
      <c r="A607" s="14">
        <v>42968</v>
      </c>
      <c r="B607">
        <v>2029</v>
      </c>
      <c r="C607">
        <v>2044</v>
      </c>
      <c r="D607">
        <v>2348</v>
      </c>
      <c r="E607">
        <v>2366</v>
      </c>
      <c r="F607">
        <v>0.86390532544378695</v>
      </c>
      <c r="G607">
        <v>0.85375471008820503</v>
      </c>
      <c r="H607">
        <v>7.8777236669910197E-2</v>
      </c>
      <c r="I607">
        <v>0.12885213780871699</v>
      </c>
      <c r="J607">
        <v>1.17</v>
      </c>
      <c r="K607">
        <v>2044</v>
      </c>
      <c r="L607">
        <v>1948.6840490797545</v>
      </c>
    </row>
    <row r="608" spans="1:12">
      <c r="A608" s="14">
        <v>42965</v>
      </c>
      <c r="B608">
        <v>2024</v>
      </c>
      <c r="C608">
        <v>2023</v>
      </c>
      <c r="D608">
        <v>2370</v>
      </c>
      <c r="E608">
        <v>2408</v>
      </c>
      <c r="F608">
        <v>0.84011627906976705</v>
      </c>
      <c r="G608">
        <v>0.85292922977554497</v>
      </c>
      <c r="H608">
        <v>7.8990630231184994E-2</v>
      </c>
      <c r="I608">
        <v>-0.16220848812420099</v>
      </c>
      <c r="J608">
        <v>-1.53</v>
      </c>
      <c r="K608">
        <v>2023</v>
      </c>
      <c r="L608">
        <v>1983.2760736196319</v>
      </c>
    </row>
    <row r="609" spans="1:12">
      <c r="A609" s="14">
        <v>42964</v>
      </c>
      <c r="B609">
        <v>2040</v>
      </c>
      <c r="C609">
        <v>2043</v>
      </c>
      <c r="D609">
        <v>2430</v>
      </c>
      <c r="E609">
        <v>2394</v>
      </c>
      <c r="F609">
        <v>0.85338345864661602</v>
      </c>
      <c r="G609">
        <v>0.85245037916509003</v>
      </c>
      <c r="H609">
        <v>7.9175492975933598E-2</v>
      </c>
      <c r="I609">
        <v>1.17849532280153E-2</v>
      </c>
      <c r="J609">
        <v>0.11</v>
      </c>
      <c r="K609">
        <v>2043</v>
      </c>
      <c r="L609">
        <v>1971.7453987730059</v>
      </c>
    </row>
    <row r="610" spans="1:12">
      <c r="A610" s="14">
        <v>42963</v>
      </c>
      <c r="B610">
        <v>2049</v>
      </c>
      <c r="C610">
        <v>2043</v>
      </c>
      <c r="D610">
        <v>2400</v>
      </c>
      <c r="E610">
        <v>2424</v>
      </c>
      <c r="F610">
        <v>0.84282178217821702</v>
      </c>
      <c r="G610">
        <v>0.85170152716932901</v>
      </c>
      <c r="H610">
        <v>7.9428325427226096E-2</v>
      </c>
      <c r="I610">
        <v>-0.111795696854354</v>
      </c>
      <c r="J610">
        <v>-1.05</v>
      </c>
      <c r="K610">
        <v>2043</v>
      </c>
      <c r="L610">
        <v>1996.4539877300613</v>
      </c>
    </row>
    <row r="611" spans="1:12">
      <c r="A611" s="14">
        <v>42962</v>
      </c>
      <c r="B611">
        <v>2100</v>
      </c>
      <c r="C611">
        <v>2054</v>
      </c>
      <c r="D611">
        <v>2350</v>
      </c>
      <c r="E611">
        <v>2390</v>
      </c>
      <c r="F611">
        <v>0.85941422594142203</v>
      </c>
      <c r="G611">
        <v>0.85113694965894604</v>
      </c>
      <c r="H611">
        <v>7.9639643541644295E-2</v>
      </c>
      <c r="I611">
        <v>0.103934120174055</v>
      </c>
      <c r="J611">
        <v>0.96</v>
      </c>
      <c r="K611">
        <v>2054</v>
      </c>
      <c r="L611">
        <v>1968.4509202453987</v>
      </c>
    </row>
    <row r="612" spans="1:12">
      <c r="A612" s="14">
        <v>42961</v>
      </c>
      <c r="B612">
        <v>2073</v>
      </c>
      <c r="C612">
        <v>2079</v>
      </c>
      <c r="D612">
        <v>2250</v>
      </c>
      <c r="E612">
        <v>2318</v>
      </c>
      <c r="F612">
        <v>0.89689387402933496</v>
      </c>
      <c r="G612">
        <v>0.85056258176190502</v>
      </c>
      <c r="H612">
        <v>7.9733160651651994E-2</v>
      </c>
      <c r="I612">
        <v>0.58107933874398499</v>
      </c>
      <c r="J612">
        <v>5.17</v>
      </c>
      <c r="K612">
        <v>2079</v>
      </c>
      <c r="L612">
        <v>1909.1503067484662</v>
      </c>
    </row>
    <row r="613" spans="1:12">
      <c r="A613" s="14">
        <v>42957</v>
      </c>
      <c r="B613">
        <v>2075</v>
      </c>
      <c r="C613">
        <v>2094</v>
      </c>
      <c r="D613">
        <v>2286</v>
      </c>
      <c r="E613">
        <v>2274</v>
      </c>
      <c r="F613">
        <v>0.920844327176781</v>
      </c>
      <c r="G613">
        <v>0.84953920051566201</v>
      </c>
      <c r="H613">
        <v>7.9624422354091395E-2</v>
      </c>
      <c r="I613">
        <v>0.89551829141092698</v>
      </c>
      <c r="J613">
        <v>7.74</v>
      </c>
      <c r="K613">
        <v>2094</v>
      </c>
      <c r="L613">
        <v>1872.9110429447851</v>
      </c>
    </row>
    <row r="614" spans="1:12">
      <c r="A614" s="14">
        <v>42956</v>
      </c>
      <c r="B614">
        <v>2055</v>
      </c>
      <c r="C614">
        <v>2048</v>
      </c>
      <c r="D614">
        <v>2316</v>
      </c>
      <c r="E614">
        <v>2288</v>
      </c>
      <c r="F614">
        <v>0.89510489510489499</v>
      </c>
      <c r="G614">
        <v>0.84785888571505796</v>
      </c>
      <c r="H614">
        <v>7.9431444624928196E-2</v>
      </c>
      <c r="I614">
        <v>0.59480234323988301</v>
      </c>
      <c r="J614">
        <v>5.28</v>
      </c>
      <c r="K614">
        <v>2048</v>
      </c>
      <c r="L614">
        <v>1884.4417177914111</v>
      </c>
    </row>
    <row r="615" spans="1:12">
      <c r="A615" s="14">
        <v>42955</v>
      </c>
      <c r="B615">
        <v>2050</v>
      </c>
      <c r="C615">
        <v>2037</v>
      </c>
      <c r="D615">
        <v>2376</v>
      </c>
      <c r="E615">
        <v>2312</v>
      </c>
      <c r="F615">
        <v>0.88105536332179901</v>
      </c>
      <c r="G615">
        <v>0.84668557510012299</v>
      </c>
      <c r="H615">
        <v>7.9374798164637994E-2</v>
      </c>
      <c r="I615">
        <v>0.433006306994145</v>
      </c>
      <c r="J615">
        <v>3.9</v>
      </c>
      <c r="K615">
        <v>2037</v>
      </c>
      <c r="L615">
        <v>1904.2085889570551</v>
      </c>
    </row>
    <row r="616" spans="1:12">
      <c r="A616" s="14">
        <v>42954</v>
      </c>
      <c r="B616">
        <v>1980</v>
      </c>
      <c r="C616">
        <v>2044</v>
      </c>
      <c r="D616">
        <v>2308</v>
      </c>
      <c r="E616">
        <v>2368</v>
      </c>
      <c r="F616">
        <v>0.86317567567567499</v>
      </c>
      <c r="G616">
        <v>0.84564010311442905</v>
      </c>
      <c r="H616">
        <v>7.9431581540276006E-2</v>
      </c>
      <c r="I616">
        <v>0.22076323071012999</v>
      </c>
      <c r="J616">
        <v>2.0299999999999998</v>
      </c>
      <c r="K616">
        <v>2044</v>
      </c>
      <c r="L616">
        <v>1950.3312883435583</v>
      </c>
    </row>
    <row r="617" spans="1:12">
      <c r="A617" s="14">
        <v>42951</v>
      </c>
      <c r="B617">
        <v>1951</v>
      </c>
      <c r="C617">
        <v>1946</v>
      </c>
      <c r="D617">
        <v>2316</v>
      </c>
      <c r="E617">
        <v>2296</v>
      </c>
      <c r="F617">
        <v>0.84756097560975596</v>
      </c>
      <c r="G617">
        <v>0.84497820154343595</v>
      </c>
      <c r="H617">
        <v>7.9489514484445897E-2</v>
      </c>
      <c r="I617">
        <v>3.2492009582279303E-2</v>
      </c>
      <c r="J617">
        <v>0.3</v>
      </c>
      <c r="K617">
        <v>1946</v>
      </c>
      <c r="L617">
        <v>1891.0306748466257</v>
      </c>
    </row>
    <row r="618" spans="1:12">
      <c r="A618" s="14">
        <v>42950</v>
      </c>
      <c r="B618">
        <v>1949</v>
      </c>
      <c r="C618">
        <v>1949</v>
      </c>
      <c r="D618">
        <v>2336</v>
      </c>
      <c r="E618">
        <v>2354</v>
      </c>
      <c r="F618">
        <v>0.82795242141036496</v>
      </c>
      <c r="G618">
        <v>0.84475333790239504</v>
      </c>
      <c r="H618">
        <v>7.9505742431817295E-2</v>
      </c>
      <c r="I618">
        <v>-0.211317019100074</v>
      </c>
      <c r="J618">
        <v>-2.0299999999999998</v>
      </c>
      <c r="K618">
        <v>1949</v>
      </c>
      <c r="L618">
        <v>1938.8006134969323</v>
      </c>
    </row>
    <row r="619" spans="1:12">
      <c r="A619" s="14">
        <v>42949</v>
      </c>
      <c r="B619">
        <v>1930</v>
      </c>
      <c r="C619">
        <v>1944</v>
      </c>
      <c r="D619">
        <v>2400</v>
      </c>
      <c r="E619">
        <v>2318</v>
      </c>
      <c r="F619">
        <v>0.83865401207937795</v>
      </c>
      <c r="G619">
        <v>0.84457586221090097</v>
      </c>
      <c r="H619">
        <v>7.9557887177438794E-2</v>
      </c>
      <c r="I619">
        <v>-7.44344821314155E-2</v>
      </c>
      <c r="J619">
        <v>-0.71</v>
      </c>
      <c r="K619">
        <v>1944</v>
      </c>
      <c r="L619">
        <v>1909.1503067484662</v>
      </c>
    </row>
    <row r="620" spans="1:12">
      <c r="A620" s="14">
        <v>42948</v>
      </c>
      <c r="B620">
        <v>1875</v>
      </c>
      <c r="C620">
        <v>1922</v>
      </c>
      <c r="D620">
        <v>2636</v>
      </c>
      <c r="E620">
        <v>2362</v>
      </c>
      <c r="F620">
        <v>0.81371718882303101</v>
      </c>
      <c r="G620">
        <v>0.84454927090138299</v>
      </c>
      <c r="H620">
        <v>7.9560195304376302E-2</v>
      </c>
      <c r="I620">
        <v>-0.38753150316432</v>
      </c>
      <c r="J620">
        <v>-3.79</v>
      </c>
      <c r="K620">
        <v>1922</v>
      </c>
      <c r="L620">
        <v>1945.3895705521472</v>
      </c>
    </row>
    <row r="621" spans="1:12">
      <c r="A621" s="14">
        <v>42947</v>
      </c>
      <c r="B621">
        <v>1883</v>
      </c>
      <c r="C621">
        <v>1884</v>
      </c>
      <c r="D621">
        <v>2560</v>
      </c>
      <c r="E621">
        <v>2630</v>
      </c>
      <c r="F621">
        <v>0.716349809885931</v>
      </c>
      <c r="G621">
        <v>0.84482462211735199</v>
      </c>
      <c r="H621">
        <v>7.9488715726864501E-2</v>
      </c>
      <c r="I621">
        <v>-1.6162647874810201</v>
      </c>
      <c r="J621">
        <v>-17.93</v>
      </c>
      <c r="K621">
        <v>1884</v>
      </c>
      <c r="L621">
        <v>2166.1196319018404</v>
      </c>
    </row>
    <row r="622" spans="1:12">
      <c r="A622" s="14">
        <v>42944</v>
      </c>
      <c r="B622">
        <v>1893</v>
      </c>
      <c r="C622">
        <v>1894</v>
      </c>
      <c r="D622">
        <v>2620</v>
      </c>
      <c r="E622">
        <v>2560</v>
      </c>
      <c r="F622">
        <v>0.73984375000000002</v>
      </c>
      <c r="G622">
        <v>0.84617254757309901</v>
      </c>
      <c r="H622">
        <v>7.8144467576295895E-2</v>
      </c>
      <c r="I622">
        <v>-1.3606695505255699</v>
      </c>
      <c r="J622">
        <v>-14.37</v>
      </c>
      <c r="K622">
        <v>1894</v>
      </c>
      <c r="L622">
        <v>2108.4662576687115</v>
      </c>
    </row>
    <row r="623" spans="1:12">
      <c r="A623" s="14">
        <v>42943</v>
      </c>
      <c r="B623">
        <v>1894</v>
      </c>
      <c r="C623">
        <v>1896</v>
      </c>
      <c r="D623">
        <v>2612</v>
      </c>
      <c r="E623">
        <v>2620</v>
      </c>
      <c r="F623">
        <v>0.72366412213740405</v>
      </c>
      <c r="G623">
        <v>0.84714807264084901</v>
      </c>
      <c r="H623">
        <v>7.7262714394124202E-2</v>
      </c>
      <c r="I623">
        <v>-1.59823469149093</v>
      </c>
      <c r="J623">
        <v>-17.059999999999999</v>
      </c>
      <c r="K623">
        <v>1896</v>
      </c>
      <c r="L623">
        <v>2157.8834355828221</v>
      </c>
    </row>
    <row r="624" spans="1:12">
      <c r="A624" s="14">
        <v>42942</v>
      </c>
      <c r="B624">
        <v>1869</v>
      </c>
      <c r="C624">
        <v>1868</v>
      </c>
      <c r="D624">
        <v>2682</v>
      </c>
      <c r="E624">
        <v>2620</v>
      </c>
      <c r="F624">
        <v>0.71297709923664099</v>
      </c>
      <c r="G624">
        <v>0.84849020867000802</v>
      </c>
      <c r="H624">
        <v>7.59694732935383E-2</v>
      </c>
      <c r="I624">
        <v>-1.7837837167799999</v>
      </c>
      <c r="J624">
        <v>-19.010000000000002</v>
      </c>
      <c r="K624">
        <v>1868</v>
      </c>
      <c r="L624">
        <v>2157.8834355828221</v>
      </c>
    </row>
    <row r="625" spans="1:12">
      <c r="A625" s="14">
        <v>42941</v>
      </c>
      <c r="B625">
        <v>1886</v>
      </c>
      <c r="C625">
        <v>1865</v>
      </c>
      <c r="D625">
        <v>2654</v>
      </c>
      <c r="E625">
        <v>2644</v>
      </c>
      <c r="F625">
        <v>0.70537065052949999</v>
      </c>
      <c r="G625">
        <v>0.84992974612521199</v>
      </c>
      <c r="H625">
        <v>7.4394598711074705E-2</v>
      </c>
      <c r="I625">
        <v>-1.9431396647105199</v>
      </c>
      <c r="J625">
        <v>-20.49</v>
      </c>
      <c r="K625">
        <v>1865</v>
      </c>
      <c r="L625">
        <v>2177.6503067484664</v>
      </c>
    </row>
    <row r="626" spans="1:12">
      <c r="A626" s="14">
        <v>42940</v>
      </c>
      <c r="B626">
        <v>1892</v>
      </c>
      <c r="C626">
        <v>1886</v>
      </c>
      <c r="D626">
        <v>2668</v>
      </c>
      <c r="E626">
        <v>2654</v>
      </c>
      <c r="F626">
        <v>0.71062547098718898</v>
      </c>
      <c r="G626">
        <v>0.85164510746182698</v>
      </c>
      <c r="H626">
        <v>7.2500734648839202E-2</v>
      </c>
      <c r="I626">
        <v>-1.94507872448015</v>
      </c>
      <c r="J626">
        <v>-19.84</v>
      </c>
      <c r="K626">
        <v>1886</v>
      </c>
      <c r="L626">
        <v>2185.8865030674847</v>
      </c>
    </row>
    <row r="627" spans="1:12">
      <c r="A627" s="14">
        <v>42937</v>
      </c>
      <c r="B627">
        <v>1905</v>
      </c>
      <c r="C627">
        <v>1908</v>
      </c>
      <c r="D627">
        <v>2642</v>
      </c>
      <c r="E627">
        <v>2664</v>
      </c>
      <c r="F627">
        <v>0.71621621621621601</v>
      </c>
      <c r="G627">
        <v>0.85340660414263902</v>
      </c>
      <c r="H627">
        <v>7.0633969891578996E-2</v>
      </c>
      <c r="I627">
        <v>-1.9422720843385299</v>
      </c>
      <c r="J627">
        <v>-19.149999999999999</v>
      </c>
      <c r="K627">
        <v>1908</v>
      </c>
      <c r="L627">
        <v>2194.122699386503</v>
      </c>
    </row>
    <row r="628" spans="1:12">
      <c r="A628" s="14">
        <v>42936</v>
      </c>
      <c r="B628">
        <v>1927</v>
      </c>
      <c r="C628">
        <v>1920</v>
      </c>
      <c r="D628">
        <v>2600</v>
      </c>
      <c r="E628">
        <v>2640</v>
      </c>
      <c r="F628">
        <v>0.72727272727272696</v>
      </c>
      <c r="G628">
        <v>0.854833076207409</v>
      </c>
      <c r="H628">
        <v>6.8908185722718104E-2</v>
      </c>
      <c r="I628">
        <v>-1.8511639451367301</v>
      </c>
      <c r="J628">
        <v>-17.54</v>
      </c>
      <c r="K628">
        <v>1920</v>
      </c>
      <c r="L628">
        <v>2174.3558282208587</v>
      </c>
    </row>
    <row r="629" spans="1:12">
      <c r="A629" s="14">
        <v>42935</v>
      </c>
      <c r="B629">
        <v>1897</v>
      </c>
      <c r="C629">
        <v>1917</v>
      </c>
      <c r="D629">
        <v>2558</v>
      </c>
      <c r="E629">
        <v>2570</v>
      </c>
      <c r="F629">
        <v>0.74591439688715899</v>
      </c>
      <c r="G629">
        <v>0.85611770160246303</v>
      </c>
      <c r="H629">
        <v>6.7399725150221398E-2</v>
      </c>
      <c r="I629">
        <v>-1.63507053581719</v>
      </c>
      <c r="J629">
        <v>-14.77</v>
      </c>
      <c r="K629">
        <v>1917</v>
      </c>
      <c r="L629">
        <v>2116.7024539877298</v>
      </c>
    </row>
    <row r="630" spans="1:12">
      <c r="A630" s="14">
        <v>42934</v>
      </c>
      <c r="B630">
        <v>1892</v>
      </c>
      <c r="C630">
        <v>1897</v>
      </c>
      <c r="D630">
        <v>2542</v>
      </c>
      <c r="E630">
        <v>2550</v>
      </c>
      <c r="F630">
        <v>0.74392156862745096</v>
      </c>
      <c r="G630">
        <v>0.85704936929309095</v>
      </c>
      <c r="H630">
        <v>6.6344627365479497E-2</v>
      </c>
      <c r="I630">
        <v>-1.7051539085816401</v>
      </c>
      <c r="J630">
        <v>-15.21</v>
      </c>
      <c r="K630">
        <v>1897</v>
      </c>
      <c r="L630">
        <v>2100.2300613496932</v>
      </c>
    </row>
    <row r="631" spans="1:12">
      <c r="A631" s="14">
        <v>42930</v>
      </c>
      <c r="B631">
        <v>1888</v>
      </c>
      <c r="C631">
        <v>1890</v>
      </c>
      <c r="D631">
        <v>2534</v>
      </c>
      <c r="E631">
        <v>2560</v>
      </c>
      <c r="F631">
        <v>0.73828125</v>
      </c>
      <c r="G631">
        <v>0.85810446290451603</v>
      </c>
      <c r="H631">
        <v>6.5155715082308302E-2</v>
      </c>
      <c r="I631">
        <v>-1.8390284375384101</v>
      </c>
      <c r="J631">
        <v>-16.23</v>
      </c>
      <c r="K631">
        <v>1890</v>
      </c>
      <c r="L631">
        <v>2108.4662576687115</v>
      </c>
    </row>
    <row r="632" spans="1:12">
      <c r="A632" s="14">
        <v>42929</v>
      </c>
      <c r="B632">
        <v>1892</v>
      </c>
      <c r="C632">
        <v>1884</v>
      </c>
      <c r="D632">
        <v>2482</v>
      </c>
      <c r="E632">
        <v>2506</v>
      </c>
      <c r="F632">
        <v>0.75179569034317595</v>
      </c>
      <c r="G632">
        <v>0.859437183492751</v>
      </c>
      <c r="H632">
        <v>6.3697096877494405E-2</v>
      </c>
      <c r="I632">
        <v>-1.68989637560086</v>
      </c>
      <c r="J632">
        <v>-14.32</v>
      </c>
      <c r="K632">
        <v>1884</v>
      </c>
      <c r="L632">
        <v>2063.9907975460123</v>
      </c>
    </row>
    <row r="633" spans="1:12">
      <c r="A633" s="14">
        <v>42928</v>
      </c>
      <c r="B633">
        <v>1903</v>
      </c>
      <c r="C633">
        <v>1885</v>
      </c>
      <c r="D633">
        <v>2474</v>
      </c>
      <c r="E633">
        <v>2452</v>
      </c>
      <c r="F633">
        <v>0.76876019575856402</v>
      </c>
      <c r="G633">
        <v>0.86077513576501297</v>
      </c>
      <c r="H633">
        <v>6.24639927866735E-2</v>
      </c>
      <c r="I633">
        <v>-1.4730877086371501</v>
      </c>
      <c r="J633">
        <v>-11.97</v>
      </c>
      <c r="K633">
        <v>1885</v>
      </c>
      <c r="L633">
        <v>2019.5153374233128</v>
      </c>
    </row>
    <row r="634" spans="1:12">
      <c r="A634" s="14">
        <v>42927</v>
      </c>
      <c r="B634">
        <v>1862</v>
      </c>
      <c r="C634">
        <v>1904</v>
      </c>
      <c r="D634">
        <v>2450</v>
      </c>
      <c r="E634">
        <v>2474</v>
      </c>
      <c r="F634">
        <v>0.76960388035569904</v>
      </c>
      <c r="G634">
        <v>0.86182186944660799</v>
      </c>
      <c r="H634">
        <v>6.15645866114434E-2</v>
      </c>
      <c r="I634">
        <v>-1.4979064128689801</v>
      </c>
      <c r="J634">
        <v>-11.98</v>
      </c>
      <c r="K634">
        <v>1904</v>
      </c>
      <c r="L634">
        <v>2037.6349693251532</v>
      </c>
    </row>
    <row r="635" spans="1:12">
      <c r="A635" s="14">
        <v>42926</v>
      </c>
      <c r="B635">
        <v>1886</v>
      </c>
      <c r="C635">
        <v>1856</v>
      </c>
      <c r="D635">
        <v>2394</v>
      </c>
      <c r="E635">
        <v>2438</v>
      </c>
      <c r="F635">
        <v>0.76127973748974498</v>
      </c>
      <c r="G635">
        <v>0.86288754811605595</v>
      </c>
      <c r="H635">
        <v>6.06439485255785E-2</v>
      </c>
      <c r="I635">
        <v>-1.67548144698154</v>
      </c>
      <c r="J635">
        <v>-13.35</v>
      </c>
      <c r="K635">
        <v>1856</v>
      </c>
      <c r="L635">
        <v>2007.984662576687</v>
      </c>
    </row>
    <row r="636" spans="1:12">
      <c r="A636" s="14">
        <v>42923</v>
      </c>
      <c r="B636">
        <v>1883</v>
      </c>
      <c r="C636">
        <v>1878</v>
      </c>
      <c r="D636">
        <v>2332</v>
      </c>
      <c r="E636">
        <v>2356</v>
      </c>
      <c r="F636">
        <v>0.797113752122241</v>
      </c>
      <c r="G636">
        <v>0.86421668991629697</v>
      </c>
      <c r="H636">
        <v>5.9483744355623397E-2</v>
      </c>
      <c r="I636">
        <v>-1.1280886655836899</v>
      </c>
      <c r="J636">
        <v>-8.42</v>
      </c>
      <c r="K636">
        <v>1878</v>
      </c>
      <c r="L636">
        <v>1940.4478527607362</v>
      </c>
    </row>
    <row r="637" spans="1:12">
      <c r="A637" s="14">
        <v>42922</v>
      </c>
      <c r="B637">
        <v>1896</v>
      </c>
      <c r="C637">
        <v>1903</v>
      </c>
      <c r="D637">
        <v>2354</v>
      </c>
      <c r="E637">
        <v>2336</v>
      </c>
      <c r="F637">
        <v>0.81464041095890405</v>
      </c>
      <c r="G637">
        <v>0.86468183988800096</v>
      </c>
      <c r="H637">
        <v>5.90923087723767E-2</v>
      </c>
      <c r="I637">
        <v>-0.84683489219986596</v>
      </c>
      <c r="J637">
        <v>-6.14</v>
      </c>
      <c r="K637">
        <v>1903</v>
      </c>
      <c r="L637">
        <v>1923.9754601226994</v>
      </c>
    </row>
    <row r="638" spans="1:12">
      <c r="A638" s="14">
        <v>42921</v>
      </c>
      <c r="B638">
        <v>1872</v>
      </c>
      <c r="C638">
        <v>1896</v>
      </c>
      <c r="D638">
        <v>2326</v>
      </c>
      <c r="E638">
        <v>2370</v>
      </c>
      <c r="F638">
        <v>0.8</v>
      </c>
      <c r="G638">
        <v>0.86500254730637105</v>
      </c>
      <c r="H638">
        <v>5.8884758481713401E-2</v>
      </c>
      <c r="I638">
        <v>-1.10389426708029</v>
      </c>
      <c r="J638">
        <v>-8.1300000000000008</v>
      </c>
      <c r="K638">
        <v>1896</v>
      </c>
      <c r="L638">
        <v>1951.9785276073619</v>
      </c>
    </row>
    <row r="639" spans="1:12">
      <c r="A639" s="14">
        <v>42920</v>
      </c>
      <c r="B639">
        <v>1917</v>
      </c>
      <c r="C639">
        <v>1881</v>
      </c>
      <c r="D639">
        <v>2374</v>
      </c>
      <c r="E639">
        <v>2326</v>
      </c>
      <c r="F639">
        <v>0.80868443680137503</v>
      </c>
      <c r="G639">
        <v>0.865309331967138</v>
      </c>
      <c r="H639">
        <v>5.8604571987849498E-2</v>
      </c>
      <c r="I639">
        <v>-0.96621975462089804</v>
      </c>
      <c r="J639">
        <v>-7</v>
      </c>
      <c r="K639">
        <v>1881</v>
      </c>
      <c r="L639">
        <v>1915.7392638036808</v>
      </c>
    </row>
    <row r="640" spans="1:12">
      <c r="A640" s="14">
        <v>42919</v>
      </c>
      <c r="B640">
        <v>1896</v>
      </c>
      <c r="C640">
        <v>1892</v>
      </c>
      <c r="D640">
        <v>2310</v>
      </c>
      <c r="E640">
        <v>2348</v>
      </c>
      <c r="F640">
        <v>0.80579216354344096</v>
      </c>
      <c r="G640">
        <v>0.86558943487532802</v>
      </c>
      <c r="H640">
        <v>5.8383046576505102E-2</v>
      </c>
      <c r="I640">
        <v>-1.0242232092757999</v>
      </c>
      <c r="J640">
        <v>-7.42</v>
      </c>
      <c r="K640">
        <v>1892</v>
      </c>
      <c r="L640">
        <v>1933.8588957055215</v>
      </c>
    </row>
    <row r="641" spans="1:12">
      <c r="A641" s="14">
        <v>42916</v>
      </c>
      <c r="B641">
        <v>1891</v>
      </c>
      <c r="C641">
        <v>1889</v>
      </c>
      <c r="D641">
        <v>2272</v>
      </c>
      <c r="E641">
        <v>2302</v>
      </c>
      <c r="F641">
        <v>0.82059079061685403</v>
      </c>
      <c r="G641">
        <v>0.86566510528302199</v>
      </c>
      <c r="H641">
        <v>5.8309125225280402E-2</v>
      </c>
      <c r="I641">
        <v>-0.773023338834536</v>
      </c>
      <c r="J641">
        <v>-5.49</v>
      </c>
      <c r="K641">
        <v>1889</v>
      </c>
      <c r="L641">
        <v>1895.9723926380368</v>
      </c>
    </row>
    <row r="642" spans="1:12">
      <c r="A642" s="14">
        <v>42915</v>
      </c>
      <c r="B642">
        <v>1912</v>
      </c>
      <c r="C642">
        <v>1915</v>
      </c>
      <c r="D642">
        <v>2320</v>
      </c>
      <c r="E642">
        <v>2306</v>
      </c>
      <c r="F642">
        <v>0.83044232437120502</v>
      </c>
      <c r="G642">
        <v>0.86557190517851501</v>
      </c>
      <c r="H642">
        <v>5.8386631427184199E-2</v>
      </c>
      <c r="I642">
        <v>-0.601671648947949</v>
      </c>
      <c r="J642">
        <v>-4.2300000000000004</v>
      </c>
      <c r="K642">
        <v>1915</v>
      </c>
      <c r="L642">
        <v>1899.266871165644</v>
      </c>
    </row>
    <row r="643" spans="1:12">
      <c r="A643" s="14">
        <v>42914</v>
      </c>
      <c r="B643">
        <v>1920</v>
      </c>
      <c r="C643">
        <v>1910</v>
      </c>
      <c r="D643">
        <v>2298</v>
      </c>
      <c r="E643">
        <v>2308</v>
      </c>
      <c r="F643">
        <v>0.82755632582322303</v>
      </c>
      <c r="G643">
        <v>0.865228814193441</v>
      </c>
      <c r="H643">
        <v>5.8666981000913401E-2</v>
      </c>
      <c r="I643">
        <v>-0.64214124755510604</v>
      </c>
      <c r="J643">
        <v>-4.55</v>
      </c>
      <c r="K643">
        <v>1910</v>
      </c>
      <c r="L643">
        <v>1900.9141104294479</v>
      </c>
    </row>
    <row r="644" spans="1:12">
      <c r="A644" s="14">
        <v>42913</v>
      </c>
      <c r="B644">
        <v>1944</v>
      </c>
      <c r="C644">
        <v>1935</v>
      </c>
      <c r="D644">
        <v>2282</v>
      </c>
      <c r="E644">
        <v>2298</v>
      </c>
      <c r="F644">
        <v>0.842036553524804</v>
      </c>
      <c r="G644">
        <v>0.86463231028671195</v>
      </c>
      <c r="H644">
        <v>5.9271314175869498E-2</v>
      </c>
      <c r="I644">
        <v>-0.38122584383505598</v>
      </c>
      <c r="J644">
        <v>-2.68</v>
      </c>
      <c r="K644">
        <v>1935</v>
      </c>
      <c r="L644">
        <v>1892.6779141104294</v>
      </c>
    </row>
    <row r="645" spans="1:12">
      <c r="A645" s="14">
        <v>42912</v>
      </c>
      <c r="B645">
        <v>1952</v>
      </c>
      <c r="C645">
        <v>1944</v>
      </c>
      <c r="D645">
        <v>2256</v>
      </c>
      <c r="E645">
        <v>2262</v>
      </c>
      <c r="F645">
        <v>0.85941644562334196</v>
      </c>
      <c r="G645">
        <v>0.863838522156952</v>
      </c>
      <c r="H645">
        <v>5.9963226573975702E-2</v>
      </c>
      <c r="I645">
        <v>-7.3746474068645901E-2</v>
      </c>
      <c r="J645">
        <v>-0.51</v>
      </c>
      <c r="K645">
        <v>1944</v>
      </c>
      <c r="L645">
        <v>1863.0276073619632</v>
      </c>
    </row>
    <row r="646" spans="1:12">
      <c r="A646" s="14">
        <v>42909</v>
      </c>
      <c r="B646">
        <v>1947</v>
      </c>
      <c r="C646">
        <v>1940</v>
      </c>
      <c r="D646">
        <v>2274</v>
      </c>
      <c r="E646">
        <v>2256</v>
      </c>
      <c r="F646">
        <v>0.85992907801418395</v>
      </c>
      <c r="G646">
        <v>0.86279507618913798</v>
      </c>
      <c r="H646">
        <v>6.0707385210631203E-2</v>
      </c>
      <c r="I646">
        <v>-4.72100414967618E-2</v>
      </c>
      <c r="J646">
        <v>-0.33</v>
      </c>
      <c r="K646">
        <v>1940</v>
      </c>
      <c r="L646">
        <v>1858.0858895705521</v>
      </c>
    </row>
    <row r="647" spans="1:12">
      <c r="A647" s="14">
        <v>42908</v>
      </c>
      <c r="B647">
        <v>1953</v>
      </c>
      <c r="C647">
        <v>1943</v>
      </c>
      <c r="D647">
        <v>2242</v>
      </c>
      <c r="E647">
        <v>2252</v>
      </c>
      <c r="F647">
        <v>0.86278863232682002</v>
      </c>
      <c r="G647">
        <v>0.86169167398952795</v>
      </c>
      <c r="H647">
        <v>6.1496390553724502E-2</v>
      </c>
      <c r="I647">
        <v>1.7837767833437299E-2</v>
      </c>
      <c r="J647">
        <v>0.13</v>
      </c>
      <c r="K647">
        <v>1943</v>
      </c>
      <c r="L647">
        <v>1854.7914110429447</v>
      </c>
    </row>
    <row r="648" spans="1:12">
      <c r="A648" s="14">
        <v>42907</v>
      </c>
      <c r="B648">
        <v>1926</v>
      </c>
      <c r="C648">
        <v>1940</v>
      </c>
      <c r="D648">
        <v>2230</v>
      </c>
      <c r="E648">
        <v>2238</v>
      </c>
      <c r="F648">
        <v>0.86684539767649604</v>
      </c>
      <c r="G648">
        <v>0.86065825566603105</v>
      </c>
      <c r="H648">
        <v>6.2117367711161497E-2</v>
      </c>
      <c r="I648">
        <v>9.9604059837741898E-2</v>
      </c>
      <c r="J648">
        <v>0.71</v>
      </c>
      <c r="K648">
        <v>1940</v>
      </c>
      <c r="L648">
        <v>1843.2607361963189</v>
      </c>
    </row>
    <row r="649" spans="1:12">
      <c r="A649" s="14">
        <v>42906</v>
      </c>
      <c r="B649">
        <v>1930</v>
      </c>
      <c r="C649">
        <v>1934</v>
      </c>
      <c r="D649">
        <v>2192</v>
      </c>
      <c r="E649">
        <v>2230</v>
      </c>
      <c r="F649">
        <v>0.86726457399103096</v>
      </c>
      <c r="G649">
        <v>0.85960333513899601</v>
      </c>
      <c r="H649">
        <v>6.2672680864162694E-2</v>
      </c>
      <c r="I649">
        <v>0.12224207974508</v>
      </c>
      <c r="J649">
        <v>0.88</v>
      </c>
      <c r="K649">
        <v>1934</v>
      </c>
      <c r="L649">
        <v>1836.6717791411043</v>
      </c>
    </row>
    <row r="650" spans="1:12">
      <c r="A650" s="14">
        <v>42905</v>
      </c>
      <c r="B650">
        <v>1916</v>
      </c>
      <c r="C650">
        <v>1927</v>
      </c>
      <c r="D650">
        <v>2180</v>
      </c>
      <c r="E650">
        <v>2178</v>
      </c>
      <c r="F650">
        <v>0.88475665748392995</v>
      </c>
      <c r="G650">
        <v>0.85850145039141701</v>
      </c>
      <c r="H650">
        <v>6.32521021152503E-2</v>
      </c>
      <c r="I650">
        <v>0.41508829294991201</v>
      </c>
      <c r="J650">
        <v>2.97</v>
      </c>
      <c r="K650">
        <v>1927</v>
      </c>
      <c r="L650">
        <v>1793.8435582822085</v>
      </c>
    </row>
    <row r="651" spans="1:12">
      <c r="A651" s="14">
        <v>42902</v>
      </c>
      <c r="B651">
        <v>1912</v>
      </c>
      <c r="C651">
        <v>1907</v>
      </c>
      <c r="D651">
        <v>2144</v>
      </c>
      <c r="E651">
        <v>2168</v>
      </c>
      <c r="F651">
        <v>0.87961254612546103</v>
      </c>
      <c r="G651">
        <v>0.85733587885457896</v>
      </c>
      <c r="H651">
        <v>6.3562229322062194E-2</v>
      </c>
      <c r="I651">
        <v>0.35047020075411001</v>
      </c>
      <c r="J651">
        <v>2.5299999999999998</v>
      </c>
      <c r="K651">
        <v>1907</v>
      </c>
      <c r="L651">
        <v>1785.6073619631902</v>
      </c>
    </row>
    <row r="652" spans="1:12">
      <c r="A652" s="14">
        <v>42901</v>
      </c>
      <c r="B652">
        <v>1907</v>
      </c>
      <c r="C652">
        <v>1911</v>
      </c>
      <c r="D652">
        <v>2134</v>
      </c>
      <c r="E652">
        <v>2118</v>
      </c>
      <c r="F652">
        <v>0.90226628895184102</v>
      </c>
      <c r="G652">
        <v>0.85655071675425298</v>
      </c>
      <c r="H652">
        <v>6.3645855257238898E-2</v>
      </c>
      <c r="I652">
        <v>0.71828042867548803</v>
      </c>
      <c r="J652">
        <v>5.07</v>
      </c>
      <c r="K652">
        <v>1911</v>
      </c>
      <c r="L652">
        <v>1744.4263803680981</v>
      </c>
    </row>
    <row r="653" spans="1:12">
      <c r="A653" s="14">
        <v>42900</v>
      </c>
      <c r="B653">
        <v>1944</v>
      </c>
      <c r="C653">
        <v>1916</v>
      </c>
      <c r="D653">
        <v>2196</v>
      </c>
      <c r="E653">
        <v>2154</v>
      </c>
      <c r="F653">
        <v>0.88950789229340699</v>
      </c>
      <c r="G653">
        <v>0.85525484812998898</v>
      </c>
      <c r="H653">
        <v>6.3691275120563107E-2</v>
      </c>
      <c r="I653">
        <v>0.537798059445034</v>
      </c>
      <c r="J653">
        <v>3.85</v>
      </c>
      <c r="K653">
        <v>1916</v>
      </c>
      <c r="L653">
        <v>1774.0766871165642</v>
      </c>
    </row>
    <row r="654" spans="1:12">
      <c r="A654" s="14">
        <v>42899</v>
      </c>
      <c r="B654">
        <v>1894</v>
      </c>
      <c r="C654">
        <v>1937</v>
      </c>
      <c r="D654">
        <v>2142</v>
      </c>
      <c r="E654">
        <v>2136</v>
      </c>
      <c r="F654">
        <v>0.906835205992509</v>
      </c>
      <c r="G654">
        <v>0.85393429933767495</v>
      </c>
      <c r="H654">
        <v>6.3993419416610894E-2</v>
      </c>
      <c r="I654">
        <v>0.82666166516962103</v>
      </c>
      <c r="J654">
        <v>5.83</v>
      </c>
      <c r="K654">
        <v>1937</v>
      </c>
      <c r="L654">
        <v>1759.2515337423313</v>
      </c>
    </row>
    <row r="655" spans="1:12">
      <c r="A655" s="14">
        <v>42898</v>
      </c>
      <c r="B655">
        <v>1846</v>
      </c>
      <c r="C655">
        <v>1891</v>
      </c>
      <c r="D655">
        <v>2186</v>
      </c>
      <c r="E655">
        <v>2162</v>
      </c>
      <c r="F655">
        <v>0.87465309898242305</v>
      </c>
      <c r="G655">
        <v>0.85230145537778801</v>
      </c>
      <c r="H655">
        <v>6.4184867003255597E-2</v>
      </c>
      <c r="I655">
        <v>0.34823852799291699</v>
      </c>
      <c r="J655">
        <v>2.56</v>
      </c>
      <c r="K655">
        <v>1891</v>
      </c>
      <c r="L655">
        <v>1780.6656441717791</v>
      </c>
    </row>
    <row r="656" spans="1:12">
      <c r="A656" s="14">
        <v>42895</v>
      </c>
      <c r="B656">
        <v>1841</v>
      </c>
      <c r="C656">
        <v>1833</v>
      </c>
      <c r="D656">
        <v>2160</v>
      </c>
      <c r="E656">
        <v>2162</v>
      </c>
      <c r="F656">
        <v>0.84782608695652095</v>
      </c>
      <c r="G656">
        <v>0.85103678680022299</v>
      </c>
      <c r="H656">
        <v>6.4664649684338105E-2</v>
      </c>
      <c r="I656">
        <v>-4.9651546237005899E-2</v>
      </c>
      <c r="J656">
        <v>-0.38</v>
      </c>
      <c r="K656">
        <v>1833</v>
      </c>
      <c r="L656">
        <v>1780.6656441717791</v>
      </c>
    </row>
    <row r="657" spans="1:12">
      <c r="A657" s="14">
        <v>42894</v>
      </c>
      <c r="B657">
        <v>1840</v>
      </c>
      <c r="C657">
        <v>1841</v>
      </c>
      <c r="D657">
        <v>2150</v>
      </c>
      <c r="E657">
        <v>2156</v>
      </c>
      <c r="F657">
        <v>0.85389610389610304</v>
      </c>
      <c r="G657">
        <v>0.85030348811092205</v>
      </c>
      <c r="H657">
        <v>6.5007826593299095E-2</v>
      </c>
      <c r="I657">
        <v>5.5264357746603002E-2</v>
      </c>
      <c r="J657">
        <v>0.42</v>
      </c>
      <c r="K657">
        <v>1841</v>
      </c>
      <c r="L657">
        <v>1775.7239263803681</v>
      </c>
    </row>
    <row r="658" spans="1:12">
      <c r="A658" s="14">
        <v>42893</v>
      </c>
      <c r="B658">
        <v>1848</v>
      </c>
      <c r="C658">
        <v>1832</v>
      </c>
      <c r="D658">
        <v>2084</v>
      </c>
      <c r="E658">
        <v>2120</v>
      </c>
      <c r="F658">
        <v>0.864150943396226</v>
      </c>
      <c r="G658">
        <v>0.84960231135340802</v>
      </c>
      <c r="H658">
        <v>6.5248459104875298E-2</v>
      </c>
      <c r="I658">
        <v>0.22297280644488501</v>
      </c>
      <c r="J658">
        <v>1.68</v>
      </c>
      <c r="K658">
        <v>1832</v>
      </c>
      <c r="L658">
        <v>1746.0736196319017</v>
      </c>
    </row>
    <row r="659" spans="1:12">
      <c r="A659" s="14">
        <v>42892</v>
      </c>
      <c r="B659">
        <v>1853</v>
      </c>
      <c r="C659">
        <v>1831</v>
      </c>
      <c r="D659">
        <v>2032</v>
      </c>
      <c r="E659">
        <v>2072</v>
      </c>
      <c r="F659">
        <v>0.88368725868725795</v>
      </c>
      <c r="G659">
        <v>0.848738941369241</v>
      </c>
      <c r="H659">
        <v>6.54782397679953E-2</v>
      </c>
      <c r="I659">
        <v>0.53373941391593904</v>
      </c>
      <c r="J659">
        <v>3.95</v>
      </c>
      <c r="K659">
        <v>1831</v>
      </c>
      <c r="L659">
        <v>1706.5398773006134</v>
      </c>
    </row>
    <row r="660" spans="1:12">
      <c r="A660" s="14">
        <v>42891</v>
      </c>
      <c r="B660">
        <v>1850</v>
      </c>
      <c r="C660">
        <v>1858</v>
      </c>
      <c r="D660">
        <v>2060</v>
      </c>
      <c r="E660">
        <v>2046</v>
      </c>
      <c r="F660">
        <v>0.90811339198435903</v>
      </c>
      <c r="G660">
        <v>0.84765145133438302</v>
      </c>
      <c r="H660">
        <v>6.5566019767071895E-2</v>
      </c>
      <c r="I660">
        <v>0.92215359213159398</v>
      </c>
      <c r="J660">
        <v>6.66</v>
      </c>
      <c r="K660">
        <v>1858</v>
      </c>
      <c r="L660">
        <v>1685.1257668711655</v>
      </c>
    </row>
    <row r="661" spans="1:12">
      <c r="A661" s="14">
        <v>42888</v>
      </c>
      <c r="B661">
        <v>1839</v>
      </c>
      <c r="C661">
        <v>1845</v>
      </c>
      <c r="D661">
        <v>1980</v>
      </c>
      <c r="E661">
        <v>2042</v>
      </c>
      <c r="F661">
        <v>0.90352595494613097</v>
      </c>
      <c r="G661">
        <v>0.84651666213033405</v>
      </c>
      <c r="H661">
        <v>6.5245483191325407E-2</v>
      </c>
      <c r="I661">
        <v>0.87376612184208102</v>
      </c>
      <c r="J661">
        <v>6.31</v>
      </c>
      <c r="K661">
        <v>1845</v>
      </c>
      <c r="L661">
        <v>1681.8312883435583</v>
      </c>
    </row>
    <row r="662" spans="1:12">
      <c r="A662" s="14">
        <v>42887</v>
      </c>
      <c r="B662">
        <v>1839</v>
      </c>
      <c r="C662">
        <v>1840</v>
      </c>
      <c r="D662">
        <v>1924</v>
      </c>
      <c r="E662">
        <v>1952</v>
      </c>
      <c r="F662">
        <v>0.94262295081967196</v>
      </c>
      <c r="G662">
        <v>0.84551263741745097</v>
      </c>
      <c r="H662">
        <v>6.4939144245588401E-2</v>
      </c>
      <c r="I662">
        <v>1.49540488299271</v>
      </c>
      <c r="J662">
        <v>10.3</v>
      </c>
      <c r="K662">
        <v>1840</v>
      </c>
      <c r="L662">
        <v>1607.7055214723925</v>
      </c>
    </row>
    <row r="663" spans="1:12">
      <c r="A663" s="14">
        <v>42886</v>
      </c>
      <c r="B663">
        <v>1854</v>
      </c>
      <c r="C663">
        <v>1840</v>
      </c>
      <c r="D663">
        <v>1874</v>
      </c>
      <c r="E663">
        <v>1882</v>
      </c>
      <c r="F663">
        <v>0.97768331562167898</v>
      </c>
      <c r="G663">
        <v>0.84407923504677895</v>
      </c>
      <c r="H663">
        <v>6.3958890568995994E-2</v>
      </c>
      <c r="I663">
        <v>2.08890553582654</v>
      </c>
      <c r="J663">
        <v>13.67</v>
      </c>
      <c r="K663">
        <v>1840</v>
      </c>
      <c r="L663">
        <v>1550.0521472392638</v>
      </c>
    </row>
    <row r="664" spans="1:12">
      <c r="A664" s="14">
        <v>42885</v>
      </c>
      <c r="B664">
        <v>1859</v>
      </c>
      <c r="C664">
        <v>1857</v>
      </c>
      <c r="D664">
        <v>1878</v>
      </c>
      <c r="E664">
        <v>1878</v>
      </c>
      <c r="F664">
        <v>0.98881789137380105</v>
      </c>
      <c r="G664">
        <v>0.84236504340824003</v>
      </c>
      <c r="H664">
        <v>6.2049489983992401E-2</v>
      </c>
      <c r="I664">
        <v>2.3602586903348102</v>
      </c>
      <c r="J664">
        <v>14.81</v>
      </c>
      <c r="K664">
        <v>1857</v>
      </c>
      <c r="L664">
        <v>1546.7576687116564</v>
      </c>
    </row>
    <row r="665" spans="1:12">
      <c r="A665" s="14">
        <v>42884</v>
      </c>
      <c r="B665">
        <v>1872</v>
      </c>
      <c r="C665">
        <v>1862</v>
      </c>
      <c r="D665">
        <v>1890</v>
      </c>
      <c r="E665">
        <v>1878</v>
      </c>
      <c r="F665">
        <v>0.99148029818956296</v>
      </c>
      <c r="G665">
        <v>0.84062928303774098</v>
      </c>
      <c r="H665">
        <v>5.9704916453368499E-2</v>
      </c>
      <c r="I665">
        <v>2.5266096012317698</v>
      </c>
      <c r="J665">
        <v>15.21</v>
      </c>
      <c r="K665">
        <v>1862</v>
      </c>
      <c r="L665">
        <v>1546.7576687116564</v>
      </c>
    </row>
    <row r="666" spans="1:12">
      <c r="A666" s="14">
        <v>42881</v>
      </c>
      <c r="B666">
        <v>1879</v>
      </c>
      <c r="C666">
        <v>1873</v>
      </c>
      <c r="D666">
        <v>1866</v>
      </c>
      <c r="E666">
        <v>1882</v>
      </c>
      <c r="F666">
        <v>0.99521785334750201</v>
      </c>
      <c r="G666">
        <v>0.83908550262189496</v>
      </c>
      <c r="H666">
        <v>5.72300310401265E-2</v>
      </c>
      <c r="I666">
        <v>2.7281542205723399</v>
      </c>
      <c r="J666">
        <v>15.69</v>
      </c>
      <c r="K666">
        <v>1873</v>
      </c>
      <c r="L666">
        <v>1550.0521472392638</v>
      </c>
    </row>
    <row r="667" spans="1:12">
      <c r="A667" s="14">
        <v>42880</v>
      </c>
      <c r="B667">
        <v>1861</v>
      </c>
      <c r="C667">
        <v>1877</v>
      </c>
      <c r="D667">
        <v>1942</v>
      </c>
      <c r="E667">
        <v>1880</v>
      </c>
      <c r="F667">
        <v>0.998404255319148</v>
      </c>
      <c r="G667">
        <v>0.83777715421186305</v>
      </c>
      <c r="H667">
        <v>5.4711944023142202E-2</v>
      </c>
      <c r="I667">
        <v>2.9358690131599601</v>
      </c>
      <c r="J667">
        <v>16.09</v>
      </c>
      <c r="K667">
        <v>1877</v>
      </c>
      <c r="L667">
        <v>1548.40490797546</v>
      </c>
    </row>
    <row r="668" spans="1:12">
      <c r="A668" s="14">
        <v>42879</v>
      </c>
      <c r="B668">
        <v>1890</v>
      </c>
      <c r="C668">
        <v>1867</v>
      </c>
      <c r="D668">
        <v>1938</v>
      </c>
      <c r="E668">
        <v>1944</v>
      </c>
      <c r="F668">
        <v>0.96039094650205703</v>
      </c>
      <c r="G668">
        <v>0.83705684059354002</v>
      </c>
      <c r="H668">
        <v>5.2918692996329397E-2</v>
      </c>
      <c r="I668">
        <v>2.33063401465852</v>
      </c>
      <c r="J668">
        <v>12.84</v>
      </c>
      <c r="K668">
        <v>1867</v>
      </c>
      <c r="L668">
        <v>1601.1165644171779</v>
      </c>
    </row>
    <row r="669" spans="1:12">
      <c r="A669" s="14">
        <v>42878</v>
      </c>
      <c r="B669">
        <v>1880</v>
      </c>
      <c r="C669">
        <v>1894</v>
      </c>
      <c r="D669">
        <v>1928</v>
      </c>
      <c r="E669">
        <v>1910</v>
      </c>
      <c r="F669">
        <v>0.99162303664921403</v>
      </c>
      <c r="G669">
        <v>0.83636814714755403</v>
      </c>
      <c r="H669">
        <v>5.1629520515462102E-2</v>
      </c>
      <c r="I669">
        <v>3.0070953197243799</v>
      </c>
      <c r="J669">
        <v>15.66</v>
      </c>
      <c r="K669">
        <v>1894</v>
      </c>
      <c r="L669">
        <v>1573.1134969325153</v>
      </c>
    </row>
    <row r="670" spans="1:12">
      <c r="A670" s="14">
        <v>42877</v>
      </c>
      <c r="B670">
        <v>1898</v>
      </c>
      <c r="C670">
        <v>1884</v>
      </c>
      <c r="D670">
        <v>1972</v>
      </c>
      <c r="E670">
        <v>1936</v>
      </c>
      <c r="F670">
        <v>0.97314049586776796</v>
      </c>
      <c r="G670">
        <v>0.83600970511747197</v>
      </c>
      <c r="H670">
        <v>5.06341308219172E-2</v>
      </c>
      <c r="I670">
        <v>2.70826789211791</v>
      </c>
      <c r="J670">
        <v>14.09</v>
      </c>
      <c r="K670">
        <v>1884</v>
      </c>
      <c r="L670">
        <v>1594.5276073619632</v>
      </c>
    </row>
    <row r="671" spans="1:12">
      <c r="A671" s="14">
        <v>42874</v>
      </c>
      <c r="B671">
        <v>1885</v>
      </c>
      <c r="C671">
        <v>1882</v>
      </c>
      <c r="D671">
        <v>1918</v>
      </c>
      <c r="E671">
        <v>1948</v>
      </c>
      <c r="F671">
        <v>0.96611909650923999</v>
      </c>
      <c r="G671">
        <v>0.83606373827198299</v>
      </c>
      <c r="H671">
        <v>5.0782383476487697E-2</v>
      </c>
      <c r="I671">
        <v>2.56103296721927</v>
      </c>
      <c r="J671">
        <v>13.46</v>
      </c>
      <c r="K671">
        <v>1882</v>
      </c>
      <c r="L671">
        <v>1604.4110429447851</v>
      </c>
    </row>
    <row r="672" spans="1:12">
      <c r="A672" s="14">
        <v>42873</v>
      </c>
      <c r="B672">
        <v>1865</v>
      </c>
      <c r="C672">
        <v>1880</v>
      </c>
      <c r="D672">
        <v>1922</v>
      </c>
      <c r="E672">
        <v>1914</v>
      </c>
      <c r="F672">
        <v>0.98223615464994696</v>
      </c>
      <c r="G672">
        <v>0.83594470739615201</v>
      </c>
      <c r="H672">
        <v>5.0487005486696698E-2</v>
      </c>
      <c r="I672">
        <v>2.8976059452039</v>
      </c>
      <c r="J672">
        <v>14.89</v>
      </c>
      <c r="K672">
        <v>1880</v>
      </c>
      <c r="L672">
        <v>1576.4079754601225</v>
      </c>
    </row>
    <row r="673" spans="1:12">
      <c r="A673" s="14">
        <v>42872</v>
      </c>
      <c r="B673">
        <v>1862</v>
      </c>
      <c r="C673">
        <v>1895</v>
      </c>
      <c r="D673">
        <v>1966</v>
      </c>
      <c r="E673">
        <v>1952</v>
      </c>
      <c r="F673">
        <v>0.97079918032786805</v>
      </c>
      <c r="G673">
        <v>0.83563998734788303</v>
      </c>
      <c r="H673">
        <v>4.96654111837916E-2</v>
      </c>
      <c r="I673">
        <v>2.7213948250587401</v>
      </c>
      <c r="J673">
        <v>13.92</v>
      </c>
      <c r="K673">
        <v>1895</v>
      </c>
      <c r="L673">
        <v>1607.7055214723925</v>
      </c>
    </row>
    <row r="674" spans="1:12">
      <c r="A674" s="14">
        <v>42871</v>
      </c>
      <c r="B674">
        <v>1850</v>
      </c>
      <c r="C674">
        <v>1862</v>
      </c>
      <c r="D674">
        <v>2008</v>
      </c>
      <c r="E674">
        <v>2006</v>
      </c>
      <c r="F674">
        <v>0.92821535393818499</v>
      </c>
      <c r="G674">
        <v>0.835483256524854</v>
      </c>
      <c r="H674">
        <v>4.9255493315054098E-2</v>
      </c>
      <c r="I674">
        <v>1.88267523421573</v>
      </c>
      <c r="J674">
        <v>9.99</v>
      </c>
      <c r="K674">
        <v>1862</v>
      </c>
      <c r="L674">
        <v>1652.1809815950919</v>
      </c>
    </row>
    <row r="675" spans="1:12">
      <c r="A675" s="14">
        <v>42870</v>
      </c>
      <c r="B675">
        <v>1829</v>
      </c>
      <c r="C675">
        <v>1844</v>
      </c>
      <c r="D675">
        <v>2020</v>
      </c>
      <c r="E675">
        <v>1968</v>
      </c>
      <c r="F675">
        <v>0.93699186991869898</v>
      </c>
      <c r="G675">
        <v>0.83627625852705401</v>
      </c>
      <c r="H675">
        <v>5.11831237863586E-2</v>
      </c>
      <c r="I675">
        <v>1.96775038217749</v>
      </c>
      <c r="J675">
        <v>10.75</v>
      </c>
      <c r="K675">
        <v>1844</v>
      </c>
      <c r="L675">
        <v>1620.8834355828221</v>
      </c>
    </row>
    <row r="676" spans="1:12">
      <c r="A676" s="14">
        <v>42867</v>
      </c>
      <c r="B676">
        <v>1824</v>
      </c>
      <c r="C676">
        <v>1829</v>
      </c>
      <c r="D676">
        <v>2112</v>
      </c>
      <c r="E676">
        <v>2040</v>
      </c>
      <c r="F676">
        <v>0.89656862745097998</v>
      </c>
      <c r="G676">
        <v>0.83714014814097903</v>
      </c>
      <c r="H676">
        <v>5.3375585162377497E-2</v>
      </c>
      <c r="I676">
        <v>1.1134019257907699</v>
      </c>
      <c r="J676">
        <v>6.63</v>
      </c>
      <c r="K676">
        <v>1829</v>
      </c>
      <c r="L676">
        <v>1680.1840490797545</v>
      </c>
    </row>
    <row r="677" spans="1:12">
      <c r="A677" s="14">
        <v>42866</v>
      </c>
      <c r="B677">
        <v>1830</v>
      </c>
      <c r="C677">
        <v>1826</v>
      </c>
      <c r="D677">
        <v>2118</v>
      </c>
      <c r="E677">
        <v>2110</v>
      </c>
      <c r="F677">
        <v>0.86540284360189501</v>
      </c>
      <c r="G677">
        <v>0.83878302207712496</v>
      </c>
      <c r="H677">
        <v>5.6955672797863802E-2</v>
      </c>
      <c r="I677">
        <v>0.46737787856961199</v>
      </c>
      <c r="J677">
        <v>3.08</v>
      </c>
      <c r="K677">
        <v>1826</v>
      </c>
      <c r="L677">
        <v>1737.8374233128834</v>
      </c>
    </row>
    <row r="678" spans="1:12">
      <c r="A678" s="14">
        <v>42865</v>
      </c>
      <c r="B678">
        <v>1828</v>
      </c>
      <c r="C678">
        <v>1835</v>
      </c>
      <c r="D678">
        <v>2042</v>
      </c>
      <c r="E678">
        <v>2116</v>
      </c>
      <c r="F678">
        <v>0.86720226843100101</v>
      </c>
      <c r="G678">
        <v>0.84082397581916701</v>
      </c>
      <c r="H678">
        <v>6.0504997592544803E-2</v>
      </c>
      <c r="I678">
        <v>0.43596882342632698</v>
      </c>
      <c r="J678">
        <v>3.04</v>
      </c>
      <c r="K678">
        <v>1835</v>
      </c>
      <c r="L678">
        <v>1742.7791411042945</v>
      </c>
    </row>
    <row r="679" spans="1:12">
      <c r="A679" s="14">
        <v>42864</v>
      </c>
      <c r="B679">
        <v>1730</v>
      </c>
      <c r="C679">
        <v>1748</v>
      </c>
      <c r="D679">
        <v>2126</v>
      </c>
      <c r="E679">
        <v>2088</v>
      </c>
      <c r="F679">
        <v>0.83716475095785403</v>
      </c>
      <c r="G679">
        <v>0.84291628493811699</v>
      </c>
      <c r="H679">
        <v>6.39936861671975E-2</v>
      </c>
      <c r="I679">
        <v>-8.9876585093654204E-2</v>
      </c>
      <c r="J679">
        <v>-0.69</v>
      </c>
      <c r="K679">
        <v>1748</v>
      </c>
      <c r="L679">
        <v>1719.717791411043</v>
      </c>
    </row>
    <row r="680" spans="1:12">
      <c r="A680" s="14">
        <v>42863</v>
      </c>
      <c r="B680">
        <v>1706</v>
      </c>
      <c r="C680">
        <v>1730</v>
      </c>
      <c r="D680">
        <v>2126</v>
      </c>
      <c r="E680">
        <v>2124</v>
      </c>
      <c r="F680">
        <v>0.81450094161958497</v>
      </c>
      <c r="G680">
        <v>0.84533884089452604</v>
      </c>
      <c r="H680">
        <v>6.7094072526894699E-2</v>
      </c>
      <c r="I680">
        <v>-0.45962181327686502</v>
      </c>
      <c r="J680">
        <v>-3.79</v>
      </c>
      <c r="K680">
        <v>1730</v>
      </c>
      <c r="L680">
        <v>1749.3680981595091</v>
      </c>
    </row>
    <row r="681" spans="1:12">
      <c r="A681" s="14">
        <v>42857</v>
      </c>
      <c r="B681">
        <v>1698</v>
      </c>
      <c r="C681">
        <v>1690</v>
      </c>
      <c r="D681">
        <v>2116</v>
      </c>
      <c r="E681">
        <v>2090</v>
      </c>
      <c r="F681">
        <v>0.80861244019138701</v>
      </c>
      <c r="G681">
        <v>0.84813936003694002</v>
      </c>
      <c r="H681">
        <v>7.0066150645953895E-2</v>
      </c>
      <c r="I681">
        <v>-0.56413716867768604</v>
      </c>
      <c r="J681">
        <v>-4.8899999999999997</v>
      </c>
      <c r="K681">
        <v>1690</v>
      </c>
      <c r="L681">
        <v>1721.3650306748466</v>
      </c>
    </row>
    <row r="682" spans="1:12">
      <c r="A682" s="14">
        <v>42856</v>
      </c>
      <c r="B682">
        <v>1679</v>
      </c>
      <c r="C682">
        <v>1689</v>
      </c>
      <c r="D682">
        <v>2100</v>
      </c>
      <c r="E682">
        <v>2106</v>
      </c>
      <c r="F682">
        <v>0.80199430199430199</v>
      </c>
      <c r="G682">
        <v>0.85096363006515696</v>
      </c>
      <c r="H682">
        <v>7.2637849393519693E-2</v>
      </c>
      <c r="I682">
        <v>-0.67415718498989996</v>
      </c>
      <c r="J682">
        <v>-6.11</v>
      </c>
      <c r="K682">
        <v>1689</v>
      </c>
      <c r="L682">
        <v>1734.5429447852759</v>
      </c>
    </row>
    <row r="683" spans="1:12">
      <c r="A683" s="14">
        <v>42853</v>
      </c>
      <c r="B683">
        <v>1663</v>
      </c>
      <c r="C683">
        <v>1684</v>
      </c>
      <c r="D683">
        <v>2100</v>
      </c>
      <c r="E683">
        <v>2094</v>
      </c>
      <c r="F683">
        <v>0.80420248328557697</v>
      </c>
      <c r="G683">
        <v>0.85389840934402295</v>
      </c>
      <c r="H683">
        <v>7.5007903601085099E-2</v>
      </c>
      <c r="I683">
        <v>-0.66254252782137701</v>
      </c>
      <c r="J683">
        <v>-6.18</v>
      </c>
      <c r="K683">
        <v>1684</v>
      </c>
      <c r="L683">
        <v>1724.6595092024538</v>
      </c>
    </row>
    <row r="684" spans="1:12">
      <c r="A684" s="14">
        <v>42852</v>
      </c>
      <c r="B684">
        <v>1654</v>
      </c>
      <c r="C684">
        <v>1663</v>
      </c>
      <c r="D684">
        <v>2072</v>
      </c>
      <c r="E684">
        <v>2086</v>
      </c>
      <c r="F684">
        <v>0.79721955896452501</v>
      </c>
      <c r="G684">
        <v>0.85678915494503305</v>
      </c>
      <c r="H684">
        <v>7.7183180764650805E-2</v>
      </c>
      <c r="I684">
        <v>-0.77179503863865395</v>
      </c>
      <c r="J684">
        <v>-7.47</v>
      </c>
      <c r="K684">
        <v>1663</v>
      </c>
      <c r="L684">
        <v>1718.0705521472391</v>
      </c>
    </row>
    <row r="685" spans="1:12">
      <c r="A685" s="14">
        <v>42851</v>
      </c>
      <c r="B685">
        <v>1665</v>
      </c>
      <c r="C685">
        <v>1673</v>
      </c>
      <c r="D685">
        <v>2042</v>
      </c>
      <c r="E685">
        <v>2090</v>
      </c>
      <c r="F685">
        <v>0.80047846889952101</v>
      </c>
      <c r="G685">
        <v>0.86005992534555398</v>
      </c>
      <c r="H685">
        <v>7.9744679680197494E-2</v>
      </c>
      <c r="I685">
        <v>-0.74715274655280495</v>
      </c>
      <c r="J685">
        <v>-7.44</v>
      </c>
      <c r="K685">
        <v>1673</v>
      </c>
      <c r="L685">
        <v>1721.3650306748466</v>
      </c>
    </row>
    <row r="686" spans="1:12">
      <c r="A686" s="14">
        <v>42850</v>
      </c>
      <c r="B686">
        <v>1630</v>
      </c>
      <c r="C686">
        <v>1649</v>
      </c>
      <c r="D686">
        <v>1996</v>
      </c>
      <c r="E686">
        <v>2020</v>
      </c>
      <c r="F686">
        <v>0.81633663366336595</v>
      </c>
      <c r="G686">
        <v>0.86361020006595501</v>
      </c>
      <c r="H686">
        <v>8.2878719848526405E-2</v>
      </c>
      <c r="I686">
        <v>-0.57039450523594404</v>
      </c>
      <c r="J686">
        <v>-5.79</v>
      </c>
      <c r="K686">
        <v>1649</v>
      </c>
      <c r="L686">
        <v>1663.7116564417177</v>
      </c>
    </row>
    <row r="687" spans="1:12">
      <c r="A687" s="14">
        <v>42849</v>
      </c>
      <c r="B687">
        <v>1617</v>
      </c>
      <c r="C687">
        <v>1637</v>
      </c>
      <c r="D687">
        <v>2028</v>
      </c>
      <c r="E687">
        <v>1996</v>
      </c>
      <c r="F687">
        <v>0.82014028056112198</v>
      </c>
      <c r="G687">
        <v>0.86710773408901998</v>
      </c>
      <c r="H687">
        <v>8.6275277246184903E-2</v>
      </c>
      <c r="I687">
        <v>-0.54439064152615901</v>
      </c>
      <c r="J687">
        <v>-5.73</v>
      </c>
      <c r="K687">
        <v>1637</v>
      </c>
      <c r="L687">
        <v>1643.9447852760736</v>
      </c>
    </row>
    <row r="688" spans="1:12">
      <c r="A688" s="14">
        <v>42846</v>
      </c>
      <c r="B688">
        <v>1616</v>
      </c>
      <c r="C688">
        <v>1596</v>
      </c>
      <c r="D688">
        <v>1992</v>
      </c>
      <c r="E688">
        <v>2008</v>
      </c>
      <c r="F688">
        <v>0.79482071713147395</v>
      </c>
      <c r="G688">
        <v>0.870108224283899</v>
      </c>
      <c r="H688">
        <v>8.8474800709784501E-2</v>
      </c>
      <c r="I688">
        <v>-0.85094859268893297</v>
      </c>
      <c r="J688">
        <v>-9.4700000000000006</v>
      </c>
      <c r="K688">
        <v>1596</v>
      </c>
      <c r="L688">
        <v>1653.8282208588957</v>
      </c>
    </row>
    <row r="689" spans="1:12">
      <c r="A689" s="14">
        <v>42845</v>
      </c>
      <c r="B689">
        <v>1577</v>
      </c>
      <c r="C689">
        <v>1590</v>
      </c>
      <c r="D689">
        <v>1962</v>
      </c>
      <c r="E689">
        <v>1970</v>
      </c>
      <c r="F689">
        <v>0.807106598984771</v>
      </c>
      <c r="G689">
        <v>0.87304859189648598</v>
      </c>
      <c r="H689">
        <v>8.9581420121019897E-2</v>
      </c>
      <c r="I689">
        <v>-0.73611238605763396</v>
      </c>
      <c r="J689">
        <v>-8.17</v>
      </c>
      <c r="K689">
        <v>1590</v>
      </c>
      <c r="L689">
        <v>1622.5306748466257</v>
      </c>
    </row>
    <row r="690" spans="1:12">
      <c r="A690" s="14">
        <v>42844</v>
      </c>
      <c r="B690">
        <v>1559</v>
      </c>
      <c r="C690">
        <v>1578</v>
      </c>
      <c r="D690">
        <v>1920</v>
      </c>
      <c r="E690">
        <v>1966</v>
      </c>
      <c r="F690">
        <v>0.80264496439471</v>
      </c>
      <c r="G690">
        <v>0.87584621934734597</v>
      </c>
      <c r="H690">
        <v>9.0747153145494405E-2</v>
      </c>
      <c r="I690">
        <v>-0.80665070379974901</v>
      </c>
      <c r="J690">
        <v>-9.1199999999999992</v>
      </c>
      <c r="K690">
        <v>1578</v>
      </c>
      <c r="L690">
        <v>1619.2361963190183</v>
      </c>
    </row>
    <row r="691" spans="1:12">
      <c r="A691" s="14">
        <v>42843</v>
      </c>
      <c r="B691">
        <v>1570</v>
      </c>
      <c r="C691">
        <v>1575</v>
      </c>
      <c r="D691">
        <v>1924</v>
      </c>
      <c r="E691">
        <v>1936</v>
      </c>
      <c r="F691">
        <v>0.81353305785123897</v>
      </c>
      <c r="G691">
        <v>0.87877880012326404</v>
      </c>
      <c r="H691">
        <v>9.1880960152015898E-2</v>
      </c>
      <c r="I691">
        <v>-0.71011167236472394</v>
      </c>
      <c r="J691">
        <v>-8.02</v>
      </c>
      <c r="K691">
        <v>1575</v>
      </c>
      <c r="L691">
        <v>1594.5276073619632</v>
      </c>
    </row>
    <row r="692" spans="1:12">
      <c r="A692" s="14">
        <v>42842</v>
      </c>
      <c r="B692">
        <v>1567</v>
      </c>
      <c r="C692">
        <v>1575</v>
      </c>
      <c r="D692">
        <v>1906</v>
      </c>
      <c r="E692">
        <v>1896</v>
      </c>
      <c r="F692">
        <v>0.830696202531645</v>
      </c>
      <c r="G692">
        <v>0.88109448338292196</v>
      </c>
      <c r="H692">
        <v>9.2394538123961603E-2</v>
      </c>
      <c r="I692">
        <v>-0.54546818323459101</v>
      </c>
      <c r="J692">
        <v>-6.07</v>
      </c>
      <c r="K692">
        <v>1575</v>
      </c>
      <c r="L692">
        <v>1561.5828220858896</v>
      </c>
    </row>
    <row r="693" spans="1:12">
      <c r="A693" s="14">
        <v>42839</v>
      </c>
      <c r="B693">
        <v>1592</v>
      </c>
      <c r="C693">
        <v>1569</v>
      </c>
      <c r="D693">
        <v>1916</v>
      </c>
      <c r="E693">
        <v>1926</v>
      </c>
      <c r="F693">
        <v>0.81464174454828597</v>
      </c>
      <c r="G693">
        <v>0.88317829732944197</v>
      </c>
      <c r="H693">
        <v>9.29948286509414E-2</v>
      </c>
      <c r="I693">
        <v>-0.73699316161342598</v>
      </c>
      <c r="J693">
        <v>-8.41</v>
      </c>
      <c r="K693">
        <v>1569</v>
      </c>
      <c r="L693">
        <v>1586.2914110429447</v>
      </c>
    </row>
    <row r="694" spans="1:12">
      <c r="A694" s="14">
        <v>42838</v>
      </c>
      <c r="B694">
        <v>1588</v>
      </c>
      <c r="C694">
        <v>1593</v>
      </c>
      <c r="D694">
        <v>1896</v>
      </c>
      <c r="E694">
        <v>1904</v>
      </c>
      <c r="F694">
        <v>0.83665966386554602</v>
      </c>
      <c r="G694">
        <v>0.88576138347868705</v>
      </c>
      <c r="H694">
        <v>9.3742835648560494E-2</v>
      </c>
      <c r="I694">
        <v>-0.52379170390388197</v>
      </c>
      <c r="J694">
        <v>-5.87</v>
      </c>
      <c r="K694">
        <v>1593</v>
      </c>
      <c r="L694">
        <v>1568.1717791411043</v>
      </c>
    </row>
    <row r="695" spans="1:12">
      <c r="A695" s="14">
        <v>42837</v>
      </c>
      <c r="B695">
        <v>1596</v>
      </c>
      <c r="C695">
        <v>1612</v>
      </c>
      <c r="D695">
        <v>1942</v>
      </c>
      <c r="E695">
        <v>1932</v>
      </c>
      <c r="F695">
        <v>0.83436853002070299</v>
      </c>
      <c r="G695">
        <v>0.88803483407756501</v>
      </c>
      <c r="H695">
        <v>9.4588230303785201E-2</v>
      </c>
      <c r="I695">
        <v>-0.567367672325649</v>
      </c>
      <c r="J695">
        <v>-6.43</v>
      </c>
      <c r="K695">
        <v>1612</v>
      </c>
      <c r="L695">
        <v>1591.2331288343557</v>
      </c>
    </row>
    <row r="696" spans="1:12">
      <c r="A696" s="14">
        <v>42836</v>
      </c>
      <c r="B696">
        <v>1589</v>
      </c>
      <c r="C696">
        <v>1612</v>
      </c>
      <c r="D696">
        <v>1950</v>
      </c>
      <c r="E696">
        <v>1972</v>
      </c>
      <c r="F696">
        <v>0.81744421906693698</v>
      </c>
      <c r="G696">
        <v>0.89041890237988297</v>
      </c>
      <c r="H696">
        <v>9.5454936419138298E-2</v>
      </c>
      <c r="I696">
        <v>-0.76449355109847905</v>
      </c>
      <c r="J696">
        <v>-8.93</v>
      </c>
      <c r="K696">
        <v>1612</v>
      </c>
      <c r="L696">
        <v>1624.1779141104294</v>
      </c>
    </row>
    <row r="697" spans="1:12">
      <c r="A697" s="14">
        <v>42835</v>
      </c>
      <c r="B697">
        <v>1610</v>
      </c>
      <c r="C697">
        <v>1600</v>
      </c>
      <c r="D697">
        <v>1932</v>
      </c>
      <c r="E697">
        <v>1968</v>
      </c>
      <c r="F697">
        <v>0.81300813008130002</v>
      </c>
      <c r="G697">
        <v>0.892852979458991</v>
      </c>
      <c r="H697">
        <v>9.5889639636240698E-2</v>
      </c>
      <c r="I697">
        <v>-0.83267441279979204</v>
      </c>
      <c r="J697">
        <v>-9.82</v>
      </c>
      <c r="K697">
        <v>1600</v>
      </c>
      <c r="L697">
        <v>1620.8834355828221</v>
      </c>
    </row>
    <row r="698" spans="1:12">
      <c r="A698" s="14">
        <v>42832</v>
      </c>
      <c r="B698">
        <v>1577</v>
      </c>
      <c r="C698">
        <v>1586</v>
      </c>
      <c r="D698">
        <v>1924</v>
      </c>
      <c r="E698">
        <v>1924</v>
      </c>
      <c r="F698">
        <v>0.82432432432432401</v>
      </c>
      <c r="G698">
        <v>0.89528382622359903</v>
      </c>
      <c r="H698">
        <v>9.6145249417169495E-2</v>
      </c>
      <c r="I698">
        <v>-0.73804480543167506</v>
      </c>
      <c r="J698">
        <v>-8.61</v>
      </c>
      <c r="K698">
        <v>1586</v>
      </c>
      <c r="L698">
        <v>1584.6441717791411</v>
      </c>
    </row>
    <row r="699" spans="1:12">
      <c r="A699" s="14">
        <v>42831</v>
      </c>
      <c r="B699">
        <v>1604</v>
      </c>
      <c r="C699">
        <v>1568</v>
      </c>
      <c r="D699">
        <v>1934</v>
      </c>
      <c r="E699">
        <v>1910</v>
      </c>
      <c r="F699">
        <v>0.82094240837696297</v>
      </c>
      <c r="G699">
        <v>0.89753346868181605</v>
      </c>
      <c r="H699">
        <v>9.6432089663984893E-2</v>
      </c>
      <c r="I699">
        <v>-0.79424868393635795</v>
      </c>
      <c r="J699">
        <v>-9.33</v>
      </c>
      <c r="K699">
        <v>1568</v>
      </c>
      <c r="L699">
        <v>1573.1134969325153</v>
      </c>
    </row>
    <row r="700" spans="1:12">
      <c r="A700" s="14">
        <v>42830</v>
      </c>
      <c r="B700">
        <v>1608</v>
      </c>
      <c r="C700">
        <v>1613</v>
      </c>
      <c r="D700">
        <v>1920</v>
      </c>
      <c r="E700">
        <v>1934</v>
      </c>
      <c r="F700">
        <v>0.83402275077559396</v>
      </c>
      <c r="G700">
        <v>0.90004668940031196</v>
      </c>
      <c r="H700">
        <v>9.6858515567059295E-2</v>
      </c>
      <c r="I700">
        <v>-0.68165342239842897</v>
      </c>
      <c r="J700">
        <v>-7.92</v>
      </c>
      <c r="K700">
        <v>1613</v>
      </c>
      <c r="L700">
        <v>1592.8803680981594</v>
      </c>
    </row>
    <row r="701" spans="1:12">
      <c r="A701" s="14">
        <v>42829</v>
      </c>
      <c r="B701">
        <v>1620</v>
      </c>
      <c r="C701">
        <v>1613</v>
      </c>
      <c r="D701">
        <v>1966</v>
      </c>
      <c r="E701">
        <v>1914</v>
      </c>
      <c r="F701">
        <v>0.84273772204806596</v>
      </c>
      <c r="G701">
        <v>0.90224419746525197</v>
      </c>
      <c r="H701">
        <v>9.7204654457004699E-2</v>
      </c>
      <c r="I701">
        <v>-0.612177222887061</v>
      </c>
      <c r="J701">
        <v>-7.06</v>
      </c>
      <c r="K701">
        <v>1613</v>
      </c>
      <c r="L701">
        <v>1576.4079754601225</v>
      </c>
    </row>
    <row r="702" spans="1:12">
      <c r="A702" s="14">
        <v>42828</v>
      </c>
      <c r="B702">
        <v>1632</v>
      </c>
      <c r="C702">
        <v>1625</v>
      </c>
      <c r="D702">
        <v>1966</v>
      </c>
      <c r="E702">
        <v>1974</v>
      </c>
      <c r="F702">
        <v>0.823201621073961</v>
      </c>
      <c r="G702">
        <v>0.90452794372579504</v>
      </c>
      <c r="H702">
        <v>9.7790062089098601E-2</v>
      </c>
      <c r="I702">
        <v>-0.83164199832223795</v>
      </c>
      <c r="J702">
        <v>-9.8800000000000008</v>
      </c>
      <c r="K702">
        <v>1625</v>
      </c>
      <c r="L702">
        <v>1625.825153374233</v>
      </c>
    </row>
    <row r="703" spans="1:12">
      <c r="A703" s="14">
        <v>42825</v>
      </c>
      <c r="B703">
        <v>1621</v>
      </c>
      <c r="C703">
        <v>1611</v>
      </c>
      <c r="D703">
        <v>1990</v>
      </c>
      <c r="E703">
        <v>1956</v>
      </c>
      <c r="F703">
        <v>0.82361963190183995</v>
      </c>
      <c r="G703">
        <v>0.90663891210377701</v>
      </c>
      <c r="H703">
        <v>9.7720517431237497E-2</v>
      </c>
      <c r="I703">
        <v>-0.84955833620462295</v>
      </c>
      <c r="J703">
        <v>-10.08</v>
      </c>
      <c r="K703">
        <v>1611</v>
      </c>
      <c r="L703">
        <v>1611</v>
      </c>
    </row>
    <row r="704" spans="1:12">
      <c r="A704" s="14">
        <v>42824</v>
      </c>
      <c r="B704">
        <v>1619</v>
      </c>
      <c r="C704">
        <v>1612</v>
      </c>
      <c r="D704">
        <v>1984</v>
      </c>
      <c r="E704">
        <v>1976</v>
      </c>
      <c r="F704">
        <v>0.81578947368420995</v>
      </c>
    </row>
    <row r="705" spans="1:6">
      <c r="A705" s="14">
        <v>42823</v>
      </c>
      <c r="B705">
        <v>1644</v>
      </c>
      <c r="C705">
        <v>1628</v>
      </c>
      <c r="D705">
        <v>1982</v>
      </c>
      <c r="E705">
        <v>1978</v>
      </c>
      <c r="F705">
        <v>0.82305358948432705</v>
      </c>
    </row>
    <row r="706" spans="1:6">
      <c r="A706" s="14">
        <v>42822</v>
      </c>
      <c r="B706">
        <v>1645</v>
      </c>
      <c r="C706">
        <v>1653</v>
      </c>
      <c r="D706">
        <v>1946</v>
      </c>
      <c r="E706">
        <v>1972</v>
      </c>
      <c r="F706">
        <v>0.83823529411764697</v>
      </c>
    </row>
    <row r="707" spans="1:6">
      <c r="A707" s="14">
        <v>42821</v>
      </c>
      <c r="B707">
        <v>1640</v>
      </c>
      <c r="C707">
        <v>1631</v>
      </c>
      <c r="D707">
        <v>1900</v>
      </c>
      <c r="E707">
        <v>1914</v>
      </c>
      <c r="F707">
        <v>0.8521421107628</v>
      </c>
    </row>
    <row r="708" spans="1:6">
      <c r="A708" s="14">
        <v>42818</v>
      </c>
      <c r="B708">
        <v>1635</v>
      </c>
      <c r="C708">
        <v>1642</v>
      </c>
      <c r="D708">
        <v>1916</v>
      </c>
      <c r="E708">
        <v>1938</v>
      </c>
      <c r="F708">
        <v>0.84726522187822495</v>
      </c>
    </row>
    <row r="709" spans="1:6">
      <c r="A709" s="14">
        <v>42817</v>
      </c>
      <c r="B709">
        <v>1635</v>
      </c>
      <c r="C709">
        <v>1626</v>
      </c>
      <c r="D709">
        <v>1916</v>
      </c>
      <c r="E709">
        <v>1914</v>
      </c>
      <c r="F709">
        <v>0.84952978056426298</v>
      </c>
    </row>
    <row r="710" spans="1:6">
      <c r="A710" s="14">
        <v>42816</v>
      </c>
      <c r="B710">
        <v>1636</v>
      </c>
      <c r="C710">
        <v>1641</v>
      </c>
      <c r="D710">
        <v>1946</v>
      </c>
      <c r="E710">
        <v>1906</v>
      </c>
      <c r="F710">
        <v>0.86096537250786898</v>
      </c>
    </row>
    <row r="711" spans="1:6">
      <c r="A711" s="14">
        <v>42815</v>
      </c>
      <c r="B711">
        <v>1672</v>
      </c>
      <c r="C711">
        <v>1664</v>
      </c>
      <c r="D711">
        <v>1990</v>
      </c>
      <c r="E711">
        <v>2000</v>
      </c>
      <c r="F711">
        <v>0.83199999999999996</v>
      </c>
    </row>
    <row r="712" spans="1:6">
      <c r="A712" s="14">
        <v>42811</v>
      </c>
      <c r="B712">
        <v>1664</v>
      </c>
      <c r="C712">
        <v>1669</v>
      </c>
      <c r="D712">
        <v>2000</v>
      </c>
      <c r="E712">
        <v>1990</v>
      </c>
      <c r="F712">
        <v>0.83869346733668304</v>
      </c>
    </row>
    <row r="713" spans="1:6">
      <c r="A713" s="14">
        <v>42810</v>
      </c>
      <c r="B713">
        <v>1668</v>
      </c>
      <c r="C713">
        <v>1674</v>
      </c>
      <c r="D713">
        <v>2000</v>
      </c>
      <c r="E713">
        <v>2034</v>
      </c>
      <c r="F713">
        <v>0.82300884955752196</v>
      </c>
    </row>
    <row r="714" spans="1:6">
      <c r="A714" s="14">
        <v>42809</v>
      </c>
      <c r="B714">
        <v>1673</v>
      </c>
      <c r="C714">
        <v>1671</v>
      </c>
      <c r="D714">
        <v>2034</v>
      </c>
      <c r="E714">
        <v>2014</v>
      </c>
      <c r="F714">
        <v>0.82969215491559001</v>
      </c>
    </row>
    <row r="715" spans="1:6">
      <c r="A715" s="14">
        <v>42808</v>
      </c>
      <c r="B715">
        <v>1674</v>
      </c>
      <c r="C715">
        <v>1670</v>
      </c>
      <c r="D715">
        <v>2050</v>
      </c>
      <c r="E715">
        <v>2058</v>
      </c>
      <c r="F715">
        <v>0.81146744412050498</v>
      </c>
    </row>
    <row r="716" spans="1:6">
      <c r="A716" s="14">
        <v>42807</v>
      </c>
      <c r="B716">
        <v>1650</v>
      </c>
      <c r="C716">
        <v>1663</v>
      </c>
      <c r="D716">
        <v>2030</v>
      </c>
      <c r="E716">
        <v>2044</v>
      </c>
      <c r="F716">
        <v>0.81360078277886405</v>
      </c>
    </row>
    <row r="717" spans="1:6">
      <c r="A717" s="14">
        <v>42804</v>
      </c>
      <c r="B717">
        <v>1655</v>
      </c>
      <c r="C717">
        <v>1640</v>
      </c>
      <c r="D717">
        <v>2100</v>
      </c>
      <c r="E717">
        <v>2038</v>
      </c>
      <c r="F717">
        <v>0.80471050049067705</v>
      </c>
    </row>
    <row r="718" spans="1:6">
      <c r="A718" s="14">
        <v>42803</v>
      </c>
      <c r="B718">
        <v>1608</v>
      </c>
      <c r="C718">
        <v>1622</v>
      </c>
      <c r="D718">
        <v>2052</v>
      </c>
      <c r="E718">
        <v>2072</v>
      </c>
      <c r="F718">
        <v>0.78281853281853198</v>
      </c>
    </row>
    <row r="719" spans="1:6">
      <c r="A719" s="14">
        <v>42802</v>
      </c>
      <c r="B719">
        <v>1598</v>
      </c>
      <c r="C719">
        <v>1601</v>
      </c>
      <c r="D719">
        <v>2020</v>
      </c>
      <c r="E719">
        <v>2046</v>
      </c>
      <c r="F719">
        <v>0.78250244379276601</v>
      </c>
    </row>
    <row r="720" spans="1:6">
      <c r="A720" s="14">
        <v>42801</v>
      </c>
      <c r="B720">
        <v>1574</v>
      </c>
      <c r="C720">
        <v>1592</v>
      </c>
      <c r="D720">
        <v>2032</v>
      </c>
      <c r="E720">
        <v>2038</v>
      </c>
      <c r="F720">
        <v>0.78115799803729102</v>
      </c>
    </row>
    <row r="721" spans="1:6">
      <c r="A721" s="14">
        <v>42800</v>
      </c>
      <c r="B721">
        <v>1564</v>
      </c>
      <c r="C721">
        <v>1573</v>
      </c>
      <c r="D721">
        <v>1984</v>
      </c>
      <c r="E721">
        <v>2024</v>
      </c>
      <c r="F721">
        <v>0.77717391304347805</v>
      </c>
    </row>
    <row r="722" spans="1:6">
      <c r="A722" s="14">
        <v>42797</v>
      </c>
      <c r="B722">
        <v>1577</v>
      </c>
      <c r="C722">
        <v>1558</v>
      </c>
      <c r="D722">
        <v>1994</v>
      </c>
      <c r="E722">
        <v>1984</v>
      </c>
      <c r="F722">
        <v>0.78528225806451601</v>
      </c>
    </row>
    <row r="723" spans="1:6">
      <c r="A723" s="14">
        <v>42796</v>
      </c>
      <c r="B723">
        <v>1558</v>
      </c>
      <c r="C723">
        <v>1566</v>
      </c>
      <c r="D723">
        <v>2020</v>
      </c>
      <c r="E723">
        <v>1988</v>
      </c>
      <c r="F723">
        <v>0.78772635814889302</v>
      </c>
    </row>
    <row r="724" spans="1:6">
      <c r="A724" s="14">
        <v>42795</v>
      </c>
      <c r="B724">
        <v>1500</v>
      </c>
      <c r="C724">
        <v>1541</v>
      </c>
      <c r="D724">
        <v>1960</v>
      </c>
      <c r="E724">
        <v>1964</v>
      </c>
      <c r="F724">
        <v>0.78462321792260603</v>
      </c>
    </row>
    <row r="725" spans="1:6">
      <c r="A725" s="14">
        <v>42794</v>
      </c>
      <c r="B725">
        <v>1580</v>
      </c>
      <c r="C725">
        <v>1558</v>
      </c>
      <c r="D725">
        <v>1950</v>
      </c>
      <c r="E725">
        <v>1954</v>
      </c>
      <c r="F725">
        <v>0.79733879222108495</v>
      </c>
    </row>
    <row r="726" spans="1:6">
      <c r="A726" s="14">
        <v>42793</v>
      </c>
      <c r="B726">
        <v>1575</v>
      </c>
      <c r="C726">
        <v>1584</v>
      </c>
      <c r="D726">
        <v>1916</v>
      </c>
      <c r="E726">
        <v>1930</v>
      </c>
      <c r="F726">
        <v>0.82072538860103605</v>
      </c>
    </row>
    <row r="727" spans="1:6">
      <c r="A727" s="14">
        <v>42790</v>
      </c>
      <c r="B727">
        <v>1575</v>
      </c>
      <c r="C727">
        <v>1586</v>
      </c>
      <c r="D727">
        <v>1982</v>
      </c>
      <c r="E727">
        <v>1970</v>
      </c>
      <c r="F727">
        <v>0.80507614213197898</v>
      </c>
    </row>
    <row r="728" spans="1:6">
      <c r="A728" s="14">
        <v>42789</v>
      </c>
      <c r="B728">
        <v>1591</v>
      </c>
      <c r="C728">
        <v>1592</v>
      </c>
      <c r="D728">
        <v>2040</v>
      </c>
      <c r="E728">
        <v>2014</v>
      </c>
      <c r="F728">
        <v>0.79046673286990998</v>
      </c>
    </row>
    <row r="729" spans="1:6">
      <c r="A729" s="14">
        <v>42788</v>
      </c>
      <c r="B729">
        <v>1591</v>
      </c>
      <c r="C729">
        <v>1586</v>
      </c>
      <c r="D729">
        <v>2026</v>
      </c>
      <c r="E729">
        <v>2022</v>
      </c>
      <c r="F729">
        <v>0.78437190900098896</v>
      </c>
    </row>
    <row r="730" spans="1:6">
      <c r="A730" s="14">
        <v>42787</v>
      </c>
      <c r="B730">
        <v>1586</v>
      </c>
      <c r="C730">
        <v>1583</v>
      </c>
      <c r="D730">
        <v>2030</v>
      </c>
      <c r="E730">
        <v>2030</v>
      </c>
      <c r="F730">
        <v>0.779802955665024</v>
      </c>
    </row>
    <row r="731" spans="1:6">
      <c r="A731" s="14">
        <v>42786</v>
      </c>
      <c r="B731">
        <v>1590</v>
      </c>
      <c r="C731">
        <v>1592</v>
      </c>
      <c r="D731">
        <v>1976</v>
      </c>
      <c r="E731">
        <v>2008</v>
      </c>
      <c r="F731">
        <v>0.79282868525896399</v>
      </c>
    </row>
    <row r="732" spans="1:6">
      <c r="A732" s="14">
        <v>42783</v>
      </c>
      <c r="B732">
        <v>1590</v>
      </c>
      <c r="C732">
        <v>1593</v>
      </c>
      <c r="D732">
        <v>1994</v>
      </c>
      <c r="E732">
        <v>1988</v>
      </c>
      <c r="F732">
        <v>0.80130784708249403</v>
      </c>
    </row>
    <row r="733" spans="1:6">
      <c r="A733" s="14">
        <v>42782</v>
      </c>
      <c r="B733">
        <v>1600</v>
      </c>
      <c r="C733">
        <v>1594</v>
      </c>
      <c r="D733">
        <v>1978</v>
      </c>
      <c r="E733">
        <v>1994</v>
      </c>
      <c r="F733">
        <v>0.79939819458375105</v>
      </c>
    </row>
    <row r="734" spans="1:6">
      <c r="A734" s="14">
        <v>42781</v>
      </c>
      <c r="B734">
        <v>1577</v>
      </c>
      <c r="C734">
        <v>1585</v>
      </c>
      <c r="D734">
        <v>1934</v>
      </c>
      <c r="E734">
        <v>1976</v>
      </c>
      <c r="F734">
        <v>0.80212550607287403</v>
      </c>
    </row>
    <row r="735" spans="1:6">
      <c r="A735" s="14">
        <v>42780</v>
      </c>
      <c r="B735">
        <v>1573</v>
      </c>
      <c r="C735">
        <v>1567</v>
      </c>
      <c r="D735">
        <v>1906</v>
      </c>
      <c r="E735">
        <v>1904</v>
      </c>
      <c r="F735">
        <v>0.82300420168067201</v>
      </c>
    </row>
    <row r="736" spans="1:6">
      <c r="A736" s="14">
        <v>42779</v>
      </c>
      <c r="B736">
        <v>1568</v>
      </c>
      <c r="C736">
        <v>1567</v>
      </c>
      <c r="D736">
        <v>1896</v>
      </c>
      <c r="E736">
        <v>1892</v>
      </c>
      <c r="F736">
        <v>0.82822410147991499</v>
      </c>
    </row>
    <row r="737" spans="1:6">
      <c r="A737" s="14">
        <v>42776</v>
      </c>
      <c r="B737">
        <v>1566</v>
      </c>
      <c r="C737">
        <v>1560</v>
      </c>
      <c r="D737">
        <v>1838</v>
      </c>
      <c r="E737">
        <v>1868</v>
      </c>
      <c r="F737">
        <v>0.83511777301927104</v>
      </c>
    </row>
    <row r="738" spans="1:6">
      <c r="A738" s="14">
        <v>42775</v>
      </c>
      <c r="B738">
        <v>1548</v>
      </c>
      <c r="C738">
        <v>1542</v>
      </c>
      <c r="D738">
        <v>1820</v>
      </c>
      <c r="E738">
        <v>1816</v>
      </c>
      <c r="F738">
        <v>0.84911894273127697</v>
      </c>
    </row>
    <row r="739" spans="1:6">
      <c r="A739" s="14">
        <v>42774</v>
      </c>
      <c r="B739">
        <v>1549</v>
      </c>
      <c r="C739">
        <v>1561</v>
      </c>
      <c r="D739">
        <v>1796</v>
      </c>
      <c r="E739">
        <v>1818</v>
      </c>
      <c r="F739">
        <v>0.85863586358635802</v>
      </c>
    </row>
    <row r="740" spans="1:6">
      <c r="A740" s="14">
        <v>42773</v>
      </c>
      <c r="B740">
        <v>1595</v>
      </c>
      <c r="C740">
        <v>1571</v>
      </c>
      <c r="D740">
        <v>1768</v>
      </c>
      <c r="E740">
        <v>1794</v>
      </c>
      <c r="F740">
        <v>0.87569676700111398</v>
      </c>
    </row>
    <row r="741" spans="1:6">
      <c r="A741" s="14">
        <v>42772</v>
      </c>
      <c r="B741">
        <v>1652</v>
      </c>
      <c r="C741">
        <v>1604</v>
      </c>
      <c r="D741">
        <v>1764</v>
      </c>
      <c r="E741">
        <v>1788</v>
      </c>
      <c r="F741">
        <v>0.89709172259507797</v>
      </c>
    </row>
    <row r="742" spans="1:6">
      <c r="A742" s="14">
        <v>42769</v>
      </c>
      <c r="B742">
        <v>1644</v>
      </c>
      <c r="C742">
        <v>1647</v>
      </c>
      <c r="D742">
        <v>1798</v>
      </c>
      <c r="E742">
        <v>1744</v>
      </c>
      <c r="F742">
        <v>0.94438073394495403</v>
      </c>
    </row>
    <row r="743" spans="1:6">
      <c r="A743" s="14">
        <v>42768</v>
      </c>
      <c r="B743">
        <v>1662</v>
      </c>
      <c r="C743">
        <v>1643</v>
      </c>
      <c r="D743">
        <v>1746</v>
      </c>
      <c r="E743">
        <v>1808</v>
      </c>
      <c r="F743">
        <v>0.90873893805309702</v>
      </c>
    </row>
    <row r="744" spans="1:6">
      <c r="A744" s="14">
        <v>42767</v>
      </c>
      <c r="B744">
        <v>1651</v>
      </c>
      <c r="C744">
        <v>1669</v>
      </c>
      <c r="D744">
        <v>1680</v>
      </c>
      <c r="E744">
        <v>1730</v>
      </c>
      <c r="F744">
        <v>0.96473988439306302</v>
      </c>
    </row>
    <row r="745" spans="1:6">
      <c r="A745" s="14">
        <v>42766</v>
      </c>
      <c r="B745">
        <v>1673</v>
      </c>
      <c r="C745">
        <v>1671</v>
      </c>
      <c r="D745">
        <v>1728</v>
      </c>
      <c r="E745">
        <v>1710</v>
      </c>
      <c r="F745">
        <v>0.97719298245613995</v>
      </c>
    </row>
    <row r="746" spans="1:6">
      <c r="A746" s="14">
        <v>42765</v>
      </c>
      <c r="B746">
        <v>1664</v>
      </c>
      <c r="C746">
        <v>1677</v>
      </c>
      <c r="D746">
        <v>1740</v>
      </c>
      <c r="E746">
        <v>1752</v>
      </c>
      <c r="F746">
        <v>0.95719178082191703</v>
      </c>
    </row>
    <row r="747" spans="1:6">
      <c r="A747" s="14">
        <v>42762</v>
      </c>
      <c r="B747">
        <v>1689</v>
      </c>
      <c r="C747">
        <v>1677</v>
      </c>
      <c r="D747">
        <v>1760</v>
      </c>
      <c r="E747">
        <v>1748</v>
      </c>
      <c r="F747">
        <v>0.959382151029748</v>
      </c>
    </row>
    <row r="748" spans="1:6">
      <c r="A748" s="14">
        <v>42761</v>
      </c>
      <c r="B748">
        <v>1695</v>
      </c>
      <c r="C748">
        <v>1686</v>
      </c>
      <c r="D748">
        <v>1720</v>
      </c>
      <c r="E748">
        <v>1758</v>
      </c>
      <c r="F748">
        <v>0.95904436860068198</v>
      </c>
    </row>
    <row r="749" spans="1:6">
      <c r="A749" s="14">
        <v>42760</v>
      </c>
      <c r="B749">
        <v>1705</v>
      </c>
      <c r="C749">
        <v>1685</v>
      </c>
      <c r="D749">
        <v>1706</v>
      </c>
      <c r="E749">
        <v>1706</v>
      </c>
      <c r="F749">
        <v>0.98769050410316495</v>
      </c>
    </row>
    <row r="750" spans="1:6">
      <c r="A750" s="14">
        <v>42759</v>
      </c>
      <c r="B750">
        <v>1698</v>
      </c>
      <c r="C750">
        <v>1685</v>
      </c>
      <c r="D750">
        <v>1668</v>
      </c>
      <c r="E750">
        <v>1682</v>
      </c>
      <c r="F750">
        <v>1.0017835909631301</v>
      </c>
    </row>
    <row r="751" spans="1:6">
      <c r="A751" s="14">
        <v>42758</v>
      </c>
      <c r="B751">
        <v>1679</v>
      </c>
      <c r="C751">
        <v>1701</v>
      </c>
      <c r="D751">
        <v>1692</v>
      </c>
      <c r="E751">
        <v>1668</v>
      </c>
      <c r="F751">
        <v>1.0197841726618699</v>
      </c>
    </row>
    <row r="752" spans="1:6">
      <c r="A752" s="14">
        <v>42755</v>
      </c>
      <c r="B752">
        <v>1704</v>
      </c>
      <c r="C752">
        <v>1709</v>
      </c>
      <c r="D752">
        <v>1650</v>
      </c>
      <c r="E752">
        <v>1678</v>
      </c>
      <c r="F752">
        <v>1.0184743742550599</v>
      </c>
    </row>
    <row r="753" spans="1:6">
      <c r="A753" s="14">
        <v>42754</v>
      </c>
      <c r="B753">
        <v>1704</v>
      </c>
      <c r="C753">
        <v>1698</v>
      </c>
      <c r="D753">
        <v>1656</v>
      </c>
      <c r="E753">
        <v>1658</v>
      </c>
      <c r="F753">
        <v>1.0241254523522301</v>
      </c>
    </row>
    <row r="754" spans="1:6">
      <c r="A754" s="14">
        <v>42753</v>
      </c>
      <c r="B754">
        <v>1690</v>
      </c>
      <c r="C754">
        <v>1675</v>
      </c>
      <c r="D754">
        <v>1608</v>
      </c>
      <c r="E754">
        <v>1644</v>
      </c>
      <c r="F754">
        <v>1.01885644768856</v>
      </c>
    </row>
    <row r="755" spans="1:6">
      <c r="A755" s="14">
        <v>42752</v>
      </c>
      <c r="B755">
        <v>1701</v>
      </c>
      <c r="C755">
        <v>1670</v>
      </c>
      <c r="D755">
        <v>1676</v>
      </c>
      <c r="E755">
        <v>1630</v>
      </c>
      <c r="F755">
        <v>1.02453987730061</v>
      </c>
    </row>
    <row r="756" spans="1:6">
      <c r="A756" s="14">
        <v>42751</v>
      </c>
      <c r="B756">
        <v>1691</v>
      </c>
      <c r="C756">
        <v>1698</v>
      </c>
      <c r="D756">
        <v>1668</v>
      </c>
      <c r="E756">
        <v>1664</v>
      </c>
      <c r="F756">
        <v>1.0204326923076901</v>
      </c>
    </row>
    <row r="757" spans="1:6">
      <c r="A757" s="14">
        <v>42748</v>
      </c>
      <c r="B757">
        <v>1694</v>
      </c>
      <c r="C757">
        <v>1711</v>
      </c>
      <c r="D757">
        <v>1664</v>
      </c>
      <c r="E757">
        <v>1674</v>
      </c>
      <c r="F757">
        <v>1.02210274790919</v>
      </c>
    </row>
    <row r="758" spans="1:6">
      <c r="A758" s="14">
        <v>42747</v>
      </c>
      <c r="B758">
        <v>1714</v>
      </c>
      <c r="C758">
        <v>1701</v>
      </c>
      <c r="D758">
        <v>1656</v>
      </c>
      <c r="E758">
        <v>1666</v>
      </c>
      <c r="F758">
        <v>1.02100840336134</v>
      </c>
    </row>
    <row r="759" spans="1:6">
      <c r="A759" s="14">
        <v>42746</v>
      </c>
      <c r="B759">
        <v>1722</v>
      </c>
      <c r="C759">
        <v>1716</v>
      </c>
      <c r="D759">
        <v>1632</v>
      </c>
      <c r="E759">
        <v>1646</v>
      </c>
      <c r="F759">
        <v>1.04252733900364</v>
      </c>
    </row>
    <row r="760" spans="1:6">
      <c r="A760" s="14">
        <v>42745</v>
      </c>
      <c r="B760">
        <v>1715</v>
      </c>
      <c r="C760">
        <v>1726</v>
      </c>
      <c r="D760">
        <v>1602</v>
      </c>
      <c r="E760">
        <v>1618</v>
      </c>
      <c r="F760">
        <v>1.0667490729295399</v>
      </c>
    </row>
    <row r="761" spans="1:6">
      <c r="A761" s="14">
        <v>42741</v>
      </c>
      <c r="B761">
        <v>1705</v>
      </c>
      <c r="C761">
        <v>1728</v>
      </c>
      <c r="D761">
        <v>1578</v>
      </c>
      <c r="E761">
        <v>1602</v>
      </c>
      <c r="F761">
        <v>1.07865168539325</v>
      </c>
    </row>
    <row r="762" spans="1:6">
      <c r="A762" s="14">
        <v>42740</v>
      </c>
      <c r="B762">
        <v>1728</v>
      </c>
      <c r="C762">
        <v>1712</v>
      </c>
      <c r="D762">
        <v>1692</v>
      </c>
      <c r="E762">
        <v>1638</v>
      </c>
      <c r="F762">
        <v>1.0451770451770399</v>
      </c>
    </row>
    <row r="763" spans="1:6">
      <c r="A763" s="14">
        <v>42739</v>
      </c>
      <c r="B763">
        <v>1697</v>
      </c>
      <c r="C763">
        <v>1720</v>
      </c>
      <c r="D763">
        <v>1658</v>
      </c>
      <c r="E763">
        <v>1694</v>
      </c>
      <c r="F763">
        <v>1.01534828807556</v>
      </c>
    </row>
    <row r="764" spans="1:6">
      <c r="A764" s="14">
        <v>42734</v>
      </c>
      <c r="B764">
        <v>1663</v>
      </c>
      <c r="C764">
        <v>1682</v>
      </c>
      <c r="D764">
        <v>1624</v>
      </c>
      <c r="E764">
        <v>1654</v>
      </c>
      <c r="F764">
        <v>1.01692865779927</v>
      </c>
    </row>
    <row r="765" spans="1:6">
      <c r="A765" s="14">
        <v>42733</v>
      </c>
      <c r="B765">
        <v>1693</v>
      </c>
      <c r="C765">
        <v>1675</v>
      </c>
      <c r="D765">
        <v>1696</v>
      </c>
      <c r="E765">
        <v>1638</v>
      </c>
      <c r="F765">
        <v>1.0225885225885201</v>
      </c>
    </row>
    <row r="766" spans="1:6">
      <c r="A766" s="14">
        <v>42732</v>
      </c>
      <c r="B766">
        <v>1672</v>
      </c>
      <c r="C766">
        <v>1698</v>
      </c>
      <c r="D766">
        <v>1690</v>
      </c>
      <c r="E766">
        <v>1720</v>
      </c>
      <c r="F766">
        <v>0.98720930232558102</v>
      </c>
    </row>
    <row r="767" spans="1:6">
      <c r="A767" s="14">
        <v>42731</v>
      </c>
      <c r="B767">
        <v>1682</v>
      </c>
      <c r="C767">
        <v>1668</v>
      </c>
      <c r="D767">
        <v>1692</v>
      </c>
      <c r="E767">
        <v>1690</v>
      </c>
      <c r="F767">
        <v>0.98698224852071004</v>
      </c>
    </row>
    <row r="768" spans="1:6">
      <c r="A768" s="14">
        <v>42730</v>
      </c>
      <c r="B768">
        <v>1679</v>
      </c>
      <c r="C768">
        <v>1686</v>
      </c>
      <c r="D768">
        <v>1668</v>
      </c>
      <c r="E768">
        <v>1672</v>
      </c>
      <c r="F768">
        <v>1.0083732057416199</v>
      </c>
    </row>
    <row r="769" spans="1:6">
      <c r="A769" s="14">
        <v>42726</v>
      </c>
      <c r="B769">
        <v>1689</v>
      </c>
      <c r="C769">
        <v>1686</v>
      </c>
      <c r="D769">
        <v>1662</v>
      </c>
      <c r="E769">
        <v>1674</v>
      </c>
      <c r="F769">
        <v>1.0071684587813601</v>
      </c>
    </row>
    <row r="770" spans="1:6">
      <c r="A770" s="14">
        <v>42725</v>
      </c>
      <c r="B770">
        <v>1711</v>
      </c>
      <c r="C770">
        <v>1692</v>
      </c>
      <c r="D770">
        <v>1718</v>
      </c>
      <c r="E770">
        <v>1670</v>
      </c>
      <c r="F770">
        <v>1.01317365269461</v>
      </c>
    </row>
    <row r="771" spans="1:6">
      <c r="A771" s="14">
        <v>42724</v>
      </c>
      <c r="B771">
        <v>1701</v>
      </c>
      <c r="C771">
        <v>1718</v>
      </c>
      <c r="D771">
        <v>1694</v>
      </c>
      <c r="E771">
        <v>1718</v>
      </c>
      <c r="F771">
        <v>1</v>
      </c>
    </row>
    <row r="772" spans="1:6">
      <c r="A772" s="14">
        <v>42723</v>
      </c>
      <c r="B772">
        <v>1702</v>
      </c>
      <c r="C772">
        <v>1702</v>
      </c>
      <c r="D772">
        <v>1720</v>
      </c>
      <c r="E772">
        <v>1710</v>
      </c>
      <c r="F772">
        <v>0.99532163742690005</v>
      </c>
    </row>
    <row r="773" spans="1:6">
      <c r="A773" s="14">
        <v>42720</v>
      </c>
      <c r="B773">
        <v>1735</v>
      </c>
      <c r="C773">
        <v>1714</v>
      </c>
      <c r="D773">
        <v>1716</v>
      </c>
      <c r="E773">
        <v>1726</v>
      </c>
      <c r="F773">
        <v>0.99304750869061398</v>
      </c>
    </row>
    <row r="774" spans="1:6">
      <c r="A774" s="14">
        <v>42719</v>
      </c>
      <c r="B774">
        <v>1720</v>
      </c>
      <c r="C774">
        <v>1712</v>
      </c>
      <c r="D774">
        <v>1718</v>
      </c>
      <c r="E774">
        <v>1696</v>
      </c>
      <c r="F774">
        <v>1.0094339622641499</v>
      </c>
    </row>
    <row r="775" spans="1:6">
      <c r="A775" s="14">
        <v>42718</v>
      </c>
      <c r="B775">
        <v>1735</v>
      </c>
      <c r="C775">
        <v>1716</v>
      </c>
      <c r="D775">
        <v>1712</v>
      </c>
      <c r="E775">
        <v>1718</v>
      </c>
      <c r="F775">
        <v>0.9988358556461</v>
      </c>
    </row>
    <row r="776" spans="1:6">
      <c r="A776" s="14">
        <v>42717</v>
      </c>
      <c r="B776">
        <v>1711</v>
      </c>
      <c r="C776">
        <v>1736</v>
      </c>
      <c r="D776">
        <v>1702</v>
      </c>
      <c r="E776">
        <v>1712</v>
      </c>
      <c r="F776">
        <v>1.0140186915887801</v>
      </c>
    </row>
    <row r="777" spans="1:6">
      <c r="A777" s="14">
        <v>42716</v>
      </c>
      <c r="B777">
        <v>1718</v>
      </c>
      <c r="C777">
        <v>1700</v>
      </c>
      <c r="D777">
        <v>1758</v>
      </c>
      <c r="E777">
        <v>1732</v>
      </c>
      <c r="F777">
        <v>0.98152424942263194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3"/>
    <col min="4" max="4" width="9.875" customWidth="1"/>
    <col min="19" max="19" width="15" customWidth="1"/>
    <col min="22" max="22" width="11.25" customWidth="1"/>
  </cols>
  <sheetData>
    <row r="1" spans="1:34">
      <c r="B1" s="107" t="s">
        <v>306</v>
      </c>
      <c r="C1" s="107" t="s">
        <v>34</v>
      </c>
      <c r="D1" s="107" t="s">
        <v>35</v>
      </c>
      <c r="E1" s="107" t="s">
        <v>36</v>
      </c>
      <c r="F1" s="107" t="s">
        <v>37</v>
      </c>
      <c r="G1" s="107" t="s">
        <v>38</v>
      </c>
      <c r="H1" s="107" t="s">
        <v>39</v>
      </c>
      <c r="I1" s="107" t="s">
        <v>40</v>
      </c>
      <c r="J1" s="107" t="s">
        <v>25</v>
      </c>
      <c r="K1" s="107" t="s">
        <v>41</v>
      </c>
      <c r="L1" s="107" t="s">
        <v>42</v>
      </c>
      <c r="M1" s="107" t="s">
        <v>43</v>
      </c>
      <c r="N1" s="107" t="s">
        <v>44</v>
      </c>
      <c r="O1" s="107" t="s">
        <v>45</v>
      </c>
      <c r="P1" s="107" t="s">
        <v>46</v>
      </c>
      <c r="Q1" s="107" t="s">
        <v>47</v>
      </c>
      <c r="R1" s="107" t="s">
        <v>48</v>
      </c>
      <c r="S1" s="107" t="s">
        <v>49</v>
      </c>
      <c r="T1" s="107" t="s">
        <v>74</v>
      </c>
      <c r="U1" s="107" t="s">
        <v>50</v>
      </c>
      <c r="V1" s="107" t="s">
        <v>51</v>
      </c>
      <c r="W1" s="107" t="s">
        <v>52</v>
      </c>
      <c r="X1" s="107" t="s">
        <v>53</v>
      </c>
      <c r="Y1" s="107" t="s">
        <v>54</v>
      </c>
      <c r="Z1" s="107" t="s">
        <v>55</v>
      </c>
      <c r="AA1" s="107" t="s">
        <v>56</v>
      </c>
      <c r="AB1" s="107" t="s">
        <v>57</v>
      </c>
      <c r="AC1" s="107" t="s">
        <v>58</v>
      </c>
      <c r="AD1" s="107" t="s">
        <v>59</v>
      </c>
      <c r="AE1" s="107" t="s">
        <v>60</v>
      </c>
      <c r="AF1" s="107" t="s">
        <v>75</v>
      </c>
      <c r="AG1" s="107" t="s">
        <v>76</v>
      </c>
      <c r="AH1" s="107" t="s">
        <v>77</v>
      </c>
    </row>
    <row r="2" spans="1:34">
      <c r="A2" s="103">
        <v>66</v>
      </c>
      <c r="B2" s="107">
        <v>7189</v>
      </c>
      <c r="C2" s="107" t="s">
        <v>81</v>
      </c>
      <c r="D2" s="107" t="s">
        <v>82</v>
      </c>
      <c r="E2" s="107">
        <v>873</v>
      </c>
      <c r="F2" s="107">
        <v>879</v>
      </c>
      <c r="G2" s="107">
        <v>1200</v>
      </c>
      <c r="H2" s="107" t="s">
        <v>63</v>
      </c>
      <c r="I2" s="107">
        <v>7278</v>
      </c>
      <c r="J2" s="107" t="s">
        <v>83</v>
      </c>
      <c r="K2" s="107" t="s">
        <v>84</v>
      </c>
      <c r="L2" s="107">
        <v>2565</v>
      </c>
      <c r="M2" s="107">
        <v>2544</v>
      </c>
      <c r="N2" s="107">
        <v>400</v>
      </c>
      <c r="O2" s="107" t="s">
        <v>61</v>
      </c>
      <c r="P2" s="107">
        <v>0.90649433967197801</v>
      </c>
      <c r="Q2" s="107">
        <v>0.93335982613907598</v>
      </c>
      <c r="R2" s="15">
        <v>0.30184546737770201</v>
      </c>
      <c r="S2" s="107">
        <v>2.0616745308715101E-2</v>
      </c>
      <c r="T2" s="107">
        <v>3.0530686822954699E-2</v>
      </c>
      <c r="U2" s="107">
        <v>3.0530686822954699E-2</v>
      </c>
      <c r="V2" s="107">
        <v>0.1</v>
      </c>
      <c r="W2" s="107">
        <v>3.66</v>
      </c>
      <c r="X2" s="107">
        <v>709033</v>
      </c>
      <c r="Y2" s="107">
        <v>35452</v>
      </c>
      <c r="Z2" s="107">
        <v>1.81</v>
      </c>
      <c r="AA2" s="107">
        <v>20</v>
      </c>
      <c r="AB2" s="107">
        <v>13</v>
      </c>
      <c r="AC2" s="107">
        <v>7</v>
      </c>
      <c r="AD2" s="107">
        <v>65</v>
      </c>
      <c r="AE2" s="107">
        <v>11</v>
      </c>
      <c r="AF2" s="107">
        <v>11</v>
      </c>
      <c r="AG2" s="107">
        <v>3</v>
      </c>
      <c r="AH2" s="107">
        <v>6</v>
      </c>
    </row>
    <row r="3" spans="1:34">
      <c r="A3" s="103">
        <v>215</v>
      </c>
      <c r="B3">
        <v>1973</v>
      </c>
      <c r="C3" s="107" t="s">
        <v>310</v>
      </c>
      <c r="D3" s="107" t="s">
        <v>79</v>
      </c>
      <c r="E3">
        <v>3620</v>
      </c>
      <c r="F3">
        <v>3570</v>
      </c>
      <c r="G3">
        <v>300</v>
      </c>
      <c r="H3" s="107" t="s">
        <v>63</v>
      </c>
      <c r="I3">
        <v>4062</v>
      </c>
      <c r="J3" s="107" t="s">
        <v>326</v>
      </c>
      <c r="K3" s="107" t="s">
        <v>87</v>
      </c>
      <c r="L3">
        <v>2625</v>
      </c>
      <c r="M3">
        <v>2608</v>
      </c>
      <c r="N3">
        <v>400</v>
      </c>
      <c r="O3" s="107" t="s">
        <v>61</v>
      </c>
      <c r="P3">
        <v>0.90474297717144803</v>
      </c>
      <c r="Q3">
        <v>0.902336152389278</v>
      </c>
      <c r="R3" s="15">
        <v>5.5662078267086502E-2</v>
      </c>
      <c r="S3" s="107">
        <v>2.7921996656350902E-2</v>
      </c>
      <c r="T3">
        <v>0.493426305828777</v>
      </c>
      <c r="U3">
        <v>0.493426305828777</v>
      </c>
      <c r="V3">
        <v>1.34</v>
      </c>
      <c r="W3">
        <v>2.6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3">
        <v>165</v>
      </c>
      <c r="B4">
        <v>3105</v>
      </c>
      <c r="C4" s="107" t="s">
        <v>90</v>
      </c>
      <c r="D4" s="107" t="s">
        <v>87</v>
      </c>
      <c r="E4">
        <v>1098</v>
      </c>
      <c r="F4">
        <v>1086</v>
      </c>
      <c r="G4">
        <v>800</v>
      </c>
      <c r="H4" s="107" t="s">
        <v>63</v>
      </c>
      <c r="I4">
        <v>6995</v>
      </c>
      <c r="J4" s="107" t="s">
        <v>91</v>
      </c>
      <c r="K4" s="107" t="s">
        <v>84</v>
      </c>
      <c r="L4">
        <v>2258</v>
      </c>
      <c r="M4">
        <v>2263</v>
      </c>
      <c r="N4">
        <v>400</v>
      </c>
      <c r="O4" s="107" t="s">
        <v>61</v>
      </c>
      <c r="P4">
        <v>0.927039141219416</v>
      </c>
      <c r="Q4">
        <v>0.91041302965174198</v>
      </c>
      <c r="R4">
        <v>0.21884057290769901</v>
      </c>
      <c r="S4">
        <v>0.14179378070035201</v>
      </c>
      <c r="T4">
        <v>1.3923639776616501</v>
      </c>
      <c r="U4">
        <v>1.3923639776616501</v>
      </c>
      <c r="V4">
        <v>3.6</v>
      </c>
      <c r="W4">
        <v>4.0199999999999996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3">
        <v>106</v>
      </c>
      <c r="B5">
        <v>4626</v>
      </c>
      <c r="C5" s="107" t="s">
        <v>948</v>
      </c>
      <c r="D5" s="107" t="s">
        <v>62</v>
      </c>
      <c r="E5">
        <v>4350</v>
      </c>
      <c r="F5">
        <v>4315</v>
      </c>
      <c r="G5">
        <v>200</v>
      </c>
      <c r="H5" s="107" t="s">
        <v>61</v>
      </c>
      <c r="I5">
        <v>6134</v>
      </c>
      <c r="J5" s="107" t="s">
        <v>949</v>
      </c>
      <c r="K5" s="107" t="s">
        <v>99</v>
      </c>
      <c r="L5">
        <v>2015</v>
      </c>
      <c r="M5">
        <v>2052</v>
      </c>
      <c r="N5">
        <v>400</v>
      </c>
      <c r="O5" s="107" t="s">
        <v>63</v>
      </c>
      <c r="P5">
        <v>0.93107572445847397</v>
      </c>
      <c r="Q5">
        <v>0.92271556027822099</v>
      </c>
      <c r="R5">
        <v>6.9162018300352707E-2</v>
      </c>
      <c r="S5">
        <v>0.17872469120161699</v>
      </c>
      <c r="T5">
        <v>-1.6578950447895799</v>
      </c>
      <c r="U5">
        <v>1.6578950447895799</v>
      </c>
      <c r="V5">
        <v>-5.75</v>
      </c>
      <c r="W5">
        <v>4.8899999999999997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3">
        <v>198</v>
      </c>
      <c r="B6">
        <v>1963</v>
      </c>
      <c r="C6" s="107" t="s">
        <v>130</v>
      </c>
      <c r="D6" s="107" t="s">
        <v>78</v>
      </c>
      <c r="E6">
        <v>1726</v>
      </c>
      <c r="F6">
        <v>1742</v>
      </c>
      <c r="G6">
        <v>600</v>
      </c>
      <c r="H6" s="107" t="s">
        <v>63</v>
      </c>
      <c r="I6">
        <v>7186</v>
      </c>
      <c r="J6" s="107" t="s">
        <v>1308</v>
      </c>
      <c r="K6" s="107" t="s">
        <v>82</v>
      </c>
      <c r="L6">
        <v>463</v>
      </c>
      <c r="M6">
        <v>461</v>
      </c>
      <c r="N6">
        <v>2300</v>
      </c>
      <c r="O6" s="107" t="s">
        <v>61</v>
      </c>
      <c r="P6">
        <v>0.90235924397258904</v>
      </c>
      <c r="Q6">
        <v>0.90553442236000303</v>
      </c>
      <c r="R6">
        <v>0.11208673806412001</v>
      </c>
      <c r="S6">
        <v>1.8536985468583199E-4</v>
      </c>
      <c r="T6">
        <v>1.6989674710753699</v>
      </c>
      <c r="U6">
        <v>1.6989674710753699</v>
      </c>
      <c r="V6">
        <v>6.25</v>
      </c>
      <c r="W6">
        <v>1.44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3">
        <v>40</v>
      </c>
      <c r="B7">
        <v>3635</v>
      </c>
      <c r="C7" s="107" t="s">
        <v>85</v>
      </c>
      <c r="D7" s="107" t="s">
        <v>79</v>
      </c>
      <c r="E7">
        <v>2727</v>
      </c>
      <c r="F7">
        <v>2709</v>
      </c>
      <c r="G7">
        <v>400</v>
      </c>
      <c r="H7" s="107" t="s">
        <v>63</v>
      </c>
      <c r="I7">
        <v>6845</v>
      </c>
      <c r="J7" s="107" t="s">
        <v>307</v>
      </c>
      <c r="K7" s="107" t="s">
        <v>87</v>
      </c>
      <c r="L7">
        <v>3260</v>
      </c>
      <c r="M7">
        <v>3205</v>
      </c>
      <c r="N7">
        <v>300</v>
      </c>
      <c r="O7" s="107" t="s">
        <v>61</v>
      </c>
      <c r="P7">
        <v>0.90971432567619903</v>
      </c>
      <c r="Q7">
        <v>0.94276442426871299</v>
      </c>
      <c r="R7">
        <v>0.15724100443713501</v>
      </c>
      <c r="S7">
        <v>0.14591572573814299</v>
      </c>
      <c r="T7">
        <v>1.92933119841597</v>
      </c>
      <c r="U7">
        <v>1.92933119841597</v>
      </c>
      <c r="V7">
        <v>4.1100000000000003</v>
      </c>
      <c r="W7">
        <v>12.7</v>
      </c>
      <c r="X7">
        <v>542091</v>
      </c>
      <c r="Y7">
        <v>31888</v>
      </c>
      <c r="Z7">
        <v>1.61</v>
      </c>
      <c r="AA7">
        <v>17</v>
      </c>
      <c r="AB7">
        <v>14</v>
      </c>
      <c r="AC7">
        <v>3</v>
      </c>
      <c r="AD7">
        <v>82.35</v>
      </c>
      <c r="AE7">
        <v>12</v>
      </c>
      <c r="AF7">
        <v>8</v>
      </c>
      <c r="AG7">
        <v>2</v>
      </c>
      <c r="AH7">
        <v>7</v>
      </c>
    </row>
    <row r="8" spans="1:34">
      <c r="A8" s="103">
        <v>52</v>
      </c>
      <c r="B8">
        <v>2914</v>
      </c>
      <c r="C8" s="107" t="s">
        <v>96</v>
      </c>
      <c r="D8" s="107" t="s">
        <v>97</v>
      </c>
      <c r="E8">
        <v>2518</v>
      </c>
      <c r="F8">
        <v>2501.5</v>
      </c>
      <c r="G8">
        <v>400</v>
      </c>
      <c r="H8" s="107" t="s">
        <v>61</v>
      </c>
      <c r="I8">
        <v>7189</v>
      </c>
      <c r="J8" s="107" t="s">
        <v>81</v>
      </c>
      <c r="K8" s="107" t="s">
        <v>82</v>
      </c>
      <c r="L8">
        <v>873</v>
      </c>
      <c r="M8">
        <v>879</v>
      </c>
      <c r="N8">
        <v>1100</v>
      </c>
      <c r="O8" s="107" t="s">
        <v>63</v>
      </c>
      <c r="P8">
        <v>0.91033945217374401</v>
      </c>
      <c r="Q8">
        <v>0.93928907246460602</v>
      </c>
      <c r="R8">
        <v>0.14137054949476199</v>
      </c>
      <c r="S8" s="15">
        <v>2.5503678770511899E-2</v>
      </c>
      <c r="T8">
        <v>-1.2312172121365901</v>
      </c>
      <c r="U8">
        <v>1.2312172121365901</v>
      </c>
      <c r="V8">
        <v>-8.1999999999999993</v>
      </c>
      <c r="W8">
        <v>3.37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03">
        <v>2</v>
      </c>
      <c r="B9">
        <v>3635</v>
      </c>
      <c r="C9" s="107" t="s">
        <v>85</v>
      </c>
      <c r="D9" s="107" t="s">
        <v>79</v>
      </c>
      <c r="E9">
        <v>2727</v>
      </c>
      <c r="F9">
        <v>2709</v>
      </c>
      <c r="G9">
        <v>400</v>
      </c>
      <c r="H9" s="107" t="s">
        <v>61</v>
      </c>
      <c r="I9">
        <v>6920</v>
      </c>
      <c r="J9" s="107" t="s">
        <v>86</v>
      </c>
      <c r="K9" s="107" t="s">
        <v>87</v>
      </c>
      <c r="L9">
        <v>9950</v>
      </c>
      <c r="M9">
        <v>9850</v>
      </c>
      <c r="N9">
        <v>100</v>
      </c>
      <c r="O9" s="107" t="s">
        <v>63</v>
      </c>
      <c r="P9">
        <v>0.93584069643476198</v>
      </c>
      <c r="Q9">
        <v>0.96795276599319702</v>
      </c>
      <c r="R9">
        <v>6.0964592358863298E-2</v>
      </c>
      <c r="S9" s="15">
        <v>7.9078946533334799E-4</v>
      </c>
      <c r="T9">
        <v>-1.4321381115162599</v>
      </c>
      <c r="U9">
        <v>1.4321381115162599</v>
      </c>
      <c r="V9">
        <v>-15.11</v>
      </c>
      <c r="W9">
        <v>10.01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03">
        <v>195</v>
      </c>
      <c r="B10">
        <v>5393</v>
      </c>
      <c r="C10" s="107" t="s">
        <v>333</v>
      </c>
      <c r="D10" s="107" t="s">
        <v>106</v>
      </c>
      <c r="E10">
        <v>2749</v>
      </c>
      <c r="F10">
        <v>2736</v>
      </c>
      <c r="G10">
        <v>400</v>
      </c>
      <c r="H10" s="107" t="s">
        <v>63</v>
      </c>
      <c r="I10">
        <v>8253</v>
      </c>
      <c r="J10" s="107" t="s">
        <v>1273</v>
      </c>
      <c r="K10" s="107" t="s">
        <v>299</v>
      </c>
      <c r="L10">
        <v>1901</v>
      </c>
      <c r="M10">
        <v>1908</v>
      </c>
      <c r="N10">
        <v>600</v>
      </c>
      <c r="O10" s="107" t="s">
        <v>61</v>
      </c>
      <c r="P10">
        <v>0.96666606319068904</v>
      </c>
      <c r="Q10">
        <v>0.905843612450553</v>
      </c>
      <c r="R10">
        <v>0.32190303743600701</v>
      </c>
      <c r="S10">
        <v>0.14765584771675799</v>
      </c>
      <c r="T10">
        <v>0.25714992603648801</v>
      </c>
      <c r="U10">
        <v>0.25714992603648801</v>
      </c>
      <c r="V10">
        <v>1.0900000000000001</v>
      </c>
      <c r="W10">
        <v>4.6100000000000003</v>
      </c>
      <c r="X10">
        <v>477201</v>
      </c>
      <c r="Y10">
        <v>28071</v>
      </c>
      <c r="Z10">
        <v>1.44</v>
      </c>
      <c r="AA10">
        <v>17</v>
      </c>
      <c r="AB10">
        <v>14</v>
      </c>
      <c r="AC10">
        <v>3</v>
      </c>
      <c r="AD10">
        <v>82.35</v>
      </c>
      <c r="AE10">
        <v>12</v>
      </c>
      <c r="AF10">
        <v>9</v>
      </c>
      <c r="AG10">
        <v>1</v>
      </c>
      <c r="AH10">
        <v>7</v>
      </c>
    </row>
    <row r="11" spans="1:34">
      <c r="A11" s="103">
        <v>84</v>
      </c>
      <c r="B11">
        <v>3635</v>
      </c>
      <c r="C11" s="107" t="s">
        <v>85</v>
      </c>
      <c r="D11" s="107" t="s">
        <v>79</v>
      </c>
      <c r="E11">
        <v>2727</v>
      </c>
      <c r="F11">
        <v>2709</v>
      </c>
      <c r="G11">
        <v>400</v>
      </c>
      <c r="H11" s="107" t="s">
        <v>61</v>
      </c>
      <c r="I11">
        <v>6755</v>
      </c>
      <c r="J11" s="107" t="s">
        <v>1274</v>
      </c>
      <c r="K11" s="107" t="s">
        <v>87</v>
      </c>
      <c r="L11">
        <v>2362</v>
      </c>
      <c r="M11">
        <v>2350</v>
      </c>
      <c r="N11">
        <v>500</v>
      </c>
      <c r="O11" s="107" t="s">
        <v>63</v>
      </c>
      <c r="P11">
        <v>0.94281807242892102</v>
      </c>
      <c r="Q11">
        <v>0.92842546784120294</v>
      </c>
      <c r="R11">
        <v>0.120904950835419</v>
      </c>
      <c r="S11">
        <v>0.100296155042886</v>
      </c>
      <c r="T11">
        <v>-2.6135903495003898</v>
      </c>
      <c r="U11">
        <v>2.6135903495003898</v>
      </c>
      <c r="V11">
        <v>-10.49</v>
      </c>
      <c r="W11">
        <v>8.43</v>
      </c>
      <c r="X11">
        <v>456031</v>
      </c>
      <c r="Y11">
        <v>26825</v>
      </c>
      <c r="Z11">
        <v>1.32</v>
      </c>
      <c r="AA11">
        <v>17</v>
      </c>
      <c r="AB11">
        <v>11</v>
      </c>
      <c r="AC11">
        <v>6</v>
      </c>
      <c r="AD11">
        <v>64.709999999999994</v>
      </c>
      <c r="AE11">
        <v>12</v>
      </c>
      <c r="AF11">
        <v>10</v>
      </c>
      <c r="AG11">
        <v>3</v>
      </c>
      <c r="AH11">
        <v>4</v>
      </c>
    </row>
    <row r="12" spans="1:34">
      <c r="A12" s="103">
        <v>18</v>
      </c>
      <c r="B12">
        <v>1928</v>
      </c>
      <c r="C12" s="107" t="s">
        <v>302</v>
      </c>
      <c r="D12" s="107" t="s">
        <v>78</v>
      </c>
      <c r="E12">
        <v>2401</v>
      </c>
      <c r="F12">
        <v>2369.5</v>
      </c>
      <c r="G12">
        <v>400</v>
      </c>
      <c r="H12" s="107" t="s">
        <v>61</v>
      </c>
      <c r="I12">
        <v>4062</v>
      </c>
      <c r="J12" s="107" t="s">
        <v>326</v>
      </c>
      <c r="K12" s="107" t="s">
        <v>87</v>
      </c>
      <c r="L12">
        <v>2625</v>
      </c>
      <c r="M12">
        <v>2608</v>
      </c>
      <c r="N12">
        <v>400</v>
      </c>
      <c r="O12" s="107" t="s">
        <v>63</v>
      </c>
      <c r="P12">
        <v>0.93394233263238302</v>
      </c>
      <c r="Q12">
        <v>0.95243154285142695</v>
      </c>
      <c r="R12">
        <v>2.9621396314578601E-2</v>
      </c>
      <c r="S12" s="15">
        <v>7.5486389724147604E-2</v>
      </c>
      <c r="T12">
        <v>-1.4895137414662101</v>
      </c>
      <c r="U12">
        <v>1.4895137414662101</v>
      </c>
      <c r="V12">
        <v>-4.22</v>
      </c>
      <c r="W12">
        <v>9.14</v>
      </c>
      <c r="X12">
        <v>454397</v>
      </c>
      <c r="Y12">
        <v>28400</v>
      </c>
      <c r="Z12">
        <v>1.52</v>
      </c>
      <c r="AA12">
        <v>16</v>
      </c>
      <c r="AB12">
        <v>13</v>
      </c>
      <c r="AC12">
        <v>3</v>
      </c>
      <c r="AD12">
        <v>81.25</v>
      </c>
      <c r="AE12">
        <v>11</v>
      </c>
      <c r="AF12">
        <v>9</v>
      </c>
      <c r="AG12">
        <v>2</v>
      </c>
      <c r="AH12">
        <v>5</v>
      </c>
    </row>
    <row r="13" spans="1:34">
      <c r="A13" s="103">
        <v>46</v>
      </c>
      <c r="B13">
        <v>1951</v>
      </c>
      <c r="C13" s="107" t="s">
        <v>1309</v>
      </c>
      <c r="D13" s="107" t="s">
        <v>78</v>
      </c>
      <c r="E13">
        <v>2911</v>
      </c>
      <c r="F13">
        <v>2859</v>
      </c>
      <c r="G13">
        <v>300</v>
      </c>
      <c r="H13" s="107" t="s">
        <v>61</v>
      </c>
      <c r="I13">
        <v>4042</v>
      </c>
      <c r="J13" s="107" t="s">
        <v>1310</v>
      </c>
      <c r="K13" s="107" t="s">
        <v>62</v>
      </c>
      <c r="L13">
        <v>1687</v>
      </c>
      <c r="M13">
        <v>1707</v>
      </c>
      <c r="N13">
        <v>500</v>
      </c>
      <c r="O13" s="107" t="s">
        <v>63</v>
      </c>
      <c r="P13">
        <v>0.90234379917297303</v>
      </c>
      <c r="Q13">
        <v>0.94005586292935805</v>
      </c>
      <c r="R13">
        <v>5.3677926905130603E-2</v>
      </c>
      <c r="S13" s="15">
        <v>2.5601143161935798E-5</v>
      </c>
      <c r="T13">
        <v>-2.01129245740049</v>
      </c>
      <c r="U13">
        <v>2.01129245740049</v>
      </c>
      <c r="V13">
        <v>-6.62</v>
      </c>
      <c r="W13">
        <v>0.49</v>
      </c>
      <c r="X13">
        <v>442222</v>
      </c>
      <c r="Y13">
        <v>24568</v>
      </c>
      <c r="Z13">
        <v>1.28</v>
      </c>
      <c r="AA13">
        <v>18</v>
      </c>
      <c r="AB13">
        <v>12</v>
      </c>
      <c r="AC13">
        <v>6</v>
      </c>
      <c r="AD13">
        <v>66.67</v>
      </c>
      <c r="AE13">
        <v>10</v>
      </c>
      <c r="AF13">
        <v>11</v>
      </c>
      <c r="AG13">
        <v>3</v>
      </c>
      <c r="AH13">
        <v>4</v>
      </c>
    </row>
    <row r="14" spans="1:34">
      <c r="A14" s="103">
        <v>76</v>
      </c>
      <c r="B14">
        <v>4204</v>
      </c>
      <c r="C14" s="107" t="s">
        <v>324</v>
      </c>
      <c r="D14" s="107" t="s">
        <v>62</v>
      </c>
      <c r="E14">
        <v>1941</v>
      </c>
      <c r="F14">
        <v>1926</v>
      </c>
      <c r="G14">
        <v>400</v>
      </c>
      <c r="H14" s="107" t="s">
        <v>61</v>
      </c>
      <c r="I14">
        <v>4626</v>
      </c>
      <c r="J14" s="107" t="s">
        <v>948</v>
      </c>
      <c r="K14" s="107" t="s">
        <v>62</v>
      </c>
      <c r="L14">
        <v>4350</v>
      </c>
      <c r="M14">
        <v>4315</v>
      </c>
      <c r="N14">
        <v>200</v>
      </c>
      <c r="O14" s="107" t="s">
        <v>63</v>
      </c>
      <c r="P14">
        <v>0.92543351581627997</v>
      </c>
      <c r="Q14">
        <v>0.930388591013526</v>
      </c>
      <c r="R14">
        <v>0.36912479146980498</v>
      </c>
      <c r="S14" s="15">
        <v>2.7766153780734899E-2</v>
      </c>
      <c r="T14">
        <v>-1.0641943554937801</v>
      </c>
      <c r="U14">
        <v>1.0641943554937801</v>
      </c>
      <c r="V14">
        <v>-3.9</v>
      </c>
      <c r="W14">
        <v>10.73</v>
      </c>
      <c r="X14">
        <v>440364</v>
      </c>
      <c r="Y14">
        <v>23177</v>
      </c>
      <c r="Z14">
        <v>1.21</v>
      </c>
      <c r="AA14">
        <v>19</v>
      </c>
      <c r="AB14">
        <v>13</v>
      </c>
      <c r="AC14">
        <v>6</v>
      </c>
      <c r="AD14">
        <v>68.42</v>
      </c>
      <c r="AE14">
        <v>15</v>
      </c>
      <c r="AF14">
        <v>9</v>
      </c>
      <c r="AG14">
        <v>1</v>
      </c>
      <c r="AH14">
        <v>9</v>
      </c>
    </row>
    <row r="15" spans="1:34">
      <c r="A15" s="103">
        <v>19</v>
      </c>
      <c r="B15">
        <v>5991</v>
      </c>
      <c r="C15" s="107" t="s">
        <v>115</v>
      </c>
      <c r="D15" s="107" t="s">
        <v>116</v>
      </c>
      <c r="E15">
        <v>1021</v>
      </c>
      <c r="F15">
        <v>1021</v>
      </c>
      <c r="G15">
        <v>1000</v>
      </c>
      <c r="H15" s="107" t="s">
        <v>63</v>
      </c>
      <c r="I15">
        <v>7278</v>
      </c>
      <c r="J15" s="107" t="s">
        <v>83</v>
      </c>
      <c r="K15" s="107" t="s">
        <v>84</v>
      </c>
      <c r="L15">
        <v>2565</v>
      </c>
      <c r="M15">
        <v>2544</v>
      </c>
      <c r="N15">
        <v>400</v>
      </c>
      <c r="O15" s="107" t="s">
        <v>61</v>
      </c>
      <c r="P15">
        <v>0.93360058586321304</v>
      </c>
      <c r="Q15">
        <v>0.95110416520535002</v>
      </c>
      <c r="R15" s="107">
        <v>0.16869255927370599</v>
      </c>
      <c r="S15" s="15">
        <v>6.5456899490841103E-3</v>
      </c>
      <c r="T15">
        <v>1.3278523391883701</v>
      </c>
      <c r="U15">
        <v>1.3278523391883701</v>
      </c>
      <c r="V15">
        <v>3.15</v>
      </c>
      <c r="W15">
        <v>0.33</v>
      </c>
      <c r="X15">
        <v>437615</v>
      </c>
      <c r="Y15">
        <v>24312</v>
      </c>
      <c r="Z15">
        <v>1.1399999999999999</v>
      </c>
      <c r="AA15">
        <v>18</v>
      </c>
      <c r="AB15">
        <v>13</v>
      </c>
      <c r="AC15">
        <v>5</v>
      </c>
      <c r="AD15">
        <v>72.22</v>
      </c>
      <c r="AE15">
        <v>13</v>
      </c>
      <c r="AF15">
        <v>8</v>
      </c>
      <c r="AG15">
        <v>1</v>
      </c>
      <c r="AH15">
        <v>9</v>
      </c>
    </row>
    <row r="16" spans="1:34">
      <c r="A16" s="103">
        <v>38</v>
      </c>
      <c r="B16">
        <v>1973</v>
      </c>
      <c r="C16" s="107" t="s">
        <v>310</v>
      </c>
      <c r="D16" s="107" t="s">
        <v>79</v>
      </c>
      <c r="E16">
        <v>3620</v>
      </c>
      <c r="F16">
        <v>3570</v>
      </c>
      <c r="G16">
        <v>300</v>
      </c>
      <c r="H16" s="107" t="s">
        <v>63</v>
      </c>
      <c r="I16">
        <v>3635</v>
      </c>
      <c r="J16" s="107" t="s">
        <v>85</v>
      </c>
      <c r="K16" s="107" t="s">
        <v>79</v>
      </c>
      <c r="L16">
        <v>2727</v>
      </c>
      <c r="M16">
        <v>2709</v>
      </c>
      <c r="N16">
        <v>400</v>
      </c>
      <c r="O16" s="107" t="s">
        <v>61</v>
      </c>
      <c r="P16">
        <v>0.94926438580290895</v>
      </c>
      <c r="Q16">
        <v>0.94317229182948503</v>
      </c>
      <c r="R16">
        <v>8.7949950181474296E-3</v>
      </c>
      <c r="S16" s="15">
        <v>2.33370920769637E-2</v>
      </c>
      <c r="T16">
        <v>0.34157573175174999</v>
      </c>
      <c r="U16">
        <v>0.34157573175174999</v>
      </c>
      <c r="V16">
        <v>0.99</v>
      </c>
      <c r="W16">
        <v>1.18</v>
      </c>
      <c r="X16">
        <v>416117</v>
      </c>
      <c r="Y16">
        <v>26007</v>
      </c>
      <c r="Z16">
        <v>1.37</v>
      </c>
      <c r="AA16">
        <v>16</v>
      </c>
      <c r="AB16">
        <v>12</v>
      </c>
      <c r="AC16">
        <v>4</v>
      </c>
      <c r="AD16">
        <v>75</v>
      </c>
      <c r="AE16">
        <v>13</v>
      </c>
      <c r="AF16">
        <v>8</v>
      </c>
      <c r="AG16">
        <v>1</v>
      </c>
      <c r="AH16">
        <v>7</v>
      </c>
    </row>
    <row r="17" spans="1:34">
      <c r="A17" s="103">
        <v>191</v>
      </c>
      <c r="B17">
        <v>3861</v>
      </c>
      <c r="C17" s="107" t="s">
        <v>65</v>
      </c>
      <c r="D17" s="107" t="s">
        <v>80</v>
      </c>
      <c r="E17">
        <v>647</v>
      </c>
      <c r="F17">
        <v>643</v>
      </c>
      <c r="G17">
        <v>1300</v>
      </c>
      <c r="H17" s="107" t="s">
        <v>63</v>
      </c>
      <c r="I17">
        <v>4183</v>
      </c>
      <c r="J17" s="107" t="s">
        <v>301</v>
      </c>
      <c r="K17" s="107" t="s">
        <v>62</v>
      </c>
      <c r="L17">
        <v>2790</v>
      </c>
      <c r="M17">
        <v>2776</v>
      </c>
      <c r="N17">
        <v>300</v>
      </c>
      <c r="O17" s="107" t="s">
        <v>61</v>
      </c>
      <c r="P17">
        <v>0.923806697971985</v>
      </c>
      <c r="Q17">
        <v>0.90630191803330995</v>
      </c>
      <c r="R17">
        <v>0.146394319217486</v>
      </c>
      <c r="S17" s="15">
        <v>0.14847157441981099</v>
      </c>
      <c r="T17">
        <v>1.03941556363798</v>
      </c>
      <c r="U17">
        <v>1.03941556363798</v>
      </c>
      <c r="V17">
        <v>4.47</v>
      </c>
      <c r="W17">
        <v>0.37</v>
      </c>
      <c r="X17">
        <v>408613</v>
      </c>
      <c r="Y17">
        <v>17766</v>
      </c>
      <c r="Z17">
        <v>0.95</v>
      </c>
      <c r="AA17">
        <v>23</v>
      </c>
      <c r="AB17">
        <v>15</v>
      </c>
      <c r="AC17">
        <v>8</v>
      </c>
      <c r="AD17">
        <v>65.22</v>
      </c>
      <c r="AE17">
        <v>13</v>
      </c>
      <c r="AF17">
        <v>10</v>
      </c>
      <c r="AG17">
        <v>4</v>
      </c>
      <c r="AH17">
        <v>9</v>
      </c>
    </row>
    <row r="18" spans="1:34">
      <c r="A18" s="103">
        <v>213</v>
      </c>
      <c r="B18">
        <v>8593</v>
      </c>
      <c r="C18" s="107" t="s">
        <v>311</v>
      </c>
      <c r="D18" s="107" t="s">
        <v>299</v>
      </c>
      <c r="E18">
        <v>716</v>
      </c>
      <c r="F18">
        <v>707</v>
      </c>
      <c r="G18">
        <v>1300</v>
      </c>
      <c r="H18" s="107" t="s">
        <v>63</v>
      </c>
      <c r="I18">
        <v>9437</v>
      </c>
      <c r="J18" s="107" t="s">
        <v>1028</v>
      </c>
      <c r="K18" s="107" t="s">
        <v>79</v>
      </c>
      <c r="L18">
        <v>3050</v>
      </c>
      <c r="M18">
        <v>3025</v>
      </c>
      <c r="N18">
        <v>300</v>
      </c>
      <c r="O18" s="107" t="s">
        <v>61</v>
      </c>
      <c r="P18">
        <v>0.900644159262458</v>
      </c>
      <c r="Q18">
        <v>0.90315723454073804</v>
      </c>
      <c r="R18" s="107">
        <v>5.4021931405491601E-2</v>
      </c>
      <c r="S18" s="15">
        <v>0.14841654413820299</v>
      </c>
      <c r="T18">
        <v>0.84863073688744795</v>
      </c>
      <c r="U18">
        <v>0.84863073688744795</v>
      </c>
      <c r="V18">
        <v>2.54</v>
      </c>
      <c r="W18">
        <v>1.28</v>
      </c>
      <c r="X18">
        <v>399560</v>
      </c>
      <c r="Y18">
        <v>33297</v>
      </c>
      <c r="Z18">
        <v>1.73</v>
      </c>
      <c r="AA18">
        <v>12</v>
      </c>
      <c r="AB18">
        <v>9</v>
      </c>
      <c r="AC18">
        <v>3</v>
      </c>
      <c r="AD18">
        <v>75</v>
      </c>
      <c r="AE18">
        <v>12</v>
      </c>
      <c r="AF18">
        <v>7</v>
      </c>
      <c r="AG18">
        <v>1</v>
      </c>
      <c r="AH18">
        <v>4</v>
      </c>
    </row>
    <row r="19" spans="1:34">
      <c r="A19" s="103">
        <v>162</v>
      </c>
      <c r="B19">
        <v>4182</v>
      </c>
      <c r="C19" s="107" t="s">
        <v>88</v>
      </c>
      <c r="D19" s="107" t="s">
        <v>62</v>
      </c>
      <c r="E19">
        <v>1728</v>
      </c>
      <c r="F19">
        <v>1730</v>
      </c>
      <c r="G19">
        <v>500</v>
      </c>
      <c r="H19" s="107" t="s">
        <v>63</v>
      </c>
      <c r="I19">
        <v>7259</v>
      </c>
      <c r="J19" s="107" t="s">
        <v>29</v>
      </c>
      <c r="K19" s="107" t="s">
        <v>84</v>
      </c>
      <c r="L19">
        <v>4260</v>
      </c>
      <c r="M19">
        <v>4265</v>
      </c>
      <c r="N19">
        <v>200</v>
      </c>
      <c r="O19" s="107" t="s">
        <v>61</v>
      </c>
      <c r="P19">
        <v>0.91840309650811403</v>
      </c>
      <c r="Q19">
        <v>0.91048500448358205</v>
      </c>
      <c r="R19" s="15">
        <v>0.28935424237667201</v>
      </c>
      <c r="S19">
        <v>3.48243638868918E-2</v>
      </c>
      <c r="T19">
        <v>0.231576838224644</v>
      </c>
      <c r="U19">
        <v>0.231576838224644</v>
      </c>
      <c r="V19">
        <v>0.85</v>
      </c>
      <c r="W19">
        <v>1.41</v>
      </c>
      <c r="X19">
        <v>398323</v>
      </c>
      <c r="Y19">
        <v>22129</v>
      </c>
      <c r="Z19">
        <v>1.2</v>
      </c>
      <c r="AA19">
        <v>18</v>
      </c>
      <c r="AB19">
        <v>13</v>
      </c>
      <c r="AC19">
        <v>5</v>
      </c>
      <c r="AD19">
        <v>72.22</v>
      </c>
      <c r="AE19">
        <v>12</v>
      </c>
      <c r="AF19">
        <v>9</v>
      </c>
      <c r="AG19">
        <v>2</v>
      </c>
      <c r="AH19">
        <v>7</v>
      </c>
    </row>
    <row r="20" spans="1:34">
      <c r="A20" s="103">
        <v>173</v>
      </c>
      <c r="B20">
        <v>6952</v>
      </c>
      <c r="C20" s="107" t="s">
        <v>957</v>
      </c>
      <c r="D20" s="107" t="s">
        <v>87</v>
      </c>
      <c r="E20">
        <v>2179</v>
      </c>
      <c r="F20">
        <v>2157</v>
      </c>
      <c r="G20">
        <v>400</v>
      </c>
      <c r="H20" s="107" t="s">
        <v>61</v>
      </c>
      <c r="I20">
        <v>7729</v>
      </c>
      <c r="J20" s="107" t="s">
        <v>1311</v>
      </c>
      <c r="K20" s="107" t="s">
        <v>93</v>
      </c>
      <c r="L20">
        <v>4285</v>
      </c>
      <c r="M20">
        <v>4185</v>
      </c>
      <c r="N20">
        <v>200</v>
      </c>
      <c r="O20" s="107" t="s">
        <v>63</v>
      </c>
      <c r="P20">
        <v>0.95068172394644901</v>
      </c>
      <c r="Q20">
        <v>0.90838374048180703</v>
      </c>
      <c r="R20">
        <v>4.9365483975600297E-2</v>
      </c>
      <c r="S20">
        <v>6.8555840011058397E-2</v>
      </c>
      <c r="T20">
        <v>-9.0016508311770396E-2</v>
      </c>
      <c r="U20">
        <v>9.0016508311770396E-2</v>
      </c>
      <c r="V20">
        <v>-0.3</v>
      </c>
      <c r="W20">
        <v>3.08</v>
      </c>
      <c r="X20">
        <v>385325</v>
      </c>
      <c r="Y20">
        <v>18349</v>
      </c>
      <c r="Z20">
        <v>0.8</v>
      </c>
      <c r="AA20">
        <v>21</v>
      </c>
      <c r="AB20">
        <v>12</v>
      </c>
      <c r="AC20">
        <v>9</v>
      </c>
      <c r="AD20">
        <v>57.14</v>
      </c>
      <c r="AE20">
        <v>11</v>
      </c>
      <c r="AF20">
        <v>11</v>
      </c>
      <c r="AG20">
        <v>6</v>
      </c>
      <c r="AH20">
        <v>4</v>
      </c>
    </row>
    <row r="21" spans="1:34">
      <c r="A21" s="103">
        <v>123</v>
      </c>
      <c r="B21">
        <v>1963</v>
      </c>
      <c r="C21" s="107" t="s">
        <v>130</v>
      </c>
      <c r="D21" s="107" t="s">
        <v>78</v>
      </c>
      <c r="E21">
        <v>1726</v>
      </c>
      <c r="F21">
        <v>1742</v>
      </c>
      <c r="G21">
        <v>600</v>
      </c>
      <c r="H21" s="107" t="s">
        <v>61</v>
      </c>
      <c r="I21">
        <v>5802</v>
      </c>
      <c r="J21" s="107" t="s">
        <v>131</v>
      </c>
      <c r="K21" s="107" t="s">
        <v>132</v>
      </c>
      <c r="L21">
        <v>1688.5</v>
      </c>
      <c r="M21">
        <v>1690.5</v>
      </c>
      <c r="N21">
        <v>600</v>
      </c>
      <c r="O21" s="107" t="s">
        <v>63</v>
      </c>
      <c r="P21">
        <v>0.90385651743169804</v>
      </c>
      <c r="Q21">
        <v>0.91805118270665798</v>
      </c>
      <c r="R21">
        <v>0.11894705890195</v>
      </c>
      <c r="S21" s="107">
        <v>1.01799053504821E-3</v>
      </c>
      <c r="T21">
        <v>-7.7545330292605699E-2</v>
      </c>
      <c r="U21">
        <v>7.7545330292605699E-2</v>
      </c>
      <c r="V21">
        <v>-0.24</v>
      </c>
      <c r="W21">
        <v>2.96</v>
      </c>
      <c r="X21">
        <v>383249</v>
      </c>
      <c r="Y21">
        <v>14740</v>
      </c>
      <c r="Z21">
        <v>0.74</v>
      </c>
      <c r="AA21">
        <v>26</v>
      </c>
      <c r="AB21">
        <v>16</v>
      </c>
      <c r="AC21">
        <v>10</v>
      </c>
      <c r="AD21">
        <v>61.54</v>
      </c>
      <c r="AE21">
        <v>13</v>
      </c>
      <c r="AF21">
        <v>13</v>
      </c>
      <c r="AG21">
        <v>6</v>
      </c>
      <c r="AH21">
        <v>7</v>
      </c>
    </row>
    <row r="22" spans="1:34">
      <c r="A22" s="103">
        <v>223</v>
      </c>
      <c r="B22">
        <v>1941</v>
      </c>
      <c r="C22" s="107" t="s">
        <v>1312</v>
      </c>
      <c r="D22" s="107" t="s">
        <v>78</v>
      </c>
      <c r="E22">
        <v>2644</v>
      </c>
      <c r="F22">
        <v>2623</v>
      </c>
      <c r="G22">
        <v>400</v>
      </c>
      <c r="H22" s="107" t="s">
        <v>61</v>
      </c>
      <c r="I22">
        <v>6287</v>
      </c>
      <c r="J22" s="107" t="s">
        <v>951</v>
      </c>
      <c r="K22" s="107" t="s">
        <v>99</v>
      </c>
      <c r="L22">
        <v>3455</v>
      </c>
      <c r="M22">
        <v>3455</v>
      </c>
      <c r="N22">
        <v>300</v>
      </c>
      <c r="O22" s="107" t="s">
        <v>63</v>
      </c>
      <c r="P22">
        <v>0.920106707845048</v>
      </c>
      <c r="Q22">
        <v>0.90087008502911003</v>
      </c>
      <c r="R22" s="15">
        <v>0.33223685851796098</v>
      </c>
      <c r="S22" s="15">
        <v>3.8303698863180902E-4</v>
      </c>
      <c r="T22">
        <v>-1.38599546467041</v>
      </c>
      <c r="U22">
        <v>1.38599546467041</v>
      </c>
      <c r="V22">
        <v>-6.11</v>
      </c>
      <c r="W22">
        <v>1.23</v>
      </c>
      <c r="X22">
        <v>380168</v>
      </c>
      <c r="Y22">
        <v>25345</v>
      </c>
      <c r="Z22">
        <v>1.27</v>
      </c>
      <c r="AA22">
        <v>15</v>
      </c>
      <c r="AB22">
        <v>10</v>
      </c>
      <c r="AC22">
        <v>5</v>
      </c>
      <c r="AD22">
        <v>66.67</v>
      </c>
      <c r="AE22">
        <v>14</v>
      </c>
      <c r="AF22">
        <v>6</v>
      </c>
      <c r="AG22">
        <v>2</v>
      </c>
      <c r="AH22">
        <v>7</v>
      </c>
    </row>
    <row r="23" spans="1:34">
      <c r="A23" s="103">
        <v>214</v>
      </c>
      <c r="B23">
        <v>1719</v>
      </c>
      <c r="C23" s="107" t="s">
        <v>1313</v>
      </c>
      <c r="D23" s="107" t="s">
        <v>78</v>
      </c>
      <c r="E23">
        <v>969</v>
      </c>
      <c r="F23">
        <v>954</v>
      </c>
      <c r="G23">
        <v>1100</v>
      </c>
      <c r="H23" s="107" t="s">
        <v>63</v>
      </c>
      <c r="I23">
        <v>1803</v>
      </c>
      <c r="J23" s="107" t="s">
        <v>1314</v>
      </c>
      <c r="K23" s="107" t="s">
        <v>78</v>
      </c>
      <c r="L23">
        <v>1134</v>
      </c>
      <c r="M23">
        <v>1126</v>
      </c>
      <c r="N23">
        <v>900</v>
      </c>
      <c r="O23" s="107" t="s">
        <v>61</v>
      </c>
      <c r="P23">
        <v>0.94103047879241197</v>
      </c>
      <c r="Q23">
        <v>0.90311170876125202</v>
      </c>
      <c r="R23" s="107">
        <v>8.85451032962206E-3</v>
      </c>
      <c r="S23">
        <v>6.8225693843072394E-2</v>
      </c>
      <c r="T23">
        <v>0.94649977484622905</v>
      </c>
      <c r="U23">
        <v>0.94649977484622905</v>
      </c>
      <c r="V23">
        <v>3.61</v>
      </c>
      <c r="W23">
        <v>3.55</v>
      </c>
      <c r="X23">
        <v>366456</v>
      </c>
      <c r="Y23">
        <v>16657</v>
      </c>
      <c r="Z23">
        <v>0.79</v>
      </c>
      <c r="AA23">
        <v>22</v>
      </c>
      <c r="AB23">
        <v>13</v>
      </c>
      <c r="AC23">
        <v>9</v>
      </c>
      <c r="AD23">
        <v>59.09</v>
      </c>
      <c r="AE23">
        <v>11</v>
      </c>
      <c r="AF23">
        <v>12</v>
      </c>
      <c r="AG23">
        <v>4</v>
      </c>
      <c r="AH23">
        <v>6</v>
      </c>
    </row>
    <row r="24" spans="1:34">
      <c r="A24" s="103">
        <v>116</v>
      </c>
      <c r="B24">
        <v>5991</v>
      </c>
      <c r="C24" s="107" t="s">
        <v>115</v>
      </c>
      <c r="D24" s="107" t="s">
        <v>116</v>
      </c>
      <c r="E24">
        <v>1021</v>
      </c>
      <c r="F24">
        <v>1021</v>
      </c>
      <c r="G24">
        <v>900</v>
      </c>
      <c r="H24" s="107" t="s">
        <v>63</v>
      </c>
      <c r="I24">
        <v>6923</v>
      </c>
      <c r="J24" s="107" t="s">
        <v>112</v>
      </c>
      <c r="K24" s="107" t="s">
        <v>87</v>
      </c>
      <c r="L24">
        <v>3155</v>
      </c>
      <c r="M24">
        <v>3175</v>
      </c>
      <c r="N24">
        <v>300</v>
      </c>
      <c r="O24" s="107" t="s">
        <v>61</v>
      </c>
      <c r="P24">
        <v>0.90129176806510303</v>
      </c>
      <c r="Q24">
        <v>0.92083024921038603</v>
      </c>
      <c r="R24" s="107">
        <v>0.235483091837764</v>
      </c>
      <c r="S24">
        <v>0.10454481242418</v>
      </c>
      <c r="T24">
        <v>1.4264617431779001</v>
      </c>
      <c r="U24">
        <v>1.4264617431779001</v>
      </c>
      <c r="V24">
        <v>6.36</v>
      </c>
      <c r="W24">
        <v>3.53</v>
      </c>
      <c r="X24">
        <v>365550</v>
      </c>
      <c r="Y24">
        <v>19239</v>
      </c>
      <c r="Z24">
        <v>0.98</v>
      </c>
      <c r="AA24">
        <v>19</v>
      </c>
      <c r="AB24">
        <v>13</v>
      </c>
      <c r="AC24">
        <v>6</v>
      </c>
      <c r="AD24">
        <v>68.42</v>
      </c>
      <c r="AE24">
        <v>14</v>
      </c>
      <c r="AF24">
        <v>8</v>
      </c>
      <c r="AG24">
        <v>2</v>
      </c>
      <c r="AH24">
        <v>9</v>
      </c>
    </row>
    <row r="25" spans="1:34">
      <c r="A25" s="103">
        <v>95</v>
      </c>
      <c r="B25">
        <v>1820</v>
      </c>
      <c r="C25" s="107" t="s">
        <v>122</v>
      </c>
      <c r="D25" s="107" t="s">
        <v>78</v>
      </c>
      <c r="E25">
        <v>2558</v>
      </c>
      <c r="F25">
        <v>2503</v>
      </c>
      <c r="G25">
        <v>400</v>
      </c>
      <c r="H25" s="107" t="s">
        <v>63</v>
      </c>
      <c r="I25">
        <v>7278</v>
      </c>
      <c r="J25" s="107" t="s">
        <v>83</v>
      </c>
      <c r="K25" s="107" t="s">
        <v>84</v>
      </c>
      <c r="L25">
        <v>2565</v>
      </c>
      <c r="M25">
        <v>2544</v>
      </c>
      <c r="N25">
        <v>400</v>
      </c>
      <c r="O25" s="107" t="s">
        <v>61</v>
      </c>
      <c r="P25">
        <v>0.93398790201096005</v>
      </c>
      <c r="Q25">
        <v>0.92618471131610003</v>
      </c>
      <c r="R25">
        <v>0.17808716941828201</v>
      </c>
      <c r="S25" s="107">
        <v>1.87698929505184E-2</v>
      </c>
      <c r="T25">
        <v>0.89094346773236499</v>
      </c>
      <c r="U25">
        <v>0.89094346773236499</v>
      </c>
      <c r="V25">
        <v>2.56</v>
      </c>
      <c r="W25">
        <v>1.61</v>
      </c>
      <c r="X25">
        <v>350930</v>
      </c>
      <c r="Y25">
        <v>25066</v>
      </c>
      <c r="Z25">
        <v>1.22</v>
      </c>
      <c r="AA25">
        <v>14</v>
      </c>
      <c r="AB25">
        <v>9</v>
      </c>
      <c r="AC25">
        <v>5</v>
      </c>
      <c r="AD25">
        <v>64.290000000000006</v>
      </c>
      <c r="AE25">
        <v>12</v>
      </c>
      <c r="AF25">
        <v>8</v>
      </c>
      <c r="AG25">
        <v>2</v>
      </c>
      <c r="AH25">
        <v>4</v>
      </c>
    </row>
    <row r="26" spans="1:34">
      <c r="A26" s="103">
        <v>96</v>
      </c>
      <c r="B26">
        <v>1963</v>
      </c>
      <c r="C26" s="107" t="s">
        <v>130</v>
      </c>
      <c r="D26" s="107" t="s">
        <v>78</v>
      </c>
      <c r="E26">
        <v>1726</v>
      </c>
      <c r="F26">
        <v>1742</v>
      </c>
      <c r="G26">
        <v>500</v>
      </c>
      <c r="H26" s="107" t="s">
        <v>63</v>
      </c>
      <c r="I26">
        <v>7272</v>
      </c>
      <c r="J26" s="107" t="s">
        <v>300</v>
      </c>
      <c r="K26" s="107" t="s">
        <v>84</v>
      </c>
      <c r="L26">
        <v>2312</v>
      </c>
      <c r="M26">
        <v>2350</v>
      </c>
      <c r="N26">
        <v>400</v>
      </c>
      <c r="O26" s="107" t="s">
        <v>61</v>
      </c>
      <c r="P26">
        <v>0.93572891816471004</v>
      </c>
      <c r="Q26">
        <v>0.92587084370181005</v>
      </c>
      <c r="R26" s="15">
        <v>0.289643588099808</v>
      </c>
      <c r="S26" s="15">
        <v>2.8027292474397201E-5</v>
      </c>
      <c r="T26">
        <v>0.85921270266671201</v>
      </c>
      <c r="U26">
        <v>0.85921270266671201</v>
      </c>
      <c r="V26">
        <v>2.06</v>
      </c>
      <c r="W26">
        <v>7.34</v>
      </c>
      <c r="X26">
        <v>348955</v>
      </c>
      <c r="Y26">
        <v>16617</v>
      </c>
      <c r="Z26">
        <v>0.82</v>
      </c>
      <c r="AA26">
        <v>21</v>
      </c>
      <c r="AB26">
        <v>14</v>
      </c>
      <c r="AC26">
        <v>7</v>
      </c>
      <c r="AD26">
        <v>66.67</v>
      </c>
      <c r="AE26">
        <v>10</v>
      </c>
      <c r="AF26">
        <v>12</v>
      </c>
      <c r="AG26">
        <v>5</v>
      </c>
      <c r="AH26">
        <v>4</v>
      </c>
    </row>
    <row r="27" spans="1:34">
      <c r="A27" s="103">
        <v>54</v>
      </c>
      <c r="B27">
        <v>4182</v>
      </c>
      <c r="C27" s="107" t="s">
        <v>88</v>
      </c>
      <c r="D27" s="107" t="s">
        <v>62</v>
      </c>
      <c r="E27">
        <v>1728</v>
      </c>
      <c r="F27">
        <v>1730</v>
      </c>
      <c r="G27">
        <v>600</v>
      </c>
      <c r="H27" s="107" t="s">
        <v>63</v>
      </c>
      <c r="I27">
        <v>7278</v>
      </c>
      <c r="J27" s="107" t="s">
        <v>83</v>
      </c>
      <c r="K27" s="107" t="s">
        <v>84</v>
      </c>
      <c r="L27">
        <v>2565</v>
      </c>
      <c r="M27">
        <v>2544</v>
      </c>
      <c r="N27">
        <v>400</v>
      </c>
      <c r="O27" s="107" t="s">
        <v>61</v>
      </c>
      <c r="P27">
        <v>0.93250792704943697</v>
      </c>
      <c r="Q27">
        <v>0.93776684264203702</v>
      </c>
      <c r="R27" s="107">
        <v>7.08650593562109E-3</v>
      </c>
      <c r="S27" s="15">
        <v>1.0331181766128201E-2</v>
      </c>
      <c r="T27">
        <v>0.60261673454375897</v>
      </c>
      <c r="U27">
        <v>0.60261673454375897</v>
      </c>
      <c r="V27">
        <v>1.7</v>
      </c>
      <c r="W27">
        <v>2</v>
      </c>
      <c r="X27">
        <v>344277</v>
      </c>
      <c r="Y27">
        <v>26483</v>
      </c>
      <c r="Z27">
        <v>1.33</v>
      </c>
      <c r="AA27">
        <v>13</v>
      </c>
      <c r="AB27">
        <v>8</v>
      </c>
      <c r="AC27">
        <v>5</v>
      </c>
      <c r="AD27">
        <v>61.54</v>
      </c>
      <c r="AE27">
        <v>10</v>
      </c>
      <c r="AF27">
        <v>7</v>
      </c>
      <c r="AG27">
        <v>3</v>
      </c>
      <c r="AH27">
        <v>3</v>
      </c>
    </row>
    <row r="28" spans="1:34">
      <c r="A28" s="103">
        <v>61</v>
      </c>
      <c r="B28">
        <v>1820</v>
      </c>
      <c r="C28" s="107" t="s">
        <v>122</v>
      </c>
      <c r="D28" s="107" t="s">
        <v>78</v>
      </c>
      <c r="E28">
        <v>2558</v>
      </c>
      <c r="F28">
        <v>2503</v>
      </c>
      <c r="G28">
        <v>400</v>
      </c>
      <c r="H28" s="107" t="s">
        <v>63</v>
      </c>
      <c r="I28">
        <v>7189</v>
      </c>
      <c r="J28" s="107" t="s">
        <v>81</v>
      </c>
      <c r="K28" s="107" t="s">
        <v>82</v>
      </c>
      <c r="L28">
        <v>873</v>
      </c>
      <c r="M28">
        <v>879</v>
      </c>
      <c r="N28">
        <v>1100</v>
      </c>
      <c r="O28" s="107" t="s">
        <v>61</v>
      </c>
      <c r="P28">
        <v>0.95004887483907896</v>
      </c>
      <c r="Q28">
        <v>0.93510667064985797</v>
      </c>
      <c r="R28">
        <v>0.304082524385479</v>
      </c>
      <c r="S28">
        <v>8.1259128877399403E-2</v>
      </c>
      <c r="T28">
        <v>0.77649254895956799</v>
      </c>
      <c r="U28">
        <v>0.77649254895956799</v>
      </c>
      <c r="V28">
        <v>2.4</v>
      </c>
      <c r="W28">
        <v>3.43</v>
      </c>
      <c r="X28">
        <v>341373</v>
      </c>
      <c r="Y28">
        <v>18965</v>
      </c>
      <c r="Z28">
        <v>0.99</v>
      </c>
      <c r="AA28">
        <v>18</v>
      </c>
      <c r="AB28">
        <v>11</v>
      </c>
      <c r="AC28">
        <v>7</v>
      </c>
      <c r="AD28">
        <v>61.11</v>
      </c>
      <c r="AE28">
        <v>14</v>
      </c>
      <c r="AF28">
        <v>8</v>
      </c>
      <c r="AG28">
        <v>1</v>
      </c>
      <c r="AH28">
        <v>9</v>
      </c>
    </row>
    <row r="29" spans="1:34">
      <c r="A29" s="103">
        <v>157</v>
      </c>
      <c r="B29">
        <v>5110</v>
      </c>
      <c r="C29" s="107" t="s">
        <v>128</v>
      </c>
      <c r="D29" s="107" t="s">
        <v>129</v>
      </c>
      <c r="E29">
        <v>1437</v>
      </c>
      <c r="F29">
        <v>1432</v>
      </c>
      <c r="G29">
        <v>700</v>
      </c>
      <c r="H29" s="107" t="s">
        <v>61</v>
      </c>
      <c r="I29">
        <v>6923</v>
      </c>
      <c r="J29" s="107" t="s">
        <v>112</v>
      </c>
      <c r="K29" s="107" t="s">
        <v>87</v>
      </c>
      <c r="L29">
        <v>3155</v>
      </c>
      <c r="M29">
        <v>3175</v>
      </c>
      <c r="N29">
        <v>300</v>
      </c>
      <c r="O29" s="107" t="s">
        <v>63</v>
      </c>
      <c r="P29">
        <v>0.90193163218440098</v>
      </c>
      <c r="Q29">
        <v>0.91100149195031299</v>
      </c>
      <c r="R29" s="15">
        <v>0.187357364026425</v>
      </c>
      <c r="S29" s="15">
        <v>6.3777773938357193E-2</v>
      </c>
      <c r="T29">
        <v>-0.89095261365036404</v>
      </c>
      <c r="U29">
        <v>0.89095261365036404</v>
      </c>
      <c r="V29">
        <v>-1.63</v>
      </c>
      <c r="W29">
        <v>5.24</v>
      </c>
      <c r="X29">
        <v>336458</v>
      </c>
      <c r="Y29">
        <v>16823</v>
      </c>
      <c r="Z29">
        <v>1.01</v>
      </c>
      <c r="AA29">
        <v>20</v>
      </c>
      <c r="AB29">
        <v>12</v>
      </c>
      <c r="AC29">
        <v>8</v>
      </c>
      <c r="AD29">
        <v>60</v>
      </c>
      <c r="AE29">
        <v>14</v>
      </c>
      <c r="AF29">
        <v>8</v>
      </c>
      <c r="AG29">
        <v>0</v>
      </c>
      <c r="AH29">
        <v>12</v>
      </c>
    </row>
    <row r="30" spans="1:34">
      <c r="A30" s="103">
        <v>140</v>
      </c>
      <c r="B30">
        <v>6371</v>
      </c>
      <c r="C30" s="107" t="s">
        <v>108</v>
      </c>
      <c r="D30" s="107" t="s">
        <v>99</v>
      </c>
      <c r="E30">
        <v>3995</v>
      </c>
      <c r="F30">
        <v>4000</v>
      </c>
      <c r="G30">
        <v>200</v>
      </c>
      <c r="H30" s="107" t="s">
        <v>61</v>
      </c>
      <c r="I30">
        <v>7259</v>
      </c>
      <c r="J30" s="107" t="s">
        <v>29</v>
      </c>
      <c r="K30" s="107" t="s">
        <v>84</v>
      </c>
      <c r="L30">
        <v>4260</v>
      </c>
      <c r="M30">
        <v>4265</v>
      </c>
      <c r="N30">
        <v>200</v>
      </c>
      <c r="O30" s="107" t="s">
        <v>63</v>
      </c>
      <c r="P30">
        <v>0.95779072790284003</v>
      </c>
      <c r="Q30">
        <v>0.91488184569321696</v>
      </c>
      <c r="R30">
        <v>7.1499400043290495E-4</v>
      </c>
      <c r="S30" s="15">
        <v>1.03477280293658E-2</v>
      </c>
      <c r="T30">
        <v>-0.416007112484097</v>
      </c>
      <c r="U30">
        <v>0.416007112484097</v>
      </c>
      <c r="V30">
        <v>-1.95</v>
      </c>
      <c r="W30">
        <v>6.21</v>
      </c>
      <c r="X30">
        <v>326064</v>
      </c>
      <c r="Y30">
        <v>36229</v>
      </c>
      <c r="Z30">
        <v>2.0699999999999998</v>
      </c>
      <c r="AA30">
        <v>9</v>
      </c>
      <c r="AB30">
        <v>7</v>
      </c>
      <c r="AC30">
        <v>2</v>
      </c>
      <c r="AD30">
        <v>77.78</v>
      </c>
      <c r="AE30">
        <v>11</v>
      </c>
      <c r="AF30">
        <v>6</v>
      </c>
      <c r="AG30">
        <v>0</v>
      </c>
      <c r="AH30">
        <v>3</v>
      </c>
    </row>
    <row r="31" spans="1:34">
      <c r="A31" s="103">
        <v>175</v>
      </c>
      <c r="B31">
        <v>4182</v>
      </c>
      <c r="C31" s="107" t="s">
        <v>88</v>
      </c>
      <c r="D31" s="107" t="s">
        <v>62</v>
      </c>
      <c r="E31">
        <v>1728</v>
      </c>
      <c r="F31">
        <v>1730</v>
      </c>
      <c r="G31">
        <v>600</v>
      </c>
      <c r="H31" s="107" t="s">
        <v>63</v>
      </c>
      <c r="I31">
        <v>4208</v>
      </c>
      <c r="J31" s="107" t="s">
        <v>98</v>
      </c>
      <c r="K31" s="107" t="s">
        <v>62</v>
      </c>
      <c r="L31">
        <v>2459</v>
      </c>
      <c r="M31">
        <v>2479</v>
      </c>
      <c r="N31">
        <v>400</v>
      </c>
      <c r="O31" s="107" t="s">
        <v>61</v>
      </c>
      <c r="P31">
        <v>0.91995786256957901</v>
      </c>
      <c r="Q31">
        <v>0.90813641998696804</v>
      </c>
      <c r="R31">
        <v>3.4853957563098698E-2</v>
      </c>
      <c r="S31">
        <v>8.0894738499062299E-2</v>
      </c>
      <c r="T31">
        <v>0.84135186347943902</v>
      </c>
      <c r="U31">
        <v>0.84135186347943902</v>
      </c>
      <c r="V31">
        <v>3.8</v>
      </c>
      <c r="W31">
        <v>4.68</v>
      </c>
      <c r="X31">
        <v>323980</v>
      </c>
      <c r="Y31">
        <v>16199</v>
      </c>
      <c r="Z31">
        <v>0.85</v>
      </c>
      <c r="AA31">
        <v>20</v>
      </c>
      <c r="AB31">
        <v>14</v>
      </c>
      <c r="AC31">
        <v>6</v>
      </c>
      <c r="AD31">
        <v>70</v>
      </c>
      <c r="AE31">
        <v>13</v>
      </c>
      <c r="AF31">
        <v>8</v>
      </c>
      <c r="AG31">
        <v>2</v>
      </c>
      <c r="AH31">
        <v>10</v>
      </c>
    </row>
    <row r="32" spans="1:34">
      <c r="A32" s="103">
        <v>164</v>
      </c>
      <c r="B32">
        <v>4208</v>
      </c>
      <c r="C32" s="107" t="s">
        <v>98</v>
      </c>
      <c r="D32" s="107" t="s">
        <v>62</v>
      </c>
      <c r="E32">
        <v>2459</v>
      </c>
      <c r="F32">
        <v>2479</v>
      </c>
      <c r="G32">
        <v>400</v>
      </c>
      <c r="H32" s="107" t="s">
        <v>61</v>
      </c>
      <c r="I32">
        <v>7762</v>
      </c>
      <c r="J32" s="107" t="s">
        <v>107</v>
      </c>
      <c r="K32" s="107" t="s">
        <v>93</v>
      </c>
      <c r="L32">
        <v>625</v>
      </c>
      <c r="M32">
        <v>617</v>
      </c>
      <c r="N32">
        <v>1600</v>
      </c>
      <c r="O32" s="107" t="s">
        <v>63</v>
      </c>
      <c r="P32">
        <v>0.92725957750898602</v>
      </c>
      <c r="Q32">
        <v>0.91047119404661503</v>
      </c>
      <c r="R32">
        <v>5.7573577770112299E-3</v>
      </c>
      <c r="S32" s="107">
        <v>5.3812415039370901E-3</v>
      </c>
      <c r="T32">
        <v>-2.8493560262765401E-2</v>
      </c>
      <c r="U32">
        <v>2.8493560262765401E-2</v>
      </c>
      <c r="V32">
        <v>-7.0000000000000007E-2</v>
      </c>
      <c r="W32">
        <v>0.44</v>
      </c>
      <c r="X32">
        <v>318939</v>
      </c>
      <c r="Y32">
        <v>22781</v>
      </c>
      <c r="Z32">
        <v>1.17</v>
      </c>
      <c r="AA32">
        <v>14</v>
      </c>
      <c r="AB32">
        <v>10</v>
      </c>
      <c r="AC32">
        <v>4</v>
      </c>
      <c r="AD32">
        <v>71.430000000000007</v>
      </c>
      <c r="AE32">
        <v>13</v>
      </c>
      <c r="AF32">
        <v>5</v>
      </c>
      <c r="AG32">
        <v>1</v>
      </c>
      <c r="AH32">
        <v>8</v>
      </c>
    </row>
    <row r="33" spans="1:34">
      <c r="A33" s="103">
        <v>94</v>
      </c>
      <c r="B33">
        <v>5802</v>
      </c>
      <c r="C33" s="107" t="s">
        <v>131</v>
      </c>
      <c r="D33" s="107" t="s">
        <v>132</v>
      </c>
      <c r="E33">
        <v>1688.5</v>
      </c>
      <c r="F33">
        <v>1690.5</v>
      </c>
      <c r="G33">
        <v>500</v>
      </c>
      <c r="H33" s="107" t="s">
        <v>63</v>
      </c>
      <c r="I33">
        <v>6995</v>
      </c>
      <c r="J33" s="107" t="s">
        <v>91</v>
      </c>
      <c r="K33" s="107" t="s">
        <v>84</v>
      </c>
      <c r="L33">
        <v>2258</v>
      </c>
      <c r="M33">
        <v>2263</v>
      </c>
      <c r="N33">
        <v>400</v>
      </c>
      <c r="O33" s="107" t="s">
        <v>61</v>
      </c>
      <c r="P33">
        <v>0.95960367993335005</v>
      </c>
      <c r="Q33">
        <v>0.92620167540165899</v>
      </c>
      <c r="R33">
        <v>0.25121517742539801</v>
      </c>
      <c r="S33" s="107">
        <v>0.21512261622297399</v>
      </c>
      <c r="T33">
        <v>0.15078003401343501</v>
      </c>
      <c r="U33">
        <v>0.15078003401343501</v>
      </c>
      <c r="V33">
        <v>0.26</v>
      </c>
      <c r="W33">
        <v>6.62</v>
      </c>
      <c r="X33">
        <v>306631</v>
      </c>
      <c r="Y33">
        <v>18037</v>
      </c>
      <c r="Z33">
        <v>0.89</v>
      </c>
      <c r="AA33">
        <v>17</v>
      </c>
      <c r="AB33">
        <v>11</v>
      </c>
      <c r="AC33">
        <v>6</v>
      </c>
      <c r="AD33">
        <v>64.709999999999994</v>
      </c>
      <c r="AE33">
        <v>15</v>
      </c>
      <c r="AF33">
        <v>6</v>
      </c>
      <c r="AG33">
        <v>0</v>
      </c>
      <c r="AH33">
        <v>11</v>
      </c>
    </row>
    <row r="34" spans="1:34">
      <c r="A34" s="103">
        <v>41</v>
      </c>
      <c r="B34">
        <v>4182</v>
      </c>
      <c r="C34" s="107" t="s">
        <v>88</v>
      </c>
      <c r="D34" s="107" t="s">
        <v>62</v>
      </c>
      <c r="E34">
        <v>1728</v>
      </c>
      <c r="F34">
        <v>1730</v>
      </c>
      <c r="G34">
        <v>500</v>
      </c>
      <c r="H34" s="107" t="s">
        <v>63</v>
      </c>
      <c r="I34">
        <v>7272</v>
      </c>
      <c r="J34" s="107" t="s">
        <v>300</v>
      </c>
      <c r="K34" s="107" t="s">
        <v>84</v>
      </c>
      <c r="L34">
        <v>2312</v>
      </c>
      <c r="M34">
        <v>2350</v>
      </c>
      <c r="N34">
        <v>400</v>
      </c>
      <c r="O34" s="107" t="s">
        <v>61</v>
      </c>
      <c r="P34">
        <v>0.92196435253237097</v>
      </c>
      <c r="Q34">
        <v>0.94235454967792298</v>
      </c>
      <c r="R34" s="15">
        <v>2.2086996237417798E-2</v>
      </c>
      <c r="S34">
        <v>1.9023038597845399E-3</v>
      </c>
      <c r="T34">
        <v>0.27618588667055699</v>
      </c>
      <c r="U34">
        <v>0.27618588667055699</v>
      </c>
      <c r="V34">
        <v>0.71</v>
      </c>
      <c r="W34">
        <v>7.98</v>
      </c>
      <c r="X34">
        <v>303536</v>
      </c>
      <c r="Y34">
        <v>23349</v>
      </c>
      <c r="Z34">
        <v>1.1599999999999999</v>
      </c>
      <c r="AA34">
        <v>13</v>
      </c>
      <c r="AB34">
        <v>9</v>
      </c>
      <c r="AC34">
        <v>4</v>
      </c>
      <c r="AD34">
        <v>69.23</v>
      </c>
      <c r="AE34">
        <v>12</v>
      </c>
      <c r="AF34">
        <v>6</v>
      </c>
      <c r="AG34">
        <v>1</v>
      </c>
      <c r="AH34">
        <v>6</v>
      </c>
    </row>
    <row r="35" spans="1:34">
      <c r="A35" s="103">
        <v>113</v>
      </c>
      <c r="B35">
        <v>6988</v>
      </c>
      <c r="C35" s="107" t="s">
        <v>139</v>
      </c>
      <c r="D35" s="107" t="s">
        <v>62</v>
      </c>
      <c r="E35">
        <v>6350</v>
      </c>
      <c r="F35">
        <v>6410</v>
      </c>
      <c r="G35">
        <v>100</v>
      </c>
      <c r="H35" s="107" t="s">
        <v>61</v>
      </c>
      <c r="I35">
        <v>7272</v>
      </c>
      <c r="J35" s="107" t="s">
        <v>300</v>
      </c>
      <c r="K35" s="107" t="s">
        <v>84</v>
      </c>
      <c r="L35">
        <v>2312</v>
      </c>
      <c r="M35">
        <v>2350</v>
      </c>
      <c r="N35">
        <v>300</v>
      </c>
      <c r="O35" s="107" t="s">
        <v>63</v>
      </c>
      <c r="P35">
        <v>0.94027526310829401</v>
      </c>
      <c r="Q35">
        <v>0.921520957165615</v>
      </c>
      <c r="R35" s="107">
        <v>0.15547107925411599</v>
      </c>
      <c r="S35" s="15">
        <v>0.24405506562072901</v>
      </c>
      <c r="T35">
        <v>-0.14958225730293201</v>
      </c>
      <c r="U35">
        <v>0.14958225730293201</v>
      </c>
      <c r="V35">
        <v>-0.46</v>
      </c>
      <c r="W35">
        <v>9.98</v>
      </c>
      <c r="X35">
        <v>300982</v>
      </c>
      <c r="Y35">
        <v>25082</v>
      </c>
      <c r="Z35">
        <v>1.21</v>
      </c>
      <c r="AA35">
        <v>12</v>
      </c>
      <c r="AB35">
        <v>7</v>
      </c>
      <c r="AC35">
        <v>5</v>
      </c>
      <c r="AD35">
        <v>58.33</v>
      </c>
      <c r="AE35">
        <v>12</v>
      </c>
      <c r="AF35">
        <v>6</v>
      </c>
      <c r="AG35">
        <v>3</v>
      </c>
      <c r="AH35">
        <v>3</v>
      </c>
    </row>
    <row r="36" spans="1:34">
      <c r="A36" s="103">
        <v>186</v>
      </c>
      <c r="B36">
        <v>6406</v>
      </c>
      <c r="C36" s="107" t="s">
        <v>1315</v>
      </c>
      <c r="D36" s="107" t="s">
        <v>99</v>
      </c>
      <c r="E36">
        <v>1804</v>
      </c>
      <c r="F36">
        <v>1790</v>
      </c>
      <c r="G36">
        <v>500</v>
      </c>
      <c r="H36" s="107" t="s">
        <v>61</v>
      </c>
      <c r="I36">
        <v>6807</v>
      </c>
      <c r="J36" s="107" t="s">
        <v>335</v>
      </c>
      <c r="K36" s="107" t="s">
        <v>87</v>
      </c>
      <c r="L36">
        <v>2296</v>
      </c>
      <c r="M36">
        <v>2272</v>
      </c>
      <c r="N36">
        <v>400</v>
      </c>
      <c r="O36" s="107" t="s">
        <v>63</v>
      </c>
      <c r="P36">
        <v>0.94631763639954203</v>
      </c>
      <c r="Q36">
        <v>0.90699920350222896</v>
      </c>
      <c r="R36">
        <v>0.13357701748557499</v>
      </c>
      <c r="S36">
        <v>9.6739391730591096E-2</v>
      </c>
      <c r="T36">
        <v>-1.09994698341802</v>
      </c>
      <c r="U36">
        <v>1.09994698341802</v>
      </c>
      <c r="V36">
        <v>-6.04</v>
      </c>
      <c r="W36">
        <v>1.52</v>
      </c>
      <c r="X36">
        <v>297032</v>
      </c>
      <c r="Y36">
        <v>12376</v>
      </c>
      <c r="Z36">
        <v>0.62</v>
      </c>
      <c r="AA36">
        <v>24</v>
      </c>
      <c r="AB36">
        <v>14</v>
      </c>
      <c r="AC36">
        <v>10</v>
      </c>
      <c r="AD36">
        <v>58.33</v>
      </c>
      <c r="AE36">
        <v>11</v>
      </c>
      <c r="AF36">
        <v>9</v>
      </c>
      <c r="AG36">
        <v>7</v>
      </c>
      <c r="AH36">
        <v>8</v>
      </c>
    </row>
    <row r="37" spans="1:34">
      <c r="A37" s="103">
        <v>6</v>
      </c>
      <c r="B37">
        <v>2413</v>
      </c>
      <c r="C37" s="107" t="s">
        <v>1271</v>
      </c>
      <c r="D37" s="107" t="s">
        <v>120</v>
      </c>
      <c r="E37">
        <v>3065</v>
      </c>
      <c r="F37">
        <v>3025</v>
      </c>
      <c r="G37">
        <v>200</v>
      </c>
      <c r="H37" s="107" t="s">
        <v>61</v>
      </c>
      <c r="I37">
        <v>4686</v>
      </c>
      <c r="J37" s="107" t="s">
        <v>1272</v>
      </c>
      <c r="K37" s="107" t="s">
        <v>79</v>
      </c>
      <c r="L37">
        <v>5910</v>
      </c>
      <c r="M37">
        <v>5910</v>
      </c>
      <c r="N37">
        <v>100</v>
      </c>
      <c r="O37" s="107" t="s">
        <v>63</v>
      </c>
      <c r="P37">
        <v>0.93802217613993299</v>
      </c>
      <c r="Q37">
        <v>0.96152139127361103</v>
      </c>
      <c r="R37">
        <v>0.110177275972137</v>
      </c>
      <c r="S37" s="15">
        <v>2.7126209298636999E-2</v>
      </c>
      <c r="T37">
        <v>-1.3650938221045199</v>
      </c>
      <c r="U37">
        <v>1.3650938221045199</v>
      </c>
      <c r="V37">
        <v>-14.24</v>
      </c>
      <c r="W37">
        <v>2.37</v>
      </c>
      <c r="X37">
        <v>295619</v>
      </c>
      <c r="Y37">
        <v>16423</v>
      </c>
      <c r="Z37">
        <v>0.89</v>
      </c>
      <c r="AA37">
        <v>18</v>
      </c>
      <c r="AB37">
        <v>11</v>
      </c>
      <c r="AC37">
        <v>7</v>
      </c>
      <c r="AD37">
        <v>61.11</v>
      </c>
      <c r="AE37">
        <v>10</v>
      </c>
      <c r="AF37">
        <v>10</v>
      </c>
      <c r="AG37">
        <v>5</v>
      </c>
      <c r="AH37">
        <v>3</v>
      </c>
    </row>
    <row r="38" spans="1:34">
      <c r="A38" s="103">
        <v>103</v>
      </c>
      <c r="B38">
        <v>6371</v>
      </c>
      <c r="C38" s="107" t="s">
        <v>108</v>
      </c>
      <c r="D38" s="107" t="s">
        <v>99</v>
      </c>
      <c r="E38">
        <v>3995</v>
      </c>
      <c r="F38">
        <v>4000</v>
      </c>
      <c r="G38">
        <v>200</v>
      </c>
      <c r="H38" s="107" t="s">
        <v>63</v>
      </c>
      <c r="I38">
        <v>7762</v>
      </c>
      <c r="J38" s="107" t="s">
        <v>107</v>
      </c>
      <c r="K38" s="107" t="s">
        <v>93</v>
      </c>
      <c r="L38">
        <v>625</v>
      </c>
      <c r="M38">
        <v>617</v>
      </c>
      <c r="N38">
        <v>1300</v>
      </c>
      <c r="O38" s="107" t="s">
        <v>61</v>
      </c>
      <c r="P38">
        <v>0.96003717530117905</v>
      </c>
      <c r="Q38">
        <v>0.92353821335005004</v>
      </c>
      <c r="R38">
        <v>7.97477102058625E-3</v>
      </c>
      <c r="S38" s="15">
        <v>0.20115113248451499</v>
      </c>
      <c r="T38">
        <v>0.79279837134508402</v>
      </c>
      <c r="U38">
        <v>0.79279837134508402</v>
      </c>
      <c r="V38">
        <v>1.19</v>
      </c>
      <c r="W38">
        <v>0.26</v>
      </c>
      <c r="X38">
        <v>295597</v>
      </c>
      <c r="Y38">
        <v>14780</v>
      </c>
      <c r="Z38">
        <v>0.81</v>
      </c>
      <c r="AA38">
        <v>20</v>
      </c>
      <c r="AB38">
        <v>14</v>
      </c>
      <c r="AC38">
        <v>6</v>
      </c>
      <c r="AD38">
        <v>70</v>
      </c>
      <c r="AE38">
        <v>13</v>
      </c>
      <c r="AF38">
        <v>7</v>
      </c>
      <c r="AG38">
        <v>4</v>
      </c>
      <c r="AH38">
        <v>9</v>
      </c>
    </row>
    <row r="39" spans="1:34">
      <c r="A39" s="103">
        <v>206</v>
      </c>
      <c r="B39">
        <v>8425</v>
      </c>
      <c r="C39" s="107" t="s">
        <v>319</v>
      </c>
      <c r="D39" s="107" t="s">
        <v>299</v>
      </c>
      <c r="E39">
        <v>3355</v>
      </c>
      <c r="F39">
        <v>3350</v>
      </c>
      <c r="G39">
        <v>300</v>
      </c>
      <c r="H39" s="107" t="s">
        <v>61</v>
      </c>
      <c r="I39">
        <v>9934</v>
      </c>
      <c r="J39" s="107" t="s">
        <v>950</v>
      </c>
      <c r="K39" s="107" t="s">
        <v>101</v>
      </c>
      <c r="L39">
        <v>2850</v>
      </c>
      <c r="M39">
        <v>2830</v>
      </c>
      <c r="N39">
        <v>400</v>
      </c>
      <c r="O39" s="107" t="s">
        <v>63</v>
      </c>
      <c r="P39">
        <v>0.92428191533375803</v>
      </c>
      <c r="Q39">
        <v>0.90429782954164595</v>
      </c>
      <c r="R39">
        <v>4.6973469638085101E-4</v>
      </c>
      <c r="S39" s="15">
        <v>3.2077644439673397E-2</v>
      </c>
      <c r="T39">
        <v>-0.78772197192815396</v>
      </c>
      <c r="U39">
        <v>0.78772197192815396</v>
      </c>
      <c r="V39">
        <v>-2.4700000000000002</v>
      </c>
      <c r="W39">
        <v>12.64</v>
      </c>
      <c r="X39">
        <v>290684</v>
      </c>
      <c r="Y39">
        <v>16149</v>
      </c>
      <c r="Z39">
        <v>0.84</v>
      </c>
      <c r="AA39">
        <v>18</v>
      </c>
      <c r="AB39">
        <v>15</v>
      </c>
      <c r="AC39">
        <v>3</v>
      </c>
      <c r="AD39">
        <v>83.33</v>
      </c>
      <c r="AE39">
        <v>13</v>
      </c>
      <c r="AF39">
        <v>6</v>
      </c>
      <c r="AG39">
        <v>2</v>
      </c>
      <c r="AH39">
        <v>10</v>
      </c>
    </row>
    <row r="40" spans="1:34">
      <c r="A40" s="103">
        <v>10</v>
      </c>
      <c r="B40">
        <v>5991</v>
      </c>
      <c r="C40" s="107" t="s">
        <v>115</v>
      </c>
      <c r="D40" s="107" t="s">
        <v>116</v>
      </c>
      <c r="E40">
        <v>1021</v>
      </c>
      <c r="F40">
        <v>1021</v>
      </c>
      <c r="G40">
        <v>800</v>
      </c>
      <c r="H40" s="107" t="s">
        <v>63</v>
      </c>
      <c r="I40">
        <v>6371</v>
      </c>
      <c r="J40" s="107" t="s">
        <v>108</v>
      </c>
      <c r="K40" s="107" t="s">
        <v>99</v>
      </c>
      <c r="L40">
        <v>3995</v>
      </c>
      <c r="M40">
        <v>4000</v>
      </c>
      <c r="N40">
        <v>200</v>
      </c>
      <c r="O40" s="107" t="s">
        <v>61</v>
      </c>
      <c r="P40">
        <v>0.94966173834464196</v>
      </c>
      <c r="Q40">
        <v>0.95638449228217504</v>
      </c>
      <c r="R40">
        <v>0.306781590797569</v>
      </c>
      <c r="S40" s="107">
        <v>9.0359498689985098E-4</v>
      </c>
      <c r="T40">
        <v>1.3364071876858901</v>
      </c>
      <c r="U40">
        <v>1.3364071876858901</v>
      </c>
      <c r="V40">
        <v>4.08</v>
      </c>
      <c r="W40">
        <v>2.1</v>
      </c>
      <c r="X40">
        <v>286657</v>
      </c>
      <c r="Y40">
        <v>16862</v>
      </c>
      <c r="Z40">
        <v>0.8</v>
      </c>
      <c r="AA40">
        <v>17</v>
      </c>
      <c r="AB40">
        <v>10</v>
      </c>
      <c r="AC40">
        <v>7</v>
      </c>
      <c r="AD40">
        <v>58.82</v>
      </c>
      <c r="AE40">
        <v>13</v>
      </c>
      <c r="AF40">
        <v>7</v>
      </c>
      <c r="AG40">
        <v>1</v>
      </c>
      <c r="AH40">
        <v>9</v>
      </c>
    </row>
    <row r="41" spans="1:34">
      <c r="A41" s="103">
        <v>65</v>
      </c>
      <c r="B41">
        <v>5393</v>
      </c>
      <c r="C41" s="107" t="s">
        <v>333</v>
      </c>
      <c r="D41" s="107" t="s">
        <v>106</v>
      </c>
      <c r="E41">
        <v>2749</v>
      </c>
      <c r="F41">
        <v>2736</v>
      </c>
      <c r="G41">
        <v>300</v>
      </c>
      <c r="H41" s="107" t="s">
        <v>63</v>
      </c>
      <c r="I41">
        <v>5947</v>
      </c>
      <c r="J41" s="107" t="s">
        <v>325</v>
      </c>
      <c r="K41" s="107" t="s">
        <v>116</v>
      </c>
      <c r="L41">
        <v>8580</v>
      </c>
      <c r="M41">
        <v>8530</v>
      </c>
      <c r="N41">
        <v>100</v>
      </c>
      <c r="O41" s="107" t="s">
        <v>61</v>
      </c>
      <c r="P41">
        <v>0.95680139628442096</v>
      </c>
      <c r="Q41">
        <v>0.93418137812961699</v>
      </c>
      <c r="R41">
        <v>5.8384712514652298E-2</v>
      </c>
      <c r="S41">
        <v>3.6693971299574302E-2</v>
      </c>
      <c r="T41">
        <v>1.9214330448213599</v>
      </c>
      <c r="U41">
        <v>1.9214330448213599</v>
      </c>
      <c r="V41">
        <v>12.76</v>
      </c>
      <c r="W41">
        <v>3.77</v>
      </c>
      <c r="X41">
        <v>284943</v>
      </c>
      <c r="Y41">
        <v>23745</v>
      </c>
      <c r="Z41">
        <v>1.3</v>
      </c>
      <c r="AA41">
        <v>12</v>
      </c>
      <c r="AB41">
        <v>8</v>
      </c>
      <c r="AC41">
        <v>4</v>
      </c>
      <c r="AD41">
        <v>66.67</v>
      </c>
      <c r="AE41">
        <v>11</v>
      </c>
      <c r="AF41">
        <v>6</v>
      </c>
      <c r="AG41">
        <v>3</v>
      </c>
      <c r="AH41">
        <v>3</v>
      </c>
    </row>
    <row r="42" spans="1:34">
      <c r="A42" s="103">
        <v>39</v>
      </c>
      <c r="B42">
        <v>6752</v>
      </c>
      <c r="C42" s="107" t="s">
        <v>105</v>
      </c>
      <c r="D42" s="107" t="s">
        <v>87</v>
      </c>
      <c r="E42">
        <v>1059</v>
      </c>
      <c r="F42">
        <v>1058</v>
      </c>
      <c r="G42">
        <v>1000</v>
      </c>
      <c r="H42" s="107" t="s">
        <v>63</v>
      </c>
      <c r="I42">
        <v>7278</v>
      </c>
      <c r="J42" s="107" t="s">
        <v>83</v>
      </c>
      <c r="K42" s="107" t="s">
        <v>84</v>
      </c>
      <c r="L42">
        <v>2565</v>
      </c>
      <c r="M42">
        <v>2544</v>
      </c>
      <c r="N42">
        <v>400</v>
      </c>
      <c r="O42" s="107" t="s">
        <v>61</v>
      </c>
      <c r="P42">
        <v>0.92870768782800694</v>
      </c>
      <c r="Q42">
        <v>0.94307206627621298</v>
      </c>
      <c r="R42">
        <v>1.2015286909465E-2</v>
      </c>
      <c r="S42" s="107">
        <v>5.1372987993479895E-4</v>
      </c>
      <c r="T42">
        <v>0.37158432724639701</v>
      </c>
      <c r="U42">
        <v>0.37158432724639701</v>
      </c>
      <c r="V42">
        <v>0.92</v>
      </c>
      <c r="W42">
        <v>3.97</v>
      </c>
      <c r="X42">
        <v>283523</v>
      </c>
      <c r="Y42">
        <v>14922</v>
      </c>
      <c r="Z42">
        <v>0.75</v>
      </c>
      <c r="AA42">
        <v>19</v>
      </c>
      <c r="AB42">
        <v>11</v>
      </c>
      <c r="AC42">
        <v>8</v>
      </c>
      <c r="AD42">
        <v>57.89</v>
      </c>
      <c r="AE42">
        <v>11</v>
      </c>
      <c r="AF42">
        <v>8</v>
      </c>
      <c r="AG42">
        <v>2</v>
      </c>
      <c r="AH42">
        <v>9</v>
      </c>
    </row>
    <row r="43" spans="1:34">
      <c r="A43" s="103">
        <v>78</v>
      </c>
      <c r="B43">
        <v>6588</v>
      </c>
      <c r="C43" s="107" t="s">
        <v>955</v>
      </c>
      <c r="D43" s="107" t="s">
        <v>87</v>
      </c>
      <c r="E43">
        <v>4625</v>
      </c>
      <c r="F43">
        <v>4530</v>
      </c>
      <c r="G43">
        <v>200</v>
      </c>
      <c r="H43" s="107" t="s">
        <v>63</v>
      </c>
      <c r="I43">
        <v>8425</v>
      </c>
      <c r="J43" s="107" t="s">
        <v>319</v>
      </c>
      <c r="K43" s="107" t="s">
        <v>299</v>
      </c>
      <c r="L43">
        <v>3355</v>
      </c>
      <c r="M43">
        <v>3350</v>
      </c>
      <c r="N43">
        <v>300</v>
      </c>
      <c r="O43" s="107" t="s">
        <v>61</v>
      </c>
      <c r="P43">
        <v>0.93347720892629904</v>
      </c>
      <c r="Q43">
        <v>0.93018070759094496</v>
      </c>
      <c r="R43">
        <v>5.2017023632843697E-2</v>
      </c>
      <c r="S43">
        <v>4.4901020445880901E-2</v>
      </c>
      <c r="T43">
        <v>1.1383326098516899</v>
      </c>
      <c r="U43">
        <v>1.1383326098516899</v>
      </c>
      <c r="V43">
        <v>9.01</v>
      </c>
      <c r="W43">
        <v>10.93</v>
      </c>
      <c r="X43">
        <v>276730</v>
      </c>
      <c r="Y43">
        <v>21287</v>
      </c>
      <c r="Z43">
        <v>1.08</v>
      </c>
      <c r="AA43">
        <v>13</v>
      </c>
      <c r="AB43">
        <v>9</v>
      </c>
      <c r="AC43">
        <v>4</v>
      </c>
      <c r="AD43">
        <v>69.23</v>
      </c>
      <c r="AE43">
        <v>13</v>
      </c>
      <c r="AF43">
        <v>5</v>
      </c>
      <c r="AG43">
        <v>1</v>
      </c>
      <c r="AH43">
        <v>7</v>
      </c>
    </row>
    <row r="44" spans="1:34">
      <c r="A44" s="103">
        <v>201</v>
      </c>
      <c r="B44">
        <v>1973</v>
      </c>
      <c r="C44" s="107" t="s">
        <v>310</v>
      </c>
      <c r="D44" s="107" t="s">
        <v>79</v>
      </c>
      <c r="E44">
        <v>3620</v>
      </c>
      <c r="F44">
        <v>3570</v>
      </c>
      <c r="G44">
        <v>300</v>
      </c>
      <c r="H44" s="107" t="s">
        <v>63</v>
      </c>
      <c r="I44">
        <v>3231</v>
      </c>
      <c r="J44" s="107" t="s">
        <v>963</v>
      </c>
      <c r="K44" s="107" t="s">
        <v>114</v>
      </c>
      <c r="L44">
        <v>2659</v>
      </c>
      <c r="M44">
        <v>2627</v>
      </c>
      <c r="N44">
        <v>400</v>
      </c>
      <c r="O44" s="107" t="s">
        <v>61</v>
      </c>
      <c r="P44">
        <v>0.91759860500991597</v>
      </c>
      <c r="Q44">
        <v>0.90520334569766003</v>
      </c>
      <c r="R44" s="15">
        <v>0.184636184564583</v>
      </c>
      <c r="S44">
        <v>5.3222642720263197E-2</v>
      </c>
      <c r="T44">
        <v>1.67957630875973</v>
      </c>
      <c r="U44">
        <v>1.67957630875973</v>
      </c>
      <c r="V44">
        <v>6.13</v>
      </c>
      <c r="W44">
        <v>1.89</v>
      </c>
      <c r="X44">
        <v>275277</v>
      </c>
      <c r="Y44">
        <v>16193</v>
      </c>
      <c r="Z44">
        <v>0.82</v>
      </c>
      <c r="AA44">
        <v>17</v>
      </c>
      <c r="AB44">
        <v>10</v>
      </c>
      <c r="AC44">
        <v>7</v>
      </c>
      <c r="AD44">
        <v>58.82</v>
      </c>
      <c r="AE44">
        <v>14</v>
      </c>
      <c r="AF44">
        <v>5</v>
      </c>
      <c r="AG44">
        <v>2</v>
      </c>
      <c r="AH44">
        <v>10</v>
      </c>
    </row>
    <row r="45" spans="1:34">
      <c r="A45" s="103">
        <v>93</v>
      </c>
      <c r="B45">
        <v>6287</v>
      </c>
      <c r="C45" s="107" t="s">
        <v>951</v>
      </c>
      <c r="D45" s="107" t="s">
        <v>99</v>
      </c>
      <c r="E45">
        <v>3455</v>
      </c>
      <c r="F45">
        <v>3455</v>
      </c>
      <c r="G45">
        <v>300</v>
      </c>
      <c r="H45" s="107" t="s">
        <v>63</v>
      </c>
      <c r="I45">
        <v>6465</v>
      </c>
      <c r="J45" s="107" t="s">
        <v>952</v>
      </c>
      <c r="K45" s="107" t="s">
        <v>99</v>
      </c>
      <c r="L45">
        <v>10040</v>
      </c>
      <c r="M45">
        <v>9960</v>
      </c>
      <c r="N45">
        <v>100</v>
      </c>
      <c r="O45" s="107" t="s">
        <v>61</v>
      </c>
      <c r="P45">
        <v>0.95839027400003196</v>
      </c>
      <c r="Q45">
        <v>0.92638083226585799</v>
      </c>
      <c r="R45" s="107">
        <v>1.9937685430918301E-2</v>
      </c>
      <c r="S45" s="15">
        <v>0.14925812310036299</v>
      </c>
      <c r="T45">
        <v>0.34644789183804298</v>
      </c>
      <c r="U45">
        <v>0.34644789183804298</v>
      </c>
      <c r="V45">
        <v>0.64</v>
      </c>
      <c r="W45">
        <v>4.07</v>
      </c>
      <c r="X45">
        <v>272271</v>
      </c>
      <c r="Y45">
        <v>22689</v>
      </c>
      <c r="Z45">
        <v>1.55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5</v>
      </c>
      <c r="AG45">
        <v>3</v>
      </c>
      <c r="AH45">
        <v>4</v>
      </c>
    </row>
    <row r="46" spans="1:34">
      <c r="A46" s="103">
        <v>13</v>
      </c>
      <c r="B46">
        <v>3635</v>
      </c>
      <c r="C46" s="107" t="s">
        <v>85</v>
      </c>
      <c r="D46" s="107" t="s">
        <v>79</v>
      </c>
      <c r="E46">
        <v>2727</v>
      </c>
      <c r="F46">
        <v>2709</v>
      </c>
      <c r="G46">
        <v>400</v>
      </c>
      <c r="H46" s="107" t="s">
        <v>63</v>
      </c>
      <c r="I46">
        <v>4062</v>
      </c>
      <c r="J46" s="107" t="s">
        <v>326</v>
      </c>
      <c r="K46" s="107" t="s">
        <v>87</v>
      </c>
      <c r="L46">
        <v>2625</v>
      </c>
      <c r="M46">
        <v>2608</v>
      </c>
      <c r="N46">
        <v>400</v>
      </c>
      <c r="O46" s="107" t="s">
        <v>61</v>
      </c>
      <c r="P46">
        <v>0.91799820424218403</v>
      </c>
      <c r="Q46">
        <v>0.95452778308485897</v>
      </c>
      <c r="R46">
        <v>4.89417169505749E-2</v>
      </c>
      <c r="S46" s="15">
        <v>0.19500449292804101</v>
      </c>
      <c r="T46">
        <v>0.108937119384171</v>
      </c>
      <c r="U46">
        <v>0.108937119384171</v>
      </c>
      <c r="V46">
        <v>0.31</v>
      </c>
      <c r="W46">
        <v>3.73</v>
      </c>
      <c r="X46">
        <v>272145</v>
      </c>
      <c r="Y46">
        <v>20934</v>
      </c>
      <c r="Z46">
        <v>1.08</v>
      </c>
      <c r="AA46">
        <v>13</v>
      </c>
      <c r="AB46">
        <v>8</v>
      </c>
      <c r="AC46">
        <v>5</v>
      </c>
      <c r="AD46">
        <v>61.54</v>
      </c>
      <c r="AE46">
        <v>12</v>
      </c>
      <c r="AF46">
        <v>6</v>
      </c>
      <c r="AG46">
        <v>2</v>
      </c>
      <c r="AH46">
        <v>5</v>
      </c>
    </row>
    <row r="47" spans="1:34">
      <c r="A47" s="103">
        <v>11</v>
      </c>
      <c r="B47">
        <v>3105</v>
      </c>
      <c r="C47" s="107" t="s">
        <v>90</v>
      </c>
      <c r="D47" s="107" t="s">
        <v>87</v>
      </c>
      <c r="E47">
        <v>1098</v>
      </c>
      <c r="F47">
        <v>1086</v>
      </c>
      <c r="G47">
        <v>800</v>
      </c>
      <c r="H47" s="107" t="s">
        <v>63</v>
      </c>
      <c r="I47">
        <v>7282</v>
      </c>
      <c r="J47" s="107" t="s">
        <v>953</v>
      </c>
      <c r="K47" s="107" t="s">
        <v>84</v>
      </c>
      <c r="L47">
        <v>2801</v>
      </c>
      <c r="M47">
        <v>2798</v>
      </c>
      <c r="N47">
        <v>300</v>
      </c>
      <c r="O47" s="107" t="s">
        <v>61</v>
      </c>
      <c r="P47">
        <v>0.94670610029206304</v>
      </c>
      <c r="Q47">
        <v>0.95571605416884398</v>
      </c>
      <c r="R47" s="15">
        <v>0.36518140101486801</v>
      </c>
      <c r="S47" s="15">
        <v>1.9369729587050102E-2</v>
      </c>
      <c r="T47">
        <v>2.1865095765343399E-3</v>
      </c>
      <c r="U47">
        <v>2.1865095765343399E-3</v>
      </c>
      <c r="V47">
        <v>0.01</v>
      </c>
      <c r="W47">
        <v>3.5</v>
      </c>
      <c r="X47">
        <v>268452</v>
      </c>
      <c r="Y47">
        <v>11672</v>
      </c>
      <c r="Z47">
        <v>0.57999999999999996</v>
      </c>
      <c r="AA47">
        <v>23</v>
      </c>
      <c r="AB47">
        <v>14</v>
      </c>
      <c r="AC47">
        <v>9</v>
      </c>
      <c r="AD47">
        <v>60.87</v>
      </c>
      <c r="AE47">
        <v>11</v>
      </c>
      <c r="AF47">
        <v>10</v>
      </c>
      <c r="AG47">
        <v>7</v>
      </c>
      <c r="AH47">
        <v>6</v>
      </c>
    </row>
    <row r="48" spans="1:34">
      <c r="A48" s="103">
        <v>21</v>
      </c>
      <c r="B48">
        <v>6457</v>
      </c>
      <c r="C48" s="107" t="s">
        <v>314</v>
      </c>
      <c r="D48" s="107" t="s">
        <v>99</v>
      </c>
      <c r="E48">
        <v>3360</v>
      </c>
      <c r="F48">
        <v>3360</v>
      </c>
      <c r="G48">
        <v>300</v>
      </c>
      <c r="H48" s="107" t="s">
        <v>61</v>
      </c>
      <c r="I48">
        <v>8593</v>
      </c>
      <c r="J48" s="107" t="s">
        <v>311</v>
      </c>
      <c r="K48" s="107" t="s">
        <v>299</v>
      </c>
      <c r="L48">
        <v>716</v>
      </c>
      <c r="M48">
        <v>707</v>
      </c>
      <c r="N48">
        <v>1400</v>
      </c>
      <c r="O48" s="107" t="s">
        <v>63</v>
      </c>
      <c r="P48">
        <v>0.93370623451410295</v>
      </c>
      <c r="Q48">
        <v>0.94959808097551102</v>
      </c>
      <c r="R48">
        <v>7.0977496259766798E-3</v>
      </c>
      <c r="S48" s="15">
        <v>3.17267177213318E-3</v>
      </c>
      <c r="T48">
        <v>-0.48942181912451099</v>
      </c>
      <c r="U48">
        <v>0.48942181912451099</v>
      </c>
      <c r="V48">
        <v>-1.1200000000000001</v>
      </c>
      <c r="W48">
        <v>1.81</v>
      </c>
      <c r="X48">
        <v>267124</v>
      </c>
      <c r="Y48">
        <v>14840</v>
      </c>
      <c r="Z48">
        <v>0.88</v>
      </c>
      <c r="AA48">
        <v>18</v>
      </c>
      <c r="AB48">
        <v>11</v>
      </c>
      <c r="AC48">
        <v>7</v>
      </c>
      <c r="AD48">
        <v>61.11</v>
      </c>
      <c r="AE48">
        <v>12</v>
      </c>
      <c r="AF48">
        <v>8</v>
      </c>
      <c r="AG48">
        <v>3</v>
      </c>
      <c r="AH48">
        <v>7</v>
      </c>
    </row>
    <row r="49" spans="1:34">
      <c r="A49" s="103">
        <v>112</v>
      </c>
      <c r="B49">
        <v>6474</v>
      </c>
      <c r="C49" s="107" t="s">
        <v>315</v>
      </c>
      <c r="D49" s="107" t="s">
        <v>99</v>
      </c>
      <c r="E49">
        <v>5050</v>
      </c>
      <c r="F49">
        <v>5110</v>
      </c>
      <c r="G49">
        <v>200</v>
      </c>
      <c r="H49" s="107" t="s">
        <v>61</v>
      </c>
      <c r="I49">
        <v>6503</v>
      </c>
      <c r="J49" s="107" t="s">
        <v>316</v>
      </c>
      <c r="K49" s="107" t="s">
        <v>87</v>
      </c>
      <c r="L49">
        <v>1557.5</v>
      </c>
      <c r="M49">
        <v>1558</v>
      </c>
      <c r="N49">
        <v>700</v>
      </c>
      <c r="O49" s="107" t="s">
        <v>63</v>
      </c>
      <c r="P49">
        <v>0.91584699229033795</v>
      </c>
      <c r="Q49">
        <v>0.921541742885719</v>
      </c>
      <c r="R49">
        <v>3.5303984624834597E-2</v>
      </c>
      <c r="S49" s="15">
        <v>2.46227302170468E-2</v>
      </c>
      <c r="T49">
        <v>-0.49496896734943702</v>
      </c>
      <c r="U49">
        <v>0.49496896734943702</v>
      </c>
      <c r="V49">
        <v>-0.92</v>
      </c>
      <c r="W49">
        <v>6.71</v>
      </c>
      <c r="X49">
        <v>266206</v>
      </c>
      <c r="Y49">
        <v>20477</v>
      </c>
      <c r="Z49">
        <v>1.38</v>
      </c>
      <c r="AA49">
        <v>13</v>
      </c>
      <c r="AB49">
        <v>10</v>
      </c>
      <c r="AC49">
        <v>3</v>
      </c>
      <c r="AD49">
        <v>76.92</v>
      </c>
      <c r="AE49">
        <v>11</v>
      </c>
      <c r="AF49">
        <v>8</v>
      </c>
      <c r="AG49">
        <v>1</v>
      </c>
      <c r="AH49">
        <v>4</v>
      </c>
    </row>
    <row r="50" spans="1:34">
      <c r="A50" s="103">
        <v>36</v>
      </c>
      <c r="B50">
        <v>6807</v>
      </c>
      <c r="C50" s="107" t="s">
        <v>335</v>
      </c>
      <c r="D50" s="107" t="s">
        <v>87</v>
      </c>
      <c r="E50">
        <v>2296</v>
      </c>
      <c r="F50">
        <v>2272</v>
      </c>
      <c r="G50">
        <v>400</v>
      </c>
      <c r="H50" s="107" t="s">
        <v>63</v>
      </c>
      <c r="I50">
        <v>7274</v>
      </c>
      <c r="J50" s="107" t="s">
        <v>336</v>
      </c>
      <c r="K50" s="107" t="s">
        <v>84</v>
      </c>
      <c r="L50">
        <v>2278</v>
      </c>
      <c r="M50">
        <v>2283</v>
      </c>
      <c r="N50">
        <v>400</v>
      </c>
      <c r="O50" s="107" t="s">
        <v>61</v>
      </c>
      <c r="P50">
        <v>0.96993108713833298</v>
      </c>
      <c r="Q50">
        <v>0.94360320113593499</v>
      </c>
      <c r="R50">
        <v>1.5638484000562201E-2</v>
      </c>
      <c r="S50">
        <v>7.5043250033511796E-2</v>
      </c>
      <c r="T50">
        <v>0.10213862975935301</v>
      </c>
      <c r="U50">
        <v>0.10213862975935301</v>
      </c>
      <c r="V50">
        <v>0.55000000000000004</v>
      </c>
      <c r="W50">
        <v>0.48</v>
      </c>
      <c r="X50">
        <v>261307</v>
      </c>
      <c r="Y50">
        <v>13753</v>
      </c>
      <c r="Z50">
        <v>0.61</v>
      </c>
      <c r="AA50">
        <v>19</v>
      </c>
      <c r="AB50">
        <v>12</v>
      </c>
      <c r="AC50">
        <v>7</v>
      </c>
      <c r="AD50">
        <v>63.16</v>
      </c>
      <c r="AE50">
        <v>11</v>
      </c>
      <c r="AF50">
        <v>10</v>
      </c>
      <c r="AG50">
        <v>4</v>
      </c>
      <c r="AH50">
        <v>5</v>
      </c>
    </row>
    <row r="51" spans="1:34">
      <c r="A51" s="103">
        <v>119</v>
      </c>
      <c r="B51">
        <v>1963</v>
      </c>
      <c r="C51" s="107" t="s">
        <v>130</v>
      </c>
      <c r="D51" s="107" t="s">
        <v>78</v>
      </c>
      <c r="E51">
        <v>1726</v>
      </c>
      <c r="F51">
        <v>1742</v>
      </c>
      <c r="G51">
        <v>600</v>
      </c>
      <c r="H51" s="107" t="s">
        <v>63</v>
      </c>
      <c r="I51">
        <v>7267</v>
      </c>
      <c r="J51" s="107" t="s">
        <v>118</v>
      </c>
      <c r="K51" s="107" t="s">
        <v>84</v>
      </c>
      <c r="L51">
        <v>3178</v>
      </c>
      <c r="M51">
        <v>3221</v>
      </c>
      <c r="N51">
        <v>300</v>
      </c>
      <c r="O51" s="107" t="s">
        <v>61</v>
      </c>
      <c r="P51">
        <v>0.928482571450989</v>
      </c>
      <c r="Q51">
        <v>0.91927038167211395</v>
      </c>
      <c r="R51">
        <v>2.6444463308221301E-2</v>
      </c>
      <c r="S51" s="15">
        <v>1.6753849069834701E-4</v>
      </c>
      <c r="T51">
        <v>1.30904409029314</v>
      </c>
      <c r="U51">
        <v>1.30904409029314</v>
      </c>
      <c r="V51">
        <v>4.8899999999999997</v>
      </c>
      <c r="W51">
        <v>8.17</v>
      </c>
      <c r="X51">
        <v>259201</v>
      </c>
      <c r="Y51">
        <v>12960</v>
      </c>
      <c r="Z51">
        <v>0.65</v>
      </c>
      <c r="AA51">
        <v>20</v>
      </c>
      <c r="AB51">
        <v>13</v>
      </c>
      <c r="AC51">
        <v>7</v>
      </c>
      <c r="AD51">
        <v>65</v>
      </c>
      <c r="AE51">
        <v>10</v>
      </c>
      <c r="AF51">
        <v>10</v>
      </c>
      <c r="AG51">
        <v>5</v>
      </c>
      <c r="AH51">
        <v>5</v>
      </c>
    </row>
    <row r="52" spans="1:34">
      <c r="A52" s="103">
        <v>59</v>
      </c>
      <c r="B52">
        <v>6457</v>
      </c>
      <c r="C52" s="107" t="s">
        <v>314</v>
      </c>
      <c r="D52" s="107" t="s">
        <v>99</v>
      </c>
      <c r="E52">
        <v>3360</v>
      </c>
      <c r="F52">
        <v>3360</v>
      </c>
      <c r="G52">
        <v>300</v>
      </c>
      <c r="H52" s="107" t="s">
        <v>61</v>
      </c>
      <c r="I52">
        <v>6925</v>
      </c>
      <c r="J52" s="107" t="s">
        <v>313</v>
      </c>
      <c r="K52" s="107" t="s">
        <v>87</v>
      </c>
      <c r="L52">
        <v>1655</v>
      </c>
      <c r="M52">
        <v>1673</v>
      </c>
      <c r="N52">
        <v>600</v>
      </c>
      <c r="O52" s="107" t="s">
        <v>63</v>
      </c>
      <c r="P52">
        <v>0.91304574694694696</v>
      </c>
      <c r="Q52">
        <v>0.93574547928340401</v>
      </c>
      <c r="R52">
        <v>3.19945360053863E-2</v>
      </c>
      <c r="S52" s="15">
        <v>4.2390800448691701E-3</v>
      </c>
      <c r="T52">
        <v>-0.25584823830384701</v>
      </c>
      <c r="U52">
        <v>0.25584823830384701</v>
      </c>
      <c r="V52">
        <v>-0.56999999999999995</v>
      </c>
      <c r="W52">
        <v>0.42</v>
      </c>
      <c r="X52">
        <v>257915</v>
      </c>
      <c r="Y52">
        <v>17194</v>
      </c>
      <c r="Z52">
        <v>1.01</v>
      </c>
      <c r="AA52">
        <v>15</v>
      </c>
      <c r="AB52">
        <v>10</v>
      </c>
      <c r="AC52">
        <v>5</v>
      </c>
      <c r="AD52">
        <v>66.67</v>
      </c>
      <c r="AE52">
        <v>11</v>
      </c>
      <c r="AF52">
        <v>7</v>
      </c>
      <c r="AG52">
        <v>4</v>
      </c>
      <c r="AH52">
        <v>4</v>
      </c>
    </row>
    <row r="53" spans="1:34">
      <c r="A53" s="103">
        <v>49</v>
      </c>
      <c r="B53">
        <v>4061</v>
      </c>
      <c r="C53" s="107" t="s">
        <v>123</v>
      </c>
      <c r="D53" s="107" t="s">
        <v>62</v>
      </c>
      <c r="E53">
        <v>3420</v>
      </c>
      <c r="F53">
        <v>3380</v>
      </c>
      <c r="G53">
        <v>300</v>
      </c>
      <c r="H53" s="107" t="s">
        <v>61</v>
      </c>
      <c r="I53">
        <v>4401</v>
      </c>
      <c r="J53" s="107" t="s">
        <v>317</v>
      </c>
      <c r="K53" s="107" t="s">
        <v>62</v>
      </c>
      <c r="L53">
        <v>1727</v>
      </c>
      <c r="M53">
        <v>1694</v>
      </c>
      <c r="N53">
        <v>600</v>
      </c>
      <c r="O53" s="107" t="s">
        <v>63</v>
      </c>
      <c r="P53">
        <v>0.94324134616820299</v>
      </c>
      <c r="Q53">
        <v>0.93988630901334502</v>
      </c>
      <c r="R53" s="107">
        <v>4.9506029294289003E-3</v>
      </c>
      <c r="S53" s="15">
        <v>1.64880068172292E-6</v>
      </c>
      <c r="T53">
        <v>-0.95826841332776003</v>
      </c>
      <c r="U53">
        <v>0.95826841332776003</v>
      </c>
      <c r="V53">
        <v>-4.33</v>
      </c>
      <c r="W53">
        <v>0.24</v>
      </c>
      <c r="X53">
        <v>256424</v>
      </c>
      <c r="Y53">
        <v>17095</v>
      </c>
      <c r="Z53">
        <v>0.97</v>
      </c>
      <c r="AA53">
        <v>15</v>
      </c>
      <c r="AB53">
        <v>9</v>
      </c>
      <c r="AC53">
        <v>6</v>
      </c>
      <c r="AD53">
        <v>60</v>
      </c>
      <c r="AE53">
        <v>12</v>
      </c>
      <c r="AF53">
        <v>7</v>
      </c>
      <c r="AG53">
        <v>1</v>
      </c>
      <c r="AH53">
        <v>7</v>
      </c>
    </row>
    <row r="54" spans="1:34">
      <c r="A54" s="103">
        <v>90</v>
      </c>
      <c r="B54">
        <v>6807</v>
      </c>
      <c r="C54" s="107" t="s">
        <v>335</v>
      </c>
      <c r="D54" s="107" t="s">
        <v>87</v>
      </c>
      <c r="E54">
        <v>2296</v>
      </c>
      <c r="F54">
        <v>2272</v>
      </c>
      <c r="G54">
        <v>300</v>
      </c>
      <c r="H54" s="107" t="s">
        <v>63</v>
      </c>
      <c r="I54">
        <v>9706</v>
      </c>
      <c r="J54" s="107" t="s">
        <v>337</v>
      </c>
      <c r="K54" s="107" t="s">
        <v>114</v>
      </c>
      <c r="L54">
        <v>6000</v>
      </c>
      <c r="M54">
        <v>6020</v>
      </c>
      <c r="N54">
        <v>100</v>
      </c>
      <c r="O54" s="107" t="s">
        <v>61</v>
      </c>
      <c r="P54">
        <v>0.908929564476467</v>
      </c>
      <c r="Q54">
        <v>0.92694318837930501</v>
      </c>
      <c r="R54" s="107">
        <v>8.0729436287221595E-2</v>
      </c>
      <c r="S54" s="15">
        <v>2.7210533272599601E-2</v>
      </c>
      <c r="T54">
        <v>0.886444443644272</v>
      </c>
      <c r="U54">
        <v>0.886444443644272</v>
      </c>
      <c r="V54">
        <v>5.63</v>
      </c>
      <c r="W54">
        <v>13.22</v>
      </c>
      <c r="X54">
        <v>252142</v>
      </c>
      <c r="Y54">
        <v>14008</v>
      </c>
      <c r="Z54">
        <v>0.88</v>
      </c>
      <c r="AA54">
        <v>18</v>
      </c>
      <c r="AB54">
        <v>11</v>
      </c>
      <c r="AC54">
        <v>7</v>
      </c>
      <c r="AD54">
        <v>61.11</v>
      </c>
      <c r="AE54">
        <v>10</v>
      </c>
      <c r="AF54">
        <v>9</v>
      </c>
      <c r="AG54">
        <v>5</v>
      </c>
      <c r="AH54">
        <v>4</v>
      </c>
    </row>
    <row r="55" spans="1:34">
      <c r="A55" s="103">
        <v>107</v>
      </c>
      <c r="B55">
        <v>6702</v>
      </c>
      <c r="C55" s="107" t="s">
        <v>332</v>
      </c>
      <c r="D55" s="107" t="s">
        <v>87</v>
      </c>
      <c r="E55">
        <v>10200</v>
      </c>
      <c r="F55">
        <v>10055</v>
      </c>
      <c r="G55">
        <v>100</v>
      </c>
      <c r="H55" s="107" t="s">
        <v>61</v>
      </c>
      <c r="I55">
        <v>8425</v>
      </c>
      <c r="J55" s="107" t="s">
        <v>319</v>
      </c>
      <c r="K55" s="107" t="s">
        <v>299</v>
      </c>
      <c r="L55">
        <v>3355</v>
      </c>
      <c r="M55">
        <v>3350</v>
      </c>
      <c r="N55">
        <v>300</v>
      </c>
      <c r="O55" s="107" t="s">
        <v>63</v>
      </c>
      <c r="P55">
        <v>0.91410530945725099</v>
      </c>
      <c r="Q55">
        <v>0.92264583301925696</v>
      </c>
      <c r="R55" s="107">
        <v>9.1668056360318401E-3</v>
      </c>
      <c r="S55">
        <v>5.75833859343804E-3</v>
      </c>
      <c r="T55">
        <v>-0.16046992226319301</v>
      </c>
      <c r="U55">
        <v>0.16046992226319301</v>
      </c>
      <c r="V55">
        <v>-0.54</v>
      </c>
      <c r="W55">
        <v>0.05</v>
      </c>
      <c r="X55">
        <v>243048</v>
      </c>
      <c r="Y55">
        <v>17361</v>
      </c>
      <c r="Z55">
        <v>1.17</v>
      </c>
      <c r="AA55">
        <v>14</v>
      </c>
      <c r="AB55">
        <v>10</v>
      </c>
      <c r="AC55">
        <v>4</v>
      </c>
      <c r="AD55">
        <v>71.430000000000007</v>
      </c>
      <c r="AE55">
        <v>13</v>
      </c>
      <c r="AF55">
        <v>8</v>
      </c>
      <c r="AG55">
        <v>1</v>
      </c>
      <c r="AH55">
        <v>5</v>
      </c>
    </row>
    <row r="56" spans="1:34">
      <c r="A56" s="103">
        <v>181</v>
      </c>
      <c r="B56">
        <v>1820</v>
      </c>
      <c r="C56" s="107" t="s">
        <v>122</v>
      </c>
      <c r="D56" s="107" t="s">
        <v>78</v>
      </c>
      <c r="E56">
        <v>2558</v>
      </c>
      <c r="F56">
        <v>2503</v>
      </c>
      <c r="G56">
        <v>400</v>
      </c>
      <c r="H56" s="107" t="s">
        <v>63</v>
      </c>
      <c r="I56">
        <v>6752</v>
      </c>
      <c r="J56" s="107" t="s">
        <v>105</v>
      </c>
      <c r="K56" s="107" t="s">
        <v>87</v>
      </c>
      <c r="L56">
        <v>1059</v>
      </c>
      <c r="M56">
        <v>1058</v>
      </c>
      <c r="N56">
        <v>900</v>
      </c>
      <c r="O56" s="107" t="s">
        <v>61</v>
      </c>
      <c r="P56">
        <v>0.941862938452523</v>
      </c>
      <c r="Q56">
        <v>0.90743965429374795</v>
      </c>
      <c r="R56" s="15">
        <v>0.227882171006383</v>
      </c>
      <c r="S56">
        <v>1.8283613484367401E-2</v>
      </c>
      <c r="T56">
        <v>0.48694970484911199</v>
      </c>
      <c r="U56">
        <v>0.48694970484911199</v>
      </c>
      <c r="V56">
        <v>1.61</v>
      </c>
      <c r="W56">
        <v>4.8899999999999997</v>
      </c>
      <c r="X56">
        <v>241478</v>
      </c>
      <c r="Y56">
        <v>15092</v>
      </c>
      <c r="Z56">
        <v>0.73</v>
      </c>
      <c r="AA56">
        <v>16</v>
      </c>
      <c r="AB56">
        <v>11</v>
      </c>
      <c r="AC56">
        <v>5</v>
      </c>
      <c r="AD56">
        <v>68.75</v>
      </c>
      <c r="AE56">
        <v>13</v>
      </c>
      <c r="AF56">
        <v>7</v>
      </c>
      <c r="AG56">
        <v>3</v>
      </c>
      <c r="AH56">
        <v>6</v>
      </c>
    </row>
    <row r="57" spans="1:34">
      <c r="A57" s="103">
        <v>189</v>
      </c>
      <c r="B57">
        <v>4202</v>
      </c>
      <c r="C57" s="107" t="s">
        <v>89</v>
      </c>
      <c r="D57" s="107" t="s">
        <v>62</v>
      </c>
      <c r="E57">
        <v>1079</v>
      </c>
      <c r="F57">
        <v>1079</v>
      </c>
      <c r="G57">
        <v>900</v>
      </c>
      <c r="H57" s="107" t="s">
        <v>61</v>
      </c>
      <c r="I57">
        <v>7278</v>
      </c>
      <c r="J57" s="107" t="s">
        <v>83</v>
      </c>
      <c r="K57" s="107" t="s">
        <v>84</v>
      </c>
      <c r="L57">
        <v>2565</v>
      </c>
      <c r="M57">
        <v>2544</v>
      </c>
      <c r="N57">
        <v>400</v>
      </c>
      <c r="O57" s="107" t="s">
        <v>63</v>
      </c>
      <c r="P57">
        <v>0.91457754957373705</v>
      </c>
      <c r="Q57">
        <v>0.90666189223066396</v>
      </c>
      <c r="R57">
        <v>0.149391440506009</v>
      </c>
      <c r="S57" s="15">
        <v>3.5304295704679203E-2</v>
      </c>
      <c r="T57">
        <v>-0.43165191990197099</v>
      </c>
      <c r="U57">
        <v>0.43165191990197099</v>
      </c>
      <c r="V57">
        <v>-1.49</v>
      </c>
      <c r="W57">
        <v>4.57</v>
      </c>
      <c r="X57">
        <v>234049</v>
      </c>
      <c r="Y57">
        <v>11702</v>
      </c>
      <c r="Z57">
        <v>0.56999999999999995</v>
      </c>
      <c r="AA57">
        <v>20</v>
      </c>
      <c r="AB57">
        <v>12</v>
      </c>
      <c r="AC57">
        <v>8</v>
      </c>
      <c r="AD57">
        <v>60</v>
      </c>
      <c r="AE57">
        <v>12</v>
      </c>
      <c r="AF57">
        <v>7</v>
      </c>
      <c r="AG57">
        <v>5</v>
      </c>
      <c r="AH57">
        <v>8</v>
      </c>
    </row>
    <row r="58" spans="1:34">
      <c r="A58" s="103">
        <v>145</v>
      </c>
      <c r="B58">
        <v>5333</v>
      </c>
      <c r="C58" s="107" t="s">
        <v>334</v>
      </c>
      <c r="D58" s="107" t="s">
        <v>106</v>
      </c>
      <c r="E58">
        <v>1915</v>
      </c>
      <c r="F58">
        <v>1919</v>
      </c>
      <c r="G58">
        <v>400</v>
      </c>
      <c r="H58" s="107" t="s">
        <v>61</v>
      </c>
      <c r="I58">
        <v>7282</v>
      </c>
      <c r="J58" s="107" t="s">
        <v>953</v>
      </c>
      <c r="K58" s="107" t="s">
        <v>84</v>
      </c>
      <c r="L58">
        <v>2801</v>
      </c>
      <c r="M58">
        <v>2798</v>
      </c>
      <c r="N58">
        <v>300</v>
      </c>
      <c r="O58" s="107" t="s">
        <v>63</v>
      </c>
      <c r="P58">
        <v>0.97875818403436599</v>
      </c>
      <c r="Q58">
        <v>0.91423871479129004</v>
      </c>
      <c r="R58">
        <v>3.35284653089887E-3</v>
      </c>
      <c r="S58" s="15">
        <v>0.110749503861618</v>
      </c>
      <c r="T58">
        <v>-1.8000472187142</v>
      </c>
      <c r="U58">
        <v>1.8000472187142</v>
      </c>
      <c r="V58">
        <v>-3.52</v>
      </c>
      <c r="W58">
        <v>8.5500000000000007</v>
      </c>
      <c r="X58">
        <v>231982</v>
      </c>
      <c r="Y58">
        <v>12888</v>
      </c>
      <c r="Z58">
        <v>0.65</v>
      </c>
      <c r="AA58">
        <v>18</v>
      </c>
      <c r="AB58">
        <v>10</v>
      </c>
      <c r="AC58">
        <v>8</v>
      </c>
      <c r="AD58">
        <v>55.56</v>
      </c>
      <c r="AE58">
        <v>13</v>
      </c>
      <c r="AF58">
        <v>6</v>
      </c>
      <c r="AG58">
        <v>2</v>
      </c>
      <c r="AH58">
        <v>10</v>
      </c>
    </row>
    <row r="59" spans="1:34">
      <c r="A59" s="103">
        <v>193</v>
      </c>
      <c r="B59">
        <v>1973</v>
      </c>
      <c r="C59" s="107" t="s">
        <v>310</v>
      </c>
      <c r="D59" s="107" t="s">
        <v>79</v>
      </c>
      <c r="E59">
        <v>3620</v>
      </c>
      <c r="F59">
        <v>3570</v>
      </c>
      <c r="G59">
        <v>300</v>
      </c>
      <c r="H59" s="107" t="s">
        <v>61</v>
      </c>
      <c r="I59">
        <v>6755</v>
      </c>
      <c r="J59" s="107" t="s">
        <v>1274</v>
      </c>
      <c r="K59" s="107" t="s">
        <v>87</v>
      </c>
      <c r="L59">
        <v>2362</v>
      </c>
      <c r="M59">
        <v>2350</v>
      </c>
      <c r="N59">
        <v>500</v>
      </c>
      <c r="O59" s="107" t="s">
        <v>63</v>
      </c>
      <c r="P59">
        <v>0.91393995789595395</v>
      </c>
      <c r="Q59">
        <v>0.906155234422791</v>
      </c>
      <c r="R59">
        <v>0.26051795047728199</v>
      </c>
      <c r="S59" s="15">
        <v>0.20804292480378</v>
      </c>
      <c r="T59">
        <v>-2.4210970258863198</v>
      </c>
      <c r="U59">
        <v>2.4210970258863198</v>
      </c>
      <c r="V59">
        <v>-9.35</v>
      </c>
      <c r="W59">
        <v>9.7100000000000009</v>
      </c>
      <c r="X59">
        <v>228786</v>
      </c>
      <c r="Y59">
        <v>12041</v>
      </c>
      <c r="Z59">
        <v>0.71</v>
      </c>
      <c r="AA59">
        <v>19</v>
      </c>
      <c r="AB59">
        <v>13</v>
      </c>
      <c r="AC59">
        <v>6</v>
      </c>
      <c r="AD59">
        <v>68.42</v>
      </c>
      <c r="AE59">
        <v>12</v>
      </c>
      <c r="AF59">
        <v>9</v>
      </c>
      <c r="AG59">
        <v>5</v>
      </c>
      <c r="AH59">
        <v>5</v>
      </c>
    </row>
    <row r="60" spans="1:34">
      <c r="A60" s="103">
        <v>48</v>
      </c>
      <c r="B60">
        <v>4819</v>
      </c>
      <c r="C60" s="107" t="s">
        <v>1316</v>
      </c>
      <c r="D60" s="107" t="s">
        <v>79</v>
      </c>
      <c r="E60">
        <v>4440</v>
      </c>
      <c r="F60">
        <v>4440</v>
      </c>
      <c r="G60">
        <v>200</v>
      </c>
      <c r="H60" s="107" t="s">
        <v>63</v>
      </c>
      <c r="I60">
        <v>6098</v>
      </c>
      <c r="J60" s="107" t="s">
        <v>339</v>
      </c>
      <c r="K60" s="107" t="s">
        <v>120</v>
      </c>
      <c r="L60">
        <v>4053</v>
      </c>
      <c r="M60">
        <v>4103</v>
      </c>
      <c r="N60">
        <v>200</v>
      </c>
      <c r="O60" s="107" t="s">
        <v>61</v>
      </c>
      <c r="P60">
        <v>0.926953550998734</v>
      </c>
      <c r="Q60">
        <v>0.93996735633917095</v>
      </c>
      <c r="R60" s="15">
        <v>9.3745161348809003E-2</v>
      </c>
      <c r="S60" s="15">
        <v>2.35989442909003E-3</v>
      </c>
      <c r="T60">
        <v>1.4839401036906601</v>
      </c>
      <c r="U60">
        <v>1.4839401036906601</v>
      </c>
      <c r="V60">
        <v>5.61</v>
      </c>
      <c r="W60">
        <v>7.59</v>
      </c>
      <c r="X60">
        <v>225867</v>
      </c>
      <c r="Y60">
        <v>15058</v>
      </c>
      <c r="Z60">
        <v>0.81</v>
      </c>
      <c r="AA60">
        <v>15</v>
      </c>
      <c r="AB60">
        <v>9</v>
      </c>
      <c r="AC60">
        <v>6</v>
      </c>
      <c r="AD60">
        <v>60</v>
      </c>
      <c r="AE60">
        <v>10</v>
      </c>
      <c r="AF60">
        <v>7</v>
      </c>
      <c r="AG60">
        <v>3</v>
      </c>
      <c r="AH60">
        <v>5</v>
      </c>
    </row>
    <row r="61" spans="1:34">
      <c r="A61" s="103">
        <v>147</v>
      </c>
      <c r="B61">
        <v>6588</v>
      </c>
      <c r="C61" s="107" t="s">
        <v>955</v>
      </c>
      <c r="D61" s="107" t="s">
        <v>87</v>
      </c>
      <c r="E61">
        <v>4625</v>
      </c>
      <c r="F61">
        <v>4530</v>
      </c>
      <c r="G61">
        <v>200</v>
      </c>
      <c r="H61" s="107" t="s">
        <v>63</v>
      </c>
      <c r="I61">
        <v>8593</v>
      </c>
      <c r="J61" s="107" t="s">
        <v>311</v>
      </c>
      <c r="K61" s="107" t="s">
        <v>299</v>
      </c>
      <c r="L61">
        <v>716</v>
      </c>
      <c r="M61">
        <v>707</v>
      </c>
      <c r="N61">
        <v>1300</v>
      </c>
      <c r="O61" s="107" t="s">
        <v>61</v>
      </c>
      <c r="P61">
        <v>0.92386496234458004</v>
      </c>
      <c r="Q61">
        <v>0.914194418273239</v>
      </c>
      <c r="R61">
        <v>0.38400369981298299</v>
      </c>
      <c r="S61">
        <v>3.8609350176170301E-2</v>
      </c>
      <c r="T61">
        <v>1.4681080181716599</v>
      </c>
      <c r="U61">
        <v>1.4681080181716599</v>
      </c>
      <c r="V61">
        <v>11.39</v>
      </c>
      <c r="W61">
        <v>1.45</v>
      </c>
      <c r="X61">
        <v>224829</v>
      </c>
      <c r="Y61">
        <v>14989</v>
      </c>
      <c r="Z61">
        <v>0.69</v>
      </c>
      <c r="AA61">
        <v>15</v>
      </c>
      <c r="AB61">
        <v>10</v>
      </c>
      <c r="AC61">
        <v>5</v>
      </c>
      <c r="AD61">
        <v>66.67</v>
      </c>
      <c r="AE61">
        <v>13</v>
      </c>
      <c r="AF61">
        <v>5</v>
      </c>
      <c r="AG61">
        <v>4</v>
      </c>
      <c r="AH61">
        <v>6</v>
      </c>
    </row>
    <row r="62" spans="1:34">
      <c r="A62" s="103">
        <v>33</v>
      </c>
      <c r="B62">
        <v>4519</v>
      </c>
      <c r="C62" s="107" t="s">
        <v>954</v>
      </c>
      <c r="D62" s="107" t="s">
        <v>136</v>
      </c>
      <c r="E62">
        <v>10025</v>
      </c>
      <c r="F62">
        <v>10040</v>
      </c>
      <c r="G62">
        <v>100</v>
      </c>
      <c r="H62" s="107" t="s">
        <v>61</v>
      </c>
      <c r="I62">
        <v>6588</v>
      </c>
      <c r="J62" s="107" t="s">
        <v>955</v>
      </c>
      <c r="K62" s="107" t="s">
        <v>87</v>
      </c>
      <c r="L62">
        <v>4625</v>
      </c>
      <c r="M62">
        <v>4530</v>
      </c>
      <c r="N62">
        <v>200</v>
      </c>
      <c r="O62" s="107" t="s">
        <v>63</v>
      </c>
      <c r="P62">
        <v>0.95473208338778603</v>
      </c>
      <c r="Q62">
        <v>0.94416751071711402</v>
      </c>
      <c r="R62" s="15">
        <v>8.0250260733610704E-2</v>
      </c>
      <c r="S62">
        <v>1.5408728326377401E-2</v>
      </c>
      <c r="T62">
        <v>-0.81361483348605801</v>
      </c>
      <c r="U62">
        <v>0.81361483348605801</v>
      </c>
      <c r="V62">
        <v>-5.0999999999999996</v>
      </c>
      <c r="W62">
        <v>9.76</v>
      </c>
      <c r="X62">
        <v>222279</v>
      </c>
      <c r="Y62">
        <v>13892</v>
      </c>
      <c r="Z62">
        <v>0.92</v>
      </c>
      <c r="AA62">
        <v>16</v>
      </c>
      <c r="AB62">
        <v>10</v>
      </c>
      <c r="AC62">
        <v>6</v>
      </c>
      <c r="AD62">
        <v>62.5</v>
      </c>
      <c r="AE62">
        <v>11</v>
      </c>
      <c r="AF62">
        <v>7</v>
      </c>
      <c r="AG62">
        <v>4</v>
      </c>
      <c r="AH62">
        <v>5</v>
      </c>
    </row>
    <row r="63" spans="1:34">
      <c r="A63" s="103">
        <v>171</v>
      </c>
      <c r="B63">
        <v>2175</v>
      </c>
      <c r="C63" s="107" t="s">
        <v>327</v>
      </c>
      <c r="D63" s="107" t="s">
        <v>120</v>
      </c>
      <c r="E63">
        <v>3035</v>
      </c>
      <c r="F63">
        <v>3000</v>
      </c>
      <c r="G63">
        <v>200</v>
      </c>
      <c r="H63" s="107" t="s">
        <v>61</v>
      </c>
      <c r="I63">
        <v>4686</v>
      </c>
      <c r="J63" s="107" t="s">
        <v>1272</v>
      </c>
      <c r="K63" s="107" t="s">
        <v>79</v>
      </c>
      <c r="L63">
        <v>5910</v>
      </c>
      <c r="M63">
        <v>5910</v>
      </c>
      <c r="N63">
        <v>100</v>
      </c>
      <c r="O63" s="107" t="s">
        <v>63</v>
      </c>
      <c r="P63">
        <v>0.92968430173959904</v>
      </c>
      <c r="Q63">
        <v>0.90886006830101895</v>
      </c>
      <c r="R63" s="15">
        <v>4.62440958811049E-4</v>
      </c>
      <c r="S63">
        <v>0.27650297434229798</v>
      </c>
      <c r="T63">
        <v>-1.46443896992059</v>
      </c>
      <c r="U63">
        <v>1.46443896992059</v>
      </c>
      <c r="V63">
        <v>-19.16</v>
      </c>
      <c r="W63">
        <v>1.52</v>
      </c>
      <c r="X63">
        <v>219732</v>
      </c>
      <c r="Y63">
        <v>14649</v>
      </c>
      <c r="Z63">
        <v>0.71</v>
      </c>
      <c r="AA63">
        <v>15</v>
      </c>
      <c r="AB63">
        <v>10</v>
      </c>
      <c r="AC63">
        <v>5</v>
      </c>
      <c r="AD63">
        <v>66.67</v>
      </c>
      <c r="AE63">
        <v>9</v>
      </c>
      <c r="AF63">
        <v>8</v>
      </c>
      <c r="AG63">
        <v>5</v>
      </c>
      <c r="AH63">
        <v>2</v>
      </c>
    </row>
    <row r="64" spans="1:34">
      <c r="A64" s="103">
        <v>51</v>
      </c>
      <c r="B64">
        <v>3635</v>
      </c>
      <c r="C64" s="107" t="s">
        <v>85</v>
      </c>
      <c r="D64" s="107" t="s">
        <v>79</v>
      </c>
      <c r="E64">
        <v>2727</v>
      </c>
      <c r="F64">
        <v>2709</v>
      </c>
      <c r="G64">
        <v>400</v>
      </c>
      <c r="H64" s="107" t="s">
        <v>63</v>
      </c>
      <c r="I64">
        <v>8593</v>
      </c>
      <c r="J64" s="107" t="s">
        <v>311</v>
      </c>
      <c r="K64" s="107" t="s">
        <v>299</v>
      </c>
      <c r="L64">
        <v>716</v>
      </c>
      <c r="M64">
        <v>707</v>
      </c>
      <c r="N64">
        <v>1500</v>
      </c>
      <c r="O64" s="107" t="s">
        <v>61</v>
      </c>
      <c r="P64">
        <v>0.91948062944831499</v>
      </c>
      <c r="Q64">
        <v>0.93949601971791896</v>
      </c>
      <c r="R64" s="15">
        <v>0.18107891844110999</v>
      </c>
      <c r="S64" s="107">
        <v>6.8024295986000996E-3</v>
      </c>
      <c r="T64">
        <v>1.4607777795316601</v>
      </c>
      <c r="U64">
        <v>1.4607777795316601</v>
      </c>
      <c r="V64">
        <v>3.75</v>
      </c>
      <c r="W64">
        <v>2.13</v>
      </c>
      <c r="X64">
        <v>218633</v>
      </c>
      <c r="Y64">
        <v>12861</v>
      </c>
      <c r="Z64">
        <v>0.62</v>
      </c>
      <c r="AA64">
        <v>17</v>
      </c>
      <c r="AB64">
        <v>10</v>
      </c>
      <c r="AC64">
        <v>7</v>
      </c>
      <c r="AD64">
        <v>58.82</v>
      </c>
      <c r="AE64">
        <v>12</v>
      </c>
      <c r="AF64">
        <v>7</v>
      </c>
      <c r="AG64">
        <v>4</v>
      </c>
      <c r="AH64">
        <v>6</v>
      </c>
    </row>
    <row r="65" spans="1:34">
      <c r="A65" s="103">
        <v>102</v>
      </c>
      <c r="B65">
        <v>3105</v>
      </c>
      <c r="C65" s="107" t="s">
        <v>90</v>
      </c>
      <c r="D65" s="107" t="s">
        <v>87</v>
      </c>
      <c r="E65">
        <v>1098</v>
      </c>
      <c r="F65">
        <v>1086</v>
      </c>
      <c r="G65">
        <v>1000</v>
      </c>
      <c r="H65" s="107" t="s">
        <v>63</v>
      </c>
      <c r="I65">
        <v>6770</v>
      </c>
      <c r="J65" s="107" t="s">
        <v>26</v>
      </c>
      <c r="K65" s="107" t="s">
        <v>87</v>
      </c>
      <c r="L65">
        <v>2628</v>
      </c>
      <c r="M65">
        <v>2609</v>
      </c>
      <c r="N65">
        <v>400</v>
      </c>
      <c r="O65" s="107" t="s">
        <v>61</v>
      </c>
      <c r="P65">
        <v>0.95755469848588304</v>
      </c>
      <c r="Q65">
        <v>0.92384834006152805</v>
      </c>
      <c r="R65">
        <v>0.26184540574334098</v>
      </c>
      <c r="S65">
        <v>6.5807838323523105E-2</v>
      </c>
      <c r="T65">
        <v>0.23595003328695699</v>
      </c>
      <c r="U65">
        <v>0.23595003328695699</v>
      </c>
      <c r="V65">
        <v>0.79</v>
      </c>
      <c r="W65">
        <v>4.0599999999999996</v>
      </c>
      <c r="X65">
        <v>211945</v>
      </c>
      <c r="Y65">
        <v>10093</v>
      </c>
      <c r="Z65">
        <v>0.54</v>
      </c>
      <c r="AA65">
        <v>21</v>
      </c>
      <c r="AB65">
        <v>12</v>
      </c>
      <c r="AC65">
        <v>9</v>
      </c>
      <c r="AD65">
        <v>57.14</v>
      </c>
      <c r="AE65">
        <v>9</v>
      </c>
      <c r="AF65">
        <v>11</v>
      </c>
      <c r="AG65">
        <v>7</v>
      </c>
      <c r="AH65">
        <v>3</v>
      </c>
    </row>
    <row r="66" spans="1:34">
      <c r="A66" s="103">
        <v>224</v>
      </c>
      <c r="B66">
        <v>4849</v>
      </c>
      <c r="C66" s="107" t="s">
        <v>1317</v>
      </c>
      <c r="D66" s="107" t="s">
        <v>120</v>
      </c>
      <c r="E66">
        <v>5290</v>
      </c>
      <c r="F66">
        <v>5260</v>
      </c>
      <c r="G66">
        <v>200</v>
      </c>
      <c r="H66" s="107" t="s">
        <v>63</v>
      </c>
      <c r="I66">
        <v>9433</v>
      </c>
      <c r="J66" s="107" t="s">
        <v>1318</v>
      </c>
      <c r="K66" s="107" t="s">
        <v>79</v>
      </c>
      <c r="L66">
        <v>3225</v>
      </c>
      <c r="M66">
        <v>3218</v>
      </c>
      <c r="N66">
        <v>300</v>
      </c>
      <c r="O66" s="107" t="s">
        <v>61</v>
      </c>
      <c r="P66">
        <v>0.920592068052692</v>
      </c>
      <c r="Q66">
        <v>0.90079757506445601</v>
      </c>
      <c r="R66">
        <v>6.4192515319781998E-2</v>
      </c>
      <c r="S66">
        <v>0.16773151234044101</v>
      </c>
      <c r="T66">
        <v>1.1952684520207799</v>
      </c>
      <c r="U66">
        <v>1.1952684520207799</v>
      </c>
      <c r="V66">
        <v>8.43</v>
      </c>
      <c r="W66">
        <v>8.23</v>
      </c>
      <c r="X66">
        <v>211635</v>
      </c>
      <c r="Y66">
        <v>10582</v>
      </c>
      <c r="Z66">
        <v>0.62</v>
      </c>
      <c r="AA66">
        <v>20</v>
      </c>
      <c r="AB66">
        <v>10</v>
      </c>
      <c r="AC66">
        <v>10</v>
      </c>
      <c r="AD66">
        <v>50</v>
      </c>
      <c r="AE66">
        <v>10</v>
      </c>
      <c r="AF66">
        <v>7</v>
      </c>
      <c r="AG66">
        <v>7</v>
      </c>
      <c r="AH66">
        <v>6</v>
      </c>
    </row>
    <row r="67" spans="1:34">
      <c r="A67" s="103">
        <v>101</v>
      </c>
      <c r="B67">
        <v>5333</v>
      </c>
      <c r="C67" s="107" t="s">
        <v>334</v>
      </c>
      <c r="D67" s="107" t="s">
        <v>106</v>
      </c>
      <c r="E67">
        <v>1915</v>
      </c>
      <c r="F67">
        <v>1919</v>
      </c>
      <c r="G67">
        <v>500</v>
      </c>
      <c r="H67" s="107" t="s">
        <v>63</v>
      </c>
      <c r="I67">
        <v>6995</v>
      </c>
      <c r="J67" s="107" t="s">
        <v>91</v>
      </c>
      <c r="K67" s="107" t="s">
        <v>84</v>
      </c>
      <c r="L67">
        <v>2258</v>
      </c>
      <c r="M67">
        <v>2263</v>
      </c>
      <c r="N67">
        <v>400</v>
      </c>
      <c r="O67" s="107" t="s">
        <v>61</v>
      </c>
      <c r="P67">
        <v>0.97281509293809099</v>
      </c>
      <c r="Q67">
        <v>0.92443278737533996</v>
      </c>
      <c r="R67">
        <v>1.9513607690698001E-2</v>
      </c>
      <c r="S67">
        <v>5.7335486410735097E-2</v>
      </c>
      <c r="T67">
        <v>8.3489482516754296E-2</v>
      </c>
      <c r="U67">
        <v>8.3489482516754296E-2</v>
      </c>
      <c r="V67">
        <v>0.19</v>
      </c>
      <c r="W67">
        <v>6</v>
      </c>
      <c r="X67">
        <v>207740</v>
      </c>
      <c r="Y67">
        <v>11541</v>
      </c>
      <c r="Z67">
        <v>0.59</v>
      </c>
      <c r="AA67">
        <v>18</v>
      </c>
      <c r="AB67">
        <v>12</v>
      </c>
      <c r="AC67">
        <v>6</v>
      </c>
      <c r="AD67">
        <v>66.67</v>
      </c>
      <c r="AE67">
        <v>15</v>
      </c>
      <c r="AF67">
        <v>4</v>
      </c>
      <c r="AG67">
        <v>2</v>
      </c>
      <c r="AH67">
        <v>12</v>
      </c>
    </row>
    <row r="68" spans="1:34">
      <c r="A68" s="103">
        <v>163</v>
      </c>
      <c r="B68">
        <v>4183</v>
      </c>
      <c r="C68" s="107" t="s">
        <v>301</v>
      </c>
      <c r="D68" s="107" t="s">
        <v>62</v>
      </c>
      <c r="E68">
        <v>2790</v>
      </c>
      <c r="F68">
        <v>2776</v>
      </c>
      <c r="G68">
        <v>300</v>
      </c>
      <c r="H68" s="107" t="s">
        <v>61</v>
      </c>
      <c r="I68">
        <v>4208</v>
      </c>
      <c r="J68" s="107" t="s">
        <v>98</v>
      </c>
      <c r="K68" s="107" t="s">
        <v>62</v>
      </c>
      <c r="L68">
        <v>2459</v>
      </c>
      <c r="M68">
        <v>2479</v>
      </c>
      <c r="N68">
        <v>300</v>
      </c>
      <c r="O68" s="107" t="s">
        <v>63</v>
      </c>
      <c r="P68">
        <v>0.93281125502254503</v>
      </c>
      <c r="Q68">
        <v>0.91047413521996701</v>
      </c>
      <c r="R68">
        <v>1.9851833213696699E-2</v>
      </c>
      <c r="S68">
        <v>0.109916247214598</v>
      </c>
      <c r="T68">
        <v>-0.27847957536314999</v>
      </c>
      <c r="U68">
        <v>0.27847957536314999</v>
      </c>
      <c r="V68">
        <v>-0.41</v>
      </c>
      <c r="W68">
        <v>10.7</v>
      </c>
      <c r="X68">
        <v>207621</v>
      </c>
      <c r="Y68">
        <v>20762</v>
      </c>
      <c r="Z68">
        <v>1.0900000000000001</v>
      </c>
      <c r="AA68">
        <v>10</v>
      </c>
      <c r="AB68">
        <v>9</v>
      </c>
      <c r="AC68">
        <v>1</v>
      </c>
      <c r="AD68">
        <v>90</v>
      </c>
      <c r="AE68">
        <v>14</v>
      </c>
      <c r="AF68">
        <v>3</v>
      </c>
      <c r="AG68">
        <v>0</v>
      </c>
      <c r="AH68">
        <v>7</v>
      </c>
    </row>
    <row r="69" spans="1:34">
      <c r="A69" s="103">
        <v>127</v>
      </c>
      <c r="B69">
        <v>5333</v>
      </c>
      <c r="C69" s="107" t="s">
        <v>334</v>
      </c>
      <c r="D69" s="107" t="s">
        <v>106</v>
      </c>
      <c r="E69">
        <v>1915</v>
      </c>
      <c r="F69">
        <v>1919</v>
      </c>
      <c r="G69">
        <v>500</v>
      </c>
      <c r="H69" s="107" t="s">
        <v>63</v>
      </c>
      <c r="I69">
        <v>9810</v>
      </c>
      <c r="J69" s="107" t="s">
        <v>127</v>
      </c>
      <c r="K69" s="107" t="s">
        <v>101</v>
      </c>
      <c r="L69">
        <v>5290</v>
      </c>
      <c r="M69">
        <v>5230</v>
      </c>
      <c r="N69">
        <v>200</v>
      </c>
      <c r="O69" s="107" t="s">
        <v>61</v>
      </c>
      <c r="P69">
        <v>0.95173640989805997</v>
      </c>
      <c r="Q69">
        <v>0.91760594132802298</v>
      </c>
      <c r="R69" s="107">
        <v>0.32005021996130101</v>
      </c>
      <c r="S69" s="107">
        <v>6.9945332545420499E-2</v>
      </c>
      <c r="T69">
        <v>0.56047326295669997</v>
      </c>
      <c r="U69">
        <v>0.56047326295669997</v>
      </c>
      <c r="V69">
        <v>1.41</v>
      </c>
      <c r="W69">
        <v>8.27</v>
      </c>
      <c r="X69">
        <v>206989</v>
      </c>
      <c r="Y69">
        <v>12937</v>
      </c>
      <c r="Z69">
        <v>0.97</v>
      </c>
      <c r="AA69">
        <v>16</v>
      </c>
      <c r="AB69">
        <v>13</v>
      </c>
      <c r="AC69">
        <v>3</v>
      </c>
      <c r="AD69">
        <v>81.25</v>
      </c>
      <c r="AE69">
        <v>14</v>
      </c>
      <c r="AF69">
        <v>5</v>
      </c>
      <c r="AG69">
        <v>2</v>
      </c>
      <c r="AH69">
        <v>9</v>
      </c>
    </row>
    <row r="70" spans="1:34">
      <c r="A70" s="103">
        <v>3</v>
      </c>
      <c r="B70">
        <v>6988</v>
      </c>
      <c r="C70" s="107" t="s">
        <v>139</v>
      </c>
      <c r="D70" s="107" t="s">
        <v>62</v>
      </c>
      <c r="E70">
        <v>6350</v>
      </c>
      <c r="F70">
        <v>6410</v>
      </c>
      <c r="G70">
        <v>100</v>
      </c>
      <c r="H70" s="107" t="s">
        <v>61</v>
      </c>
      <c r="I70">
        <v>7282</v>
      </c>
      <c r="J70" s="107" t="s">
        <v>953</v>
      </c>
      <c r="K70" s="107" t="s">
        <v>84</v>
      </c>
      <c r="L70">
        <v>2801</v>
      </c>
      <c r="M70">
        <v>2798</v>
      </c>
      <c r="N70">
        <v>200</v>
      </c>
      <c r="O70" s="107" t="s">
        <v>63</v>
      </c>
      <c r="P70">
        <v>0.945328598275751</v>
      </c>
      <c r="Q70">
        <v>0.96395416518811605</v>
      </c>
      <c r="R70" s="107">
        <v>0.100461843901423</v>
      </c>
      <c r="S70" s="15">
        <v>2.29710329866799E-5</v>
      </c>
      <c r="T70">
        <v>-1.9606001734935301</v>
      </c>
      <c r="U70">
        <v>1.9606001734935301</v>
      </c>
      <c r="V70">
        <v>-6.33</v>
      </c>
      <c r="W70">
        <v>12.7</v>
      </c>
      <c r="X70">
        <v>206961</v>
      </c>
      <c r="Y70">
        <v>14783</v>
      </c>
      <c r="Z70">
        <v>0.78</v>
      </c>
      <c r="AA70">
        <v>14</v>
      </c>
      <c r="AB70">
        <v>10</v>
      </c>
      <c r="AC70">
        <v>4</v>
      </c>
      <c r="AD70">
        <v>71.430000000000007</v>
      </c>
      <c r="AE70">
        <v>10</v>
      </c>
      <c r="AF70">
        <v>9</v>
      </c>
      <c r="AG70">
        <v>3</v>
      </c>
      <c r="AH70">
        <v>2</v>
      </c>
    </row>
    <row r="71" spans="1:34">
      <c r="A71" s="103">
        <v>73</v>
      </c>
      <c r="B71">
        <v>3291</v>
      </c>
      <c r="C71" s="107" t="s">
        <v>113</v>
      </c>
      <c r="D71" s="107" t="s">
        <v>114</v>
      </c>
      <c r="E71">
        <v>1943</v>
      </c>
      <c r="F71">
        <v>1921</v>
      </c>
      <c r="G71">
        <v>500</v>
      </c>
      <c r="H71" s="107" t="s">
        <v>61</v>
      </c>
      <c r="I71">
        <v>8086</v>
      </c>
      <c r="J71" s="107" t="s">
        <v>1319</v>
      </c>
      <c r="K71" s="107" t="s">
        <v>93</v>
      </c>
      <c r="L71">
        <v>1321</v>
      </c>
      <c r="M71">
        <v>1325</v>
      </c>
      <c r="N71">
        <v>700</v>
      </c>
      <c r="O71" s="107" t="s">
        <v>63</v>
      </c>
      <c r="P71">
        <v>0.90649192192507</v>
      </c>
      <c r="Q71">
        <v>0.931200537022014</v>
      </c>
      <c r="R71">
        <v>4.61202323882756E-3</v>
      </c>
      <c r="S71" s="15">
        <v>6.7224843620904296E-3</v>
      </c>
      <c r="T71">
        <v>-0.207955939227631</v>
      </c>
      <c r="U71">
        <v>0.207955939227631</v>
      </c>
      <c r="V71">
        <v>-0.4</v>
      </c>
      <c r="W71">
        <v>3.44</v>
      </c>
      <c r="X71">
        <v>204433</v>
      </c>
      <c r="Y71">
        <v>17036</v>
      </c>
      <c r="Z71">
        <v>0.89</v>
      </c>
      <c r="AA71">
        <v>12</v>
      </c>
      <c r="AB71">
        <v>8</v>
      </c>
      <c r="AC71">
        <v>4</v>
      </c>
      <c r="AD71">
        <v>66.67</v>
      </c>
      <c r="AE71">
        <v>10</v>
      </c>
      <c r="AF71">
        <v>6</v>
      </c>
      <c r="AG71">
        <v>3</v>
      </c>
      <c r="AH71">
        <v>3</v>
      </c>
    </row>
    <row r="72" spans="1:34">
      <c r="A72" s="103">
        <v>88</v>
      </c>
      <c r="B72">
        <v>5802</v>
      </c>
      <c r="C72" s="107" t="s">
        <v>131</v>
      </c>
      <c r="D72" s="107" t="s">
        <v>132</v>
      </c>
      <c r="E72">
        <v>1688.5</v>
      </c>
      <c r="F72">
        <v>1690.5</v>
      </c>
      <c r="G72">
        <v>500</v>
      </c>
      <c r="H72" s="107" t="s">
        <v>61</v>
      </c>
      <c r="I72">
        <v>7282</v>
      </c>
      <c r="J72" s="107" t="s">
        <v>953</v>
      </c>
      <c r="K72" s="107" t="s">
        <v>84</v>
      </c>
      <c r="L72">
        <v>2801</v>
      </c>
      <c r="M72">
        <v>2798</v>
      </c>
      <c r="N72">
        <v>300</v>
      </c>
      <c r="O72" s="107" t="s">
        <v>63</v>
      </c>
      <c r="P72">
        <v>0.96296055794608804</v>
      </c>
      <c r="Q72">
        <v>0.92730054088716196</v>
      </c>
      <c r="R72">
        <v>7.7952192192978803E-2</v>
      </c>
      <c r="S72" s="15">
        <v>0.19543322044470701</v>
      </c>
      <c r="T72">
        <v>-1.41369937532218</v>
      </c>
      <c r="U72">
        <v>1.41369937532218</v>
      </c>
      <c r="V72">
        <v>-3.47</v>
      </c>
      <c r="W72">
        <v>0.7</v>
      </c>
      <c r="X72">
        <v>204036</v>
      </c>
      <c r="Y72">
        <v>12752</v>
      </c>
      <c r="Z72">
        <v>0.61</v>
      </c>
      <c r="AA72">
        <v>16</v>
      </c>
      <c r="AB72">
        <v>11</v>
      </c>
      <c r="AC72">
        <v>5</v>
      </c>
      <c r="AD72">
        <v>68.75</v>
      </c>
      <c r="AE72">
        <v>14</v>
      </c>
      <c r="AF72">
        <v>5</v>
      </c>
      <c r="AG72">
        <v>2</v>
      </c>
      <c r="AH72">
        <v>9</v>
      </c>
    </row>
    <row r="73" spans="1:34">
      <c r="A73" s="103">
        <v>208</v>
      </c>
      <c r="B73">
        <v>6752</v>
      </c>
      <c r="C73" s="107" t="s">
        <v>105</v>
      </c>
      <c r="D73" s="107" t="s">
        <v>87</v>
      </c>
      <c r="E73">
        <v>1059</v>
      </c>
      <c r="F73">
        <v>1058</v>
      </c>
      <c r="G73">
        <v>1000</v>
      </c>
      <c r="H73" s="107" t="s">
        <v>61</v>
      </c>
      <c r="I73">
        <v>7205</v>
      </c>
      <c r="J73" s="107" t="s">
        <v>117</v>
      </c>
      <c r="K73" s="107" t="s">
        <v>84</v>
      </c>
      <c r="L73">
        <v>1175</v>
      </c>
      <c r="M73">
        <v>1181</v>
      </c>
      <c r="N73">
        <v>900</v>
      </c>
      <c r="O73" s="107" t="s">
        <v>63</v>
      </c>
      <c r="P73">
        <v>0.94858565356340196</v>
      </c>
      <c r="Q73">
        <v>0.90418875934947796</v>
      </c>
      <c r="R73">
        <v>0.14776639393947899</v>
      </c>
      <c r="S73">
        <v>2.7312222507179601E-2</v>
      </c>
      <c r="T73">
        <v>-1.9787012042360099</v>
      </c>
      <c r="U73">
        <v>1.9787012042360099</v>
      </c>
      <c r="V73">
        <v>-6.73</v>
      </c>
      <c r="W73">
        <v>0.46</v>
      </c>
      <c r="X73">
        <v>203652</v>
      </c>
      <c r="Y73">
        <v>14547</v>
      </c>
      <c r="Z73">
        <v>0.68</v>
      </c>
      <c r="AA73">
        <v>14</v>
      </c>
      <c r="AB73">
        <v>9</v>
      </c>
      <c r="AC73">
        <v>5</v>
      </c>
      <c r="AD73">
        <v>64.290000000000006</v>
      </c>
      <c r="AE73">
        <v>14</v>
      </c>
      <c r="AF73">
        <v>5</v>
      </c>
      <c r="AG73">
        <v>1</v>
      </c>
      <c r="AH73">
        <v>8</v>
      </c>
    </row>
    <row r="74" spans="1:34">
      <c r="A74" s="103">
        <v>87</v>
      </c>
      <c r="B74">
        <v>4182</v>
      </c>
      <c r="C74" s="107" t="s">
        <v>88</v>
      </c>
      <c r="D74" s="107" t="s">
        <v>62</v>
      </c>
      <c r="E74">
        <v>1728</v>
      </c>
      <c r="F74">
        <v>1730</v>
      </c>
      <c r="G74">
        <v>600</v>
      </c>
      <c r="H74" s="107" t="s">
        <v>61</v>
      </c>
      <c r="I74">
        <v>5802</v>
      </c>
      <c r="J74" s="107" t="s">
        <v>131</v>
      </c>
      <c r="K74" s="107" t="s">
        <v>132</v>
      </c>
      <c r="L74">
        <v>1688.5</v>
      </c>
      <c r="M74">
        <v>1690.5</v>
      </c>
      <c r="N74">
        <v>600</v>
      </c>
      <c r="O74" s="107" t="s">
        <v>63</v>
      </c>
      <c r="P74">
        <v>0.96652055344474797</v>
      </c>
      <c r="Q74">
        <v>0.92790988167491395</v>
      </c>
      <c r="R74">
        <v>0.226924850573262</v>
      </c>
      <c r="S74" s="15">
        <v>8.3946599580543596E-2</v>
      </c>
      <c r="T74">
        <v>-0.73605102733937799</v>
      </c>
      <c r="U74">
        <v>0.73605102733937799</v>
      </c>
      <c r="V74">
        <v>-1.59</v>
      </c>
      <c r="W74">
        <v>2.2799999999999998</v>
      </c>
      <c r="X74">
        <v>202282</v>
      </c>
      <c r="Y74">
        <v>11238</v>
      </c>
      <c r="Z74">
        <v>0.67</v>
      </c>
      <c r="AA74">
        <v>18</v>
      </c>
      <c r="AB74">
        <v>11</v>
      </c>
      <c r="AC74">
        <v>7</v>
      </c>
      <c r="AD74">
        <v>61.11</v>
      </c>
      <c r="AE74">
        <v>13</v>
      </c>
      <c r="AF74">
        <v>7</v>
      </c>
      <c r="AG74">
        <v>4</v>
      </c>
      <c r="AH74">
        <v>7</v>
      </c>
    </row>
    <row r="75" spans="1:34">
      <c r="A75" s="103">
        <v>141</v>
      </c>
      <c r="B75">
        <v>1802</v>
      </c>
      <c r="C75" s="107" t="s">
        <v>1320</v>
      </c>
      <c r="D75" s="107" t="s">
        <v>78</v>
      </c>
      <c r="E75">
        <v>1280</v>
      </c>
      <c r="F75">
        <v>1257</v>
      </c>
      <c r="G75">
        <v>900</v>
      </c>
      <c r="H75" s="107" t="s">
        <v>61</v>
      </c>
      <c r="I75">
        <v>5393</v>
      </c>
      <c r="J75" s="107" t="s">
        <v>333</v>
      </c>
      <c r="K75" s="107" t="s">
        <v>106</v>
      </c>
      <c r="L75">
        <v>2749</v>
      </c>
      <c r="M75">
        <v>2736</v>
      </c>
      <c r="N75">
        <v>400</v>
      </c>
      <c r="O75" s="107" t="s">
        <v>63</v>
      </c>
      <c r="P75">
        <v>0.92613452869733204</v>
      </c>
      <c r="Q75">
        <v>0.91483218393102295</v>
      </c>
      <c r="R75">
        <v>0.27071101538944398</v>
      </c>
      <c r="S75" s="107">
        <v>1.0377964653044899E-2</v>
      </c>
      <c r="T75">
        <v>-1.1758914961268701</v>
      </c>
      <c r="U75">
        <v>1.1758914961268701</v>
      </c>
      <c r="V75">
        <v>-11.85</v>
      </c>
      <c r="W75">
        <v>3.37</v>
      </c>
      <c r="X75">
        <v>200007</v>
      </c>
      <c r="Y75">
        <v>10527</v>
      </c>
      <c r="Z75">
        <v>0.49</v>
      </c>
      <c r="AA75">
        <v>19</v>
      </c>
      <c r="AB75">
        <v>12</v>
      </c>
      <c r="AC75">
        <v>7</v>
      </c>
      <c r="AD75">
        <v>63.16</v>
      </c>
      <c r="AE75">
        <v>12</v>
      </c>
      <c r="AF75">
        <v>9</v>
      </c>
      <c r="AG75">
        <v>5</v>
      </c>
      <c r="AH75">
        <v>5</v>
      </c>
    </row>
    <row r="76" spans="1:34">
      <c r="A76" s="103">
        <v>188</v>
      </c>
      <c r="B76">
        <v>6471</v>
      </c>
      <c r="C76" s="107" t="s">
        <v>138</v>
      </c>
      <c r="D76" s="107" t="s">
        <v>99</v>
      </c>
      <c r="E76">
        <v>1090</v>
      </c>
      <c r="F76">
        <v>1088</v>
      </c>
      <c r="G76">
        <v>800</v>
      </c>
      <c r="H76" s="107" t="s">
        <v>61</v>
      </c>
      <c r="I76">
        <v>7259</v>
      </c>
      <c r="J76" s="107" t="s">
        <v>29</v>
      </c>
      <c r="K76" s="107" t="s">
        <v>84</v>
      </c>
      <c r="L76">
        <v>4260</v>
      </c>
      <c r="M76">
        <v>4265</v>
      </c>
      <c r="N76">
        <v>200</v>
      </c>
      <c r="O76" s="107" t="s">
        <v>63</v>
      </c>
      <c r="P76">
        <v>0.93910542097426097</v>
      </c>
      <c r="Q76">
        <v>0.90690326244113395</v>
      </c>
      <c r="R76">
        <v>3.0976500475223299E-4</v>
      </c>
      <c r="S76">
        <v>1.24712549253982E-2</v>
      </c>
      <c r="T76">
        <v>-0.75796679308682002</v>
      </c>
      <c r="U76">
        <v>0.75796679308682002</v>
      </c>
      <c r="V76">
        <v>-3.05</v>
      </c>
      <c r="W76">
        <v>2.04</v>
      </c>
      <c r="X76">
        <v>199833</v>
      </c>
      <c r="Y76">
        <v>9516</v>
      </c>
      <c r="Z76">
        <v>0.62</v>
      </c>
      <c r="AA76">
        <v>21</v>
      </c>
      <c r="AB76">
        <v>14</v>
      </c>
      <c r="AC76">
        <v>7</v>
      </c>
      <c r="AD76">
        <v>66.67</v>
      </c>
      <c r="AE76">
        <v>12</v>
      </c>
      <c r="AF76">
        <v>8</v>
      </c>
      <c r="AG76">
        <v>4</v>
      </c>
      <c r="AH76">
        <v>9</v>
      </c>
    </row>
    <row r="77" spans="1:34">
      <c r="A77" s="103">
        <v>7</v>
      </c>
      <c r="B77">
        <v>4182</v>
      </c>
      <c r="C77" s="107" t="s">
        <v>88</v>
      </c>
      <c r="D77" s="107" t="s">
        <v>62</v>
      </c>
      <c r="E77">
        <v>1728</v>
      </c>
      <c r="F77">
        <v>1730</v>
      </c>
      <c r="G77">
        <v>600</v>
      </c>
      <c r="H77" s="107" t="s">
        <v>61</v>
      </c>
      <c r="I77">
        <v>5991</v>
      </c>
      <c r="J77" s="107" t="s">
        <v>115</v>
      </c>
      <c r="K77" s="107" t="s">
        <v>116</v>
      </c>
      <c r="L77">
        <v>1021</v>
      </c>
      <c r="M77">
        <v>1021</v>
      </c>
      <c r="N77">
        <v>1000</v>
      </c>
      <c r="O77" s="107" t="s">
        <v>63</v>
      </c>
      <c r="P77">
        <v>0.96938045776937698</v>
      </c>
      <c r="Q77">
        <v>0.95923286177314204</v>
      </c>
      <c r="R77">
        <v>4.8080751975348598E-2</v>
      </c>
      <c r="S77" s="15">
        <v>0.183393778587018</v>
      </c>
      <c r="T77">
        <v>-0.70656768412009996</v>
      </c>
      <c r="U77">
        <v>0.70656768412009996</v>
      </c>
      <c r="V77">
        <v>-1.51</v>
      </c>
      <c r="W77">
        <v>1.64</v>
      </c>
      <c r="X77">
        <v>196981</v>
      </c>
      <c r="Y77">
        <v>10367</v>
      </c>
      <c r="Z77">
        <v>0.49</v>
      </c>
      <c r="AA77">
        <v>19</v>
      </c>
      <c r="AB77">
        <v>11</v>
      </c>
      <c r="AC77">
        <v>8</v>
      </c>
      <c r="AD77">
        <v>57.89</v>
      </c>
      <c r="AE77">
        <v>12</v>
      </c>
      <c r="AF77">
        <v>7</v>
      </c>
      <c r="AG77">
        <v>3</v>
      </c>
      <c r="AH77">
        <v>9</v>
      </c>
    </row>
    <row r="78" spans="1:34">
      <c r="A78" s="103">
        <v>25</v>
      </c>
      <c r="B78">
        <v>7181</v>
      </c>
      <c r="C78" s="107" t="s">
        <v>137</v>
      </c>
      <c r="D78" s="107" t="s">
        <v>110</v>
      </c>
      <c r="E78">
        <v>2005</v>
      </c>
      <c r="F78">
        <v>1990</v>
      </c>
      <c r="G78">
        <v>500</v>
      </c>
      <c r="H78" s="107" t="s">
        <v>63</v>
      </c>
      <c r="I78">
        <v>9956</v>
      </c>
      <c r="J78" s="107" t="s">
        <v>318</v>
      </c>
      <c r="K78" s="107" t="s">
        <v>95</v>
      </c>
      <c r="L78">
        <v>2096</v>
      </c>
      <c r="M78">
        <v>2070</v>
      </c>
      <c r="N78">
        <v>500</v>
      </c>
      <c r="O78" s="107" t="s">
        <v>61</v>
      </c>
      <c r="P78">
        <v>0.93082151940243996</v>
      </c>
      <c r="Q78">
        <v>0.94713563227489395</v>
      </c>
      <c r="R78">
        <v>7.0854084149129604E-3</v>
      </c>
      <c r="S78" s="15">
        <v>0.13302352595310801</v>
      </c>
      <c r="T78">
        <v>2.2624826861349598</v>
      </c>
      <c r="U78">
        <v>2.2624826861349598</v>
      </c>
      <c r="V78">
        <v>6.19</v>
      </c>
      <c r="W78">
        <v>3.86</v>
      </c>
      <c r="X78">
        <v>196402</v>
      </c>
      <c r="Y78">
        <v>15108</v>
      </c>
      <c r="Z78">
        <v>0.7</v>
      </c>
      <c r="AA78">
        <v>13</v>
      </c>
      <c r="AB78">
        <v>9</v>
      </c>
      <c r="AC78">
        <v>4</v>
      </c>
      <c r="AD78">
        <v>69.23</v>
      </c>
      <c r="AE78">
        <v>14</v>
      </c>
      <c r="AF78">
        <v>3</v>
      </c>
      <c r="AG78">
        <v>1</v>
      </c>
      <c r="AH78">
        <v>9</v>
      </c>
    </row>
    <row r="79" spans="1:34">
      <c r="A79" s="103">
        <v>34</v>
      </c>
      <c r="B79">
        <v>2379</v>
      </c>
      <c r="C79" s="107" t="s">
        <v>1027</v>
      </c>
      <c r="D79" s="107" t="s">
        <v>120</v>
      </c>
      <c r="E79">
        <v>3210</v>
      </c>
      <c r="F79">
        <v>3175</v>
      </c>
      <c r="G79">
        <v>300</v>
      </c>
      <c r="H79" s="107" t="s">
        <v>63</v>
      </c>
      <c r="I79">
        <v>9437</v>
      </c>
      <c r="J79" s="107" t="s">
        <v>1028</v>
      </c>
      <c r="K79" s="107" t="s">
        <v>79</v>
      </c>
      <c r="L79">
        <v>3050</v>
      </c>
      <c r="M79">
        <v>3025</v>
      </c>
      <c r="N79">
        <v>300</v>
      </c>
      <c r="O79" s="107" t="s">
        <v>61</v>
      </c>
      <c r="P79">
        <v>0.90149516510570105</v>
      </c>
      <c r="Q79">
        <v>0.94414676424467903</v>
      </c>
      <c r="R79" s="107">
        <v>2.3279108497009701E-2</v>
      </c>
      <c r="S79">
        <v>1.7037838338569498E-2</v>
      </c>
      <c r="T79">
        <v>1.2072937976873099</v>
      </c>
      <c r="U79">
        <v>1.2072937976873099</v>
      </c>
      <c r="V79">
        <v>7.12</v>
      </c>
      <c r="W79">
        <v>4.72</v>
      </c>
      <c r="X79">
        <v>196308</v>
      </c>
      <c r="Y79">
        <v>9348</v>
      </c>
      <c r="Z79">
        <v>0.5</v>
      </c>
      <c r="AA79">
        <v>21</v>
      </c>
      <c r="AB79">
        <v>11</v>
      </c>
      <c r="AC79">
        <v>10</v>
      </c>
      <c r="AD79">
        <v>52.38</v>
      </c>
      <c r="AE79">
        <v>10</v>
      </c>
      <c r="AF79">
        <v>8</v>
      </c>
      <c r="AG79">
        <v>6</v>
      </c>
      <c r="AH79">
        <v>7</v>
      </c>
    </row>
    <row r="80" spans="1:34">
      <c r="A80" s="103">
        <v>176</v>
      </c>
      <c r="B80">
        <v>6479</v>
      </c>
      <c r="C80" s="107" t="s">
        <v>1321</v>
      </c>
      <c r="D80" s="107" t="s">
        <v>87</v>
      </c>
      <c r="E80">
        <v>2330</v>
      </c>
      <c r="F80">
        <v>2326</v>
      </c>
      <c r="G80">
        <v>400</v>
      </c>
      <c r="H80" s="107" t="s">
        <v>61</v>
      </c>
      <c r="I80">
        <v>7729</v>
      </c>
      <c r="J80" s="107" t="s">
        <v>1311</v>
      </c>
      <c r="K80" s="107" t="s">
        <v>93</v>
      </c>
      <c r="L80">
        <v>4285</v>
      </c>
      <c r="M80">
        <v>4185</v>
      </c>
      <c r="N80">
        <v>200</v>
      </c>
      <c r="O80" s="107" t="s">
        <v>63</v>
      </c>
      <c r="P80">
        <v>0.91976884255304903</v>
      </c>
      <c r="Q80">
        <v>0.90807580107793695</v>
      </c>
      <c r="R80">
        <v>0.181965406134596</v>
      </c>
      <c r="S80" s="15">
        <v>0.30951518142857998</v>
      </c>
      <c r="T80">
        <v>-0.46686024664603698</v>
      </c>
      <c r="U80">
        <v>0.46686024664603698</v>
      </c>
      <c r="V80">
        <v>-1.56</v>
      </c>
      <c r="W80">
        <v>11.16</v>
      </c>
      <c r="X80">
        <v>194083</v>
      </c>
      <c r="Y80">
        <v>9704</v>
      </c>
      <c r="Z80">
        <v>0.52</v>
      </c>
      <c r="AA80">
        <v>20</v>
      </c>
      <c r="AB80">
        <v>13</v>
      </c>
      <c r="AC80">
        <v>7</v>
      </c>
      <c r="AD80">
        <v>65</v>
      </c>
      <c r="AE80">
        <v>12</v>
      </c>
      <c r="AF80">
        <v>8</v>
      </c>
      <c r="AG80">
        <v>4</v>
      </c>
      <c r="AH80">
        <v>8</v>
      </c>
    </row>
    <row r="81" spans="1:34">
      <c r="A81" s="103">
        <v>159</v>
      </c>
      <c r="B81">
        <v>4613</v>
      </c>
      <c r="C81" s="107" t="s">
        <v>320</v>
      </c>
      <c r="D81" s="107" t="s">
        <v>62</v>
      </c>
      <c r="E81">
        <v>2822</v>
      </c>
      <c r="F81">
        <v>2757</v>
      </c>
      <c r="G81">
        <v>400</v>
      </c>
      <c r="H81" s="107" t="s">
        <v>61</v>
      </c>
      <c r="I81">
        <v>6920</v>
      </c>
      <c r="J81" s="107" t="s">
        <v>86</v>
      </c>
      <c r="K81" s="107" t="s">
        <v>87</v>
      </c>
      <c r="L81">
        <v>9950</v>
      </c>
      <c r="M81">
        <v>9850</v>
      </c>
      <c r="N81">
        <v>100</v>
      </c>
      <c r="O81" s="107" t="s">
        <v>63</v>
      </c>
      <c r="P81">
        <v>0.90425674058299998</v>
      </c>
      <c r="Q81">
        <v>0.91085577226696401</v>
      </c>
      <c r="R81" s="107">
        <v>0.106920352528558</v>
      </c>
      <c r="S81" s="15">
        <v>0.21322250277267699</v>
      </c>
      <c r="T81">
        <v>-1.9926368775893999</v>
      </c>
      <c r="U81">
        <v>1.9926368775893999</v>
      </c>
      <c r="V81">
        <v>-19.559999999999999</v>
      </c>
      <c r="W81">
        <v>11.96</v>
      </c>
      <c r="X81">
        <v>191647</v>
      </c>
      <c r="Y81">
        <v>10087</v>
      </c>
      <c r="Z81">
        <v>0.54</v>
      </c>
      <c r="AA81">
        <v>19</v>
      </c>
      <c r="AB81">
        <v>10</v>
      </c>
      <c r="AC81">
        <v>9</v>
      </c>
      <c r="AD81">
        <v>52.63</v>
      </c>
      <c r="AE81">
        <v>10</v>
      </c>
      <c r="AF81">
        <v>9</v>
      </c>
      <c r="AG81">
        <v>8</v>
      </c>
      <c r="AH81">
        <v>2</v>
      </c>
    </row>
    <row r="82" spans="1:34">
      <c r="A82" s="103">
        <v>47</v>
      </c>
      <c r="B82">
        <v>6588</v>
      </c>
      <c r="C82" s="107" t="s">
        <v>955</v>
      </c>
      <c r="D82" s="107" t="s">
        <v>87</v>
      </c>
      <c r="E82">
        <v>4625</v>
      </c>
      <c r="F82">
        <v>4530</v>
      </c>
      <c r="G82">
        <v>200</v>
      </c>
      <c r="H82" s="107" t="s">
        <v>63</v>
      </c>
      <c r="I82">
        <v>6702</v>
      </c>
      <c r="J82" s="107" t="s">
        <v>332</v>
      </c>
      <c r="K82" s="107" t="s">
        <v>87</v>
      </c>
      <c r="L82">
        <v>10200</v>
      </c>
      <c r="M82">
        <v>10055</v>
      </c>
      <c r="N82">
        <v>100</v>
      </c>
      <c r="O82" s="107" t="s">
        <v>61</v>
      </c>
      <c r="P82">
        <v>0.93682849950167801</v>
      </c>
      <c r="Q82">
        <v>0.94002093416678101</v>
      </c>
      <c r="R82">
        <v>0.13985335110279201</v>
      </c>
      <c r="S82" s="15">
        <v>1.91035532056862E-2</v>
      </c>
      <c r="T82" s="15">
        <v>1.36505958785894</v>
      </c>
      <c r="U82" s="15">
        <v>1.36505958785894</v>
      </c>
      <c r="V82">
        <v>9.52</v>
      </c>
      <c r="W82">
        <v>9.9</v>
      </c>
      <c r="X82">
        <v>187415</v>
      </c>
      <c r="Y82">
        <v>18742</v>
      </c>
      <c r="Z82">
        <v>1.0900000000000001</v>
      </c>
      <c r="AA82">
        <v>10</v>
      </c>
      <c r="AB82">
        <v>6</v>
      </c>
      <c r="AC82">
        <v>4</v>
      </c>
      <c r="AD82">
        <v>60</v>
      </c>
      <c r="AE82">
        <v>12</v>
      </c>
      <c r="AF82">
        <v>4</v>
      </c>
      <c r="AG82">
        <v>1</v>
      </c>
      <c r="AH82">
        <v>5</v>
      </c>
    </row>
    <row r="83" spans="1:34">
      <c r="A83" s="103">
        <v>217</v>
      </c>
      <c r="B83">
        <v>8002</v>
      </c>
      <c r="C83" s="107" t="s">
        <v>31</v>
      </c>
      <c r="D83" s="107" t="s">
        <v>101</v>
      </c>
      <c r="E83">
        <v>834.9</v>
      </c>
      <c r="F83">
        <v>837.7</v>
      </c>
      <c r="G83">
        <v>800</v>
      </c>
      <c r="H83" s="107" t="s">
        <v>63</v>
      </c>
      <c r="I83">
        <v>9062</v>
      </c>
      <c r="J83" s="107" t="s">
        <v>956</v>
      </c>
      <c r="K83" s="107" t="s">
        <v>119</v>
      </c>
      <c r="L83">
        <v>6520</v>
      </c>
      <c r="M83">
        <v>6630</v>
      </c>
      <c r="N83">
        <v>100</v>
      </c>
      <c r="O83" s="107" t="s">
        <v>61</v>
      </c>
      <c r="P83">
        <v>0.93624943497243396</v>
      </c>
      <c r="Q83">
        <v>0.90229576554270496</v>
      </c>
      <c r="R83" s="15">
        <v>5.80417759651152E-2</v>
      </c>
      <c r="S83">
        <v>7.1324248437913795E-2</v>
      </c>
      <c r="T83">
        <v>0.29483066935667401</v>
      </c>
      <c r="U83">
        <v>0.29483066935667401</v>
      </c>
      <c r="V83">
        <v>1.24</v>
      </c>
      <c r="W83">
        <v>1.08</v>
      </c>
      <c r="X83">
        <v>187241</v>
      </c>
      <c r="Y83">
        <v>9362</v>
      </c>
      <c r="Z83">
        <v>0.65</v>
      </c>
      <c r="AA83">
        <v>20</v>
      </c>
      <c r="AB83">
        <v>12</v>
      </c>
      <c r="AC83">
        <v>8</v>
      </c>
      <c r="AD83">
        <v>60</v>
      </c>
      <c r="AE83">
        <v>12</v>
      </c>
      <c r="AF83">
        <v>8</v>
      </c>
      <c r="AG83">
        <v>5</v>
      </c>
      <c r="AH83">
        <v>7</v>
      </c>
    </row>
    <row r="84" spans="1:34">
      <c r="A84" s="103">
        <v>24</v>
      </c>
      <c r="B84">
        <v>7203</v>
      </c>
      <c r="C84" s="107" t="s">
        <v>329</v>
      </c>
      <c r="D84" s="107" t="s">
        <v>84</v>
      </c>
      <c r="E84">
        <v>7778</v>
      </c>
      <c r="F84">
        <v>7811</v>
      </c>
      <c r="G84">
        <v>100</v>
      </c>
      <c r="H84" s="107" t="s">
        <v>61</v>
      </c>
      <c r="I84">
        <v>8593</v>
      </c>
      <c r="J84" s="107" t="s">
        <v>311</v>
      </c>
      <c r="K84" s="107" t="s">
        <v>299</v>
      </c>
      <c r="L84">
        <v>716</v>
      </c>
      <c r="M84">
        <v>707</v>
      </c>
      <c r="N84">
        <v>1100</v>
      </c>
      <c r="O84" s="107" t="s">
        <v>63</v>
      </c>
      <c r="P84">
        <v>0.90653489139381505</v>
      </c>
      <c r="Q84">
        <v>0.94739826785955406</v>
      </c>
      <c r="R84">
        <v>0.14815361233094199</v>
      </c>
      <c r="S84" s="107">
        <v>4.80520032084135E-4</v>
      </c>
      <c r="T84">
        <v>-0.81594657137151005</v>
      </c>
      <c r="U84">
        <v>0.81594657137151005</v>
      </c>
      <c r="V84">
        <v>-2.78</v>
      </c>
      <c r="W84">
        <v>0.44</v>
      </c>
      <c r="X84">
        <v>184460</v>
      </c>
      <c r="Y84">
        <v>13176</v>
      </c>
      <c r="Z84">
        <v>0.95</v>
      </c>
      <c r="AA84">
        <v>14</v>
      </c>
      <c r="AB84">
        <v>10</v>
      </c>
      <c r="AC84">
        <v>4</v>
      </c>
      <c r="AD84">
        <v>71.430000000000007</v>
      </c>
      <c r="AE84">
        <v>14</v>
      </c>
      <c r="AF84">
        <v>5</v>
      </c>
      <c r="AG84">
        <v>1</v>
      </c>
      <c r="AH84">
        <v>8</v>
      </c>
    </row>
    <row r="85" spans="1:34">
      <c r="A85" s="103">
        <v>212</v>
      </c>
      <c r="B85">
        <v>4208</v>
      </c>
      <c r="C85" s="107" t="s">
        <v>98</v>
      </c>
      <c r="D85" s="107" t="s">
        <v>62</v>
      </c>
      <c r="E85">
        <v>2459</v>
      </c>
      <c r="F85">
        <v>2479</v>
      </c>
      <c r="G85">
        <v>400</v>
      </c>
      <c r="H85" s="107" t="s">
        <v>61</v>
      </c>
      <c r="I85">
        <v>6472</v>
      </c>
      <c r="J85" s="107" t="s">
        <v>134</v>
      </c>
      <c r="K85" s="107" t="s">
        <v>99</v>
      </c>
      <c r="L85">
        <v>364</v>
      </c>
      <c r="M85">
        <v>363</v>
      </c>
      <c r="N85">
        <v>2700</v>
      </c>
      <c r="O85" s="107" t="s">
        <v>63</v>
      </c>
      <c r="P85">
        <v>0.90967282423920404</v>
      </c>
      <c r="Q85">
        <v>0.90317307641619704</v>
      </c>
      <c r="R85">
        <v>3.4035872146672601E-3</v>
      </c>
      <c r="S85" s="15">
        <v>7.4578344922244993E-2</v>
      </c>
      <c r="T85">
        <v>-0.54756138328587101</v>
      </c>
      <c r="U85">
        <v>0.54756138328587101</v>
      </c>
      <c r="V85">
        <v>-1.32</v>
      </c>
      <c r="W85">
        <v>1.1599999999999999</v>
      </c>
      <c r="X85">
        <v>180416</v>
      </c>
      <c r="Y85">
        <v>9021</v>
      </c>
      <c r="Z85">
        <v>0.48</v>
      </c>
      <c r="AA85">
        <v>20</v>
      </c>
      <c r="AB85">
        <v>13</v>
      </c>
      <c r="AC85">
        <v>7</v>
      </c>
      <c r="AD85">
        <v>65</v>
      </c>
      <c r="AE85">
        <v>13</v>
      </c>
      <c r="AF85">
        <v>7</v>
      </c>
      <c r="AG85">
        <v>5</v>
      </c>
      <c r="AH85">
        <v>8</v>
      </c>
    </row>
    <row r="86" spans="1:34">
      <c r="A86" s="103">
        <v>151</v>
      </c>
      <c r="B86">
        <v>7167</v>
      </c>
      <c r="C86" s="107" t="s">
        <v>100</v>
      </c>
      <c r="D86" s="107" t="s">
        <v>82</v>
      </c>
      <c r="E86">
        <v>283</v>
      </c>
      <c r="F86">
        <v>284</v>
      </c>
      <c r="G86">
        <v>3700</v>
      </c>
      <c r="H86" s="107" t="s">
        <v>61</v>
      </c>
      <c r="I86">
        <v>7189</v>
      </c>
      <c r="J86" s="107" t="s">
        <v>81</v>
      </c>
      <c r="K86" s="107" t="s">
        <v>82</v>
      </c>
      <c r="L86">
        <v>873</v>
      </c>
      <c r="M86">
        <v>879</v>
      </c>
      <c r="N86">
        <v>1200</v>
      </c>
      <c r="O86" s="107" t="s">
        <v>63</v>
      </c>
      <c r="P86">
        <v>0.91599917307783696</v>
      </c>
      <c r="Q86">
        <v>0.91294481801410998</v>
      </c>
      <c r="R86">
        <v>0.147018743119535</v>
      </c>
      <c r="S86" s="15">
        <v>0.11331666029969201</v>
      </c>
      <c r="T86">
        <v>-1.6105188430442801</v>
      </c>
      <c r="U86">
        <v>1.6105188430442801</v>
      </c>
      <c r="V86">
        <v>-7.09</v>
      </c>
      <c r="W86">
        <v>0.38</v>
      </c>
      <c r="X86">
        <v>179261</v>
      </c>
      <c r="Y86">
        <v>9435</v>
      </c>
      <c r="Z86">
        <v>0.45</v>
      </c>
      <c r="AA86">
        <v>19</v>
      </c>
      <c r="AB86">
        <v>11</v>
      </c>
      <c r="AC86">
        <v>8</v>
      </c>
      <c r="AD86">
        <v>57.89</v>
      </c>
      <c r="AE86">
        <v>15</v>
      </c>
      <c r="AF86">
        <v>6</v>
      </c>
      <c r="AG86">
        <v>2</v>
      </c>
      <c r="AH86">
        <v>11</v>
      </c>
    </row>
    <row r="87" spans="1:34">
      <c r="A87" s="103">
        <v>35</v>
      </c>
      <c r="B87">
        <v>3635</v>
      </c>
      <c r="C87" s="107" t="s">
        <v>85</v>
      </c>
      <c r="D87" s="107" t="s">
        <v>79</v>
      </c>
      <c r="E87">
        <v>2727</v>
      </c>
      <c r="F87">
        <v>2709</v>
      </c>
      <c r="G87">
        <v>400</v>
      </c>
      <c r="H87" s="107" t="s">
        <v>61</v>
      </c>
      <c r="I87">
        <v>4519</v>
      </c>
      <c r="J87" s="107" t="s">
        <v>954</v>
      </c>
      <c r="K87" s="107" t="s">
        <v>136</v>
      </c>
      <c r="L87">
        <v>10025</v>
      </c>
      <c r="M87">
        <v>10040</v>
      </c>
      <c r="N87">
        <v>100</v>
      </c>
      <c r="O87" s="107" t="s">
        <v>63</v>
      </c>
      <c r="P87">
        <v>0.97143650797715697</v>
      </c>
      <c r="Q87">
        <v>0.94410996830820904</v>
      </c>
      <c r="R87">
        <v>7.4876461459152401E-4</v>
      </c>
      <c r="S87">
        <v>4.7185897601880501E-2</v>
      </c>
      <c r="T87">
        <v>-1.1517420902084501</v>
      </c>
      <c r="U87">
        <v>1.1517420902084501</v>
      </c>
      <c r="V87">
        <v>-3.95</v>
      </c>
      <c r="W87">
        <v>7.93</v>
      </c>
      <c r="X87">
        <v>177510</v>
      </c>
      <c r="Y87">
        <v>12679</v>
      </c>
      <c r="Z87">
        <v>1.08</v>
      </c>
      <c r="AA87">
        <v>14</v>
      </c>
      <c r="AB87">
        <v>8</v>
      </c>
      <c r="AC87">
        <v>6</v>
      </c>
      <c r="AD87">
        <v>57.14</v>
      </c>
      <c r="AE87">
        <v>11</v>
      </c>
      <c r="AF87">
        <v>8</v>
      </c>
      <c r="AG87">
        <v>2</v>
      </c>
      <c r="AH87">
        <v>4</v>
      </c>
    </row>
    <row r="88" spans="1:34">
      <c r="A88" s="103">
        <v>5</v>
      </c>
      <c r="B88">
        <v>8425</v>
      </c>
      <c r="C88" s="107" t="s">
        <v>319</v>
      </c>
      <c r="D88" s="107" t="s">
        <v>299</v>
      </c>
      <c r="E88">
        <v>3355</v>
      </c>
      <c r="F88">
        <v>3350</v>
      </c>
      <c r="G88">
        <v>300</v>
      </c>
      <c r="H88" s="107" t="s">
        <v>63</v>
      </c>
      <c r="I88">
        <v>8593</v>
      </c>
      <c r="J88" s="107" t="s">
        <v>311</v>
      </c>
      <c r="K88" s="107" t="s">
        <v>299</v>
      </c>
      <c r="L88">
        <v>716</v>
      </c>
      <c r="M88">
        <v>707</v>
      </c>
      <c r="N88">
        <v>1400</v>
      </c>
      <c r="O88" s="107" t="s">
        <v>61</v>
      </c>
      <c r="P88">
        <v>0.92172596983839505</v>
      </c>
      <c r="Q88">
        <v>0.96223915778106905</v>
      </c>
      <c r="R88">
        <v>1.92885612884586E-2</v>
      </c>
      <c r="S88" s="107">
        <v>1.43932930402008E-3</v>
      </c>
      <c r="T88">
        <v>1.65425407095361</v>
      </c>
      <c r="U88">
        <v>1.65425407095361</v>
      </c>
      <c r="V88">
        <v>2.61</v>
      </c>
      <c r="W88">
        <v>1.51</v>
      </c>
      <c r="X88">
        <v>175709</v>
      </c>
      <c r="Y88">
        <v>12551</v>
      </c>
      <c r="Z88">
        <v>0.59</v>
      </c>
      <c r="AA88">
        <v>14</v>
      </c>
      <c r="AB88">
        <v>9</v>
      </c>
      <c r="AC88">
        <v>5</v>
      </c>
      <c r="AD88">
        <v>64.290000000000006</v>
      </c>
      <c r="AE88">
        <v>13</v>
      </c>
      <c r="AF88">
        <v>6</v>
      </c>
      <c r="AG88">
        <v>3</v>
      </c>
      <c r="AH88">
        <v>5</v>
      </c>
    </row>
    <row r="89" spans="1:34">
      <c r="A89" s="103">
        <v>50</v>
      </c>
      <c r="B89">
        <v>3635</v>
      </c>
      <c r="C89" s="107" t="s">
        <v>85</v>
      </c>
      <c r="D89" s="107" t="s">
        <v>79</v>
      </c>
      <c r="E89">
        <v>2727</v>
      </c>
      <c r="F89">
        <v>2709</v>
      </c>
      <c r="G89">
        <v>300</v>
      </c>
      <c r="H89" s="107" t="s">
        <v>63</v>
      </c>
      <c r="I89">
        <v>4613</v>
      </c>
      <c r="J89" s="107" t="s">
        <v>320</v>
      </c>
      <c r="K89" s="107" t="s">
        <v>62</v>
      </c>
      <c r="L89">
        <v>2822</v>
      </c>
      <c r="M89">
        <v>2757</v>
      </c>
      <c r="N89">
        <v>300</v>
      </c>
      <c r="O89" s="107" t="s">
        <v>61</v>
      </c>
      <c r="P89">
        <v>0.91472845893690002</v>
      </c>
      <c r="Q89">
        <v>0.93953299157093795</v>
      </c>
      <c r="R89" s="15">
        <v>0.11679578375936001</v>
      </c>
      <c r="S89">
        <v>3.8613155301340497E-2</v>
      </c>
      <c r="T89">
        <v>1.2524615764951199</v>
      </c>
      <c r="U89">
        <v>1.2524615764951199</v>
      </c>
      <c r="V89">
        <v>3.75</v>
      </c>
      <c r="W89">
        <v>1.74</v>
      </c>
      <c r="X89">
        <v>175233</v>
      </c>
      <c r="Y89">
        <v>13479</v>
      </c>
      <c r="Z89">
        <v>0.8</v>
      </c>
      <c r="AA89">
        <v>13</v>
      </c>
      <c r="AB89">
        <v>9</v>
      </c>
      <c r="AC89">
        <v>4</v>
      </c>
      <c r="AD89">
        <v>69.23</v>
      </c>
      <c r="AE89">
        <v>13</v>
      </c>
      <c r="AF89">
        <v>5</v>
      </c>
      <c r="AG89">
        <v>2</v>
      </c>
      <c r="AH89">
        <v>6</v>
      </c>
    </row>
    <row r="90" spans="1:34">
      <c r="A90" s="103">
        <v>32</v>
      </c>
      <c r="B90">
        <v>5901</v>
      </c>
      <c r="C90" s="107" t="s">
        <v>322</v>
      </c>
      <c r="D90" s="107" t="s">
        <v>116</v>
      </c>
      <c r="E90">
        <v>1980</v>
      </c>
      <c r="F90">
        <v>2017</v>
      </c>
      <c r="G90">
        <v>500</v>
      </c>
      <c r="H90" s="107" t="s">
        <v>63</v>
      </c>
      <c r="I90">
        <v>8377</v>
      </c>
      <c r="J90" s="107" t="s">
        <v>94</v>
      </c>
      <c r="K90" s="107" t="s">
        <v>82</v>
      </c>
      <c r="L90">
        <v>1164</v>
      </c>
      <c r="M90">
        <v>1172</v>
      </c>
      <c r="N90">
        <v>900</v>
      </c>
      <c r="O90" s="107" t="s">
        <v>61</v>
      </c>
      <c r="P90">
        <v>0.94477244277551098</v>
      </c>
      <c r="Q90">
        <v>0.944580523394842</v>
      </c>
      <c r="R90">
        <v>6.1078155702976901E-4</v>
      </c>
      <c r="S90" s="15">
        <v>2.4077877316653301E-3</v>
      </c>
      <c r="T90">
        <v>1.2221666172925401</v>
      </c>
      <c r="U90">
        <v>1.2221666172925401</v>
      </c>
      <c r="V90">
        <v>3.58</v>
      </c>
      <c r="W90">
        <v>4.59</v>
      </c>
      <c r="X90">
        <v>160862</v>
      </c>
      <c r="Y90">
        <v>7312</v>
      </c>
      <c r="Z90">
        <v>0.31</v>
      </c>
      <c r="AA90">
        <v>22</v>
      </c>
      <c r="AB90">
        <v>14</v>
      </c>
      <c r="AC90">
        <v>8</v>
      </c>
      <c r="AD90">
        <v>63.64</v>
      </c>
      <c r="AE90">
        <v>14</v>
      </c>
      <c r="AF90">
        <v>9</v>
      </c>
      <c r="AG90">
        <v>6</v>
      </c>
      <c r="AH90">
        <v>7</v>
      </c>
    </row>
    <row r="91" spans="1:34">
      <c r="A91" s="103">
        <v>12</v>
      </c>
      <c r="B91">
        <v>2175</v>
      </c>
      <c r="C91" s="107" t="s">
        <v>327</v>
      </c>
      <c r="D91" s="107" t="s">
        <v>120</v>
      </c>
      <c r="E91">
        <v>3035</v>
      </c>
      <c r="F91">
        <v>3000</v>
      </c>
      <c r="G91">
        <v>400</v>
      </c>
      <c r="H91" s="107" t="s">
        <v>63</v>
      </c>
      <c r="I91">
        <v>9759</v>
      </c>
      <c r="J91" s="107" t="s">
        <v>1026</v>
      </c>
      <c r="K91" s="107" t="s">
        <v>79</v>
      </c>
      <c r="L91">
        <v>3625</v>
      </c>
      <c r="M91">
        <v>3555</v>
      </c>
      <c r="N91">
        <v>300</v>
      </c>
      <c r="O91" s="107" t="s">
        <v>61</v>
      </c>
      <c r="P91">
        <v>0.90258128604912602</v>
      </c>
      <c r="Q91">
        <v>0.95491308068966096</v>
      </c>
      <c r="R91" s="15">
        <v>0.20785785429404099</v>
      </c>
      <c r="S91">
        <v>1.60322651674131E-3</v>
      </c>
      <c r="T91">
        <v>0.38678942052497201</v>
      </c>
      <c r="U91">
        <v>0.38678942052497201</v>
      </c>
      <c r="V91">
        <v>1.43</v>
      </c>
      <c r="W91">
        <v>12.52</v>
      </c>
      <c r="X91">
        <v>158528</v>
      </c>
      <c r="Y91">
        <v>14412</v>
      </c>
      <c r="Z91">
        <v>0.81</v>
      </c>
      <c r="AA91">
        <v>11</v>
      </c>
      <c r="AB91">
        <v>7</v>
      </c>
      <c r="AC91">
        <v>4</v>
      </c>
      <c r="AD91">
        <v>63.64</v>
      </c>
      <c r="AE91">
        <v>11</v>
      </c>
      <c r="AF91">
        <v>6</v>
      </c>
      <c r="AG91">
        <v>3</v>
      </c>
      <c r="AH91">
        <v>2</v>
      </c>
    </row>
    <row r="92" spans="1:34">
      <c r="A92" s="103">
        <v>178</v>
      </c>
      <c r="B92">
        <v>1820</v>
      </c>
      <c r="C92" s="107" t="s">
        <v>122</v>
      </c>
      <c r="D92" s="107" t="s">
        <v>78</v>
      </c>
      <c r="E92">
        <v>2558</v>
      </c>
      <c r="F92">
        <v>2503</v>
      </c>
      <c r="G92">
        <v>400</v>
      </c>
      <c r="H92" s="107" t="s">
        <v>63</v>
      </c>
      <c r="I92">
        <v>9072</v>
      </c>
      <c r="J92" s="107" t="s">
        <v>126</v>
      </c>
      <c r="K92" s="107" t="s">
        <v>119</v>
      </c>
      <c r="L92">
        <v>2740</v>
      </c>
      <c r="M92">
        <v>2739</v>
      </c>
      <c r="N92">
        <v>400</v>
      </c>
      <c r="O92" s="107" t="s">
        <v>61</v>
      </c>
      <c r="P92">
        <v>0.94731572548382703</v>
      </c>
      <c r="Q92">
        <v>0.90764255899559598</v>
      </c>
      <c r="R92">
        <v>3.2245081335563003E-2</v>
      </c>
      <c r="S92">
        <v>2.4950906318282899E-3</v>
      </c>
      <c r="T92">
        <v>1.68528153361529</v>
      </c>
      <c r="U92">
        <v>1.68528153361529</v>
      </c>
      <c r="V92">
        <v>7.95</v>
      </c>
      <c r="W92">
        <v>8.6199999999999992</v>
      </c>
      <c r="X92">
        <v>153180</v>
      </c>
      <c r="Y92">
        <v>11783</v>
      </c>
      <c r="Z92">
        <v>0.63</v>
      </c>
      <c r="AA92">
        <v>13</v>
      </c>
      <c r="AB92">
        <v>7</v>
      </c>
      <c r="AC92">
        <v>6</v>
      </c>
      <c r="AD92">
        <v>53.85</v>
      </c>
      <c r="AE92">
        <v>16</v>
      </c>
      <c r="AF92">
        <v>5</v>
      </c>
      <c r="AG92">
        <v>1</v>
      </c>
      <c r="AH92">
        <v>7</v>
      </c>
    </row>
    <row r="93" spans="1:34">
      <c r="A93" s="103">
        <v>209</v>
      </c>
      <c r="B93">
        <v>3101</v>
      </c>
      <c r="C93" s="107" t="s">
        <v>1322</v>
      </c>
      <c r="D93" s="107" t="s">
        <v>1323</v>
      </c>
      <c r="E93">
        <v>1673</v>
      </c>
      <c r="F93">
        <v>1644</v>
      </c>
      <c r="G93">
        <v>600</v>
      </c>
      <c r="H93" s="107" t="s">
        <v>61</v>
      </c>
      <c r="I93">
        <v>8410</v>
      </c>
      <c r="J93" s="107" t="s">
        <v>1324</v>
      </c>
      <c r="K93" s="107" t="s">
        <v>82</v>
      </c>
      <c r="L93">
        <v>350</v>
      </c>
      <c r="M93">
        <v>353</v>
      </c>
      <c r="N93">
        <v>2800</v>
      </c>
      <c r="O93" s="107" t="s">
        <v>63</v>
      </c>
      <c r="P93">
        <v>0.91892676964521303</v>
      </c>
      <c r="Q93">
        <v>0.90351326981173696</v>
      </c>
      <c r="R93" s="107">
        <v>7.7333979325191204E-2</v>
      </c>
      <c r="S93">
        <v>9.9616258005213697E-3</v>
      </c>
      <c r="T93">
        <v>-0.89612099376558696</v>
      </c>
      <c r="U93">
        <v>0.89612099376558696</v>
      </c>
      <c r="V93">
        <v>-2.44</v>
      </c>
      <c r="W93">
        <v>0.2</v>
      </c>
      <c r="X93">
        <v>152834</v>
      </c>
      <c r="Y93">
        <v>7642</v>
      </c>
      <c r="Z93">
        <v>0.4</v>
      </c>
      <c r="AA93">
        <v>20</v>
      </c>
      <c r="AB93">
        <v>13</v>
      </c>
      <c r="AC93">
        <v>7</v>
      </c>
      <c r="AD93">
        <v>65</v>
      </c>
      <c r="AE93">
        <v>13</v>
      </c>
      <c r="AF93">
        <v>9</v>
      </c>
      <c r="AG93">
        <v>4</v>
      </c>
      <c r="AH93">
        <v>7</v>
      </c>
    </row>
    <row r="94" spans="1:34">
      <c r="A94" s="103">
        <v>139</v>
      </c>
      <c r="B94">
        <v>6674</v>
      </c>
      <c r="C94" s="107" t="s">
        <v>330</v>
      </c>
      <c r="D94" s="107" t="s">
        <v>87</v>
      </c>
      <c r="E94">
        <v>2438</v>
      </c>
      <c r="F94">
        <v>2424</v>
      </c>
      <c r="G94">
        <v>400</v>
      </c>
      <c r="H94" s="107" t="s">
        <v>63</v>
      </c>
      <c r="I94">
        <v>6752</v>
      </c>
      <c r="J94" s="107" t="s">
        <v>105</v>
      </c>
      <c r="K94" s="107" t="s">
        <v>87</v>
      </c>
      <c r="L94">
        <v>1059</v>
      </c>
      <c r="M94">
        <v>1058</v>
      </c>
      <c r="N94">
        <v>900</v>
      </c>
      <c r="O94" s="107" t="s">
        <v>61</v>
      </c>
      <c r="P94">
        <v>0.95710688362420904</v>
      </c>
      <c r="Q94">
        <v>0.91494028556385498</v>
      </c>
      <c r="R94" s="15">
        <v>0.265532810088629</v>
      </c>
      <c r="S94" s="15">
        <v>0.26036570612481202</v>
      </c>
      <c r="T94">
        <v>1.8788712255973701</v>
      </c>
      <c r="U94">
        <v>1.8788712255973701</v>
      </c>
      <c r="V94">
        <v>5.59</v>
      </c>
      <c r="W94">
        <v>1.79</v>
      </c>
      <c r="X94">
        <v>150976</v>
      </c>
      <c r="Y94">
        <v>10065</v>
      </c>
      <c r="Z94">
        <v>0.62</v>
      </c>
      <c r="AA94">
        <v>15</v>
      </c>
      <c r="AB94">
        <v>9</v>
      </c>
      <c r="AC94">
        <v>6</v>
      </c>
      <c r="AD94">
        <v>60</v>
      </c>
      <c r="AE94">
        <v>13</v>
      </c>
      <c r="AF94">
        <v>5</v>
      </c>
      <c r="AG94">
        <v>2</v>
      </c>
      <c r="AH94">
        <v>8</v>
      </c>
    </row>
    <row r="95" spans="1:34">
      <c r="A95" s="103">
        <v>118</v>
      </c>
      <c r="B95">
        <v>2379</v>
      </c>
      <c r="C95" s="107" t="s">
        <v>1027</v>
      </c>
      <c r="D95" s="107" t="s">
        <v>120</v>
      </c>
      <c r="E95">
        <v>3210</v>
      </c>
      <c r="F95">
        <v>3175</v>
      </c>
      <c r="G95">
        <v>300</v>
      </c>
      <c r="H95" s="107" t="s">
        <v>63</v>
      </c>
      <c r="I95">
        <v>8593</v>
      </c>
      <c r="J95" s="107" t="s">
        <v>311</v>
      </c>
      <c r="K95" s="107" t="s">
        <v>299</v>
      </c>
      <c r="L95">
        <v>716</v>
      </c>
      <c r="M95">
        <v>707</v>
      </c>
      <c r="N95">
        <v>1300</v>
      </c>
      <c r="O95" s="107" t="s">
        <v>61</v>
      </c>
      <c r="P95">
        <v>0.92381767647051205</v>
      </c>
      <c r="Q95">
        <v>0.92014717145142999</v>
      </c>
      <c r="R95">
        <v>0.194021963887403</v>
      </c>
      <c r="S95" s="15">
        <v>5.4375979456829399E-2</v>
      </c>
      <c r="T95">
        <v>1.0409428018019</v>
      </c>
      <c r="U95">
        <v>1.0409428018019</v>
      </c>
      <c r="V95">
        <v>4.74</v>
      </c>
      <c r="W95">
        <v>3.51</v>
      </c>
      <c r="X95">
        <v>147299</v>
      </c>
      <c r="Y95">
        <v>6137</v>
      </c>
      <c r="Z95">
        <v>0.4</v>
      </c>
      <c r="AA95">
        <v>24</v>
      </c>
      <c r="AB95">
        <v>14</v>
      </c>
      <c r="AC95">
        <v>10</v>
      </c>
      <c r="AD95">
        <v>58.33</v>
      </c>
      <c r="AE95">
        <v>9</v>
      </c>
      <c r="AF95">
        <v>13</v>
      </c>
      <c r="AG95">
        <v>9</v>
      </c>
      <c r="AH95">
        <v>2</v>
      </c>
    </row>
    <row r="96" spans="1:34">
      <c r="A96" s="103">
        <v>138</v>
      </c>
      <c r="B96">
        <v>5802</v>
      </c>
      <c r="C96" s="107" t="s">
        <v>131</v>
      </c>
      <c r="D96" s="107" t="s">
        <v>132</v>
      </c>
      <c r="E96">
        <v>1688.5</v>
      </c>
      <c r="F96">
        <v>1690.5</v>
      </c>
      <c r="G96">
        <v>400</v>
      </c>
      <c r="H96" s="107" t="s">
        <v>63</v>
      </c>
      <c r="I96">
        <v>9062</v>
      </c>
      <c r="J96" s="107" t="s">
        <v>956</v>
      </c>
      <c r="K96" s="107" t="s">
        <v>119</v>
      </c>
      <c r="L96">
        <v>6520</v>
      </c>
      <c r="M96">
        <v>6630</v>
      </c>
      <c r="N96">
        <v>100</v>
      </c>
      <c r="O96" s="107" t="s">
        <v>61</v>
      </c>
      <c r="P96">
        <v>0.93945076051527698</v>
      </c>
      <c r="Q96">
        <v>0.91505918074835702</v>
      </c>
      <c r="R96">
        <v>3.1230289336309201E-2</v>
      </c>
      <c r="S96">
        <v>8.9385146018756995E-2</v>
      </c>
      <c r="T96">
        <v>1.76828166467265</v>
      </c>
      <c r="U96">
        <v>1.76828166467265</v>
      </c>
      <c r="V96">
        <v>5.95</v>
      </c>
      <c r="W96">
        <v>1.99</v>
      </c>
      <c r="X96">
        <v>146996</v>
      </c>
      <c r="Y96">
        <v>10500</v>
      </c>
      <c r="Z96">
        <v>0.62</v>
      </c>
      <c r="AA96">
        <v>14</v>
      </c>
      <c r="AB96">
        <v>8</v>
      </c>
      <c r="AC96">
        <v>6</v>
      </c>
      <c r="AD96">
        <v>57.14</v>
      </c>
      <c r="AE96">
        <v>13</v>
      </c>
      <c r="AF96">
        <v>5</v>
      </c>
      <c r="AG96">
        <v>3</v>
      </c>
      <c r="AH96">
        <v>6</v>
      </c>
    </row>
    <row r="97" spans="1:34">
      <c r="A97" s="103">
        <v>182</v>
      </c>
      <c r="B97">
        <v>1973</v>
      </c>
      <c r="C97" s="107" t="s">
        <v>310</v>
      </c>
      <c r="D97" s="107" t="s">
        <v>79</v>
      </c>
      <c r="E97">
        <v>3620</v>
      </c>
      <c r="F97">
        <v>3570</v>
      </c>
      <c r="G97">
        <v>300</v>
      </c>
      <c r="H97" s="107" t="s">
        <v>61</v>
      </c>
      <c r="I97">
        <v>6807</v>
      </c>
      <c r="J97" s="107" t="s">
        <v>335</v>
      </c>
      <c r="K97" s="107" t="s">
        <v>87</v>
      </c>
      <c r="L97">
        <v>2296</v>
      </c>
      <c r="M97">
        <v>2272</v>
      </c>
      <c r="N97">
        <v>500</v>
      </c>
      <c r="O97" s="107" t="s">
        <v>63</v>
      </c>
      <c r="P97">
        <v>0.96690960873683995</v>
      </c>
      <c r="Q97">
        <v>0.90743071288718402</v>
      </c>
      <c r="R97">
        <v>8.7435449416237696E-2</v>
      </c>
      <c r="S97" s="15">
        <v>0.106233023547534</v>
      </c>
      <c r="T97">
        <v>-1.3696456175307301</v>
      </c>
      <c r="U97">
        <v>1.3696456175307301</v>
      </c>
      <c r="V97">
        <v>-12.38</v>
      </c>
      <c r="W97">
        <v>6.07</v>
      </c>
      <c r="X97">
        <v>145871</v>
      </c>
      <c r="Y97">
        <v>7294</v>
      </c>
      <c r="Z97">
        <v>0.31</v>
      </c>
      <c r="AA97">
        <v>20</v>
      </c>
      <c r="AB97">
        <v>13</v>
      </c>
      <c r="AC97">
        <v>7</v>
      </c>
      <c r="AD97">
        <v>65</v>
      </c>
      <c r="AE97">
        <v>12</v>
      </c>
      <c r="AF97">
        <v>8</v>
      </c>
      <c r="AG97">
        <v>6</v>
      </c>
      <c r="AH97">
        <v>6</v>
      </c>
    </row>
    <row r="98" spans="1:34">
      <c r="A98" s="103">
        <v>27</v>
      </c>
      <c r="B98">
        <v>4182</v>
      </c>
      <c r="C98" s="107" t="s">
        <v>88</v>
      </c>
      <c r="D98" s="107" t="s">
        <v>62</v>
      </c>
      <c r="E98">
        <v>1728</v>
      </c>
      <c r="F98">
        <v>1730</v>
      </c>
      <c r="G98">
        <v>600</v>
      </c>
      <c r="H98" s="107" t="s">
        <v>63</v>
      </c>
      <c r="I98">
        <v>6752</v>
      </c>
      <c r="J98" s="107" t="s">
        <v>105</v>
      </c>
      <c r="K98" s="107" t="s">
        <v>87</v>
      </c>
      <c r="L98">
        <v>1059</v>
      </c>
      <c r="M98">
        <v>1058</v>
      </c>
      <c r="N98">
        <v>1000</v>
      </c>
      <c r="O98" s="107" t="s">
        <v>61</v>
      </c>
      <c r="P98">
        <v>0.94938319028803997</v>
      </c>
      <c r="Q98">
        <v>0.94573660716391195</v>
      </c>
      <c r="R98" s="15">
        <v>3.27894420467046E-2</v>
      </c>
      <c r="S98">
        <v>4.6112196483786901E-2</v>
      </c>
      <c r="T98">
        <v>0.229032445081612</v>
      </c>
      <c r="U98">
        <v>0.229032445081612</v>
      </c>
      <c r="V98">
        <v>0.74</v>
      </c>
      <c r="W98">
        <v>1.93</v>
      </c>
      <c r="X98">
        <v>145761</v>
      </c>
      <c r="Y98">
        <v>8098</v>
      </c>
      <c r="Z98">
        <v>0.37</v>
      </c>
      <c r="AA98">
        <v>18</v>
      </c>
      <c r="AB98">
        <v>12</v>
      </c>
      <c r="AC98">
        <v>6</v>
      </c>
      <c r="AD98">
        <v>66.67</v>
      </c>
      <c r="AE98">
        <v>13</v>
      </c>
      <c r="AF98">
        <v>7</v>
      </c>
      <c r="AG98">
        <v>4</v>
      </c>
      <c r="AH98">
        <v>7</v>
      </c>
    </row>
    <row r="99" spans="1:34">
      <c r="A99" s="103">
        <v>174</v>
      </c>
      <c r="B99">
        <v>1973</v>
      </c>
      <c r="C99" s="107" t="s">
        <v>310</v>
      </c>
      <c r="D99" s="107" t="s">
        <v>79</v>
      </c>
      <c r="E99">
        <v>3620</v>
      </c>
      <c r="F99">
        <v>3570</v>
      </c>
      <c r="G99">
        <v>300</v>
      </c>
      <c r="H99" s="107" t="s">
        <v>63</v>
      </c>
      <c r="I99">
        <v>6702</v>
      </c>
      <c r="J99" s="107" t="s">
        <v>332</v>
      </c>
      <c r="K99" s="107" t="s">
        <v>87</v>
      </c>
      <c r="L99">
        <v>10200</v>
      </c>
      <c r="M99">
        <v>10055</v>
      </c>
      <c r="N99">
        <v>100</v>
      </c>
      <c r="O99" s="107" t="s">
        <v>61</v>
      </c>
      <c r="P99">
        <v>0.95416338986896998</v>
      </c>
      <c r="Q99">
        <v>0.90835419691460895</v>
      </c>
      <c r="R99">
        <v>7.79896088227333E-2</v>
      </c>
      <c r="S99" s="107">
        <v>7.9881979954295398E-2</v>
      </c>
      <c r="T99">
        <v>1.0056869504431201</v>
      </c>
      <c r="U99">
        <v>1.0056869504431201</v>
      </c>
      <c r="V99">
        <v>2.64</v>
      </c>
      <c r="W99">
        <v>6.51</v>
      </c>
      <c r="X99">
        <v>145482</v>
      </c>
      <c r="Y99">
        <v>10392</v>
      </c>
      <c r="Z99">
        <v>0.72</v>
      </c>
      <c r="AA99">
        <v>14</v>
      </c>
      <c r="AB99">
        <v>9</v>
      </c>
      <c r="AC99">
        <v>5</v>
      </c>
      <c r="AD99">
        <v>64.290000000000006</v>
      </c>
      <c r="AE99">
        <v>14</v>
      </c>
      <c r="AF99">
        <v>5</v>
      </c>
      <c r="AG99">
        <v>1</v>
      </c>
      <c r="AH99">
        <v>8</v>
      </c>
    </row>
    <row r="100" spans="1:34">
      <c r="A100" s="103">
        <v>200</v>
      </c>
      <c r="B100">
        <v>1963</v>
      </c>
      <c r="C100" s="107" t="s">
        <v>130</v>
      </c>
      <c r="D100" s="107" t="s">
        <v>78</v>
      </c>
      <c r="E100">
        <v>1726</v>
      </c>
      <c r="F100">
        <v>1742</v>
      </c>
      <c r="G100">
        <v>600</v>
      </c>
      <c r="H100" s="107" t="s">
        <v>63</v>
      </c>
      <c r="I100">
        <v>8002</v>
      </c>
      <c r="J100" s="107" t="s">
        <v>31</v>
      </c>
      <c r="K100" s="107" t="s">
        <v>101</v>
      </c>
      <c r="L100">
        <v>834.9</v>
      </c>
      <c r="M100">
        <v>837.7</v>
      </c>
      <c r="N100">
        <v>1200</v>
      </c>
      <c r="O100" s="107" t="s">
        <v>61</v>
      </c>
      <c r="P100">
        <v>0.90724793788573699</v>
      </c>
      <c r="Q100">
        <v>0.90527604300498199</v>
      </c>
      <c r="R100">
        <v>0.27887673646073802</v>
      </c>
      <c r="S100">
        <v>1.78750277008899E-3</v>
      </c>
      <c r="T100">
        <v>1.0610732066295301</v>
      </c>
      <c r="U100">
        <v>1.0610732066295301</v>
      </c>
      <c r="V100">
        <v>4.47</v>
      </c>
      <c r="W100">
        <v>3.82</v>
      </c>
      <c r="X100">
        <v>144680</v>
      </c>
      <c r="Y100">
        <v>6576</v>
      </c>
      <c r="Z100">
        <v>0.32</v>
      </c>
      <c r="AA100">
        <v>22</v>
      </c>
      <c r="AB100">
        <v>14</v>
      </c>
      <c r="AC100">
        <v>8</v>
      </c>
      <c r="AD100">
        <v>63.64</v>
      </c>
      <c r="AE100">
        <v>13</v>
      </c>
      <c r="AF100">
        <v>8</v>
      </c>
      <c r="AG100">
        <v>6</v>
      </c>
      <c r="AH100">
        <v>8</v>
      </c>
    </row>
    <row r="101" spans="1:34">
      <c r="A101" s="103">
        <v>152</v>
      </c>
      <c r="B101">
        <v>3116</v>
      </c>
      <c r="C101" s="107" t="s">
        <v>125</v>
      </c>
      <c r="D101" s="107" t="s">
        <v>84</v>
      </c>
      <c r="E101">
        <v>1852</v>
      </c>
      <c r="F101">
        <v>1818</v>
      </c>
      <c r="G101">
        <v>400</v>
      </c>
      <c r="H101" s="107" t="s">
        <v>63</v>
      </c>
      <c r="I101">
        <v>6988</v>
      </c>
      <c r="J101" s="107" t="s">
        <v>139</v>
      </c>
      <c r="K101" s="107" t="s">
        <v>62</v>
      </c>
      <c r="L101">
        <v>6350</v>
      </c>
      <c r="M101">
        <v>6410</v>
      </c>
      <c r="N101">
        <v>100</v>
      </c>
      <c r="O101" s="107" t="s">
        <v>61</v>
      </c>
      <c r="P101">
        <v>0.909770153462088</v>
      </c>
      <c r="Q101">
        <v>0.91292258239856605</v>
      </c>
      <c r="R101">
        <v>0.397912699962227</v>
      </c>
      <c r="S101">
        <v>0.32771603078998901</v>
      </c>
      <c r="T101">
        <v>0.441871815781542</v>
      </c>
      <c r="U101">
        <v>0.441871815781542</v>
      </c>
      <c r="V101">
        <v>1.21</v>
      </c>
      <c r="W101">
        <v>13.45</v>
      </c>
      <c r="X101">
        <v>135364</v>
      </c>
      <c r="Y101">
        <v>13536</v>
      </c>
      <c r="Z101">
        <v>1.01</v>
      </c>
      <c r="AA101">
        <v>10</v>
      </c>
      <c r="AB101">
        <v>8</v>
      </c>
      <c r="AC101">
        <v>2</v>
      </c>
      <c r="AD101">
        <v>80</v>
      </c>
      <c r="AE101">
        <v>12</v>
      </c>
      <c r="AF101">
        <v>6</v>
      </c>
      <c r="AG101">
        <v>1</v>
      </c>
      <c r="AH101">
        <v>3</v>
      </c>
    </row>
    <row r="102" spans="1:34">
      <c r="A102" s="103">
        <v>69</v>
      </c>
      <c r="B102">
        <v>6952</v>
      </c>
      <c r="C102" s="107" t="s">
        <v>957</v>
      </c>
      <c r="D102" s="107" t="s">
        <v>87</v>
      </c>
      <c r="E102">
        <v>2179</v>
      </c>
      <c r="F102">
        <v>2157</v>
      </c>
      <c r="G102">
        <v>500</v>
      </c>
      <c r="H102" s="107" t="s">
        <v>63</v>
      </c>
      <c r="I102">
        <v>8604</v>
      </c>
      <c r="J102" s="107" t="s">
        <v>958</v>
      </c>
      <c r="K102" s="107" t="s">
        <v>959</v>
      </c>
      <c r="L102">
        <v>562.9</v>
      </c>
      <c r="M102">
        <v>557.6</v>
      </c>
      <c r="N102">
        <v>1900</v>
      </c>
      <c r="O102" s="107" t="s">
        <v>61</v>
      </c>
      <c r="P102">
        <v>0.96459485339001805</v>
      </c>
      <c r="Q102">
        <v>0.93207285099019299</v>
      </c>
      <c r="R102">
        <v>2.9799669115629399E-2</v>
      </c>
      <c r="S102" s="15">
        <v>0.110988128915029</v>
      </c>
      <c r="T102">
        <v>1.8481535884095099</v>
      </c>
      <c r="U102">
        <v>1.8481535884095099</v>
      </c>
      <c r="V102">
        <v>7.01</v>
      </c>
      <c r="W102">
        <v>1.77</v>
      </c>
      <c r="X102">
        <v>134282</v>
      </c>
      <c r="Y102">
        <v>7899</v>
      </c>
      <c r="Z102">
        <v>0.39</v>
      </c>
      <c r="AA102">
        <v>17</v>
      </c>
      <c r="AB102">
        <v>10</v>
      </c>
      <c r="AC102">
        <v>7</v>
      </c>
      <c r="AD102">
        <v>58.82</v>
      </c>
      <c r="AE102">
        <v>13</v>
      </c>
      <c r="AF102">
        <v>4</v>
      </c>
      <c r="AG102">
        <v>3</v>
      </c>
      <c r="AH102">
        <v>10</v>
      </c>
    </row>
    <row r="103" spans="1:34">
      <c r="A103" s="103">
        <v>43</v>
      </c>
      <c r="B103">
        <v>4634</v>
      </c>
      <c r="C103" s="107" t="s">
        <v>140</v>
      </c>
      <c r="D103" s="107" t="s">
        <v>62</v>
      </c>
      <c r="E103">
        <v>2765</v>
      </c>
      <c r="F103">
        <v>2734</v>
      </c>
      <c r="G103">
        <v>400</v>
      </c>
      <c r="H103" s="107" t="s">
        <v>61</v>
      </c>
      <c r="I103">
        <v>5471</v>
      </c>
      <c r="J103" s="107" t="s">
        <v>303</v>
      </c>
      <c r="K103" s="107" t="s">
        <v>92</v>
      </c>
      <c r="L103">
        <v>5010</v>
      </c>
      <c r="M103">
        <v>5010</v>
      </c>
      <c r="N103">
        <v>200</v>
      </c>
      <c r="O103" s="107" t="s">
        <v>63</v>
      </c>
      <c r="P103">
        <v>0.94483508718780695</v>
      </c>
      <c r="Q103">
        <v>0.94134103307240002</v>
      </c>
      <c r="R103" s="107">
        <v>0.253766789977798</v>
      </c>
      <c r="S103" s="107">
        <v>3.5820742389188402E-3</v>
      </c>
      <c r="T103">
        <v>-0.49022957342343798</v>
      </c>
      <c r="U103">
        <v>0.49022957342343798</v>
      </c>
      <c r="V103">
        <v>-1.5</v>
      </c>
      <c r="W103">
        <v>9.14</v>
      </c>
      <c r="X103">
        <v>134211</v>
      </c>
      <c r="Y103">
        <v>16776</v>
      </c>
      <c r="Z103">
        <v>0.97</v>
      </c>
      <c r="AA103">
        <v>8</v>
      </c>
      <c r="AB103">
        <v>6</v>
      </c>
      <c r="AC103">
        <v>2</v>
      </c>
      <c r="AD103">
        <v>75</v>
      </c>
      <c r="AE103">
        <v>15</v>
      </c>
      <c r="AF103">
        <v>2</v>
      </c>
      <c r="AG103">
        <v>1</v>
      </c>
      <c r="AH103">
        <v>5</v>
      </c>
    </row>
    <row r="104" spans="1:34">
      <c r="A104" s="103">
        <v>30</v>
      </c>
      <c r="B104">
        <v>3116</v>
      </c>
      <c r="C104" s="107" t="s">
        <v>125</v>
      </c>
      <c r="D104" s="107" t="s">
        <v>84</v>
      </c>
      <c r="E104">
        <v>1852</v>
      </c>
      <c r="F104">
        <v>1818</v>
      </c>
      <c r="G104">
        <v>600</v>
      </c>
      <c r="H104" s="107" t="s">
        <v>61</v>
      </c>
      <c r="I104">
        <v>5991</v>
      </c>
      <c r="J104" s="107" t="s">
        <v>115</v>
      </c>
      <c r="K104" s="107" t="s">
        <v>116</v>
      </c>
      <c r="L104">
        <v>1021</v>
      </c>
      <c r="M104">
        <v>1021</v>
      </c>
      <c r="N104">
        <v>1100</v>
      </c>
      <c r="O104" s="107" t="s">
        <v>63</v>
      </c>
      <c r="P104">
        <v>0.97510886975998501</v>
      </c>
      <c r="Q104">
        <v>0.94492429806577904</v>
      </c>
      <c r="R104">
        <v>0.34143517531082501</v>
      </c>
      <c r="S104" s="15">
        <v>0.11481756375603799</v>
      </c>
      <c r="T104">
        <v>-0.51648161380677804</v>
      </c>
      <c r="U104">
        <v>0.51648161380677804</v>
      </c>
      <c r="V104">
        <v>-1.41</v>
      </c>
      <c r="W104">
        <v>2.96</v>
      </c>
      <c r="X104">
        <v>130988</v>
      </c>
      <c r="Y104">
        <v>8187</v>
      </c>
      <c r="Z104">
        <v>0.46</v>
      </c>
      <c r="AA104">
        <v>16</v>
      </c>
      <c r="AB104">
        <v>10</v>
      </c>
      <c r="AC104">
        <v>6</v>
      </c>
      <c r="AD104">
        <v>62.5</v>
      </c>
      <c r="AE104">
        <v>10</v>
      </c>
      <c r="AF104">
        <v>7</v>
      </c>
      <c r="AG104">
        <v>4</v>
      </c>
      <c r="AH104">
        <v>5</v>
      </c>
    </row>
    <row r="105" spans="1:34">
      <c r="A105" s="103">
        <v>221</v>
      </c>
      <c r="B105">
        <v>6995</v>
      </c>
      <c r="C105" s="107" t="s">
        <v>91</v>
      </c>
      <c r="D105" s="107" t="s">
        <v>84</v>
      </c>
      <c r="E105">
        <v>2258</v>
      </c>
      <c r="F105">
        <v>2263</v>
      </c>
      <c r="G105">
        <v>500</v>
      </c>
      <c r="H105" s="107" t="s">
        <v>61</v>
      </c>
      <c r="I105">
        <v>7251</v>
      </c>
      <c r="J105" s="107" t="s">
        <v>960</v>
      </c>
      <c r="K105" s="107" t="s">
        <v>84</v>
      </c>
      <c r="L105">
        <v>2570</v>
      </c>
      <c r="M105">
        <v>2568</v>
      </c>
      <c r="N105">
        <v>400</v>
      </c>
      <c r="O105" s="107" t="s">
        <v>63</v>
      </c>
      <c r="P105">
        <v>0.94933063203300805</v>
      </c>
      <c r="Q105">
        <v>0.90142340303424695</v>
      </c>
      <c r="R105" s="107">
        <v>1.05490966570799E-2</v>
      </c>
      <c r="S105" s="107">
        <v>6.0366353686830201E-2</v>
      </c>
      <c r="T105">
        <v>-0.80912637429963996</v>
      </c>
      <c r="U105">
        <v>0.80912637429963996</v>
      </c>
      <c r="V105">
        <v>-13.94</v>
      </c>
      <c r="W105">
        <v>10.15</v>
      </c>
      <c r="X105">
        <v>130235</v>
      </c>
      <c r="Y105">
        <v>5920</v>
      </c>
      <c r="Z105">
        <v>0.36</v>
      </c>
      <c r="AA105">
        <v>22</v>
      </c>
      <c r="AB105">
        <v>13</v>
      </c>
      <c r="AC105">
        <v>9</v>
      </c>
      <c r="AD105">
        <v>59.09</v>
      </c>
      <c r="AE105">
        <v>13</v>
      </c>
      <c r="AF105">
        <v>8</v>
      </c>
      <c r="AG105">
        <v>5</v>
      </c>
      <c r="AH105">
        <v>9</v>
      </c>
    </row>
    <row r="106" spans="1:34">
      <c r="A106" s="103">
        <v>131</v>
      </c>
      <c r="B106">
        <v>3116</v>
      </c>
      <c r="C106" s="107" t="s">
        <v>125</v>
      </c>
      <c r="D106" s="107" t="s">
        <v>84</v>
      </c>
      <c r="E106">
        <v>1852</v>
      </c>
      <c r="F106">
        <v>1818</v>
      </c>
      <c r="G106">
        <v>400</v>
      </c>
      <c r="H106" s="107" t="s">
        <v>63</v>
      </c>
      <c r="I106">
        <v>6371</v>
      </c>
      <c r="J106" s="107" t="s">
        <v>108</v>
      </c>
      <c r="K106" s="107" t="s">
        <v>99</v>
      </c>
      <c r="L106">
        <v>3995</v>
      </c>
      <c r="M106">
        <v>4000</v>
      </c>
      <c r="N106">
        <v>200</v>
      </c>
      <c r="O106" s="107" t="s">
        <v>61</v>
      </c>
      <c r="P106">
        <v>0.92750940271810001</v>
      </c>
      <c r="Q106">
        <v>0.91678167914448705</v>
      </c>
      <c r="R106">
        <v>0.224774693907307</v>
      </c>
      <c r="S106" s="15">
        <v>3.0288281088030602E-3</v>
      </c>
      <c r="T106">
        <v>1.1890093221973801</v>
      </c>
      <c r="U106">
        <v>1.1890093221973801</v>
      </c>
      <c r="V106">
        <v>2.78</v>
      </c>
      <c r="W106">
        <v>9.1</v>
      </c>
      <c r="X106">
        <v>127732</v>
      </c>
      <c r="Y106">
        <v>7983</v>
      </c>
      <c r="Z106">
        <v>0.44</v>
      </c>
      <c r="AA106">
        <v>16</v>
      </c>
      <c r="AB106">
        <v>9</v>
      </c>
      <c r="AC106">
        <v>7</v>
      </c>
      <c r="AD106">
        <v>56.25</v>
      </c>
      <c r="AE106">
        <v>12</v>
      </c>
      <c r="AF106">
        <v>6</v>
      </c>
      <c r="AG106">
        <v>3</v>
      </c>
      <c r="AH106">
        <v>7</v>
      </c>
    </row>
    <row r="107" spans="1:34">
      <c r="A107" s="103">
        <v>180</v>
      </c>
      <c r="B107">
        <v>4208</v>
      </c>
      <c r="C107" s="107" t="s">
        <v>98</v>
      </c>
      <c r="D107" s="107" t="s">
        <v>62</v>
      </c>
      <c r="E107">
        <v>2459</v>
      </c>
      <c r="F107">
        <v>2479</v>
      </c>
      <c r="G107">
        <v>400</v>
      </c>
      <c r="H107" s="107" t="s">
        <v>63</v>
      </c>
      <c r="I107">
        <v>9072</v>
      </c>
      <c r="J107" s="107" t="s">
        <v>126</v>
      </c>
      <c r="K107" s="107" t="s">
        <v>119</v>
      </c>
      <c r="L107">
        <v>2740</v>
      </c>
      <c r="M107">
        <v>2739</v>
      </c>
      <c r="N107">
        <v>400</v>
      </c>
      <c r="O107" s="107" t="s">
        <v>61</v>
      </c>
      <c r="P107">
        <v>0.91603677114338999</v>
      </c>
      <c r="Q107">
        <v>0.90745035485137604</v>
      </c>
      <c r="R107" s="15">
        <v>7.3748034026137799E-4</v>
      </c>
      <c r="S107" s="107">
        <v>2.0632871186206901E-2</v>
      </c>
      <c r="T107">
        <v>2.0775331002730901</v>
      </c>
      <c r="U107">
        <v>2.0775331002730901</v>
      </c>
      <c r="V107">
        <v>3.47</v>
      </c>
      <c r="W107">
        <v>9.49</v>
      </c>
      <c r="X107">
        <v>126426</v>
      </c>
      <c r="Y107">
        <v>11493</v>
      </c>
      <c r="Z107">
        <v>0.65</v>
      </c>
      <c r="AA107">
        <v>11</v>
      </c>
      <c r="AB107">
        <v>7</v>
      </c>
      <c r="AC107">
        <v>4</v>
      </c>
      <c r="AD107">
        <v>63.64</v>
      </c>
      <c r="AE107">
        <v>14</v>
      </c>
      <c r="AF107">
        <v>5</v>
      </c>
      <c r="AG107">
        <v>1</v>
      </c>
      <c r="AH107">
        <v>5</v>
      </c>
    </row>
    <row r="108" spans="1:34">
      <c r="A108" s="103">
        <v>67</v>
      </c>
      <c r="B108">
        <v>3861</v>
      </c>
      <c r="C108" s="107" t="s">
        <v>65</v>
      </c>
      <c r="D108" s="107" t="s">
        <v>80</v>
      </c>
      <c r="E108">
        <v>647</v>
      </c>
      <c r="F108">
        <v>643</v>
      </c>
      <c r="G108">
        <v>1700</v>
      </c>
      <c r="H108" s="107" t="s">
        <v>61</v>
      </c>
      <c r="I108">
        <v>5703</v>
      </c>
      <c r="J108" s="107" t="s">
        <v>305</v>
      </c>
      <c r="K108" s="107" t="s">
        <v>132</v>
      </c>
      <c r="L108">
        <v>240</v>
      </c>
      <c r="M108">
        <v>241</v>
      </c>
      <c r="N108">
        <v>4500</v>
      </c>
      <c r="O108" s="107" t="s">
        <v>63</v>
      </c>
      <c r="P108">
        <v>0.97014213129090898</v>
      </c>
      <c r="Q108">
        <v>0.93292892170850406</v>
      </c>
      <c r="R108">
        <v>2.13211952492036E-2</v>
      </c>
      <c r="S108" s="107">
        <v>0.13256274780852501</v>
      </c>
      <c r="T108">
        <v>-2.33119173943966E-2</v>
      </c>
      <c r="U108">
        <v>2.33119173943966E-2</v>
      </c>
      <c r="V108">
        <v>-0.05</v>
      </c>
      <c r="W108">
        <v>0.79</v>
      </c>
      <c r="X108">
        <v>126217</v>
      </c>
      <c r="Y108">
        <v>5488</v>
      </c>
      <c r="Z108">
        <v>0.27</v>
      </c>
      <c r="AA108">
        <v>23</v>
      </c>
      <c r="AB108">
        <v>13</v>
      </c>
      <c r="AC108">
        <v>10</v>
      </c>
      <c r="AD108">
        <v>56.52</v>
      </c>
      <c r="AE108">
        <v>11</v>
      </c>
      <c r="AF108">
        <v>10</v>
      </c>
      <c r="AG108">
        <v>6</v>
      </c>
      <c r="AH108">
        <v>7</v>
      </c>
    </row>
    <row r="109" spans="1:34">
      <c r="A109" s="103">
        <v>120</v>
      </c>
      <c r="B109">
        <v>5471</v>
      </c>
      <c r="C109" s="107" t="s">
        <v>303</v>
      </c>
      <c r="D109" s="107" t="s">
        <v>92</v>
      </c>
      <c r="E109">
        <v>5010</v>
      </c>
      <c r="F109">
        <v>5010</v>
      </c>
      <c r="G109">
        <v>100</v>
      </c>
      <c r="H109" s="107" t="s">
        <v>61</v>
      </c>
      <c r="I109">
        <v>6988</v>
      </c>
      <c r="J109" s="107" t="s">
        <v>139</v>
      </c>
      <c r="K109" s="107" t="s">
        <v>62</v>
      </c>
      <c r="L109">
        <v>6350</v>
      </c>
      <c r="M109">
        <v>6410</v>
      </c>
      <c r="N109">
        <v>100</v>
      </c>
      <c r="O109" s="107" t="s">
        <v>63</v>
      </c>
      <c r="P109">
        <v>0.94427277078984695</v>
      </c>
      <c r="Q109">
        <v>0.91844909439266298</v>
      </c>
      <c r="R109">
        <v>1.8059641395050199E-2</v>
      </c>
      <c r="S109" s="15">
        <v>0.29659894262886499</v>
      </c>
      <c r="T109">
        <v>-1.47751137709681</v>
      </c>
      <c r="U109">
        <v>1.47751137709681</v>
      </c>
      <c r="V109">
        <v>-3.6</v>
      </c>
      <c r="W109">
        <v>21.84</v>
      </c>
      <c r="X109">
        <v>114186</v>
      </c>
      <c r="Y109">
        <v>114186</v>
      </c>
      <c r="Z109">
        <v>5.01</v>
      </c>
      <c r="AA109">
        <v>1</v>
      </c>
      <c r="AB109">
        <v>1</v>
      </c>
      <c r="AC109">
        <v>0</v>
      </c>
      <c r="AD109">
        <v>100</v>
      </c>
      <c r="AE109">
        <v>2</v>
      </c>
      <c r="AF109">
        <v>1</v>
      </c>
      <c r="AG109">
        <v>0</v>
      </c>
      <c r="AH109">
        <v>0</v>
      </c>
    </row>
    <row r="110" spans="1:34">
      <c r="A110" s="103">
        <v>115</v>
      </c>
      <c r="B110">
        <v>1820</v>
      </c>
      <c r="C110" s="107" t="s">
        <v>122</v>
      </c>
      <c r="D110" s="107" t="s">
        <v>78</v>
      </c>
      <c r="E110">
        <v>2558</v>
      </c>
      <c r="F110">
        <v>2503</v>
      </c>
      <c r="G110">
        <v>400</v>
      </c>
      <c r="H110" s="107" t="s">
        <v>61</v>
      </c>
      <c r="I110">
        <v>5991</v>
      </c>
      <c r="J110" s="107" t="s">
        <v>115</v>
      </c>
      <c r="K110" s="107" t="s">
        <v>116</v>
      </c>
      <c r="L110">
        <v>1021</v>
      </c>
      <c r="M110">
        <v>1021</v>
      </c>
      <c r="N110">
        <v>1000</v>
      </c>
      <c r="O110" s="107" t="s">
        <v>63</v>
      </c>
      <c r="P110">
        <v>0.97759128059960398</v>
      </c>
      <c r="Q110">
        <v>0.92121510530006301</v>
      </c>
      <c r="R110" s="15">
        <v>0.198568665477284</v>
      </c>
      <c r="S110">
        <v>1.0775195739358701E-2</v>
      </c>
      <c r="T110">
        <v>-0.24036978417082</v>
      </c>
      <c r="U110">
        <v>0.24036978417082</v>
      </c>
      <c r="V110">
        <v>-0.63</v>
      </c>
      <c r="W110">
        <v>1.98</v>
      </c>
      <c r="X110">
        <v>113865</v>
      </c>
      <c r="Y110">
        <v>6698</v>
      </c>
      <c r="Z110">
        <v>0.34</v>
      </c>
      <c r="AA110">
        <v>17</v>
      </c>
      <c r="AB110">
        <v>10</v>
      </c>
      <c r="AC110">
        <v>7</v>
      </c>
      <c r="AD110">
        <v>58.82</v>
      </c>
      <c r="AE110">
        <v>12</v>
      </c>
      <c r="AF110">
        <v>6</v>
      </c>
      <c r="AG110">
        <v>3</v>
      </c>
      <c r="AH110">
        <v>8</v>
      </c>
    </row>
    <row r="111" spans="1:34">
      <c r="A111" s="103">
        <v>148</v>
      </c>
      <c r="B111">
        <v>6755</v>
      </c>
      <c r="C111" s="107" t="s">
        <v>1274</v>
      </c>
      <c r="D111" s="107" t="s">
        <v>87</v>
      </c>
      <c r="E111">
        <v>2362</v>
      </c>
      <c r="F111">
        <v>2350</v>
      </c>
      <c r="G111">
        <v>300</v>
      </c>
      <c r="H111" s="107" t="s">
        <v>63</v>
      </c>
      <c r="I111">
        <v>8036</v>
      </c>
      <c r="J111" s="107" t="s">
        <v>321</v>
      </c>
      <c r="K111" s="107" t="s">
        <v>101</v>
      </c>
      <c r="L111">
        <v>7670</v>
      </c>
      <c r="M111">
        <v>7550</v>
      </c>
      <c r="N111">
        <v>100</v>
      </c>
      <c r="O111" s="107" t="s">
        <v>61</v>
      </c>
      <c r="P111">
        <v>0.95153744070484803</v>
      </c>
      <c r="Q111">
        <v>0.91408998290961496</v>
      </c>
      <c r="R111" s="107">
        <v>1.3720188205307E-2</v>
      </c>
      <c r="S111">
        <v>2.3752273457682001E-2</v>
      </c>
      <c r="T111">
        <v>1.8224079711819099</v>
      </c>
      <c r="U111">
        <v>1.8224079711819099</v>
      </c>
      <c r="V111">
        <v>6.3</v>
      </c>
      <c r="W111">
        <v>6.62</v>
      </c>
      <c r="X111">
        <v>111584</v>
      </c>
      <c r="Y111">
        <v>6974</v>
      </c>
      <c r="Z111">
        <v>0.27</v>
      </c>
      <c r="AA111">
        <v>16</v>
      </c>
      <c r="AB111">
        <v>9</v>
      </c>
      <c r="AC111">
        <v>7</v>
      </c>
      <c r="AD111">
        <v>56.25</v>
      </c>
      <c r="AE111">
        <v>10</v>
      </c>
      <c r="AF111">
        <v>7</v>
      </c>
      <c r="AG111">
        <v>4</v>
      </c>
      <c r="AH111">
        <v>5</v>
      </c>
    </row>
    <row r="112" spans="1:34">
      <c r="A112" s="103">
        <v>169</v>
      </c>
      <c r="B112">
        <v>5802</v>
      </c>
      <c r="C112" s="107" t="s">
        <v>131</v>
      </c>
      <c r="D112" s="107" t="s">
        <v>132</v>
      </c>
      <c r="E112">
        <v>1688.5</v>
      </c>
      <c r="F112">
        <v>1690.5</v>
      </c>
      <c r="G112">
        <v>600</v>
      </c>
      <c r="H112" s="107" t="s">
        <v>63</v>
      </c>
      <c r="I112">
        <v>9072</v>
      </c>
      <c r="J112" s="107" t="s">
        <v>126</v>
      </c>
      <c r="K112" s="107" t="s">
        <v>119</v>
      </c>
      <c r="L112">
        <v>2740</v>
      </c>
      <c r="M112">
        <v>2739</v>
      </c>
      <c r="N112">
        <v>400</v>
      </c>
      <c r="O112" s="107" t="s">
        <v>61</v>
      </c>
      <c r="P112">
        <v>0.92068969045399696</v>
      </c>
      <c r="Q112">
        <v>0.90932504911463896</v>
      </c>
      <c r="R112">
        <v>6.4858499566239694E-2</v>
      </c>
      <c r="S112">
        <v>2.9012766203050197E-4</v>
      </c>
      <c r="T112">
        <v>2.18042600144235</v>
      </c>
      <c r="U112">
        <v>2.18042600144235</v>
      </c>
      <c r="V112">
        <v>8.6</v>
      </c>
      <c r="W112">
        <v>7.42</v>
      </c>
      <c r="X112">
        <v>111309</v>
      </c>
      <c r="Y112">
        <v>5565</v>
      </c>
      <c r="Z112">
        <v>0.26</v>
      </c>
      <c r="AA112">
        <v>20</v>
      </c>
      <c r="AB112">
        <v>12</v>
      </c>
      <c r="AC112">
        <v>8</v>
      </c>
      <c r="AD112">
        <v>60</v>
      </c>
      <c r="AE112">
        <v>15</v>
      </c>
      <c r="AF112">
        <v>6</v>
      </c>
      <c r="AG112">
        <v>2</v>
      </c>
      <c r="AH112">
        <v>12</v>
      </c>
    </row>
    <row r="113" spans="1:34">
      <c r="A113" s="103">
        <v>0</v>
      </c>
      <c r="B113">
        <v>6702</v>
      </c>
      <c r="C113" s="107" t="s">
        <v>332</v>
      </c>
      <c r="D113" s="107" t="s">
        <v>87</v>
      </c>
      <c r="E113">
        <v>10200</v>
      </c>
      <c r="F113">
        <v>10055</v>
      </c>
      <c r="G113">
        <v>100</v>
      </c>
      <c r="H113" s="107" t="s">
        <v>61</v>
      </c>
      <c r="I113">
        <v>6920</v>
      </c>
      <c r="J113" s="107" t="s">
        <v>86</v>
      </c>
      <c r="K113" s="107" t="s">
        <v>87</v>
      </c>
      <c r="L113">
        <v>9950</v>
      </c>
      <c r="M113">
        <v>9850</v>
      </c>
      <c r="N113">
        <v>100</v>
      </c>
      <c r="O113" s="107" t="s">
        <v>63</v>
      </c>
      <c r="P113">
        <v>0.92153481935222303</v>
      </c>
      <c r="Q113">
        <v>0.97411489098737702</v>
      </c>
      <c r="R113">
        <v>0.139982042865754</v>
      </c>
      <c r="S113" s="15">
        <v>5.22457981594539E-5</v>
      </c>
      <c r="T113">
        <v>-1.62128491547219</v>
      </c>
      <c r="U113">
        <v>1.62128491547219</v>
      </c>
      <c r="V113">
        <v>-17.03</v>
      </c>
      <c r="W113">
        <v>2.04</v>
      </c>
      <c r="X113">
        <v>111057</v>
      </c>
      <c r="Y113">
        <v>11106</v>
      </c>
      <c r="Z113">
        <v>0.64</v>
      </c>
      <c r="AA113">
        <v>10</v>
      </c>
      <c r="AB113">
        <v>5</v>
      </c>
      <c r="AC113">
        <v>5</v>
      </c>
      <c r="AD113">
        <v>50</v>
      </c>
      <c r="AE113">
        <v>7</v>
      </c>
      <c r="AF113">
        <v>5</v>
      </c>
      <c r="AG113">
        <v>4</v>
      </c>
      <c r="AH113">
        <v>1</v>
      </c>
    </row>
    <row r="114" spans="1:34">
      <c r="A114" s="103">
        <v>26</v>
      </c>
      <c r="B114">
        <v>6925</v>
      </c>
      <c r="C114" s="107" t="s">
        <v>313</v>
      </c>
      <c r="D114" s="107" t="s">
        <v>87</v>
      </c>
      <c r="E114">
        <v>1655</v>
      </c>
      <c r="F114">
        <v>1673</v>
      </c>
      <c r="G114">
        <v>600</v>
      </c>
      <c r="H114" s="107" t="s">
        <v>61</v>
      </c>
      <c r="I114">
        <v>6951</v>
      </c>
      <c r="J114" s="107" t="s">
        <v>323</v>
      </c>
      <c r="K114" s="107" t="s">
        <v>87</v>
      </c>
      <c r="L114">
        <v>3155</v>
      </c>
      <c r="M114">
        <v>3180</v>
      </c>
      <c r="N114">
        <v>300</v>
      </c>
      <c r="O114" s="107" t="s">
        <v>63</v>
      </c>
      <c r="P114">
        <v>0.92292326067672203</v>
      </c>
      <c r="Q114">
        <v>0.94631842743528805</v>
      </c>
      <c r="R114">
        <v>0.218209619176474</v>
      </c>
      <c r="S114" s="15">
        <v>9.7918837239773099E-3</v>
      </c>
      <c r="T114">
        <v>-1.59849294075355</v>
      </c>
      <c r="U114">
        <v>1.59849294075355</v>
      </c>
      <c r="V114">
        <v>-8.1300000000000008</v>
      </c>
      <c r="W114">
        <v>5.22</v>
      </c>
      <c r="X114">
        <v>110041</v>
      </c>
      <c r="Y114">
        <v>6113</v>
      </c>
      <c r="Z114">
        <v>0.33</v>
      </c>
      <c r="AA114">
        <v>18</v>
      </c>
      <c r="AB114">
        <v>11</v>
      </c>
      <c r="AC114">
        <v>7</v>
      </c>
      <c r="AD114">
        <v>61.11</v>
      </c>
      <c r="AE114">
        <v>10</v>
      </c>
      <c r="AF114">
        <v>7</v>
      </c>
      <c r="AG114">
        <v>6</v>
      </c>
      <c r="AH114">
        <v>5</v>
      </c>
    </row>
    <row r="115" spans="1:34">
      <c r="A115" s="103">
        <v>109</v>
      </c>
      <c r="B115">
        <v>3003</v>
      </c>
      <c r="C115" s="107" t="s">
        <v>1325</v>
      </c>
      <c r="D115" s="107" t="s">
        <v>114</v>
      </c>
      <c r="E115">
        <v>1300</v>
      </c>
      <c r="F115">
        <v>1309</v>
      </c>
      <c r="G115">
        <v>800</v>
      </c>
      <c r="H115" s="107" t="s">
        <v>63</v>
      </c>
      <c r="I115">
        <v>8604</v>
      </c>
      <c r="J115" s="107" t="s">
        <v>958</v>
      </c>
      <c r="K115" s="107" t="s">
        <v>959</v>
      </c>
      <c r="L115">
        <v>562.9</v>
      </c>
      <c r="M115">
        <v>557.6</v>
      </c>
      <c r="N115">
        <v>1900</v>
      </c>
      <c r="O115" s="107" t="s">
        <v>61</v>
      </c>
      <c r="P115">
        <v>0.922541450169447</v>
      </c>
      <c r="Q115">
        <v>0.92195124898895597</v>
      </c>
      <c r="R115">
        <v>8.3691724999939501E-3</v>
      </c>
      <c r="S115">
        <v>3.8281781756607798E-2</v>
      </c>
      <c r="T115">
        <v>0.37547188705303502</v>
      </c>
      <c r="U115">
        <v>0.37547188705303502</v>
      </c>
      <c r="V115">
        <v>1.35</v>
      </c>
      <c r="W115">
        <v>1.17</v>
      </c>
      <c r="X115">
        <v>109255</v>
      </c>
      <c r="Y115">
        <v>6070</v>
      </c>
      <c r="Z115">
        <v>0.27</v>
      </c>
      <c r="AA115">
        <v>18</v>
      </c>
      <c r="AB115">
        <v>10</v>
      </c>
      <c r="AC115">
        <v>8</v>
      </c>
      <c r="AD115">
        <v>55.56</v>
      </c>
      <c r="AE115">
        <v>11</v>
      </c>
      <c r="AF115">
        <v>7</v>
      </c>
      <c r="AG115">
        <v>5</v>
      </c>
      <c r="AH115">
        <v>6</v>
      </c>
    </row>
    <row r="116" spans="1:34">
      <c r="A116" s="103">
        <v>108</v>
      </c>
      <c r="B116">
        <v>2175</v>
      </c>
      <c r="C116" s="107" t="s">
        <v>327</v>
      </c>
      <c r="D116" s="107" t="s">
        <v>120</v>
      </c>
      <c r="E116">
        <v>3035</v>
      </c>
      <c r="F116">
        <v>3000</v>
      </c>
      <c r="G116">
        <v>300</v>
      </c>
      <c r="H116" s="107" t="s">
        <v>61</v>
      </c>
      <c r="I116">
        <v>8036</v>
      </c>
      <c r="J116" s="107" t="s">
        <v>321</v>
      </c>
      <c r="K116" s="107" t="s">
        <v>101</v>
      </c>
      <c r="L116">
        <v>7670</v>
      </c>
      <c r="M116">
        <v>7550</v>
      </c>
      <c r="N116">
        <v>100</v>
      </c>
      <c r="O116" s="107" t="s">
        <v>63</v>
      </c>
      <c r="P116">
        <v>0.90320145957000997</v>
      </c>
      <c r="Q116">
        <v>0.92222692854178701</v>
      </c>
      <c r="R116">
        <v>3.0914661952868901E-3</v>
      </c>
      <c r="S116">
        <v>7.6606245963333694E-2</v>
      </c>
      <c r="T116">
        <v>-2.2828528301212501</v>
      </c>
      <c r="U116">
        <v>2.2828528301212501</v>
      </c>
      <c r="V116">
        <v>-6.09</v>
      </c>
      <c r="W116">
        <v>19.21</v>
      </c>
      <c r="X116">
        <v>107085</v>
      </c>
      <c r="Y116">
        <v>6299</v>
      </c>
      <c r="Z116">
        <v>0.39</v>
      </c>
      <c r="AA116">
        <v>17</v>
      </c>
      <c r="AB116">
        <v>9</v>
      </c>
      <c r="AC116">
        <v>8</v>
      </c>
      <c r="AD116">
        <v>52.94</v>
      </c>
      <c r="AE116">
        <v>11</v>
      </c>
      <c r="AF116">
        <v>8</v>
      </c>
      <c r="AG116">
        <v>6</v>
      </c>
      <c r="AH116">
        <v>3</v>
      </c>
    </row>
    <row r="117" spans="1:34">
      <c r="A117" s="103">
        <v>225</v>
      </c>
      <c r="B117">
        <v>6770</v>
      </c>
      <c r="C117" s="107" t="s">
        <v>26</v>
      </c>
      <c r="D117" s="107" t="s">
        <v>87</v>
      </c>
      <c r="E117">
        <v>2628</v>
      </c>
      <c r="F117">
        <v>2609</v>
      </c>
      <c r="G117">
        <v>400</v>
      </c>
      <c r="H117" s="107" t="s">
        <v>63</v>
      </c>
      <c r="I117">
        <v>7272</v>
      </c>
      <c r="J117" s="107" t="s">
        <v>300</v>
      </c>
      <c r="K117" s="107" t="s">
        <v>84</v>
      </c>
      <c r="L117">
        <v>2312</v>
      </c>
      <c r="M117">
        <v>2350</v>
      </c>
      <c r="N117">
        <v>400</v>
      </c>
      <c r="O117" s="107" t="s">
        <v>61</v>
      </c>
      <c r="P117">
        <v>0.91087632502045801</v>
      </c>
      <c r="Q117">
        <v>0.90079031319951497</v>
      </c>
      <c r="R117" s="15">
        <v>0.25261650090666798</v>
      </c>
      <c r="S117" s="15">
        <v>2.6333252932036099E-2</v>
      </c>
      <c r="T117">
        <v>1.3342514321619801</v>
      </c>
      <c r="U117">
        <v>1.3342514321619801</v>
      </c>
      <c r="V117">
        <v>4.7</v>
      </c>
      <c r="W117">
        <v>9.93</v>
      </c>
      <c r="X117">
        <v>106683</v>
      </c>
      <c r="Y117">
        <v>8206</v>
      </c>
      <c r="Z117">
        <v>0.37</v>
      </c>
      <c r="AA117">
        <v>13</v>
      </c>
      <c r="AB117">
        <v>7</v>
      </c>
      <c r="AC117">
        <v>6</v>
      </c>
      <c r="AD117">
        <v>53.85</v>
      </c>
      <c r="AE117">
        <v>12</v>
      </c>
      <c r="AF117">
        <v>5</v>
      </c>
      <c r="AG117">
        <v>4</v>
      </c>
      <c r="AH117">
        <v>4</v>
      </c>
    </row>
    <row r="118" spans="1:34">
      <c r="A118" s="103">
        <v>192</v>
      </c>
      <c r="B118">
        <v>7167</v>
      </c>
      <c r="C118" s="107" t="s">
        <v>100</v>
      </c>
      <c r="D118" s="107" t="s">
        <v>82</v>
      </c>
      <c r="E118">
        <v>283</v>
      </c>
      <c r="F118">
        <v>284</v>
      </c>
      <c r="G118">
        <v>3700</v>
      </c>
      <c r="H118" s="107" t="s">
        <v>61</v>
      </c>
      <c r="I118">
        <v>8377</v>
      </c>
      <c r="J118" s="107" t="s">
        <v>94</v>
      </c>
      <c r="K118" s="107" t="s">
        <v>82</v>
      </c>
      <c r="L118">
        <v>1164</v>
      </c>
      <c r="M118">
        <v>1172</v>
      </c>
      <c r="N118">
        <v>900</v>
      </c>
      <c r="O118" s="107" t="s">
        <v>63</v>
      </c>
      <c r="P118">
        <v>0.91237744352002104</v>
      </c>
      <c r="Q118">
        <v>0.90616084756202897</v>
      </c>
      <c r="R118">
        <v>4.9546691768469597E-2</v>
      </c>
      <c r="S118">
        <v>0.23117540046570301</v>
      </c>
      <c r="T118">
        <v>-2.4789826255028302</v>
      </c>
      <c r="U118">
        <v>2.4789826255028302</v>
      </c>
      <c r="V118">
        <v>-4.3499999999999996</v>
      </c>
      <c r="W118">
        <v>0.38</v>
      </c>
      <c r="X118">
        <v>96023</v>
      </c>
      <c r="Y118">
        <v>6001</v>
      </c>
      <c r="Z118">
        <v>0.25</v>
      </c>
      <c r="AA118">
        <v>16</v>
      </c>
      <c r="AB118">
        <v>11</v>
      </c>
      <c r="AC118">
        <v>5</v>
      </c>
      <c r="AD118">
        <v>68.75</v>
      </c>
      <c r="AE118">
        <v>16</v>
      </c>
      <c r="AF118">
        <v>2</v>
      </c>
      <c r="AG118">
        <v>1</v>
      </c>
      <c r="AH118">
        <v>13</v>
      </c>
    </row>
    <row r="119" spans="1:34">
      <c r="A119" s="103">
        <v>31</v>
      </c>
      <c r="B119">
        <v>4208</v>
      </c>
      <c r="C119" s="107" t="s">
        <v>98</v>
      </c>
      <c r="D119" s="107" t="s">
        <v>62</v>
      </c>
      <c r="E119">
        <v>2459</v>
      </c>
      <c r="F119">
        <v>2479</v>
      </c>
      <c r="G119">
        <v>300</v>
      </c>
      <c r="H119" s="107" t="s">
        <v>61</v>
      </c>
      <c r="I119">
        <v>6371</v>
      </c>
      <c r="J119" s="107" t="s">
        <v>108</v>
      </c>
      <c r="K119" s="107" t="s">
        <v>99</v>
      </c>
      <c r="L119">
        <v>3995</v>
      </c>
      <c r="M119">
        <v>4000</v>
      </c>
      <c r="N119">
        <v>200</v>
      </c>
      <c r="O119" s="107" t="s">
        <v>63</v>
      </c>
      <c r="P119">
        <v>0.95190154838862495</v>
      </c>
      <c r="Q119">
        <v>0.94484906438285099</v>
      </c>
      <c r="R119" s="15">
        <v>9.7520823544451508E-3</v>
      </c>
      <c r="S119">
        <v>4.71276221536802E-3</v>
      </c>
      <c r="T119">
        <v>-0.61329102764931698</v>
      </c>
      <c r="U119">
        <v>0.61329102764931698</v>
      </c>
      <c r="V119">
        <v>-1.28</v>
      </c>
      <c r="W119">
        <v>7.04</v>
      </c>
      <c r="X119">
        <v>93305</v>
      </c>
      <c r="Y119">
        <v>6220</v>
      </c>
      <c r="Z119">
        <v>0.28999999999999998</v>
      </c>
      <c r="AA119">
        <v>15</v>
      </c>
      <c r="AB119">
        <v>9</v>
      </c>
      <c r="AC119">
        <v>6</v>
      </c>
      <c r="AD119">
        <v>60</v>
      </c>
      <c r="AE119">
        <v>13</v>
      </c>
      <c r="AF119">
        <v>4</v>
      </c>
      <c r="AG119">
        <v>4</v>
      </c>
      <c r="AH119">
        <v>7</v>
      </c>
    </row>
    <row r="120" spans="1:34">
      <c r="A120" s="103">
        <v>130</v>
      </c>
      <c r="B120">
        <v>6770</v>
      </c>
      <c r="C120" s="107" t="s">
        <v>26</v>
      </c>
      <c r="D120" s="107" t="s">
        <v>87</v>
      </c>
      <c r="E120">
        <v>2628</v>
      </c>
      <c r="F120">
        <v>2609</v>
      </c>
      <c r="G120">
        <v>400</v>
      </c>
      <c r="H120" s="107" t="s">
        <v>63</v>
      </c>
      <c r="I120">
        <v>6995</v>
      </c>
      <c r="J120" s="107" t="s">
        <v>91</v>
      </c>
      <c r="K120" s="107" t="s">
        <v>84</v>
      </c>
      <c r="L120">
        <v>2258</v>
      </c>
      <c r="M120">
        <v>2263</v>
      </c>
      <c r="N120">
        <v>500</v>
      </c>
      <c r="O120" s="107" t="s">
        <v>61</v>
      </c>
      <c r="P120">
        <v>0.95782230606732699</v>
      </c>
      <c r="Q120">
        <v>0.91683104312427399</v>
      </c>
      <c r="R120">
        <v>0.30989295439380299</v>
      </c>
      <c r="S120" s="107">
        <v>0.26294911425888901</v>
      </c>
      <c r="T120">
        <v>0.93439142797695196</v>
      </c>
      <c r="U120">
        <v>0.93439142797695196</v>
      </c>
      <c r="V120">
        <v>2.77</v>
      </c>
      <c r="W120">
        <v>8.42</v>
      </c>
      <c r="X120">
        <v>90653</v>
      </c>
      <c r="Y120">
        <v>5333</v>
      </c>
      <c r="Z120">
        <v>0.23</v>
      </c>
      <c r="AA120">
        <v>17</v>
      </c>
      <c r="AB120">
        <v>9</v>
      </c>
      <c r="AC120">
        <v>8</v>
      </c>
      <c r="AD120">
        <v>52.94</v>
      </c>
      <c r="AE120">
        <v>12</v>
      </c>
      <c r="AF120">
        <v>6</v>
      </c>
      <c r="AG120">
        <v>4</v>
      </c>
      <c r="AH120">
        <v>7</v>
      </c>
    </row>
    <row r="121" spans="1:34">
      <c r="A121" s="103">
        <v>85</v>
      </c>
      <c r="B121">
        <v>4182</v>
      </c>
      <c r="C121" s="107" t="s">
        <v>88</v>
      </c>
      <c r="D121" s="107" t="s">
        <v>62</v>
      </c>
      <c r="E121">
        <v>1728</v>
      </c>
      <c r="F121">
        <v>1730</v>
      </c>
      <c r="G121">
        <v>500</v>
      </c>
      <c r="H121" s="107" t="s">
        <v>63</v>
      </c>
      <c r="I121">
        <v>6371</v>
      </c>
      <c r="J121" s="107" t="s">
        <v>108</v>
      </c>
      <c r="K121" s="107" t="s">
        <v>99</v>
      </c>
      <c r="L121">
        <v>3995</v>
      </c>
      <c r="M121">
        <v>4000</v>
      </c>
      <c r="N121">
        <v>200</v>
      </c>
      <c r="O121" s="107" t="s">
        <v>61</v>
      </c>
      <c r="P121">
        <v>0.94356230182638701</v>
      </c>
      <c r="Q121">
        <v>0.92824078389683295</v>
      </c>
      <c r="R121" s="15">
        <v>7.9522788860306101E-2</v>
      </c>
      <c r="S121" s="15">
        <v>2.4272953827587599E-2</v>
      </c>
      <c r="T121">
        <v>0.80158698889126601</v>
      </c>
      <c r="U121">
        <v>0.80158698889126601</v>
      </c>
      <c r="V121">
        <v>2.65</v>
      </c>
      <c r="W121">
        <v>8.1199999999999992</v>
      </c>
      <c r="X121">
        <v>88640</v>
      </c>
      <c r="Y121">
        <v>6818</v>
      </c>
      <c r="Z121">
        <v>0.47</v>
      </c>
      <c r="AA121">
        <v>13</v>
      </c>
      <c r="AB121">
        <v>8</v>
      </c>
      <c r="AC121">
        <v>5</v>
      </c>
      <c r="AD121">
        <v>61.54</v>
      </c>
      <c r="AE121">
        <v>12</v>
      </c>
      <c r="AF121">
        <v>4</v>
      </c>
      <c r="AG121">
        <v>2</v>
      </c>
      <c r="AH121">
        <v>7</v>
      </c>
    </row>
    <row r="122" spans="1:34">
      <c r="A122" s="103">
        <v>185</v>
      </c>
      <c r="B122">
        <v>9062</v>
      </c>
      <c r="C122" s="107" t="s">
        <v>956</v>
      </c>
      <c r="D122" s="107" t="s">
        <v>119</v>
      </c>
      <c r="E122">
        <v>6520</v>
      </c>
      <c r="F122">
        <v>6630</v>
      </c>
      <c r="G122">
        <v>100</v>
      </c>
      <c r="H122" s="107" t="s">
        <v>63</v>
      </c>
      <c r="I122">
        <v>9072</v>
      </c>
      <c r="J122" s="107" t="s">
        <v>126</v>
      </c>
      <c r="K122" s="107" t="s">
        <v>119</v>
      </c>
      <c r="L122">
        <v>2740</v>
      </c>
      <c r="M122">
        <v>2739</v>
      </c>
      <c r="N122">
        <v>200</v>
      </c>
      <c r="O122" s="107" t="s">
        <v>61</v>
      </c>
      <c r="P122">
        <v>0.94927290333677095</v>
      </c>
      <c r="Q122">
        <v>0.90705999803275295</v>
      </c>
      <c r="R122" s="107">
        <v>9.9094329724423794E-2</v>
      </c>
      <c r="S122">
        <v>3.5834050631883198E-2</v>
      </c>
      <c r="T122">
        <v>0.56056776397934505</v>
      </c>
      <c r="U122">
        <v>0.56056776397934505</v>
      </c>
      <c r="V122">
        <v>2.73</v>
      </c>
      <c r="W122">
        <v>17.38</v>
      </c>
      <c r="X122">
        <v>86554</v>
      </c>
      <c r="Y122">
        <v>14426</v>
      </c>
      <c r="Z122">
        <v>0.91</v>
      </c>
      <c r="AA122">
        <v>6</v>
      </c>
      <c r="AB122">
        <v>4</v>
      </c>
      <c r="AC122">
        <v>2</v>
      </c>
      <c r="AD122">
        <v>66.67</v>
      </c>
      <c r="AE122">
        <v>14</v>
      </c>
      <c r="AF122">
        <v>2</v>
      </c>
      <c r="AG122">
        <v>0</v>
      </c>
      <c r="AH122">
        <v>4</v>
      </c>
    </row>
    <row r="123" spans="1:34">
      <c r="A123" s="103">
        <v>77</v>
      </c>
      <c r="B123">
        <v>5802</v>
      </c>
      <c r="C123" s="107" t="s">
        <v>131</v>
      </c>
      <c r="D123" s="107" t="s">
        <v>132</v>
      </c>
      <c r="E123">
        <v>1688.5</v>
      </c>
      <c r="F123">
        <v>1690.5</v>
      </c>
      <c r="G123">
        <v>600</v>
      </c>
      <c r="H123" s="107" t="s">
        <v>63</v>
      </c>
      <c r="I123">
        <v>7267</v>
      </c>
      <c r="J123" s="107" t="s">
        <v>118</v>
      </c>
      <c r="K123" s="107" t="s">
        <v>84</v>
      </c>
      <c r="L123">
        <v>3178</v>
      </c>
      <c r="M123">
        <v>3221</v>
      </c>
      <c r="N123">
        <v>300</v>
      </c>
      <c r="O123" s="107" t="s">
        <v>61</v>
      </c>
      <c r="P123">
        <v>0.91349261823290695</v>
      </c>
      <c r="Q123">
        <v>0.93029861458505902</v>
      </c>
      <c r="R123" s="107">
        <v>0.24349082845720399</v>
      </c>
      <c r="S123">
        <v>4.2821542403420603E-3</v>
      </c>
      <c r="T123">
        <v>1.6003729641819699</v>
      </c>
      <c r="U123">
        <v>1.6003729641819699</v>
      </c>
      <c r="V123">
        <v>5.09</v>
      </c>
      <c r="W123">
        <v>4.97</v>
      </c>
      <c r="X123">
        <v>86548</v>
      </c>
      <c r="Y123">
        <v>5409</v>
      </c>
      <c r="Z123">
        <v>0.24</v>
      </c>
      <c r="AA123">
        <v>16</v>
      </c>
      <c r="AB123">
        <v>10</v>
      </c>
      <c r="AC123">
        <v>6</v>
      </c>
      <c r="AD123">
        <v>62.5</v>
      </c>
      <c r="AE123">
        <v>16</v>
      </c>
      <c r="AF123">
        <v>1</v>
      </c>
      <c r="AG123">
        <v>1</v>
      </c>
      <c r="AH123">
        <v>14</v>
      </c>
    </row>
    <row r="124" spans="1:34">
      <c r="A124" s="103">
        <v>146</v>
      </c>
      <c r="B124">
        <v>6301</v>
      </c>
      <c r="C124" s="107" t="s">
        <v>109</v>
      </c>
      <c r="D124" s="107" t="s">
        <v>99</v>
      </c>
      <c r="E124">
        <v>2755</v>
      </c>
      <c r="F124">
        <v>2740</v>
      </c>
      <c r="G124">
        <v>400</v>
      </c>
      <c r="H124" s="107" t="s">
        <v>61</v>
      </c>
      <c r="I124">
        <v>6472</v>
      </c>
      <c r="J124" s="107" t="s">
        <v>134</v>
      </c>
      <c r="K124" s="107" t="s">
        <v>99</v>
      </c>
      <c r="L124">
        <v>364</v>
      </c>
      <c r="M124">
        <v>363</v>
      </c>
      <c r="N124">
        <v>3000</v>
      </c>
      <c r="O124" s="107" t="s">
        <v>63</v>
      </c>
      <c r="P124">
        <v>0.90793442986858997</v>
      </c>
      <c r="Q124">
        <v>0.91422326342540305</v>
      </c>
      <c r="R124" s="15">
        <v>0.30556464091805502</v>
      </c>
      <c r="S124">
        <v>4.3927043095851097E-2</v>
      </c>
      <c r="T124">
        <v>-0.77887543331063502</v>
      </c>
      <c r="U124">
        <v>0.77887543331063502</v>
      </c>
      <c r="V124">
        <v>-1.97</v>
      </c>
      <c r="W124">
        <v>0.64</v>
      </c>
      <c r="X124">
        <v>85896</v>
      </c>
      <c r="Y124">
        <v>4295</v>
      </c>
      <c r="Z124">
        <v>0.12</v>
      </c>
      <c r="AA124">
        <v>20</v>
      </c>
      <c r="AB124">
        <v>10</v>
      </c>
      <c r="AC124">
        <v>10</v>
      </c>
      <c r="AD124">
        <v>50</v>
      </c>
      <c r="AE124">
        <v>11</v>
      </c>
      <c r="AF124">
        <v>8</v>
      </c>
      <c r="AG124">
        <v>7</v>
      </c>
      <c r="AH124">
        <v>5</v>
      </c>
    </row>
    <row r="125" spans="1:34">
      <c r="A125" s="103">
        <v>45</v>
      </c>
      <c r="B125">
        <v>5802</v>
      </c>
      <c r="C125" s="107" t="s">
        <v>131</v>
      </c>
      <c r="D125" s="107" t="s">
        <v>132</v>
      </c>
      <c r="E125">
        <v>1688.5</v>
      </c>
      <c r="F125">
        <v>1690.5</v>
      </c>
      <c r="G125">
        <v>600</v>
      </c>
      <c r="H125" s="107" t="s">
        <v>63</v>
      </c>
      <c r="I125">
        <v>9810</v>
      </c>
      <c r="J125" s="107" t="s">
        <v>127</v>
      </c>
      <c r="K125" s="107" t="s">
        <v>101</v>
      </c>
      <c r="L125">
        <v>5290</v>
      </c>
      <c r="M125">
        <v>5230</v>
      </c>
      <c r="N125">
        <v>200</v>
      </c>
      <c r="O125" s="107" t="s">
        <v>61</v>
      </c>
      <c r="P125">
        <v>0.94684645644738996</v>
      </c>
      <c r="Q125">
        <v>0.94034568038757904</v>
      </c>
      <c r="R125" s="15">
        <v>0.25405578312381599</v>
      </c>
      <c r="S125" s="15">
        <v>2.4760450463984798E-2</v>
      </c>
      <c r="T125">
        <v>0.61390121526433805</v>
      </c>
      <c r="U125">
        <v>0.61390121526433805</v>
      </c>
      <c r="V125">
        <v>1.48</v>
      </c>
      <c r="W125">
        <v>3.03</v>
      </c>
      <c r="X125">
        <v>84914</v>
      </c>
      <c r="Y125">
        <v>5661</v>
      </c>
      <c r="Z125">
        <v>0.45</v>
      </c>
      <c r="AA125">
        <v>15</v>
      </c>
      <c r="AB125">
        <v>10</v>
      </c>
      <c r="AC125">
        <v>5</v>
      </c>
      <c r="AD125">
        <v>66.67</v>
      </c>
      <c r="AE125">
        <v>14</v>
      </c>
      <c r="AF125">
        <v>3</v>
      </c>
      <c r="AG125">
        <v>2</v>
      </c>
      <c r="AH125">
        <v>10</v>
      </c>
    </row>
    <row r="126" spans="1:34">
      <c r="A126" s="103">
        <v>37</v>
      </c>
      <c r="B126">
        <v>6770</v>
      </c>
      <c r="C126" s="107" t="s">
        <v>26</v>
      </c>
      <c r="D126" s="107" t="s">
        <v>87</v>
      </c>
      <c r="E126">
        <v>2628</v>
      </c>
      <c r="F126">
        <v>2609</v>
      </c>
      <c r="G126">
        <v>200</v>
      </c>
      <c r="H126" s="107" t="s">
        <v>63</v>
      </c>
      <c r="I126">
        <v>6988</v>
      </c>
      <c r="J126" s="107" t="s">
        <v>139</v>
      </c>
      <c r="K126" s="107" t="s">
        <v>62</v>
      </c>
      <c r="L126">
        <v>6350</v>
      </c>
      <c r="M126">
        <v>6410</v>
      </c>
      <c r="N126">
        <v>100</v>
      </c>
      <c r="O126" s="107" t="s">
        <v>61</v>
      </c>
      <c r="P126">
        <v>0.92023249392038797</v>
      </c>
      <c r="Q126">
        <v>0.94358008685726802</v>
      </c>
      <c r="R126">
        <v>0.357581050397005</v>
      </c>
      <c r="S126" s="15">
        <v>6.1235261354430102E-2</v>
      </c>
      <c r="T126">
        <v>1.32588848531322</v>
      </c>
      <c r="U126">
        <v>1.32588848531322</v>
      </c>
      <c r="V126">
        <v>5.08</v>
      </c>
      <c r="W126">
        <v>18.600000000000001</v>
      </c>
      <c r="X126">
        <v>80018</v>
      </c>
      <c r="Y126">
        <v>5716</v>
      </c>
      <c r="Z126">
        <v>0.28999999999999998</v>
      </c>
      <c r="AA126">
        <v>14</v>
      </c>
      <c r="AB126">
        <v>8</v>
      </c>
      <c r="AC126">
        <v>6</v>
      </c>
      <c r="AD126">
        <v>57.14</v>
      </c>
      <c r="AE126">
        <v>12</v>
      </c>
      <c r="AF126">
        <v>7</v>
      </c>
      <c r="AG126">
        <v>3</v>
      </c>
      <c r="AH126">
        <v>4</v>
      </c>
    </row>
    <row r="127" spans="1:34">
      <c r="A127" s="103">
        <v>155</v>
      </c>
      <c r="B127">
        <v>8002</v>
      </c>
      <c r="C127" s="107" t="s">
        <v>31</v>
      </c>
      <c r="D127" s="107" t="s">
        <v>101</v>
      </c>
      <c r="E127">
        <v>834.9</v>
      </c>
      <c r="F127">
        <v>837.7</v>
      </c>
      <c r="G127">
        <v>1300</v>
      </c>
      <c r="H127" s="107" t="s">
        <v>63</v>
      </c>
      <c r="I127">
        <v>9072</v>
      </c>
      <c r="J127" s="107" t="s">
        <v>126</v>
      </c>
      <c r="K127" s="107" t="s">
        <v>119</v>
      </c>
      <c r="L127">
        <v>2740</v>
      </c>
      <c r="M127">
        <v>2739</v>
      </c>
      <c r="N127">
        <v>400</v>
      </c>
      <c r="O127" s="107" t="s">
        <v>61</v>
      </c>
      <c r="P127">
        <v>0.94190635641218001</v>
      </c>
      <c r="Q127">
        <v>0.91161883023030499</v>
      </c>
      <c r="R127">
        <v>0.126805220980795</v>
      </c>
      <c r="S127" s="107">
        <v>2.00728460502293E-3</v>
      </c>
      <c r="T127">
        <v>2.1590845038233999</v>
      </c>
      <c r="U127">
        <v>2.1590845038233999</v>
      </c>
      <c r="V127">
        <v>4.12</v>
      </c>
      <c r="W127">
        <v>0.6</v>
      </c>
      <c r="X127">
        <v>77791</v>
      </c>
      <c r="Y127">
        <v>4862</v>
      </c>
      <c r="Z127">
        <v>0.24</v>
      </c>
      <c r="AA127">
        <v>16</v>
      </c>
      <c r="AB127">
        <v>8</v>
      </c>
      <c r="AC127">
        <v>8</v>
      </c>
      <c r="AD127">
        <v>50</v>
      </c>
      <c r="AE127">
        <v>16</v>
      </c>
      <c r="AF127">
        <v>4</v>
      </c>
      <c r="AG127">
        <v>1</v>
      </c>
      <c r="AH127">
        <v>11</v>
      </c>
    </row>
    <row r="128" spans="1:34">
      <c r="A128" s="103">
        <v>126</v>
      </c>
      <c r="B128">
        <v>8604</v>
      </c>
      <c r="C128" s="107" t="s">
        <v>958</v>
      </c>
      <c r="D128" s="107" t="s">
        <v>959</v>
      </c>
      <c r="E128">
        <v>562.9</v>
      </c>
      <c r="F128">
        <v>557.6</v>
      </c>
      <c r="G128">
        <v>1400</v>
      </c>
      <c r="H128" s="107" t="s">
        <v>63</v>
      </c>
      <c r="I128">
        <v>9989</v>
      </c>
      <c r="J128" s="107" t="s">
        <v>1326</v>
      </c>
      <c r="K128" s="107" t="s">
        <v>95</v>
      </c>
      <c r="L128">
        <v>3985</v>
      </c>
      <c r="M128">
        <v>3945</v>
      </c>
      <c r="N128">
        <v>200</v>
      </c>
      <c r="O128" s="107" t="s">
        <v>61</v>
      </c>
      <c r="P128">
        <v>0.95225812453395298</v>
      </c>
      <c r="Q128">
        <v>0.91763117907824998</v>
      </c>
      <c r="R128">
        <v>6.9979352211816198E-2</v>
      </c>
      <c r="S128">
        <v>4.23882618928626E-2</v>
      </c>
      <c r="T128">
        <v>0.73358002370170705</v>
      </c>
      <c r="U128">
        <v>0.73358002370170705</v>
      </c>
      <c r="V128">
        <v>2.39</v>
      </c>
      <c r="W128">
        <v>1.06</v>
      </c>
      <c r="X128">
        <v>77595</v>
      </c>
      <c r="Y128">
        <v>5542</v>
      </c>
      <c r="Z128">
        <v>0.28000000000000003</v>
      </c>
      <c r="AA128">
        <v>14</v>
      </c>
      <c r="AB128">
        <v>7</v>
      </c>
      <c r="AC128">
        <v>7</v>
      </c>
      <c r="AD128">
        <v>50</v>
      </c>
      <c r="AE128">
        <v>13</v>
      </c>
      <c r="AF128">
        <v>5</v>
      </c>
      <c r="AG128">
        <v>4</v>
      </c>
      <c r="AH128">
        <v>5</v>
      </c>
    </row>
    <row r="129" spans="1:34">
      <c r="A129" s="103">
        <v>55</v>
      </c>
      <c r="B129">
        <v>4519</v>
      </c>
      <c r="C129" s="107" t="s">
        <v>954</v>
      </c>
      <c r="D129" s="107" t="s">
        <v>136</v>
      </c>
      <c r="E129">
        <v>10025</v>
      </c>
      <c r="F129">
        <v>10040</v>
      </c>
      <c r="G129">
        <v>100</v>
      </c>
      <c r="H129" s="107" t="s">
        <v>63</v>
      </c>
      <c r="I129">
        <v>6702</v>
      </c>
      <c r="J129" s="107" t="s">
        <v>332</v>
      </c>
      <c r="K129" s="107" t="s">
        <v>87</v>
      </c>
      <c r="L129">
        <v>10200</v>
      </c>
      <c r="M129">
        <v>10055</v>
      </c>
      <c r="N129">
        <v>100</v>
      </c>
      <c r="O129" s="107" t="s">
        <v>61</v>
      </c>
      <c r="P129">
        <v>0.96055253236196703</v>
      </c>
      <c r="Q129">
        <v>0.93657330409809303</v>
      </c>
      <c r="R129">
        <v>1.32121619392457E-2</v>
      </c>
      <c r="S129" s="107">
        <v>3.2944041718579301E-2</v>
      </c>
      <c r="T129">
        <v>1.8710183303322101</v>
      </c>
      <c r="U129">
        <v>1.8710183303322101</v>
      </c>
      <c r="V129">
        <v>5.31</v>
      </c>
      <c r="W129">
        <v>0.15</v>
      </c>
      <c r="X129">
        <v>75944</v>
      </c>
      <c r="Y129">
        <v>10849</v>
      </c>
      <c r="Z129">
        <v>0.79</v>
      </c>
      <c r="AA129">
        <v>7</v>
      </c>
      <c r="AB129">
        <v>4</v>
      </c>
      <c r="AC129">
        <v>3</v>
      </c>
      <c r="AD129">
        <v>57.14</v>
      </c>
      <c r="AE129">
        <v>12</v>
      </c>
      <c r="AF129">
        <v>3</v>
      </c>
      <c r="AG129">
        <v>1</v>
      </c>
      <c r="AH129">
        <v>3</v>
      </c>
    </row>
    <row r="130" spans="1:34">
      <c r="A130" s="103">
        <v>53</v>
      </c>
      <c r="B130">
        <v>1820</v>
      </c>
      <c r="C130" s="107" t="s">
        <v>122</v>
      </c>
      <c r="D130" s="107" t="s">
        <v>78</v>
      </c>
      <c r="E130">
        <v>2558</v>
      </c>
      <c r="F130">
        <v>2503</v>
      </c>
      <c r="G130">
        <v>400</v>
      </c>
      <c r="H130" s="107" t="s">
        <v>63</v>
      </c>
      <c r="I130">
        <v>4182</v>
      </c>
      <c r="J130" s="107" t="s">
        <v>88</v>
      </c>
      <c r="K130" s="107" t="s">
        <v>62</v>
      </c>
      <c r="L130">
        <v>1728</v>
      </c>
      <c r="M130">
        <v>1730</v>
      </c>
      <c r="N130">
        <v>600</v>
      </c>
      <c r="O130" s="107" t="s">
        <v>61</v>
      </c>
      <c r="P130">
        <v>0.95914510930146402</v>
      </c>
      <c r="Q130">
        <v>0.93928508277522205</v>
      </c>
      <c r="R130" s="15">
        <v>8.69521725832368E-2</v>
      </c>
      <c r="S130">
        <v>1.03250089820209E-2</v>
      </c>
      <c r="T130">
        <v>0.256610234037079</v>
      </c>
      <c r="U130">
        <v>0.256610234037079</v>
      </c>
      <c r="V130">
        <v>0.83</v>
      </c>
      <c r="W130">
        <v>3.68</v>
      </c>
      <c r="X130">
        <v>74834</v>
      </c>
      <c r="Y130">
        <v>6236</v>
      </c>
      <c r="Z130">
        <v>0.26</v>
      </c>
      <c r="AA130">
        <v>12</v>
      </c>
      <c r="AB130">
        <v>8</v>
      </c>
      <c r="AC130">
        <v>4</v>
      </c>
      <c r="AD130">
        <v>66.67</v>
      </c>
      <c r="AE130">
        <v>12</v>
      </c>
      <c r="AF130">
        <v>5</v>
      </c>
      <c r="AG130">
        <v>3</v>
      </c>
      <c r="AH130">
        <v>4</v>
      </c>
    </row>
    <row r="131" spans="1:34">
      <c r="A131" s="103">
        <v>172</v>
      </c>
      <c r="B131">
        <v>2379</v>
      </c>
      <c r="C131" s="107" t="s">
        <v>1027</v>
      </c>
      <c r="D131" s="107" t="s">
        <v>120</v>
      </c>
      <c r="E131">
        <v>3210</v>
      </c>
      <c r="F131">
        <v>3175</v>
      </c>
      <c r="G131">
        <v>300</v>
      </c>
      <c r="H131" s="107" t="s">
        <v>63</v>
      </c>
      <c r="I131">
        <v>6702</v>
      </c>
      <c r="J131" s="107" t="s">
        <v>332</v>
      </c>
      <c r="K131" s="107" t="s">
        <v>87</v>
      </c>
      <c r="L131">
        <v>10200</v>
      </c>
      <c r="M131">
        <v>10055</v>
      </c>
      <c r="N131">
        <v>100</v>
      </c>
      <c r="O131" s="107" t="s">
        <v>61</v>
      </c>
      <c r="P131">
        <v>0.90579488579941503</v>
      </c>
      <c r="Q131">
        <v>0.90872387531588295</v>
      </c>
      <c r="R131" s="15">
        <v>0.12482379716882</v>
      </c>
      <c r="S131" s="107">
        <v>0.16655223097708599</v>
      </c>
      <c r="T131">
        <v>0.64617138264204899</v>
      </c>
      <c r="U131">
        <v>0.64617138264204899</v>
      </c>
      <c r="V131">
        <v>2.66</v>
      </c>
      <c r="W131">
        <v>5.27</v>
      </c>
      <c r="X131">
        <v>73060</v>
      </c>
      <c r="Y131">
        <v>4059</v>
      </c>
      <c r="Z131">
        <v>0.23</v>
      </c>
      <c r="AA131">
        <v>18</v>
      </c>
      <c r="AB131">
        <v>10</v>
      </c>
      <c r="AC131">
        <v>8</v>
      </c>
      <c r="AD131">
        <v>55.56</v>
      </c>
      <c r="AE131">
        <v>10</v>
      </c>
      <c r="AF131">
        <v>8</v>
      </c>
      <c r="AG131">
        <v>6</v>
      </c>
      <c r="AH131">
        <v>4</v>
      </c>
    </row>
    <row r="132" spans="1:34">
      <c r="A132" s="103">
        <v>136</v>
      </c>
      <c r="B132">
        <v>3116</v>
      </c>
      <c r="C132" s="107" t="s">
        <v>125</v>
      </c>
      <c r="D132" s="107" t="s">
        <v>84</v>
      </c>
      <c r="E132">
        <v>1852</v>
      </c>
      <c r="F132">
        <v>1818</v>
      </c>
      <c r="G132">
        <v>600</v>
      </c>
      <c r="H132" s="107" t="s">
        <v>63</v>
      </c>
      <c r="I132">
        <v>8002</v>
      </c>
      <c r="J132" s="107" t="s">
        <v>31</v>
      </c>
      <c r="K132" s="107" t="s">
        <v>101</v>
      </c>
      <c r="L132">
        <v>834.9</v>
      </c>
      <c r="M132">
        <v>837.7</v>
      </c>
      <c r="N132">
        <v>1300</v>
      </c>
      <c r="O132" s="107" t="s">
        <v>61</v>
      </c>
      <c r="P132">
        <v>0.94399534236470095</v>
      </c>
      <c r="Q132">
        <v>0.91612211734083804</v>
      </c>
      <c r="R132">
        <v>2.7571039957661601E-2</v>
      </c>
      <c r="S132" s="15">
        <v>0.23586810926967899</v>
      </c>
      <c r="T132">
        <v>1.58326457904383</v>
      </c>
      <c r="U132">
        <v>1.58326457904383</v>
      </c>
      <c r="V132">
        <v>3.33</v>
      </c>
      <c r="W132">
        <v>0.16</v>
      </c>
      <c r="X132">
        <v>69702</v>
      </c>
      <c r="Y132">
        <v>5362</v>
      </c>
      <c r="Z132">
        <v>0.33</v>
      </c>
      <c r="AA132">
        <v>13</v>
      </c>
      <c r="AB132">
        <v>5</v>
      </c>
      <c r="AC132">
        <v>8</v>
      </c>
      <c r="AD132">
        <v>38.46</v>
      </c>
      <c r="AE132">
        <v>16</v>
      </c>
      <c r="AF132">
        <v>4</v>
      </c>
      <c r="AG132">
        <v>0</v>
      </c>
      <c r="AH132">
        <v>9</v>
      </c>
    </row>
    <row r="133" spans="1:34">
      <c r="A133" s="103">
        <v>220</v>
      </c>
      <c r="B133">
        <v>6995</v>
      </c>
      <c r="C133" s="107" t="s">
        <v>91</v>
      </c>
      <c r="D133" s="107" t="s">
        <v>84</v>
      </c>
      <c r="E133">
        <v>2258</v>
      </c>
      <c r="F133">
        <v>2263</v>
      </c>
      <c r="G133">
        <v>500</v>
      </c>
      <c r="H133" s="107" t="s">
        <v>63</v>
      </c>
      <c r="I133">
        <v>9810</v>
      </c>
      <c r="J133" s="107" t="s">
        <v>127</v>
      </c>
      <c r="K133" s="107" t="s">
        <v>101</v>
      </c>
      <c r="L133">
        <v>5290</v>
      </c>
      <c r="M133">
        <v>5230</v>
      </c>
      <c r="N133">
        <v>200</v>
      </c>
      <c r="O133" s="107" t="s">
        <v>61</v>
      </c>
      <c r="P133">
        <v>0.91368434218718697</v>
      </c>
      <c r="Q133">
        <v>0.90169564508583899</v>
      </c>
      <c r="R133">
        <v>7.3898654174172199E-2</v>
      </c>
      <c r="S133" s="107">
        <v>5.0379187587814997E-2</v>
      </c>
      <c r="T133">
        <v>0.39296185917709597</v>
      </c>
      <c r="U133">
        <v>0.39296185917709597</v>
      </c>
      <c r="V133">
        <v>1.19</v>
      </c>
      <c r="W133">
        <v>8.17</v>
      </c>
      <c r="X133">
        <v>68150</v>
      </c>
      <c r="Y133">
        <v>5242</v>
      </c>
      <c r="Z133">
        <v>0.48</v>
      </c>
      <c r="AA133">
        <v>13</v>
      </c>
      <c r="AB133">
        <v>8</v>
      </c>
      <c r="AC133">
        <v>5</v>
      </c>
      <c r="AD133">
        <v>61.54</v>
      </c>
      <c r="AE133">
        <v>11</v>
      </c>
      <c r="AF133">
        <v>5</v>
      </c>
      <c r="AG133">
        <v>4</v>
      </c>
      <c r="AH133">
        <v>4</v>
      </c>
    </row>
    <row r="134" spans="1:34">
      <c r="A134" s="103">
        <v>219</v>
      </c>
      <c r="B134">
        <v>4819</v>
      </c>
      <c r="C134" s="107" t="s">
        <v>1316</v>
      </c>
      <c r="D134" s="107" t="s">
        <v>79</v>
      </c>
      <c r="E134">
        <v>4440</v>
      </c>
      <c r="F134">
        <v>4440</v>
      </c>
      <c r="G134">
        <v>200</v>
      </c>
      <c r="H134" s="107" t="s">
        <v>63</v>
      </c>
      <c r="I134">
        <v>9746</v>
      </c>
      <c r="J134" s="107" t="s">
        <v>1298</v>
      </c>
      <c r="K134" s="107" t="s">
        <v>79</v>
      </c>
      <c r="L134">
        <v>5290</v>
      </c>
      <c r="M134">
        <v>5270</v>
      </c>
      <c r="N134">
        <v>200</v>
      </c>
      <c r="O134" s="107" t="s">
        <v>61</v>
      </c>
      <c r="P134">
        <v>0.90601618369998704</v>
      </c>
      <c r="Q134">
        <v>0.90177136136687797</v>
      </c>
      <c r="R134">
        <v>8.4694914280654607E-2</v>
      </c>
      <c r="S134">
        <v>5.1880280618974602E-3</v>
      </c>
      <c r="T134">
        <v>2.3754514760230698</v>
      </c>
      <c r="U134">
        <v>2.3754514760230698</v>
      </c>
      <c r="V134">
        <v>8.66</v>
      </c>
      <c r="W134">
        <v>15.75</v>
      </c>
      <c r="X134">
        <v>66372</v>
      </c>
      <c r="Y134">
        <v>5531</v>
      </c>
      <c r="Z134">
        <v>0.37</v>
      </c>
      <c r="AA134">
        <v>12</v>
      </c>
      <c r="AB134">
        <v>7</v>
      </c>
      <c r="AC134">
        <v>5</v>
      </c>
      <c r="AD134">
        <v>58.33</v>
      </c>
      <c r="AE134">
        <v>9</v>
      </c>
      <c r="AF134">
        <v>7</v>
      </c>
      <c r="AG134">
        <v>4</v>
      </c>
      <c r="AH134">
        <v>1</v>
      </c>
    </row>
    <row r="135" spans="1:34">
      <c r="A135" s="103">
        <v>80</v>
      </c>
      <c r="B135">
        <v>1973</v>
      </c>
      <c r="C135" s="107" t="s">
        <v>310</v>
      </c>
      <c r="D135" s="107" t="s">
        <v>79</v>
      </c>
      <c r="E135">
        <v>3620</v>
      </c>
      <c r="F135">
        <v>3570</v>
      </c>
      <c r="G135">
        <v>300</v>
      </c>
      <c r="H135" s="107" t="s">
        <v>61</v>
      </c>
      <c r="I135">
        <v>4519</v>
      </c>
      <c r="J135" s="107" t="s">
        <v>954</v>
      </c>
      <c r="K135" s="107" t="s">
        <v>136</v>
      </c>
      <c r="L135">
        <v>10025</v>
      </c>
      <c r="M135">
        <v>10040</v>
      </c>
      <c r="N135">
        <v>100</v>
      </c>
      <c r="O135" s="107" t="s">
        <v>63</v>
      </c>
      <c r="P135">
        <v>0.94705675395215305</v>
      </c>
      <c r="Q135">
        <v>0.92975673182586904</v>
      </c>
      <c r="R135" s="15">
        <v>4.8351720442794304E-3</v>
      </c>
      <c r="S135">
        <v>0.111915199203934</v>
      </c>
      <c r="T135">
        <v>-1.1814254114810601</v>
      </c>
      <c r="U135">
        <v>1.1814254114810601</v>
      </c>
      <c r="V135">
        <v>-2.85</v>
      </c>
      <c r="W135">
        <v>6.67</v>
      </c>
      <c r="X135">
        <v>61928</v>
      </c>
      <c r="Y135">
        <v>7741</v>
      </c>
      <c r="Z135">
        <v>0.22</v>
      </c>
      <c r="AA135">
        <v>8</v>
      </c>
      <c r="AB135">
        <v>5</v>
      </c>
      <c r="AC135">
        <v>3</v>
      </c>
      <c r="AD135">
        <v>62.5</v>
      </c>
      <c r="AE135">
        <v>12</v>
      </c>
      <c r="AF135">
        <v>3</v>
      </c>
      <c r="AG135">
        <v>3</v>
      </c>
      <c r="AH135">
        <v>2</v>
      </c>
    </row>
    <row r="136" spans="1:34">
      <c r="A136" s="103">
        <v>22</v>
      </c>
      <c r="B136">
        <v>6770</v>
      </c>
      <c r="C136" s="107" t="s">
        <v>26</v>
      </c>
      <c r="D136" s="107" t="s">
        <v>87</v>
      </c>
      <c r="E136">
        <v>2628</v>
      </c>
      <c r="F136">
        <v>2609</v>
      </c>
      <c r="G136">
        <v>300</v>
      </c>
      <c r="H136" s="107" t="s">
        <v>61</v>
      </c>
      <c r="I136">
        <v>7282</v>
      </c>
      <c r="J136" s="107" t="s">
        <v>953</v>
      </c>
      <c r="K136" s="107" t="s">
        <v>84</v>
      </c>
      <c r="L136">
        <v>2801</v>
      </c>
      <c r="M136">
        <v>2798</v>
      </c>
      <c r="N136">
        <v>300</v>
      </c>
      <c r="O136" s="107" t="s">
        <v>63</v>
      </c>
      <c r="P136">
        <v>0.96900356122426401</v>
      </c>
      <c r="Q136">
        <v>0.94829232431018595</v>
      </c>
      <c r="R136">
        <v>7.7682280655596098E-2</v>
      </c>
      <c r="S136" s="107">
        <v>2.2675474327785699E-2</v>
      </c>
      <c r="T136" s="107">
        <v>-0.34581968675298802</v>
      </c>
      <c r="U136" s="107">
        <v>0.34581968675298802</v>
      </c>
      <c r="V136">
        <v>-0.84</v>
      </c>
      <c r="W136">
        <v>6.75</v>
      </c>
      <c r="X136">
        <v>56663</v>
      </c>
      <c r="Y136">
        <v>3778</v>
      </c>
      <c r="Z136">
        <v>0.27</v>
      </c>
      <c r="AA136">
        <v>15</v>
      </c>
      <c r="AB136">
        <v>10</v>
      </c>
      <c r="AC136">
        <v>5</v>
      </c>
      <c r="AD136">
        <v>66.67</v>
      </c>
      <c r="AE136">
        <v>12</v>
      </c>
      <c r="AF136">
        <v>6</v>
      </c>
      <c r="AG136">
        <v>4</v>
      </c>
      <c r="AH136">
        <v>5</v>
      </c>
    </row>
    <row r="137" spans="1:34">
      <c r="A137" s="103">
        <v>177</v>
      </c>
      <c r="B137">
        <v>6301</v>
      </c>
      <c r="C137" s="107" t="s">
        <v>109</v>
      </c>
      <c r="D137" s="107" t="s">
        <v>99</v>
      </c>
      <c r="E137">
        <v>2755</v>
      </c>
      <c r="F137">
        <v>2740</v>
      </c>
      <c r="G137">
        <v>300</v>
      </c>
      <c r="H137" s="107" t="s">
        <v>61</v>
      </c>
      <c r="I137">
        <v>6371</v>
      </c>
      <c r="J137" s="107" t="s">
        <v>108</v>
      </c>
      <c r="K137" s="107" t="s">
        <v>99</v>
      </c>
      <c r="L137">
        <v>3995</v>
      </c>
      <c r="M137">
        <v>4000</v>
      </c>
      <c r="N137">
        <v>200</v>
      </c>
      <c r="O137" s="107" t="s">
        <v>63</v>
      </c>
      <c r="P137">
        <v>0.91997379336044904</v>
      </c>
      <c r="Q137">
        <v>0.907719683582349</v>
      </c>
      <c r="R137">
        <v>4.6378738788869301E-3</v>
      </c>
      <c r="S137" s="107">
        <v>3.9480440975258099E-3</v>
      </c>
      <c r="T137">
        <v>-0.81345760236375197</v>
      </c>
      <c r="U137">
        <v>0.81345760236375197</v>
      </c>
      <c r="V137">
        <v>-1.93</v>
      </c>
      <c r="W137">
        <v>2.75</v>
      </c>
      <c r="X137">
        <v>51301</v>
      </c>
      <c r="Y137">
        <v>3206</v>
      </c>
      <c r="Z137">
        <v>0.19</v>
      </c>
      <c r="AA137">
        <v>16</v>
      </c>
      <c r="AB137">
        <v>8</v>
      </c>
      <c r="AC137">
        <v>8</v>
      </c>
      <c r="AD137">
        <v>50</v>
      </c>
      <c r="AE137">
        <v>13</v>
      </c>
      <c r="AF137">
        <v>4</v>
      </c>
      <c r="AG137">
        <v>3</v>
      </c>
      <c r="AH137">
        <v>9</v>
      </c>
    </row>
    <row r="138" spans="1:34">
      <c r="A138" s="103">
        <v>142</v>
      </c>
      <c r="B138">
        <v>4182</v>
      </c>
      <c r="C138" s="107" t="s">
        <v>88</v>
      </c>
      <c r="D138" s="107" t="s">
        <v>62</v>
      </c>
      <c r="E138">
        <v>1728</v>
      </c>
      <c r="F138">
        <v>1730</v>
      </c>
      <c r="G138">
        <v>500</v>
      </c>
      <c r="H138" s="107" t="s">
        <v>63</v>
      </c>
      <c r="I138">
        <v>5463</v>
      </c>
      <c r="J138" s="107" t="s">
        <v>142</v>
      </c>
      <c r="K138" s="107" t="s">
        <v>92</v>
      </c>
      <c r="L138">
        <v>3120</v>
      </c>
      <c r="M138">
        <v>3135</v>
      </c>
      <c r="N138">
        <v>300</v>
      </c>
      <c r="O138" s="107" t="s">
        <v>61</v>
      </c>
      <c r="P138">
        <v>0.90546785101424199</v>
      </c>
      <c r="Q138">
        <v>0.91474022952423095</v>
      </c>
      <c r="R138">
        <v>0.130485485638836</v>
      </c>
      <c r="S138">
        <v>2.1067350919446198E-2</v>
      </c>
      <c r="T138">
        <v>1.8587712049848</v>
      </c>
      <c r="U138">
        <v>1.8587712049848</v>
      </c>
      <c r="V138">
        <v>6.23</v>
      </c>
      <c r="W138">
        <v>8.0299999999999994</v>
      </c>
      <c r="X138">
        <v>49018</v>
      </c>
      <c r="Y138">
        <v>2723</v>
      </c>
      <c r="Z138">
        <v>0.22</v>
      </c>
      <c r="AA138">
        <v>18</v>
      </c>
      <c r="AB138">
        <v>10</v>
      </c>
      <c r="AC138">
        <v>8</v>
      </c>
      <c r="AD138">
        <v>55.56</v>
      </c>
      <c r="AE138">
        <v>11</v>
      </c>
      <c r="AF138">
        <v>7</v>
      </c>
      <c r="AG138">
        <v>6</v>
      </c>
      <c r="AH138">
        <v>5</v>
      </c>
    </row>
    <row r="139" spans="1:34">
      <c r="A139" s="103">
        <v>226</v>
      </c>
      <c r="B139">
        <v>2602</v>
      </c>
      <c r="C139" s="107" t="s">
        <v>1327</v>
      </c>
      <c r="D139" s="107" t="s">
        <v>97</v>
      </c>
      <c r="E139">
        <v>3880</v>
      </c>
      <c r="F139">
        <v>3825</v>
      </c>
      <c r="G139">
        <v>200</v>
      </c>
      <c r="H139" s="107" t="s">
        <v>61</v>
      </c>
      <c r="I139">
        <v>7274</v>
      </c>
      <c r="J139" s="107" t="s">
        <v>336</v>
      </c>
      <c r="K139" s="107" t="s">
        <v>84</v>
      </c>
      <c r="L139">
        <v>2278</v>
      </c>
      <c r="M139">
        <v>2283</v>
      </c>
      <c r="N139">
        <v>300</v>
      </c>
      <c r="O139" s="107" t="s">
        <v>63</v>
      </c>
      <c r="P139">
        <v>0.94696946914651603</v>
      </c>
      <c r="Q139">
        <v>0.90078454478085901</v>
      </c>
      <c r="R139">
        <v>1.7844588240924799E-2</v>
      </c>
      <c r="S139">
        <v>9.6250336047574603E-2</v>
      </c>
      <c r="T139">
        <v>-1.30383276943557</v>
      </c>
      <c r="U139">
        <v>1.30383276943557</v>
      </c>
      <c r="V139">
        <v>-21.27</v>
      </c>
      <c r="W139">
        <v>10.47</v>
      </c>
      <c r="X139">
        <v>48417</v>
      </c>
      <c r="Y139">
        <v>2548</v>
      </c>
      <c r="Z139">
        <v>0.14000000000000001</v>
      </c>
      <c r="AA139">
        <v>19</v>
      </c>
      <c r="AB139">
        <v>10</v>
      </c>
      <c r="AC139">
        <v>9</v>
      </c>
      <c r="AD139">
        <v>52.63</v>
      </c>
      <c r="AE139">
        <v>8</v>
      </c>
      <c r="AF139">
        <v>10</v>
      </c>
      <c r="AG139">
        <v>8</v>
      </c>
      <c r="AH139">
        <v>1</v>
      </c>
    </row>
    <row r="140" spans="1:34">
      <c r="A140" s="103">
        <v>63</v>
      </c>
      <c r="B140">
        <v>6135</v>
      </c>
      <c r="C140" s="107" t="s">
        <v>308</v>
      </c>
      <c r="D140" s="107" t="s">
        <v>99</v>
      </c>
      <c r="E140">
        <v>5410</v>
      </c>
      <c r="F140">
        <v>5400</v>
      </c>
      <c r="G140">
        <v>100</v>
      </c>
      <c r="H140" s="107" t="s">
        <v>61</v>
      </c>
      <c r="I140">
        <v>6856</v>
      </c>
      <c r="J140" s="107" t="s">
        <v>331</v>
      </c>
      <c r="K140" s="107" t="s">
        <v>87</v>
      </c>
      <c r="L140">
        <v>7760</v>
      </c>
      <c r="M140">
        <v>7770</v>
      </c>
      <c r="N140">
        <v>100</v>
      </c>
      <c r="O140" s="107" t="s">
        <v>63</v>
      </c>
      <c r="P140">
        <v>0.94052863106904305</v>
      </c>
      <c r="Q140">
        <v>0.93495382117789405</v>
      </c>
      <c r="R140" s="15">
        <v>0.22506173578557601</v>
      </c>
      <c r="S140">
        <v>0.225581015510016</v>
      </c>
      <c r="T140">
        <v>-1.67321911431574</v>
      </c>
      <c r="U140">
        <v>1.67321911431574</v>
      </c>
      <c r="V140">
        <v>-6.63</v>
      </c>
      <c r="W140">
        <v>30.5</v>
      </c>
      <c r="X140">
        <v>46787</v>
      </c>
      <c r="Y140">
        <v>46787</v>
      </c>
      <c r="Z140">
        <v>3.43</v>
      </c>
      <c r="AA140">
        <v>1</v>
      </c>
      <c r="AB140">
        <v>1</v>
      </c>
      <c r="AC140">
        <v>0</v>
      </c>
      <c r="AD140">
        <v>100</v>
      </c>
      <c r="AE140">
        <v>6</v>
      </c>
      <c r="AF140">
        <v>1</v>
      </c>
      <c r="AG140">
        <v>0</v>
      </c>
      <c r="AH140">
        <v>0</v>
      </c>
    </row>
    <row r="141" spans="1:34">
      <c r="A141" s="103">
        <v>17</v>
      </c>
      <c r="B141">
        <v>6471</v>
      </c>
      <c r="C141" s="107" t="s">
        <v>138</v>
      </c>
      <c r="D141" s="107" t="s">
        <v>99</v>
      </c>
      <c r="E141">
        <v>1090</v>
      </c>
      <c r="F141">
        <v>1088</v>
      </c>
      <c r="G141">
        <v>900</v>
      </c>
      <c r="H141" s="107" t="s">
        <v>63</v>
      </c>
      <c r="I141">
        <v>6473</v>
      </c>
      <c r="J141" s="107" t="s">
        <v>133</v>
      </c>
      <c r="K141" s="107" t="s">
        <v>99</v>
      </c>
      <c r="L141">
        <v>1375</v>
      </c>
      <c r="M141">
        <v>1381</v>
      </c>
      <c r="N141">
        <v>700</v>
      </c>
      <c r="O141" s="107" t="s">
        <v>61</v>
      </c>
      <c r="P141">
        <v>0.94272725897062004</v>
      </c>
      <c r="Q141">
        <v>0.95291942596938495</v>
      </c>
      <c r="R141" s="15">
        <v>0.28598676493220199</v>
      </c>
      <c r="S141">
        <v>1.7120885673949801E-2</v>
      </c>
      <c r="T141">
        <v>1.9551449391454601</v>
      </c>
      <c r="U141">
        <v>1.9551449391454601</v>
      </c>
      <c r="V141">
        <v>3.89</v>
      </c>
      <c r="W141">
        <v>1.29</v>
      </c>
      <c r="X141">
        <v>43650</v>
      </c>
      <c r="Y141">
        <v>3358</v>
      </c>
      <c r="Z141">
        <v>0.16</v>
      </c>
      <c r="AA141">
        <v>13</v>
      </c>
      <c r="AB141">
        <v>8</v>
      </c>
      <c r="AC141">
        <v>5</v>
      </c>
      <c r="AD141">
        <v>61.54</v>
      </c>
      <c r="AE141">
        <v>16</v>
      </c>
      <c r="AF141">
        <v>1</v>
      </c>
      <c r="AG141">
        <v>1</v>
      </c>
      <c r="AH141">
        <v>11</v>
      </c>
    </row>
    <row r="142" spans="1:34">
      <c r="A142" s="103">
        <v>29</v>
      </c>
      <c r="B142">
        <v>9746</v>
      </c>
      <c r="C142" s="107" t="s">
        <v>1298</v>
      </c>
      <c r="D142" s="107" t="s">
        <v>79</v>
      </c>
      <c r="E142">
        <v>5290</v>
      </c>
      <c r="F142">
        <v>5270</v>
      </c>
      <c r="G142">
        <v>200</v>
      </c>
      <c r="H142" s="107" t="s">
        <v>63</v>
      </c>
      <c r="I142">
        <v>9759</v>
      </c>
      <c r="J142" s="107" t="s">
        <v>1026</v>
      </c>
      <c r="K142" s="107" t="s">
        <v>79</v>
      </c>
      <c r="L142">
        <v>3625</v>
      </c>
      <c r="M142">
        <v>3555</v>
      </c>
      <c r="N142">
        <v>300</v>
      </c>
      <c r="O142" s="107" t="s">
        <v>61</v>
      </c>
      <c r="P142">
        <v>0.91167257914014499</v>
      </c>
      <c r="Q142">
        <v>0.94543228844208205</v>
      </c>
      <c r="R142">
        <v>9.3041315389003204E-2</v>
      </c>
      <c r="S142" s="15">
        <v>8.17674369631133E-4</v>
      </c>
      <c r="T142">
        <v>1.2818290829202299</v>
      </c>
      <c r="U142">
        <v>1.2818290829202299</v>
      </c>
      <c r="V142">
        <v>3.25</v>
      </c>
      <c r="W142">
        <v>1.19</v>
      </c>
      <c r="X142">
        <v>40347</v>
      </c>
      <c r="Y142">
        <v>2882</v>
      </c>
      <c r="Z142">
        <v>0.18</v>
      </c>
      <c r="AA142">
        <v>14</v>
      </c>
      <c r="AB142">
        <v>8</v>
      </c>
      <c r="AC142">
        <v>6</v>
      </c>
      <c r="AD142">
        <v>57.14</v>
      </c>
      <c r="AE142">
        <v>14</v>
      </c>
      <c r="AF142">
        <v>5</v>
      </c>
      <c r="AG142">
        <v>2</v>
      </c>
      <c r="AH142">
        <v>7</v>
      </c>
    </row>
    <row r="143" spans="1:34">
      <c r="A143" s="103">
        <v>161</v>
      </c>
      <c r="B143">
        <v>5471</v>
      </c>
      <c r="C143" s="107" t="s">
        <v>303</v>
      </c>
      <c r="D143" s="107" t="s">
        <v>92</v>
      </c>
      <c r="E143">
        <v>5010</v>
      </c>
      <c r="F143">
        <v>5010</v>
      </c>
      <c r="G143">
        <v>200</v>
      </c>
      <c r="H143" s="107" t="s">
        <v>61</v>
      </c>
      <c r="I143">
        <v>7251</v>
      </c>
      <c r="J143" s="107" t="s">
        <v>960</v>
      </c>
      <c r="K143" s="107" t="s">
        <v>84</v>
      </c>
      <c r="L143">
        <v>2570</v>
      </c>
      <c r="M143">
        <v>2568</v>
      </c>
      <c r="N143">
        <v>400</v>
      </c>
      <c r="O143" s="107" t="s">
        <v>63</v>
      </c>
      <c r="P143">
        <v>0.92017102121489502</v>
      </c>
      <c r="Q143">
        <v>0.91071792672401797</v>
      </c>
      <c r="R143">
        <v>5.8003227744505302E-2</v>
      </c>
      <c r="S143">
        <v>3.6809594695417498E-3</v>
      </c>
      <c r="T143">
        <v>-1.1266120039886001</v>
      </c>
      <c r="U143">
        <v>1.1266120039886001</v>
      </c>
      <c r="V143">
        <v>-20.98</v>
      </c>
      <c r="W143">
        <v>2.5099999999999998</v>
      </c>
      <c r="X143">
        <v>35729</v>
      </c>
      <c r="Y143">
        <v>2233</v>
      </c>
      <c r="Z143">
        <v>0</v>
      </c>
      <c r="AA143">
        <v>16</v>
      </c>
      <c r="AB143">
        <v>10</v>
      </c>
      <c r="AC143">
        <v>6</v>
      </c>
      <c r="AD143">
        <v>62.5</v>
      </c>
      <c r="AE143">
        <v>14</v>
      </c>
      <c r="AF143">
        <v>4</v>
      </c>
      <c r="AG143">
        <v>3</v>
      </c>
      <c r="AH143">
        <v>9</v>
      </c>
    </row>
    <row r="144" spans="1:34">
      <c r="A144" s="103">
        <v>64</v>
      </c>
      <c r="B144">
        <v>5991</v>
      </c>
      <c r="C144" s="107" t="s">
        <v>115</v>
      </c>
      <c r="D144" s="107" t="s">
        <v>116</v>
      </c>
      <c r="E144">
        <v>1021</v>
      </c>
      <c r="F144">
        <v>1021</v>
      </c>
      <c r="G144">
        <v>1000</v>
      </c>
      <c r="H144" s="107" t="s">
        <v>63</v>
      </c>
      <c r="I144">
        <v>6752</v>
      </c>
      <c r="J144" s="107" t="s">
        <v>105</v>
      </c>
      <c r="K144" s="107" t="s">
        <v>87</v>
      </c>
      <c r="L144">
        <v>1059</v>
      </c>
      <c r="M144">
        <v>1058</v>
      </c>
      <c r="N144">
        <v>1000</v>
      </c>
      <c r="O144" s="107" t="s">
        <v>61</v>
      </c>
      <c r="P144">
        <v>0.966397508004329</v>
      </c>
      <c r="Q144">
        <v>0.93463636695701302</v>
      </c>
      <c r="R144">
        <v>3.7026776576019299E-2</v>
      </c>
      <c r="S144">
        <v>0.14541795366937399</v>
      </c>
      <c r="T144">
        <v>0.92648898412035396</v>
      </c>
      <c r="U144">
        <v>0.92648898412035396</v>
      </c>
      <c r="V144">
        <v>2.2200000000000002</v>
      </c>
      <c r="W144">
        <v>3.5</v>
      </c>
      <c r="X144">
        <v>34237</v>
      </c>
      <c r="Y144">
        <v>2014</v>
      </c>
      <c r="Z144">
        <v>0.09</v>
      </c>
      <c r="AA144">
        <v>17</v>
      </c>
      <c r="AB144">
        <v>9</v>
      </c>
      <c r="AC144">
        <v>8</v>
      </c>
      <c r="AD144">
        <v>52.94</v>
      </c>
      <c r="AE144">
        <v>12</v>
      </c>
      <c r="AF144">
        <v>7</v>
      </c>
      <c r="AG144">
        <v>6</v>
      </c>
      <c r="AH144">
        <v>4</v>
      </c>
    </row>
    <row r="145" spans="1:34">
      <c r="A145" s="103">
        <v>135</v>
      </c>
      <c r="B145">
        <v>5802</v>
      </c>
      <c r="C145" s="107" t="s">
        <v>131</v>
      </c>
      <c r="D145" s="107" t="s">
        <v>132</v>
      </c>
      <c r="E145">
        <v>1688.5</v>
      </c>
      <c r="F145">
        <v>1690.5</v>
      </c>
      <c r="G145">
        <v>600</v>
      </c>
      <c r="H145" s="107" t="s">
        <v>63</v>
      </c>
      <c r="I145">
        <v>7272</v>
      </c>
      <c r="J145" s="107" t="s">
        <v>300</v>
      </c>
      <c r="K145" s="107" t="s">
        <v>84</v>
      </c>
      <c r="L145">
        <v>2312</v>
      </c>
      <c r="M145">
        <v>2350</v>
      </c>
      <c r="N145">
        <v>400</v>
      </c>
      <c r="O145" s="107" t="s">
        <v>61</v>
      </c>
      <c r="P145">
        <v>0.918131968909909</v>
      </c>
      <c r="Q145">
        <v>0.91635614594737802</v>
      </c>
      <c r="R145" s="107">
        <v>0.19520214471820099</v>
      </c>
      <c r="S145">
        <v>1.14019143575478E-2</v>
      </c>
      <c r="T145">
        <v>0.81734968961992505</v>
      </c>
      <c r="U145">
        <v>0.81734968961992505</v>
      </c>
      <c r="V145">
        <v>2.2400000000000002</v>
      </c>
      <c r="W145">
        <v>7.9</v>
      </c>
      <c r="X145">
        <v>32314</v>
      </c>
      <c r="Y145">
        <v>1795</v>
      </c>
      <c r="Z145">
        <v>0.03</v>
      </c>
      <c r="AA145">
        <v>18</v>
      </c>
      <c r="AB145">
        <v>9</v>
      </c>
      <c r="AC145">
        <v>9</v>
      </c>
      <c r="AD145">
        <v>50</v>
      </c>
      <c r="AE145">
        <v>15</v>
      </c>
      <c r="AF145">
        <v>4</v>
      </c>
      <c r="AG145">
        <v>2</v>
      </c>
      <c r="AH145">
        <v>12</v>
      </c>
    </row>
    <row r="146" spans="1:34">
      <c r="A146" s="103">
        <v>44</v>
      </c>
      <c r="B146">
        <v>7453</v>
      </c>
      <c r="C146" s="107" t="s">
        <v>104</v>
      </c>
      <c r="D146" s="107" t="s">
        <v>95</v>
      </c>
      <c r="E146">
        <v>2559</v>
      </c>
      <c r="F146">
        <v>2543</v>
      </c>
      <c r="G146">
        <v>400</v>
      </c>
      <c r="H146" s="107" t="s">
        <v>63</v>
      </c>
      <c r="I146">
        <v>8267</v>
      </c>
      <c r="J146" s="107" t="s">
        <v>304</v>
      </c>
      <c r="K146" s="107" t="s">
        <v>95</v>
      </c>
      <c r="L146">
        <v>2260</v>
      </c>
      <c r="M146">
        <v>2250</v>
      </c>
      <c r="N146">
        <v>500</v>
      </c>
      <c r="O146" s="107" t="s">
        <v>61</v>
      </c>
      <c r="P146">
        <v>0.924931222363232</v>
      </c>
      <c r="Q146">
        <v>0.94047629508960295</v>
      </c>
      <c r="R146">
        <v>4.7012425516962497E-2</v>
      </c>
      <c r="S146">
        <v>2.69097547429721E-3</v>
      </c>
      <c r="T146">
        <v>1.34800723656643</v>
      </c>
      <c r="U146">
        <v>1.34800723656643</v>
      </c>
      <c r="V146">
        <v>6.57</v>
      </c>
      <c r="W146">
        <v>10.6</v>
      </c>
      <c r="X146">
        <v>32083</v>
      </c>
      <c r="Y146">
        <v>1689</v>
      </c>
      <c r="Z146">
        <v>0.15</v>
      </c>
      <c r="AA146">
        <v>19</v>
      </c>
      <c r="AB146">
        <v>9</v>
      </c>
      <c r="AC146">
        <v>10</v>
      </c>
      <c r="AD146">
        <v>47.37</v>
      </c>
      <c r="AE146">
        <v>12</v>
      </c>
      <c r="AF146">
        <v>6</v>
      </c>
      <c r="AG146">
        <v>3</v>
      </c>
      <c r="AH146">
        <v>10</v>
      </c>
    </row>
    <row r="147" spans="1:34">
      <c r="A147" s="103">
        <v>8</v>
      </c>
      <c r="B147">
        <v>3635</v>
      </c>
      <c r="C147" s="107" t="s">
        <v>85</v>
      </c>
      <c r="D147" s="107" t="s">
        <v>79</v>
      </c>
      <c r="E147">
        <v>2727</v>
      </c>
      <c r="F147">
        <v>2709</v>
      </c>
      <c r="G147">
        <v>400</v>
      </c>
      <c r="H147" s="107" t="s">
        <v>63</v>
      </c>
      <c r="I147">
        <v>6702</v>
      </c>
      <c r="J147" s="107" t="s">
        <v>332</v>
      </c>
      <c r="K147" s="107" t="s">
        <v>87</v>
      </c>
      <c r="L147">
        <v>10200</v>
      </c>
      <c r="M147">
        <v>10055</v>
      </c>
      <c r="N147">
        <v>100</v>
      </c>
      <c r="O147" s="107" t="s">
        <v>61</v>
      </c>
      <c r="P147">
        <v>0.95451224326531503</v>
      </c>
      <c r="Q147">
        <v>0.95891174523413303</v>
      </c>
      <c r="R147">
        <v>0.31289493722591799</v>
      </c>
      <c r="S147" s="15">
        <v>3.1537384503600899E-2</v>
      </c>
      <c r="T147">
        <v>0.88134120706053998</v>
      </c>
      <c r="U147">
        <v>0.88134120706053998</v>
      </c>
      <c r="V147">
        <v>1.64</v>
      </c>
      <c r="W147">
        <v>7.77</v>
      </c>
      <c r="X147">
        <v>31031</v>
      </c>
      <c r="Y147">
        <v>2586</v>
      </c>
      <c r="Z147">
        <v>0.16</v>
      </c>
      <c r="AA147">
        <v>12</v>
      </c>
      <c r="AB147">
        <v>7</v>
      </c>
      <c r="AC147">
        <v>5</v>
      </c>
      <c r="AD147">
        <v>58.33</v>
      </c>
      <c r="AE147">
        <v>13</v>
      </c>
      <c r="AF147">
        <v>6</v>
      </c>
      <c r="AG147">
        <v>1</v>
      </c>
      <c r="AH147">
        <v>5</v>
      </c>
    </row>
    <row r="148" spans="1:34">
      <c r="A148" s="103">
        <v>121</v>
      </c>
      <c r="B148">
        <v>6702</v>
      </c>
      <c r="C148" s="107" t="s">
        <v>332</v>
      </c>
      <c r="D148" s="107" t="s">
        <v>87</v>
      </c>
      <c r="E148">
        <v>10200</v>
      </c>
      <c r="F148">
        <v>10055</v>
      </c>
      <c r="G148">
        <v>100</v>
      </c>
      <c r="H148" s="107" t="s">
        <v>61</v>
      </c>
      <c r="I148">
        <v>6755</v>
      </c>
      <c r="J148" s="107" t="s">
        <v>1274</v>
      </c>
      <c r="K148" s="107" t="s">
        <v>87</v>
      </c>
      <c r="L148">
        <v>2362</v>
      </c>
      <c r="M148">
        <v>2350</v>
      </c>
      <c r="N148">
        <v>400</v>
      </c>
      <c r="O148" s="107" t="s">
        <v>63</v>
      </c>
      <c r="P148">
        <v>0.91856394254349505</v>
      </c>
      <c r="Q148">
        <v>0.91824877563793195</v>
      </c>
      <c r="R148">
        <v>2.69666148847174E-2</v>
      </c>
      <c r="S148" s="15">
        <v>2.50447757778944E-2</v>
      </c>
      <c r="T148">
        <v>-3.1525525678291602</v>
      </c>
      <c r="U148">
        <v>3.1525525678291602</v>
      </c>
      <c r="V148">
        <v>-12.35</v>
      </c>
      <c r="W148">
        <v>6.51</v>
      </c>
      <c r="X148">
        <v>29303</v>
      </c>
      <c r="Y148">
        <v>1831</v>
      </c>
      <c r="Z148">
        <v>0.1</v>
      </c>
      <c r="AA148">
        <v>16</v>
      </c>
      <c r="AB148">
        <v>7</v>
      </c>
      <c r="AC148">
        <v>9</v>
      </c>
      <c r="AD148">
        <v>43.75</v>
      </c>
      <c r="AE148">
        <v>13</v>
      </c>
      <c r="AF148">
        <v>5</v>
      </c>
      <c r="AG148">
        <v>5</v>
      </c>
      <c r="AH148">
        <v>6</v>
      </c>
    </row>
    <row r="149" spans="1:34">
      <c r="A149" s="103">
        <v>70</v>
      </c>
      <c r="B149">
        <v>6588</v>
      </c>
      <c r="C149" s="107" t="s">
        <v>955</v>
      </c>
      <c r="D149" s="107" t="s">
        <v>87</v>
      </c>
      <c r="E149">
        <v>4625</v>
      </c>
      <c r="F149">
        <v>4530</v>
      </c>
      <c r="G149">
        <v>100</v>
      </c>
      <c r="H149" s="107" t="s">
        <v>63</v>
      </c>
      <c r="I149">
        <v>9706</v>
      </c>
      <c r="J149" s="107" t="s">
        <v>337</v>
      </c>
      <c r="K149" s="107" t="s">
        <v>114</v>
      </c>
      <c r="L149">
        <v>6000</v>
      </c>
      <c r="M149">
        <v>6020</v>
      </c>
      <c r="N149">
        <v>100</v>
      </c>
      <c r="O149" s="107" t="s">
        <v>61</v>
      </c>
      <c r="P149">
        <v>0.97197631505201998</v>
      </c>
      <c r="Q149">
        <v>0.93172548151716705</v>
      </c>
      <c r="R149">
        <v>7.2797691856133599E-3</v>
      </c>
      <c r="S149">
        <v>6.1282676321059597E-2</v>
      </c>
      <c r="T149">
        <v>0.49261177339893802</v>
      </c>
      <c r="U149">
        <v>0.49261177339893802</v>
      </c>
      <c r="V149">
        <v>2.14</v>
      </c>
      <c r="W149">
        <v>24.75</v>
      </c>
      <c r="X149">
        <v>26767</v>
      </c>
      <c r="Y149">
        <v>2059</v>
      </c>
      <c r="Z149">
        <v>0.15</v>
      </c>
      <c r="AA149">
        <v>13</v>
      </c>
      <c r="AB149">
        <v>8</v>
      </c>
      <c r="AC149">
        <v>5</v>
      </c>
      <c r="AD149">
        <v>61.54</v>
      </c>
      <c r="AE149">
        <v>11</v>
      </c>
      <c r="AF149">
        <v>5</v>
      </c>
      <c r="AG149">
        <v>4</v>
      </c>
      <c r="AH149">
        <v>4</v>
      </c>
    </row>
    <row r="150" spans="1:34">
      <c r="A150" s="103">
        <v>81</v>
      </c>
      <c r="B150">
        <v>4519</v>
      </c>
      <c r="C150" s="107" t="s">
        <v>954</v>
      </c>
      <c r="D150" s="107" t="s">
        <v>136</v>
      </c>
      <c r="E150">
        <v>10025</v>
      </c>
      <c r="F150">
        <v>10040</v>
      </c>
      <c r="G150">
        <v>100</v>
      </c>
      <c r="H150" s="107" t="s">
        <v>63</v>
      </c>
      <c r="I150">
        <v>8425</v>
      </c>
      <c r="J150" s="107" t="s">
        <v>319</v>
      </c>
      <c r="K150" s="107" t="s">
        <v>299</v>
      </c>
      <c r="L150">
        <v>3355</v>
      </c>
      <c r="M150">
        <v>3350</v>
      </c>
      <c r="N150">
        <v>300</v>
      </c>
      <c r="O150" s="107" t="s">
        <v>61</v>
      </c>
      <c r="P150">
        <v>0.93738743825965698</v>
      </c>
      <c r="Q150">
        <v>0.929599691854048</v>
      </c>
      <c r="R150">
        <v>2.4400361172414699E-2</v>
      </c>
      <c r="S150">
        <v>2.1061250552854401E-2</v>
      </c>
      <c r="T150">
        <v>1.2083560150647401</v>
      </c>
      <c r="U150">
        <v>1.2083560150647401</v>
      </c>
      <c r="V150">
        <v>4.8099999999999996</v>
      </c>
      <c r="W150">
        <v>0.1</v>
      </c>
      <c r="X150">
        <v>25042</v>
      </c>
      <c r="Y150">
        <v>1926</v>
      </c>
      <c r="Z150">
        <v>0.5</v>
      </c>
      <c r="AA150">
        <v>13</v>
      </c>
      <c r="AB150">
        <v>8</v>
      </c>
      <c r="AC150">
        <v>5</v>
      </c>
      <c r="AD150">
        <v>61.54</v>
      </c>
      <c r="AE150">
        <v>14</v>
      </c>
      <c r="AF150">
        <v>6</v>
      </c>
      <c r="AG150">
        <v>3</v>
      </c>
      <c r="AH150">
        <v>4</v>
      </c>
    </row>
    <row r="151" spans="1:34">
      <c r="A151" s="103">
        <v>74</v>
      </c>
      <c r="B151">
        <v>6988</v>
      </c>
      <c r="C151" s="107" t="s">
        <v>139</v>
      </c>
      <c r="D151" s="107" t="s">
        <v>62</v>
      </c>
      <c r="E151">
        <v>6350</v>
      </c>
      <c r="F151">
        <v>6410</v>
      </c>
      <c r="G151">
        <v>100</v>
      </c>
      <c r="H151" s="107" t="s">
        <v>61</v>
      </c>
      <c r="I151">
        <v>6995</v>
      </c>
      <c r="J151" s="107" t="s">
        <v>91</v>
      </c>
      <c r="K151" s="107" t="s">
        <v>84</v>
      </c>
      <c r="L151">
        <v>2258</v>
      </c>
      <c r="M151">
        <v>2263</v>
      </c>
      <c r="N151">
        <v>300</v>
      </c>
      <c r="O151" s="107" t="s">
        <v>63</v>
      </c>
      <c r="P151">
        <v>0.94384256358750096</v>
      </c>
      <c r="Q151">
        <v>0.93109007032402502</v>
      </c>
      <c r="R151">
        <v>0.15981911480701899</v>
      </c>
      <c r="S151">
        <v>4.8006567422051297E-2</v>
      </c>
      <c r="T151">
        <v>-1.00212324050803</v>
      </c>
      <c r="U151">
        <v>1.00212324050803</v>
      </c>
      <c r="V151">
        <v>-2.4900000000000002</v>
      </c>
      <c r="W151">
        <v>5.91</v>
      </c>
      <c r="X151">
        <v>22867</v>
      </c>
      <c r="Y151">
        <v>2287</v>
      </c>
      <c r="Z151">
        <v>0.11</v>
      </c>
      <c r="AA151">
        <v>10</v>
      </c>
      <c r="AB151">
        <v>7</v>
      </c>
      <c r="AC151">
        <v>3</v>
      </c>
      <c r="AD151">
        <v>70</v>
      </c>
      <c r="AE151">
        <v>13</v>
      </c>
      <c r="AF151">
        <v>2</v>
      </c>
      <c r="AG151">
        <v>2</v>
      </c>
      <c r="AH151">
        <v>6</v>
      </c>
    </row>
    <row r="152" spans="1:34">
      <c r="A152" s="103">
        <v>196</v>
      </c>
      <c r="B152">
        <v>8425</v>
      </c>
      <c r="C152" s="107" t="s">
        <v>319</v>
      </c>
      <c r="D152" s="107" t="s">
        <v>299</v>
      </c>
      <c r="E152">
        <v>3355</v>
      </c>
      <c r="F152">
        <v>3350</v>
      </c>
      <c r="G152">
        <v>200</v>
      </c>
      <c r="H152" s="107" t="s">
        <v>61</v>
      </c>
      <c r="I152">
        <v>9706</v>
      </c>
      <c r="J152" s="107" t="s">
        <v>337</v>
      </c>
      <c r="K152" s="107" t="s">
        <v>114</v>
      </c>
      <c r="L152">
        <v>6000</v>
      </c>
      <c r="M152">
        <v>6020</v>
      </c>
      <c r="N152">
        <v>100</v>
      </c>
      <c r="O152" s="107" t="s">
        <v>63</v>
      </c>
      <c r="P152">
        <v>0.90083740808309198</v>
      </c>
      <c r="Q152">
        <v>0.90582253681924796</v>
      </c>
      <c r="R152" s="15">
        <v>0.29321352638605402</v>
      </c>
      <c r="S152" s="15">
        <v>8.3842455643544797E-2</v>
      </c>
      <c r="T152">
        <v>-1.31755154277192</v>
      </c>
      <c r="U152">
        <v>1.31755154277192</v>
      </c>
      <c r="V152">
        <v>-8.0299999999999994</v>
      </c>
      <c r="W152">
        <v>11.3</v>
      </c>
      <c r="X152">
        <v>18162</v>
      </c>
      <c r="Y152">
        <v>1397</v>
      </c>
      <c r="Z152">
        <v>0.04</v>
      </c>
      <c r="AA152">
        <v>13</v>
      </c>
      <c r="AB152">
        <v>7</v>
      </c>
      <c r="AC152">
        <v>6</v>
      </c>
      <c r="AD152">
        <v>53.85</v>
      </c>
      <c r="AE152">
        <v>13</v>
      </c>
      <c r="AF152">
        <v>5</v>
      </c>
      <c r="AG152">
        <v>4</v>
      </c>
      <c r="AH152">
        <v>4</v>
      </c>
    </row>
    <row r="153" spans="1:34">
      <c r="A153" s="103">
        <v>203</v>
      </c>
      <c r="B153">
        <v>7259</v>
      </c>
      <c r="C153" s="107" t="s">
        <v>29</v>
      </c>
      <c r="D153" s="107" t="s">
        <v>84</v>
      </c>
      <c r="E153">
        <v>4260</v>
      </c>
      <c r="F153">
        <v>4265</v>
      </c>
      <c r="G153">
        <v>200</v>
      </c>
      <c r="H153" s="107" t="s">
        <v>63</v>
      </c>
      <c r="I153">
        <v>8316</v>
      </c>
      <c r="J153" s="107" t="s">
        <v>1275</v>
      </c>
      <c r="K153" s="107" t="s">
        <v>82</v>
      </c>
      <c r="L153">
        <v>4029</v>
      </c>
      <c r="M153">
        <v>4056</v>
      </c>
      <c r="N153">
        <v>200</v>
      </c>
      <c r="O153" s="107" t="s">
        <v>61</v>
      </c>
      <c r="P153">
        <v>0.912052058935097</v>
      </c>
      <c r="Q153">
        <v>0.90491017430976095</v>
      </c>
      <c r="R153" s="107">
        <v>0.216114935868844</v>
      </c>
      <c r="S153" s="15">
        <v>4.7372051285209998E-3</v>
      </c>
      <c r="T153">
        <v>0.93506317872290401</v>
      </c>
      <c r="U153">
        <v>0.93506317872290401</v>
      </c>
      <c r="V153">
        <v>5.89</v>
      </c>
      <c r="W153">
        <v>4.9000000000000004</v>
      </c>
      <c r="X153">
        <v>16481</v>
      </c>
      <c r="Y153">
        <v>2747</v>
      </c>
      <c r="Z153">
        <v>0.23</v>
      </c>
      <c r="AA153">
        <v>6</v>
      </c>
      <c r="AB153">
        <v>3</v>
      </c>
      <c r="AC153">
        <v>3</v>
      </c>
      <c r="AD153">
        <v>50</v>
      </c>
      <c r="AE153">
        <v>12</v>
      </c>
      <c r="AF153">
        <v>3</v>
      </c>
      <c r="AG153">
        <v>1</v>
      </c>
      <c r="AH153">
        <v>2</v>
      </c>
    </row>
    <row r="154" spans="1:34">
      <c r="A154" s="103">
        <v>158</v>
      </c>
      <c r="B154">
        <v>5991</v>
      </c>
      <c r="C154" s="107" t="s">
        <v>115</v>
      </c>
      <c r="D154" s="107" t="s">
        <v>116</v>
      </c>
      <c r="E154">
        <v>1021</v>
      </c>
      <c r="F154">
        <v>1021</v>
      </c>
      <c r="G154">
        <v>900</v>
      </c>
      <c r="H154" s="107" t="s">
        <v>63</v>
      </c>
      <c r="I154">
        <v>7327</v>
      </c>
      <c r="J154" s="107" t="s">
        <v>141</v>
      </c>
      <c r="K154" s="107" t="s">
        <v>82</v>
      </c>
      <c r="L154">
        <v>3095</v>
      </c>
      <c r="M154">
        <v>3140</v>
      </c>
      <c r="N154">
        <v>300</v>
      </c>
      <c r="O154" s="107" t="s">
        <v>61</v>
      </c>
      <c r="P154">
        <v>0.96260724293773603</v>
      </c>
      <c r="Q154">
        <v>0.91097438339078296</v>
      </c>
      <c r="R154">
        <v>1.3055140497727699E-3</v>
      </c>
      <c r="S154" s="15">
        <v>5.5807798171897002E-2</v>
      </c>
      <c r="T154">
        <v>0.65887405228746498</v>
      </c>
      <c r="U154">
        <v>0.65887405228746498</v>
      </c>
      <c r="V154">
        <v>2.2599999999999998</v>
      </c>
      <c r="W154">
        <v>2.4500000000000002</v>
      </c>
      <c r="X154">
        <v>15458</v>
      </c>
      <c r="Y154">
        <v>5153</v>
      </c>
      <c r="Z154">
        <v>0.2</v>
      </c>
      <c r="AA154">
        <v>3</v>
      </c>
      <c r="AB154">
        <v>2</v>
      </c>
      <c r="AC154">
        <v>1</v>
      </c>
      <c r="AD154">
        <v>66.67</v>
      </c>
      <c r="AE154">
        <v>16</v>
      </c>
      <c r="AF154">
        <v>0</v>
      </c>
      <c r="AG154">
        <v>0</v>
      </c>
      <c r="AH154">
        <v>3</v>
      </c>
    </row>
    <row r="155" spans="1:34">
      <c r="A155" s="103">
        <v>128</v>
      </c>
      <c r="B155">
        <v>4204</v>
      </c>
      <c r="C155" s="107" t="s">
        <v>324</v>
      </c>
      <c r="D155" s="107" t="s">
        <v>62</v>
      </c>
      <c r="E155">
        <v>1941</v>
      </c>
      <c r="F155">
        <v>1926</v>
      </c>
      <c r="G155">
        <v>600</v>
      </c>
      <c r="H155" s="107" t="s">
        <v>61</v>
      </c>
      <c r="I155">
        <v>5393</v>
      </c>
      <c r="J155" s="107" t="s">
        <v>333</v>
      </c>
      <c r="K155" s="107" t="s">
        <v>106</v>
      </c>
      <c r="L155">
        <v>2749</v>
      </c>
      <c r="M155">
        <v>2736</v>
      </c>
      <c r="N155">
        <v>400</v>
      </c>
      <c r="O155" s="107" t="s">
        <v>63</v>
      </c>
      <c r="P155">
        <v>0.94124635243265697</v>
      </c>
      <c r="Q155">
        <v>0.91710072873819704</v>
      </c>
      <c r="R155">
        <v>0.187867168250095</v>
      </c>
      <c r="S155">
        <v>1.59156197701656E-2</v>
      </c>
      <c r="T155">
        <v>-1.66643453938918</v>
      </c>
      <c r="U155">
        <v>1.66643453938918</v>
      </c>
      <c r="V155">
        <v>-17.07</v>
      </c>
      <c r="W155">
        <v>5.59</v>
      </c>
      <c r="X155">
        <v>13258</v>
      </c>
      <c r="Y155">
        <v>698</v>
      </c>
      <c r="Z155">
        <v>0.02</v>
      </c>
      <c r="AA155">
        <v>19</v>
      </c>
      <c r="AB155">
        <v>8</v>
      </c>
      <c r="AC155">
        <v>11</v>
      </c>
      <c r="AD155">
        <v>42.11</v>
      </c>
      <c r="AE155">
        <v>13</v>
      </c>
      <c r="AF155">
        <v>6</v>
      </c>
      <c r="AG155">
        <v>4</v>
      </c>
      <c r="AH155">
        <v>9</v>
      </c>
    </row>
    <row r="156" spans="1:34">
      <c r="A156" s="103">
        <v>144</v>
      </c>
      <c r="B156">
        <v>3291</v>
      </c>
      <c r="C156" s="107" t="s">
        <v>113</v>
      </c>
      <c r="D156" s="107" t="s">
        <v>114</v>
      </c>
      <c r="E156">
        <v>1943</v>
      </c>
      <c r="F156">
        <v>1921</v>
      </c>
      <c r="G156">
        <v>500</v>
      </c>
      <c r="H156" s="107" t="s">
        <v>61</v>
      </c>
      <c r="I156">
        <v>8601</v>
      </c>
      <c r="J156" s="107" t="s">
        <v>27</v>
      </c>
      <c r="K156" s="107" t="s">
        <v>959</v>
      </c>
      <c r="L156">
        <v>556.79999999999995</v>
      </c>
      <c r="M156">
        <v>551.29999999999995</v>
      </c>
      <c r="N156">
        <v>1700</v>
      </c>
      <c r="O156" s="107" t="s">
        <v>63</v>
      </c>
      <c r="P156">
        <v>0.95871955540839904</v>
      </c>
      <c r="Q156">
        <v>0.91459547866055901</v>
      </c>
      <c r="R156">
        <v>1.01520791458365E-4</v>
      </c>
      <c r="S156" s="15">
        <v>0.21119479080687301</v>
      </c>
      <c r="T156">
        <v>-1.5087618559689799</v>
      </c>
      <c r="U156">
        <v>1.5087618559689799</v>
      </c>
      <c r="V156">
        <v>-2.23</v>
      </c>
      <c r="W156">
        <v>2.42</v>
      </c>
      <c r="X156">
        <v>12422</v>
      </c>
      <c r="Y156">
        <v>731</v>
      </c>
      <c r="Z156">
        <v>0.05</v>
      </c>
      <c r="AA156">
        <v>17</v>
      </c>
      <c r="AB156">
        <v>10</v>
      </c>
      <c r="AC156">
        <v>7</v>
      </c>
      <c r="AD156">
        <v>58.82</v>
      </c>
      <c r="AE156">
        <v>15</v>
      </c>
      <c r="AF156">
        <v>3</v>
      </c>
      <c r="AG156">
        <v>1</v>
      </c>
      <c r="AH156">
        <v>13</v>
      </c>
    </row>
    <row r="157" spans="1:34">
      <c r="A157" s="103">
        <v>89</v>
      </c>
      <c r="B157">
        <v>5991</v>
      </c>
      <c r="C157" s="107" t="s">
        <v>115</v>
      </c>
      <c r="D157" s="107" t="s">
        <v>116</v>
      </c>
      <c r="E157">
        <v>1021</v>
      </c>
      <c r="F157">
        <v>1021</v>
      </c>
      <c r="G157">
        <v>1000</v>
      </c>
      <c r="H157" s="107" t="s">
        <v>63</v>
      </c>
      <c r="I157">
        <v>8002</v>
      </c>
      <c r="J157" s="107" t="s">
        <v>31</v>
      </c>
      <c r="K157" s="107" t="s">
        <v>101</v>
      </c>
      <c r="L157">
        <v>834.9</v>
      </c>
      <c r="M157">
        <v>837.7</v>
      </c>
      <c r="N157">
        <v>1200</v>
      </c>
      <c r="O157" s="107" t="s">
        <v>61</v>
      </c>
      <c r="P157">
        <v>0.96543541879859396</v>
      </c>
      <c r="Q157">
        <v>0.927222474303532</v>
      </c>
      <c r="R157" s="107">
        <v>0.30252261135299602</v>
      </c>
      <c r="S157">
        <v>2.3864863283444698E-2</v>
      </c>
      <c r="T157">
        <v>1.4177446439668699</v>
      </c>
      <c r="U157">
        <v>1.4177446439668699</v>
      </c>
      <c r="V157">
        <v>4.6100000000000003</v>
      </c>
      <c r="W157">
        <v>1.54</v>
      </c>
      <c r="X157">
        <v>10934</v>
      </c>
      <c r="Y157">
        <v>643</v>
      </c>
      <c r="Z157">
        <v>0.05</v>
      </c>
      <c r="AA157">
        <v>17</v>
      </c>
      <c r="AB157">
        <v>8</v>
      </c>
      <c r="AC157">
        <v>9</v>
      </c>
      <c r="AD157">
        <v>47.06</v>
      </c>
      <c r="AE157">
        <v>14</v>
      </c>
      <c r="AF157">
        <v>5</v>
      </c>
      <c r="AG157">
        <v>3</v>
      </c>
      <c r="AH157">
        <v>9</v>
      </c>
    </row>
    <row r="158" spans="1:34">
      <c r="A158" s="103">
        <v>111</v>
      </c>
      <c r="B158">
        <v>6755</v>
      </c>
      <c r="C158" s="107" t="s">
        <v>1274</v>
      </c>
      <c r="D158" s="107" t="s">
        <v>87</v>
      </c>
      <c r="E158">
        <v>2362</v>
      </c>
      <c r="F158">
        <v>2350</v>
      </c>
      <c r="G158">
        <v>400</v>
      </c>
      <c r="H158" s="107" t="s">
        <v>63</v>
      </c>
      <c r="I158">
        <v>9934</v>
      </c>
      <c r="J158" s="107" t="s">
        <v>950</v>
      </c>
      <c r="K158" s="107" t="s">
        <v>101</v>
      </c>
      <c r="L158">
        <v>2850</v>
      </c>
      <c r="M158">
        <v>2830</v>
      </c>
      <c r="N158">
        <v>300</v>
      </c>
      <c r="O158" s="107" t="s">
        <v>61</v>
      </c>
      <c r="P158">
        <v>0.95163591519959201</v>
      </c>
      <c r="Q158">
        <v>0.92172391638649498</v>
      </c>
      <c r="R158" s="15">
        <v>1.64124693509669E-3</v>
      </c>
      <c r="S158" s="15">
        <v>1.19465041394132E-3</v>
      </c>
      <c r="T158">
        <v>1.97069546350646</v>
      </c>
      <c r="U158">
        <v>1.97069546350646</v>
      </c>
      <c r="V158">
        <v>8.25</v>
      </c>
      <c r="W158">
        <v>10.72</v>
      </c>
      <c r="X158">
        <v>6683</v>
      </c>
      <c r="Y158">
        <v>446</v>
      </c>
      <c r="Z158">
        <v>0.03</v>
      </c>
      <c r="AA158">
        <v>15</v>
      </c>
      <c r="AB158">
        <v>7</v>
      </c>
      <c r="AC158">
        <v>8</v>
      </c>
      <c r="AD158">
        <v>46.67</v>
      </c>
      <c r="AE158">
        <v>14</v>
      </c>
      <c r="AF158">
        <v>4</v>
      </c>
      <c r="AG158">
        <v>2</v>
      </c>
      <c r="AH158">
        <v>9</v>
      </c>
    </row>
    <row r="159" spans="1:34">
      <c r="A159" s="103">
        <v>143</v>
      </c>
      <c r="B159">
        <v>6448</v>
      </c>
      <c r="C159" s="107" t="s">
        <v>961</v>
      </c>
      <c r="D159" s="107" t="s">
        <v>87</v>
      </c>
      <c r="E159">
        <v>2335</v>
      </c>
      <c r="F159">
        <v>2339</v>
      </c>
      <c r="G159">
        <v>400</v>
      </c>
      <c r="H159" s="107" t="s">
        <v>63</v>
      </c>
      <c r="I159">
        <v>6965</v>
      </c>
      <c r="J159" s="107" t="s">
        <v>962</v>
      </c>
      <c r="K159" s="107" t="s">
        <v>87</v>
      </c>
      <c r="L159">
        <v>4610</v>
      </c>
      <c r="M159">
        <v>4630</v>
      </c>
      <c r="N159">
        <v>200</v>
      </c>
      <c r="O159" s="107" t="s">
        <v>61</v>
      </c>
      <c r="P159">
        <v>0.94852201642225797</v>
      </c>
      <c r="Q159">
        <v>0.91461224259606999</v>
      </c>
      <c r="R159">
        <v>1.9452833097183202E-2</v>
      </c>
      <c r="S159">
        <v>2.2771853327597701E-2</v>
      </c>
      <c r="T159">
        <v>0.97396323801768103</v>
      </c>
      <c r="U159">
        <v>0.97396323801768103</v>
      </c>
      <c r="V159">
        <v>2.19</v>
      </c>
      <c r="W159">
        <v>1.04</v>
      </c>
      <c r="X159">
        <v>5132</v>
      </c>
      <c r="Y159">
        <v>321</v>
      </c>
      <c r="Z159">
        <v>0.05</v>
      </c>
      <c r="AA159">
        <v>16</v>
      </c>
      <c r="AB159">
        <v>9</v>
      </c>
      <c r="AC159">
        <v>7</v>
      </c>
      <c r="AD159">
        <v>56.25</v>
      </c>
      <c r="AE159">
        <v>13</v>
      </c>
      <c r="AF159">
        <v>4</v>
      </c>
      <c r="AG159">
        <v>4</v>
      </c>
      <c r="AH159">
        <v>8</v>
      </c>
    </row>
    <row r="160" spans="1:34">
      <c r="A160" s="103">
        <v>71</v>
      </c>
      <c r="B160">
        <v>5233</v>
      </c>
      <c r="C160" s="107" t="s">
        <v>143</v>
      </c>
      <c r="D160" s="107" t="s">
        <v>106</v>
      </c>
      <c r="E160">
        <v>3410</v>
      </c>
      <c r="F160">
        <v>3355</v>
      </c>
      <c r="G160">
        <v>300</v>
      </c>
      <c r="H160" s="107" t="s">
        <v>61</v>
      </c>
      <c r="I160">
        <v>7327</v>
      </c>
      <c r="J160" s="107" t="s">
        <v>141</v>
      </c>
      <c r="K160" s="107" t="s">
        <v>82</v>
      </c>
      <c r="L160">
        <v>3095</v>
      </c>
      <c r="M160">
        <v>3140</v>
      </c>
      <c r="N160">
        <v>300</v>
      </c>
      <c r="O160" s="107" t="s">
        <v>63</v>
      </c>
      <c r="P160">
        <v>0.91189941913605899</v>
      </c>
      <c r="Q160">
        <v>0.93150767200176698</v>
      </c>
      <c r="R160">
        <v>0.207471288514087</v>
      </c>
      <c r="S160" s="15">
        <v>3.8814123378952698E-3</v>
      </c>
      <c r="T160">
        <v>-1.1106769692313201</v>
      </c>
      <c r="U160">
        <v>1.1106769692313201</v>
      </c>
      <c r="V160">
        <v>-2.8</v>
      </c>
      <c r="W160">
        <v>6.41</v>
      </c>
      <c r="X160">
        <v>4195</v>
      </c>
      <c r="Y160">
        <v>2098</v>
      </c>
      <c r="Z160">
        <v>-0.01</v>
      </c>
      <c r="AA160">
        <v>2</v>
      </c>
      <c r="AB160">
        <v>1</v>
      </c>
      <c r="AC160">
        <v>1</v>
      </c>
      <c r="AD160">
        <v>50</v>
      </c>
      <c r="AE160">
        <v>10</v>
      </c>
      <c r="AF160">
        <v>1</v>
      </c>
      <c r="AG160">
        <v>1</v>
      </c>
      <c r="AH160">
        <v>0</v>
      </c>
    </row>
    <row r="161" spans="1:34">
      <c r="A161" s="103">
        <v>117</v>
      </c>
      <c r="B161">
        <v>1928</v>
      </c>
      <c r="C161" s="107" t="s">
        <v>302</v>
      </c>
      <c r="D161" s="107" t="s">
        <v>78</v>
      </c>
      <c r="E161">
        <v>2401</v>
      </c>
      <c r="F161">
        <v>2369.5</v>
      </c>
      <c r="G161">
        <v>400</v>
      </c>
      <c r="H161" s="107" t="s">
        <v>63</v>
      </c>
      <c r="I161">
        <v>4996</v>
      </c>
      <c r="J161" s="107" t="s">
        <v>328</v>
      </c>
      <c r="K161" s="107" t="s">
        <v>62</v>
      </c>
      <c r="L161">
        <v>1015</v>
      </c>
      <c r="M161">
        <v>1035</v>
      </c>
      <c r="N161">
        <v>900</v>
      </c>
      <c r="O161" s="107" t="s">
        <v>61</v>
      </c>
      <c r="P161">
        <v>0.90537778367468802</v>
      </c>
      <c r="Q161">
        <v>0.92043563279155505</v>
      </c>
      <c r="R161">
        <v>4.3285086976500402E-2</v>
      </c>
      <c r="S161">
        <v>0.16309351623347099</v>
      </c>
      <c r="T161">
        <v>0.32192454461505798</v>
      </c>
      <c r="U161">
        <v>0.32192454461505798</v>
      </c>
      <c r="V161">
        <v>1.36</v>
      </c>
      <c r="W161">
        <v>1.72</v>
      </c>
      <c r="X161">
        <v>3393</v>
      </c>
      <c r="Y161">
        <v>242</v>
      </c>
      <c r="Z161">
        <v>-0.03</v>
      </c>
      <c r="AA161">
        <v>14</v>
      </c>
      <c r="AB161">
        <v>8</v>
      </c>
      <c r="AC161">
        <v>6</v>
      </c>
      <c r="AD161">
        <v>57.14</v>
      </c>
      <c r="AE161">
        <v>12</v>
      </c>
      <c r="AF161">
        <v>6</v>
      </c>
      <c r="AG161">
        <v>3</v>
      </c>
      <c r="AH161">
        <v>5</v>
      </c>
    </row>
    <row r="162" spans="1:34">
      <c r="A162" s="103">
        <v>216</v>
      </c>
      <c r="B162">
        <v>5802</v>
      </c>
      <c r="C162" s="107" t="s">
        <v>131</v>
      </c>
      <c r="D162" s="107" t="s">
        <v>132</v>
      </c>
      <c r="E162">
        <v>1688.5</v>
      </c>
      <c r="F162">
        <v>1690.5</v>
      </c>
      <c r="G162">
        <v>600</v>
      </c>
      <c r="H162" s="107" t="s">
        <v>61</v>
      </c>
      <c r="I162">
        <v>6770</v>
      </c>
      <c r="J162" s="107" t="s">
        <v>26</v>
      </c>
      <c r="K162" s="107" t="s">
        <v>87</v>
      </c>
      <c r="L162">
        <v>2628</v>
      </c>
      <c r="M162">
        <v>2609</v>
      </c>
      <c r="N162">
        <v>400</v>
      </c>
      <c r="O162" s="107" t="s">
        <v>63</v>
      </c>
      <c r="P162">
        <v>0.96459999920539796</v>
      </c>
      <c r="Q162">
        <v>0.90231646715319802</v>
      </c>
      <c r="R162" s="15">
        <v>6.5021183699934898E-2</v>
      </c>
      <c r="S162">
        <v>0.176999469943103</v>
      </c>
      <c r="T162">
        <v>-0.88751884647367296</v>
      </c>
      <c r="U162">
        <v>0.88751884647367296</v>
      </c>
      <c r="V162">
        <v>-2.65</v>
      </c>
      <c r="W162">
        <v>2.81</v>
      </c>
      <c r="X162">
        <v>2858</v>
      </c>
      <c r="Y162">
        <v>179</v>
      </c>
      <c r="Z162">
        <v>0.09</v>
      </c>
      <c r="AA162">
        <v>16</v>
      </c>
      <c r="AB162">
        <v>7</v>
      </c>
      <c r="AC162">
        <v>9</v>
      </c>
      <c r="AD162">
        <v>43.75</v>
      </c>
      <c r="AE162">
        <v>14</v>
      </c>
      <c r="AF162">
        <v>5</v>
      </c>
      <c r="AG162">
        <v>4</v>
      </c>
      <c r="AH162">
        <v>7</v>
      </c>
    </row>
    <row r="163" spans="1:34">
      <c r="A163" s="103">
        <v>15</v>
      </c>
      <c r="B163">
        <v>3110</v>
      </c>
      <c r="C163" s="107" t="s">
        <v>1301</v>
      </c>
      <c r="D163" s="107" t="s">
        <v>106</v>
      </c>
      <c r="E163">
        <v>4260</v>
      </c>
      <c r="F163">
        <v>4220</v>
      </c>
      <c r="G163">
        <v>200</v>
      </c>
      <c r="H163" s="107" t="s">
        <v>63</v>
      </c>
      <c r="I163">
        <v>6702</v>
      </c>
      <c r="J163" s="107" t="s">
        <v>332</v>
      </c>
      <c r="K163" s="107" t="s">
        <v>87</v>
      </c>
      <c r="L163">
        <v>10200</v>
      </c>
      <c r="M163">
        <v>10055</v>
      </c>
      <c r="N163">
        <v>100</v>
      </c>
      <c r="O163" s="107" t="s">
        <v>61</v>
      </c>
      <c r="P163">
        <v>0.90195011552031201</v>
      </c>
      <c r="Q163">
        <v>0.95385138657406798</v>
      </c>
      <c r="R163">
        <v>0.113201435557001</v>
      </c>
      <c r="S163" s="15">
        <v>4.8857081169658596E-3</v>
      </c>
      <c r="T163">
        <v>2.0057968172499598</v>
      </c>
      <c r="U163">
        <v>2.0057968172499598</v>
      </c>
      <c r="V163">
        <v>11.11</v>
      </c>
      <c r="W163">
        <v>16.059999999999999</v>
      </c>
      <c r="X163">
        <v>2720</v>
      </c>
      <c r="Y163">
        <v>194</v>
      </c>
      <c r="Z163">
        <v>0.14000000000000001</v>
      </c>
      <c r="AA163">
        <v>14</v>
      </c>
      <c r="AB163">
        <v>6</v>
      </c>
      <c r="AC163">
        <v>8</v>
      </c>
      <c r="AD163">
        <v>42.86</v>
      </c>
      <c r="AE163">
        <v>9</v>
      </c>
      <c r="AF163">
        <v>5</v>
      </c>
      <c r="AG163">
        <v>6</v>
      </c>
      <c r="AH163">
        <v>3</v>
      </c>
    </row>
    <row r="164" spans="1:34">
      <c r="A164" s="103">
        <v>179</v>
      </c>
      <c r="B164">
        <v>4183</v>
      </c>
      <c r="C164" s="107" t="s">
        <v>301</v>
      </c>
      <c r="D164" s="107" t="s">
        <v>62</v>
      </c>
      <c r="E164">
        <v>2790</v>
      </c>
      <c r="F164">
        <v>2776</v>
      </c>
      <c r="G164">
        <v>300</v>
      </c>
      <c r="H164" s="107" t="s">
        <v>61</v>
      </c>
      <c r="I164">
        <v>7762</v>
      </c>
      <c r="J164" s="107" t="s">
        <v>107</v>
      </c>
      <c r="K164" s="107" t="s">
        <v>93</v>
      </c>
      <c r="L164">
        <v>625</v>
      </c>
      <c r="M164">
        <v>617</v>
      </c>
      <c r="N164">
        <v>1300</v>
      </c>
      <c r="O164" s="107" t="s">
        <v>63</v>
      </c>
      <c r="P164">
        <v>0.90757372066313502</v>
      </c>
      <c r="Q164">
        <v>0.90752354842489502</v>
      </c>
      <c r="R164">
        <v>0.146121878889548</v>
      </c>
      <c r="S164">
        <v>6.2677871653095598E-3</v>
      </c>
      <c r="T164">
        <v>-0.195187556849649</v>
      </c>
      <c r="U164">
        <v>0.195187556849649</v>
      </c>
      <c r="V164">
        <v>-0.46</v>
      </c>
      <c r="W164">
        <v>3.69</v>
      </c>
      <c r="X164">
        <v>760</v>
      </c>
      <c r="Y164">
        <v>54</v>
      </c>
      <c r="Z164">
        <v>-0.05</v>
      </c>
      <c r="AA164">
        <v>14</v>
      </c>
      <c r="AB164">
        <v>8</v>
      </c>
      <c r="AC164">
        <v>6</v>
      </c>
      <c r="AD164">
        <v>57.14</v>
      </c>
      <c r="AE164">
        <v>15</v>
      </c>
      <c r="AF164">
        <v>3</v>
      </c>
      <c r="AG164">
        <v>4</v>
      </c>
      <c r="AH164">
        <v>7</v>
      </c>
    </row>
    <row r="165" spans="1:34">
      <c r="A165" s="103">
        <v>132</v>
      </c>
      <c r="B165">
        <v>2175</v>
      </c>
      <c r="C165" s="107" t="s">
        <v>327</v>
      </c>
      <c r="D165" s="107" t="s">
        <v>120</v>
      </c>
      <c r="E165">
        <v>3035</v>
      </c>
      <c r="F165">
        <v>3000</v>
      </c>
      <c r="G165">
        <v>300</v>
      </c>
      <c r="H165" s="107" t="s">
        <v>61</v>
      </c>
      <c r="I165">
        <v>6098</v>
      </c>
      <c r="J165" s="107" t="s">
        <v>339</v>
      </c>
      <c r="K165" s="107" t="s">
        <v>120</v>
      </c>
      <c r="L165">
        <v>4053</v>
      </c>
      <c r="M165">
        <v>4103</v>
      </c>
      <c r="N165">
        <v>200</v>
      </c>
      <c r="O165" s="107" t="s">
        <v>63</v>
      </c>
      <c r="P165">
        <v>0.95094601854650895</v>
      </c>
      <c r="Q165">
        <v>0.91669950178884896</v>
      </c>
      <c r="R165" s="15">
        <v>7.1789131479088396E-7</v>
      </c>
      <c r="S165">
        <v>4.6072710511244001E-2</v>
      </c>
      <c r="T165">
        <v>-1.59515283610203</v>
      </c>
      <c r="U165">
        <v>1.59515283610203</v>
      </c>
      <c r="V165">
        <v>-5.29</v>
      </c>
      <c r="W165">
        <v>9.68</v>
      </c>
      <c r="X165">
        <v>-1755</v>
      </c>
      <c r="Y165">
        <v>-103</v>
      </c>
      <c r="Z165">
        <v>0.05</v>
      </c>
      <c r="AA165">
        <v>17</v>
      </c>
      <c r="AB165">
        <v>9</v>
      </c>
      <c r="AC165">
        <v>8</v>
      </c>
      <c r="AD165">
        <v>52.94</v>
      </c>
      <c r="AE165">
        <v>10</v>
      </c>
      <c r="AF165">
        <v>8</v>
      </c>
      <c r="AG165">
        <v>5</v>
      </c>
      <c r="AH165">
        <v>4</v>
      </c>
    </row>
    <row r="166" spans="1:34">
      <c r="A166" s="103">
        <v>122</v>
      </c>
      <c r="B166">
        <v>4208</v>
      </c>
      <c r="C166" s="107" t="s">
        <v>98</v>
      </c>
      <c r="D166" s="107" t="s">
        <v>62</v>
      </c>
      <c r="E166">
        <v>2459</v>
      </c>
      <c r="F166">
        <v>2479</v>
      </c>
      <c r="G166">
        <v>400</v>
      </c>
      <c r="H166" s="107" t="s">
        <v>61</v>
      </c>
      <c r="I166">
        <v>5991</v>
      </c>
      <c r="J166" s="107" t="s">
        <v>115</v>
      </c>
      <c r="K166" s="107" t="s">
        <v>116</v>
      </c>
      <c r="L166">
        <v>1021</v>
      </c>
      <c r="M166">
        <v>1021</v>
      </c>
      <c r="N166">
        <v>1000</v>
      </c>
      <c r="O166" s="107" t="s">
        <v>63</v>
      </c>
      <c r="P166">
        <v>0.90986916982509003</v>
      </c>
      <c r="Q166">
        <v>0.91808182654296</v>
      </c>
      <c r="R166" s="15">
        <v>0.24824439720911901</v>
      </c>
      <c r="S166">
        <v>2.6973982347470001E-2</v>
      </c>
      <c r="T166">
        <v>-1.1766165517988401</v>
      </c>
      <c r="U166">
        <v>1.1766165517988401</v>
      </c>
      <c r="V166">
        <v>-5.72</v>
      </c>
      <c r="W166">
        <v>2.96</v>
      </c>
      <c r="X166">
        <v>-2779</v>
      </c>
      <c r="Y166">
        <v>-174</v>
      </c>
      <c r="Z166">
        <v>-0.06</v>
      </c>
      <c r="AA166">
        <v>16</v>
      </c>
      <c r="AB166">
        <v>8</v>
      </c>
      <c r="AC166">
        <v>8</v>
      </c>
      <c r="AD166">
        <v>50</v>
      </c>
      <c r="AE166">
        <v>12</v>
      </c>
      <c r="AF166">
        <v>6</v>
      </c>
      <c r="AG166">
        <v>4</v>
      </c>
      <c r="AH166">
        <v>6</v>
      </c>
    </row>
    <row r="167" spans="1:34">
      <c r="A167" s="103">
        <v>199</v>
      </c>
      <c r="B167">
        <v>8306</v>
      </c>
      <c r="C167" s="107" t="s">
        <v>144</v>
      </c>
      <c r="D167" s="107" t="s">
        <v>82</v>
      </c>
      <c r="E167">
        <v>590</v>
      </c>
      <c r="F167">
        <v>595.70000000000005</v>
      </c>
      <c r="G167">
        <v>1800</v>
      </c>
      <c r="H167" s="107" t="s">
        <v>63</v>
      </c>
      <c r="I167">
        <v>8411</v>
      </c>
      <c r="J167" s="107" t="s">
        <v>121</v>
      </c>
      <c r="K167" s="107" t="s">
        <v>82</v>
      </c>
      <c r="L167">
        <v>169.2</v>
      </c>
      <c r="M167">
        <v>170.7</v>
      </c>
      <c r="N167">
        <v>6300</v>
      </c>
      <c r="O167" s="107" t="s">
        <v>61</v>
      </c>
      <c r="P167">
        <v>0.93360688554522098</v>
      </c>
      <c r="Q167">
        <v>0.905401997467561</v>
      </c>
      <c r="R167">
        <v>0.14212168881260201</v>
      </c>
      <c r="S167">
        <v>0.15342205585340299</v>
      </c>
      <c r="T167">
        <v>2.17366951874402</v>
      </c>
      <c r="U167">
        <v>2.17366951874402</v>
      </c>
      <c r="V167">
        <v>3.69</v>
      </c>
      <c r="W167">
        <v>0.28999999999999998</v>
      </c>
      <c r="X167">
        <v>-2779</v>
      </c>
      <c r="Y167">
        <v>-154</v>
      </c>
      <c r="Z167">
        <v>0</v>
      </c>
      <c r="AA167">
        <v>18</v>
      </c>
      <c r="AB167">
        <v>8</v>
      </c>
      <c r="AC167">
        <v>10</v>
      </c>
      <c r="AD167">
        <v>44.44</v>
      </c>
      <c r="AE167">
        <v>17</v>
      </c>
      <c r="AF167">
        <v>2</v>
      </c>
      <c r="AG167">
        <v>0</v>
      </c>
      <c r="AH167">
        <v>16</v>
      </c>
    </row>
    <row r="168" spans="1:34">
      <c r="A168" s="103">
        <v>98</v>
      </c>
      <c r="B168">
        <v>4183</v>
      </c>
      <c r="C168" s="107" t="s">
        <v>301</v>
      </c>
      <c r="D168" s="107" t="s">
        <v>62</v>
      </c>
      <c r="E168">
        <v>2790</v>
      </c>
      <c r="F168">
        <v>2776</v>
      </c>
      <c r="G168">
        <v>300</v>
      </c>
      <c r="H168" s="107" t="s">
        <v>63</v>
      </c>
      <c r="I168">
        <v>6301</v>
      </c>
      <c r="J168" s="107" t="s">
        <v>109</v>
      </c>
      <c r="K168" s="107" t="s">
        <v>99</v>
      </c>
      <c r="L168">
        <v>2755</v>
      </c>
      <c r="M168">
        <v>2740</v>
      </c>
      <c r="N168">
        <v>300</v>
      </c>
      <c r="O168" s="107" t="s">
        <v>61</v>
      </c>
      <c r="P168">
        <v>0.90720543908860096</v>
      </c>
      <c r="Q168">
        <v>0.92527651423038604</v>
      </c>
      <c r="R168">
        <v>0.224397984386596</v>
      </c>
      <c r="S168">
        <v>1.2714438587966899E-3</v>
      </c>
      <c r="T168">
        <v>0.13766102255542001</v>
      </c>
      <c r="U168">
        <v>0.13766102255542001</v>
      </c>
      <c r="V168">
        <v>0.23</v>
      </c>
      <c r="W168">
        <v>1.3</v>
      </c>
      <c r="X168">
        <v>-3844</v>
      </c>
      <c r="Y168">
        <v>-384</v>
      </c>
      <c r="Z168">
        <v>0.04</v>
      </c>
      <c r="AA168">
        <v>10</v>
      </c>
      <c r="AB168">
        <v>6</v>
      </c>
      <c r="AC168">
        <v>4</v>
      </c>
      <c r="AD168">
        <v>60</v>
      </c>
      <c r="AE168">
        <v>15</v>
      </c>
      <c r="AF168">
        <v>1</v>
      </c>
      <c r="AG168">
        <v>1</v>
      </c>
      <c r="AH168">
        <v>8</v>
      </c>
    </row>
    <row r="169" spans="1:34">
      <c r="A169" s="103">
        <v>1</v>
      </c>
      <c r="B169">
        <v>6995</v>
      </c>
      <c r="C169" s="107" t="s">
        <v>91</v>
      </c>
      <c r="D169" s="107" t="s">
        <v>84</v>
      </c>
      <c r="E169">
        <v>2258</v>
      </c>
      <c r="F169">
        <v>2263</v>
      </c>
      <c r="G169">
        <v>400</v>
      </c>
      <c r="H169" s="107" t="s">
        <v>61</v>
      </c>
      <c r="I169">
        <v>7282</v>
      </c>
      <c r="J169" s="107" t="s">
        <v>953</v>
      </c>
      <c r="K169" s="107" t="s">
        <v>84</v>
      </c>
      <c r="L169">
        <v>2801</v>
      </c>
      <c r="M169">
        <v>2798</v>
      </c>
      <c r="N169">
        <v>300</v>
      </c>
      <c r="O169" s="107" t="s">
        <v>63</v>
      </c>
      <c r="P169">
        <v>0.988967158538401</v>
      </c>
      <c r="Q169">
        <v>0.97297079020128996</v>
      </c>
      <c r="R169">
        <v>1.45801376255496E-2</v>
      </c>
      <c r="S169">
        <v>3.426867181601E-3</v>
      </c>
      <c r="T169">
        <v>-1.72617065127487</v>
      </c>
      <c r="U169">
        <v>1.72617065127487</v>
      </c>
      <c r="V169">
        <v>-3.75</v>
      </c>
      <c r="W169">
        <v>7.84</v>
      </c>
      <c r="X169">
        <v>-4300</v>
      </c>
      <c r="Y169">
        <v>-287</v>
      </c>
      <c r="Z169">
        <v>-0.08</v>
      </c>
      <c r="AA169">
        <v>15</v>
      </c>
      <c r="AB169">
        <v>7</v>
      </c>
      <c r="AC169">
        <v>8</v>
      </c>
      <c r="AD169">
        <v>46.67</v>
      </c>
      <c r="AE169">
        <v>13</v>
      </c>
      <c r="AF169">
        <v>3</v>
      </c>
      <c r="AG169">
        <v>2</v>
      </c>
      <c r="AH169">
        <v>10</v>
      </c>
    </row>
    <row r="170" spans="1:34">
      <c r="A170" s="103">
        <v>60</v>
      </c>
      <c r="B170">
        <v>6752</v>
      </c>
      <c r="C170" s="107" t="s">
        <v>105</v>
      </c>
      <c r="D170" s="107" t="s">
        <v>87</v>
      </c>
      <c r="E170">
        <v>1059</v>
      </c>
      <c r="F170">
        <v>1058</v>
      </c>
      <c r="G170">
        <v>1000</v>
      </c>
      <c r="H170" s="107" t="s">
        <v>63</v>
      </c>
      <c r="I170">
        <v>8002</v>
      </c>
      <c r="J170" s="107" t="s">
        <v>31</v>
      </c>
      <c r="K170" s="107" t="s">
        <v>101</v>
      </c>
      <c r="L170">
        <v>834.9</v>
      </c>
      <c r="M170">
        <v>837.7</v>
      </c>
      <c r="N170">
        <v>1300</v>
      </c>
      <c r="O170" s="107" t="s">
        <v>61</v>
      </c>
      <c r="P170">
        <v>0.92282856801825996</v>
      </c>
      <c r="Q170">
        <v>0.935661011994394</v>
      </c>
      <c r="R170" s="15">
        <v>7.7300557089176603E-2</v>
      </c>
      <c r="S170">
        <v>1.36231448760256E-3</v>
      </c>
      <c r="T170">
        <v>0.94819425784302902</v>
      </c>
      <c r="U170">
        <v>0.94819425784302902</v>
      </c>
      <c r="V170">
        <v>2.44</v>
      </c>
      <c r="W170">
        <v>2.93</v>
      </c>
      <c r="X170">
        <v>-4844</v>
      </c>
      <c r="Y170">
        <v>-231</v>
      </c>
      <c r="Z170">
        <v>-0.02</v>
      </c>
      <c r="AA170">
        <v>21</v>
      </c>
      <c r="AB170">
        <v>11</v>
      </c>
      <c r="AC170">
        <v>10</v>
      </c>
      <c r="AD170">
        <v>52.38</v>
      </c>
      <c r="AE170">
        <v>15</v>
      </c>
      <c r="AF170">
        <v>5</v>
      </c>
      <c r="AG170">
        <v>4</v>
      </c>
      <c r="AH170">
        <v>12</v>
      </c>
    </row>
    <row r="171" spans="1:34">
      <c r="A171" s="103">
        <v>99</v>
      </c>
      <c r="B171">
        <v>3003</v>
      </c>
      <c r="C171" s="107" t="s">
        <v>1325</v>
      </c>
      <c r="D171" s="107" t="s">
        <v>114</v>
      </c>
      <c r="E171">
        <v>1300</v>
      </c>
      <c r="F171">
        <v>1309</v>
      </c>
      <c r="G171">
        <v>800</v>
      </c>
      <c r="H171" s="107" t="s">
        <v>61</v>
      </c>
      <c r="I171">
        <v>6952</v>
      </c>
      <c r="J171" s="107" t="s">
        <v>957</v>
      </c>
      <c r="K171" s="107" t="s">
        <v>87</v>
      </c>
      <c r="L171">
        <v>2179</v>
      </c>
      <c r="M171">
        <v>2157</v>
      </c>
      <c r="N171">
        <v>500</v>
      </c>
      <c r="O171" s="107" t="s">
        <v>63</v>
      </c>
      <c r="P171">
        <v>0.90205885164382904</v>
      </c>
      <c r="Q171">
        <v>0.92445985004595199</v>
      </c>
      <c r="R171">
        <v>0.120536644925559</v>
      </c>
      <c r="S171">
        <v>0.17000415172258099</v>
      </c>
      <c r="T171">
        <v>-0.95785248831894998</v>
      </c>
      <c r="U171">
        <v>0.95785248831894998</v>
      </c>
      <c r="V171">
        <v>-6.31</v>
      </c>
      <c r="W171">
        <v>2.9</v>
      </c>
      <c r="X171">
        <v>-10221</v>
      </c>
      <c r="Y171">
        <v>-568</v>
      </c>
      <c r="Z171">
        <v>-0.03</v>
      </c>
      <c r="AA171">
        <v>18</v>
      </c>
      <c r="AB171">
        <v>9</v>
      </c>
      <c r="AC171">
        <v>9</v>
      </c>
      <c r="AD171">
        <v>50</v>
      </c>
      <c r="AE171">
        <v>13</v>
      </c>
      <c r="AF171">
        <v>5</v>
      </c>
      <c r="AG171">
        <v>4</v>
      </c>
      <c r="AH171">
        <v>9</v>
      </c>
    </row>
    <row r="172" spans="1:34">
      <c r="A172" s="103">
        <v>79</v>
      </c>
      <c r="B172">
        <v>5333</v>
      </c>
      <c r="C172" s="107" t="s">
        <v>334</v>
      </c>
      <c r="D172" s="107" t="s">
        <v>106</v>
      </c>
      <c r="E172">
        <v>1915</v>
      </c>
      <c r="F172">
        <v>1919</v>
      </c>
      <c r="G172">
        <v>600</v>
      </c>
      <c r="H172" s="107" t="s">
        <v>61</v>
      </c>
      <c r="I172">
        <v>5393</v>
      </c>
      <c r="J172" s="107" t="s">
        <v>333</v>
      </c>
      <c r="K172" s="107" t="s">
        <v>106</v>
      </c>
      <c r="L172">
        <v>2749</v>
      </c>
      <c r="M172">
        <v>2736</v>
      </c>
      <c r="N172">
        <v>400</v>
      </c>
      <c r="O172" s="107" t="s">
        <v>63</v>
      </c>
      <c r="P172">
        <v>0.96024002413640697</v>
      </c>
      <c r="Q172">
        <v>0.929971580279223</v>
      </c>
      <c r="R172">
        <v>0.38305583728096199</v>
      </c>
      <c r="S172">
        <v>1.3384379003533E-3</v>
      </c>
      <c r="T172">
        <v>-1.3087925402304501</v>
      </c>
      <c r="U172">
        <v>1.3087925402304501</v>
      </c>
      <c r="V172">
        <v>-9.24</v>
      </c>
      <c r="W172">
        <v>5.21</v>
      </c>
      <c r="X172">
        <v>-11690</v>
      </c>
      <c r="Y172">
        <v>-584</v>
      </c>
      <c r="Z172">
        <v>-0.01</v>
      </c>
      <c r="AA172">
        <v>20</v>
      </c>
      <c r="AB172">
        <v>12</v>
      </c>
      <c r="AC172">
        <v>8</v>
      </c>
      <c r="AD172">
        <v>60</v>
      </c>
      <c r="AE172">
        <v>11</v>
      </c>
      <c r="AF172">
        <v>7</v>
      </c>
      <c r="AG172">
        <v>8</v>
      </c>
      <c r="AH172">
        <v>5</v>
      </c>
    </row>
    <row r="173" spans="1:34">
      <c r="A173" s="103">
        <v>137</v>
      </c>
      <c r="B173">
        <v>4686</v>
      </c>
      <c r="C173" s="107" t="s">
        <v>1272</v>
      </c>
      <c r="D173" s="107" t="s">
        <v>79</v>
      </c>
      <c r="E173">
        <v>5910</v>
      </c>
      <c r="F173">
        <v>5910</v>
      </c>
      <c r="G173">
        <v>100</v>
      </c>
      <c r="H173" s="107" t="s">
        <v>63</v>
      </c>
      <c r="I173">
        <v>6845</v>
      </c>
      <c r="J173" s="107" t="s">
        <v>307</v>
      </c>
      <c r="K173" s="107" t="s">
        <v>87</v>
      </c>
      <c r="L173">
        <v>3260</v>
      </c>
      <c r="M173">
        <v>3205</v>
      </c>
      <c r="N173">
        <v>200</v>
      </c>
      <c r="O173" s="107" t="s">
        <v>61</v>
      </c>
      <c r="P173">
        <v>0.92978656960539696</v>
      </c>
      <c r="Q173">
        <v>0.91525021805850904</v>
      </c>
      <c r="R173">
        <v>0.22982851064818199</v>
      </c>
      <c r="S173">
        <v>0.17228223435276399</v>
      </c>
      <c r="T173">
        <v>1.61469548050137</v>
      </c>
      <c r="U173">
        <v>1.61469548050137</v>
      </c>
      <c r="V173">
        <v>16.37</v>
      </c>
      <c r="W173">
        <v>8.4600000000000009</v>
      </c>
      <c r="X173">
        <v>-13536</v>
      </c>
      <c r="Y173">
        <v>-712</v>
      </c>
      <c r="Z173">
        <v>-0.09</v>
      </c>
      <c r="AA173">
        <v>19</v>
      </c>
      <c r="AB173">
        <v>11</v>
      </c>
      <c r="AC173">
        <v>8</v>
      </c>
      <c r="AD173">
        <v>57.89</v>
      </c>
      <c r="AE173">
        <v>10</v>
      </c>
      <c r="AF173">
        <v>10</v>
      </c>
      <c r="AG173">
        <v>8</v>
      </c>
      <c r="AH173">
        <v>1</v>
      </c>
    </row>
    <row r="174" spans="1:34">
      <c r="A174" s="103">
        <v>23</v>
      </c>
      <c r="B174">
        <v>1928</v>
      </c>
      <c r="C174" s="107" t="s">
        <v>302</v>
      </c>
      <c r="D174" s="107" t="s">
        <v>78</v>
      </c>
      <c r="E174">
        <v>2401</v>
      </c>
      <c r="F174">
        <v>2369.5</v>
      </c>
      <c r="G174">
        <v>300</v>
      </c>
      <c r="H174" s="107" t="s">
        <v>61</v>
      </c>
      <c r="I174">
        <v>4613</v>
      </c>
      <c r="J174" s="107" t="s">
        <v>320</v>
      </c>
      <c r="K174" s="107" t="s">
        <v>62</v>
      </c>
      <c r="L174">
        <v>2822</v>
      </c>
      <c r="M174">
        <v>2757</v>
      </c>
      <c r="N174">
        <v>300</v>
      </c>
      <c r="O174" s="107" t="s">
        <v>63</v>
      </c>
      <c r="P174">
        <v>0.93171175265827599</v>
      </c>
      <c r="Q174">
        <v>0.94825535256203397</v>
      </c>
      <c r="R174">
        <v>0.16326228990227501</v>
      </c>
      <c r="S174" s="15">
        <v>0.104033039712068</v>
      </c>
      <c r="T174">
        <v>-0.32703931108946399</v>
      </c>
      <c r="U174">
        <v>0.32703931108946399</v>
      </c>
      <c r="V174">
        <v>-0.59</v>
      </c>
      <c r="W174">
        <v>14.06</v>
      </c>
      <c r="X174">
        <v>-16022</v>
      </c>
      <c r="Y174">
        <v>-1232</v>
      </c>
      <c r="Z174">
        <v>-0.04</v>
      </c>
      <c r="AA174">
        <v>13</v>
      </c>
      <c r="AB174">
        <v>7</v>
      </c>
      <c r="AC174">
        <v>6</v>
      </c>
      <c r="AD174">
        <v>53.85</v>
      </c>
      <c r="AE174">
        <v>13</v>
      </c>
      <c r="AF174">
        <v>5</v>
      </c>
      <c r="AG174">
        <v>3</v>
      </c>
      <c r="AH174">
        <v>5</v>
      </c>
    </row>
    <row r="175" spans="1:34">
      <c r="A175" s="103">
        <v>68</v>
      </c>
      <c r="B175">
        <v>6457</v>
      </c>
      <c r="C175" s="107" t="s">
        <v>314</v>
      </c>
      <c r="D175" s="107" t="s">
        <v>99</v>
      </c>
      <c r="E175">
        <v>3360</v>
      </c>
      <c r="F175">
        <v>3360</v>
      </c>
      <c r="G175">
        <v>300</v>
      </c>
      <c r="H175" s="107" t="s">
        <v>61</v>
      </c>
      <c r="I175">
        <v>6845</v>
      </c>
      <c r="J175" s="107" t="s">
        <v>307</v>
      </c>
      <c r="K175" s="107" t="s">
        <v>87</v>
      </c>
      <c r="L175">
        <v>3260</v>
      </c>
      <c r="M175">
        <v>3205</v>
      </c>
      <c r="N175">
        <v>300</v>
      </c>
      <c r="O175" s="107" t="s">
        <v>63</v>
      </c>
      <c r="P175">
        <v>0.94186229625280904</v>
      </c>
      <c r="Q175">
        <v>0.93232628633839199</v>
      </c>
      <c r="R175">
        <v>1.2149897697835799E-2</v>
      </c>
      <c r="S175" s="15">
        <v>0.184262930042142</v>
      </c>
      <c r="T175">
        <v>-0.49192632174296302</v>
      </c>
      <c r="U175">
        <v>0.49192632174296302</v>
      </c>
      <c r="V175">
        <v>-0.73</v>
      </c>
      <c r="W175">
        <v>4.6100000000000003</v>
      </c>
      <c r="X175">
        <v>-22683</v>
      </c>
      <c r="Y175">
        <v>-2062</v>
      </c>
      <c r="Z175">
        <v>-0.06</v>
      </c>
      <c r="AA175">
        <v>11</v>
      </c>
      <c r="AB175">
        <v>6</v>
      </c>
      <c r="AC175">
        <v>5</v>
      </c>
      <c r="AD175">
        <v>54.55</v>
      </c>
      <c r="AE175">
        <v>15</v>
      </c>
      <c r="AF175">
        <v>2</v>
      </c>
      <c r="AG175">
        <v>1</v>
      </c>
      <c r="AH175">
        <v>8</v>
      </c>
    </row>
    <row r="176" spans="1:34">
      <c r="A176" s="103">
        <v>83</v>
      </c>
      <c r="B176">
        <v>4519</v>
      </c>
      <c r="C176" s="107" t="s">
        <v>954</v>
      </c>
      <c r="D176" s="107" t="s">
        <v>136</v>
      </c>
      <c r="E176">
        <v>10025</v>
      </c>
      <c r="F176">
        <v>10040</v>
      </c>
      <c r="G176">
        <v>100</v>
      </c>
      <c r="H176" s="107" t="s">
        <v>61</v>
      </c>
      <c r="I176">
        <v>6920</v>
      </c>
      <c r="J176" s="107" t="s">
        <v>86</v>
      </c>
      <c r="K176" s="107" t="s">
        <v>87</v>
      </c>
      <c r="L176">
        <v>9950</v>
      </c>
      <c r="M176">
        <v>9850</v>
      </c>
      <c r="N176">
        <v>100</v>
      </c>
      <c r="O176" s="107" t="s">
        <v>63</v>
      </c>
      <c r="P176">
        <v>0.919561218008484</v>
      </c>
      <c r="Q176">
        <v>0.92878444501343804</v>
      </c>
      <c r="R176">
        <v>0.109342027975006</v>
      </c>
      <c r="S176">
        <v>4.1762566580515199E-2</v>
      </c>
      <c r="T176">
        <v>-1.34398610151596</v>
      </c>
      <c r="U176">
        <v>1.34398610151596</v>
      </c>
      <c r="V176">
        <v>-10.61</v>
      </c>
      <c r="W176">
        <v>1.89</v>
      </c>
      <c r="X176">
        <v>-24389</v>
      </c>
      <c r="Y176">
        <v>-2217</v>
      </c>
      <c r="Z176">
        <v>-0.19</v>
      </c>
      <c r="AA176">
        <v>11</v>
      </c>
      <c r="AB176">
        <v>6</v>
      </c>
      <c r="AC176">
        <v>5</v>
      </c>
      <c r="AD176">
        <v>54.55</v>
      </c>
      <c r="AE176">
        <v>8</v>
      </c>
      <c r="AF176">
        <v>6</v>
      </c>
      <c r="AG176">
        <v>5</v>
      </c>
      <c r="AH176">
        <v>0</v>
      </c>
    </row>
    <row r="177" spans="1:34">
      <c r="A177" s="103">
        <v>167</v>
      </c>
      <c r="B177">
        <v>6371</v>
      </c>
      <c r="C177" s="107" t="s">
        <v>108</v>
      </c>
      <c r="D177" s="107" t="s">
        <v>99</v>
      </c>
      <c r="E177">
        <v>3995</v>
      </c>
      <c r="F177">
        <v>4000</v>
      </c>
      <c r="G177">
        <v>200</v>
      </c>
      <c r="H177" s="107" t="s">
        <v>61</v>
      </c>
      <c r="I177">
        <v>7272</v>
      </c>
      <c r="J177" s="107" t="s">
        <v>300</v>
      </c>
      <c r="K177" s="107" t="s">
        <v>84</v>
      </c>
      <c r="L177">
        <v>2312</v>
      </c>
      <c r="M177">
        <v>2350</v>
      </c>
      <c r="N177">
        <v>300</v>
      </c>
      <c r="O177" s="107" t="s">
        <v>63</v>
      </c>
      <c r="P177">
        <v>0.900203622354383</v>
      </c>
      <c r="Q177">
        <v>0.90996166141916202</v>
      </c>
      <c r="R177">
        <v>0.29554159981091799</v>
      </c>
      <c r="S177">
        <v>5.0309551818654196E-3</v>
      </c>
      <c r="T177">
        <v>-0.57272370504644099</v>
      </c>
      <c r="U177">
        <v>0.57272370504644099</v>
      </c>
      <c r="V177">
        <v>-2.08</v>
      </c>
      <c r="W177">
        <v>11.88</v>
      </c>
      <c r="X177">
        <v>-28954</v>
      </c>
      <c r="Y177">
        <v>-2632</v>
      </c>
      <c r="Z177">
        <v>-0.13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3</v>
      </c>
      <c r="AH177">
        <v>5</v>
      </c>
    </row>
    <row r="178" spans="1:34">
      <c r="A178" s="103">
        <v>110</v>
      </c>
      <c r="B178">
        <v>2127</v>
      </c>
      <c r="C178" s="107" t="s">
        <v>1328</v>
      </c>
      <c r="D178" s="107" t="s">
        <v>120</v>
      </c>
      <c r="E178">
        <v>3775</v>
      </c>
      <c r="F178">
        <v>3715</v>
      </c>
      <c r="G178">
        <v>200</v>
      </c>
      <c r="H178" s="107" t="s">
        <v>63</v>
      </c>
      <c r="I178">
        <v>6028</v>
      </c>
      <c r="J178" s="107" t="s">
        <v>1329</v>
      </c>
      <c r="K178" s="107" t="s">
        <v>120</v>
      </c>
      <c r="L178">
        <v>7570</v>
      </c>
      <c r="M178">
        <v>7560</v>
      </c>
      <c r="N178">
        <v>100</v>
      </c>
      <c r="O178" s="107" t="s">
        <v>61</v>
      </c>
      <c r="P178">
        <v>0.92865734242674103</v>
      </c>
      <c r="Q178">
        <v>0.92184600921361703</v>
      </c>
      <c r="R178">
        <v>0.18228030572337001</v>
      </c>
      <c r="S178">
        <v>9.39813855415585E-4</v>
      </c>
      <c r="T178">
        <v>0.414486860611262</v>
      </c>
      <c r="U178">
        <v>0.414486860611262</v>
      </c>
      <c r="V178">
        <v>1.67</v>
      </c>
      <c r="W178">
        <v>1.72</v>
      </c>
      <c r="X178">
        <v>-29288</v>
      </c>
      <c r="Y178">
        <v>-2441</v>
      </c>
      <c r="Z178">
        <v>0.06</v>
      </c>
      <c r="AA178">
        <v>12</v>
      </c>
      <c r="AB178">
        <v>6</v>
      </c>
      <c r="AC178">
        <v>6</v>
      </c>
      <c r="AD178">
        <v>50</v>
      </c>
      <c r="AE178">
        <v>13</v>
      </c>
      <c r="AF178">
        <v>4</v>
      </c>
      <c r="AG178">
        <v>3</v>
      </c>
      <c r="AH178">
        <v>5</v>
      </c>
    </row>
    <row r="179" spans="1:34">
      <c r="A179" s="103">
        <v>125</v>
      </c>
      <c r="B179">
        <v>2914</v>
      </c>
      <c r="C179" s="107" t="s">
        <v>96</v>
      </c>
      <c r="D179" s="107" t="s">
        <v>97</v>
      </c>
      <c r="E179">
        <v>2518</v>
      </c>
      <c r="F179">
        <v>2501.5</v>
      </c>
      <c r="G179">
        <v>300</v>
      </c>
      <c r="H179" s="107" t="s">
        <v>61</v>
      </c>
      <c r="I179">
        <v>4507</v>
      </c>
      <c r="J179" s="107" t="s">
        <v>1029</v>
      </c>
      <c r="K179" s="107" t="s">
        <v>136</v>
      </c>
      <c r="L179">
        <v>6480</v>
      </c>
      <c r="M179">
        <v>6518</v>
      </c>
      <c r="N179">
        <v>100</v>
      </c>
      <c r="O179" s="107" t="s">
        <v>63</v>
      </c>
      <c r="P179">
        <v>0.90462911842143601</v>
      </c>
      <c r="Q179">
        <v>0.91801096898811296</v>
      </c>
      <c r="R179">
        <v>2.9835998660964501E-2</v>
      </c>
      <c r="S179">
        <v>1.61470184641689E-3</v>
      </c>
      <c r="T179">
        <v>-1.20313862841848</v>
      </c>
      <c r="U179">
        <v>1.20313862841848</v>
      </c>
      <c r="V179">
        <v>-2.08</v>
      </c>
      <c r="W179">
        <v>15.14</v>
      </c>
      <c r="X179">
        <v>-30523</v>
      </c>
      <c r="Y179">
        <v>-5087</v>
      </c>
      <c r="Z179">
        <v>-0.76</v>
      </c>
      <c r="AA179">
        <v>6</v>
      </c>
      <c r="AB179">
        <v>3</v>
      </c>
      <c r="AC179">
        <v>3</v>
      </c>
      <c r="AD179">
        <v>50</v>
      </c>
      <c r="AE179">
        <v>11</v>
      </c>
      <c r="AF179">
        <v>2</v>
      </c>
      <c r="AG179">
        <v>3</v>
      </c>
      <c r="AH179">
        <v>1</v>
      </c>
    </row>
    <row r="180" spans="1:34">
      <c r="A180" s="103">
        <v>9</v>
      </c>
      <c r="B180">
        <v>6471</v>
      </c>
      <c r="C180" s="107" t="s">
        <v>138</v>
      </c>
      <c r="D180" s="107" t="s">
        <v>99</v>
      </c>
      <c r="E180">
        <v>1090</v>
      </c>
      <c r="F180">
        <v>1088</v>
      </c>
      <c r="G180">
        <v>1000</v>
      </c>
      <c r="H180" s="107" t="s">
        <v>61</v>
      </c>
      <c r="I180">
        <v>6472</v>
      </c>
      <c r="J180" s="107" t="s">
        <v>134</v>
      </c>
      <c r="K180" s="107" t="s">
        <v>99</v>
      </c>
      <c r="L180">
        <v>364</v>
      </c>
      <c r="M180">
        <v>363</v>
      </c>
      <c r="N180">
        <v>3000</v>
      </c>
      <c r="O180" s="107" t="s">
        <v>63</v>
      </c>
      <c r="P180">
        <v>0.92548366053251796</v>
      </c>
      <c r="Q180">
        <v>0.95799315295337995</v>
      </c>
      <c r="R180">
        <v>0.28901122105444599</v>
      </c>
      <c r="S180">
        <v>0.10520207936184101</v>
      </c>
      <c r="T180">
        <v>-0.50498303047725901</v>
      </c>
      <c r="U180">
        <v>0.50498303047725901</v>
      </c>
      <c r="V180">
        <v>-1.17</v>
      </c>
      <c r="W180">
        <v>0.09</v>
      </c>
      <c r="X180">
        <v>-34069</v>
      </c>
      <c r="Y180">
        <v>-1893</v>
      </c>
      <c r="Z180">
        <v>-0.11</v>
      </c>
      <c r="AA180">
        <v>18</v>
      </c>
      <c r="AB180">
        <v>9</v>
      </c>
      <c r="AC180">
        <v>9</v>
      </c>
      <c r="AD180">
        <v>50</v>
      </c>
      <c r="AE180">
        <v>16</v>
      </c>
      <c r="AF180">
        <v>2</v>
      </c>
      <c r="AG180">
        <v>3</v>
      </c>
      <c r="AH180">
        <v>13</v>
      </c>
    </row>
    <row r="181" spans="1:34">
      <c r="A181" s="103">
        <v>194</v>
      </c>
      <c r="B181">
        <v>7282</v>
      </c>
      <c r="C181" s="107" t="s">
        <v>953</v>
      </c>
      <c r="D181" s="107" t="s">
        <v>84</v>
      </c>
      <c r="E181">
        <v>2801</v>
      </c>
      <c r="F181">
        <v>2798</v>
      </c>
      <c r="G181">
        <v>400</v>
      </c>
      <c r="H181" s="107" t="s">
        <v>63</v>
      </c>
      <c r="I181">
        <v>9810</v>
      </c>
      <c r="J181" s="107" t="s">
        <v>127</v>
      </c>
      <c r="K181" s="107" t="s">
        <v>101</v>
      </c>
      <c r="L181">
        <v>5290</v>
      </c>
      <c r="M181">
        <v>5230</v>
      </c>
      <c r="N181">
        <v>200</v>
      </c>
      <c r="O181" s="107" t="s">
        <v>61</v>
      </c>
      <c r="P181">
        <v>0.93598432009102495</v>
      </c>
      <c r="Q181">
        <v>0.90613469604921004</v>
      </c>
      <c r="R181">
        <v>8.8992546334097797E-2</v>
      </c>
      <c r="S181" s="15">
        <v>7.8691833770867498E-2</v>
      </c>
      <c r="T181">
        <v>1.4374878309555199</v>
      </c>
      <c r="U181">
        <v>1.4374878309555199</v>
      </c>
      <c r="V181">
        <v>4.7300000000000004</v>
      </c>
      <c r="W181">
        <v>7</v>
      </c>
      <c r="X181">
        <v>-34366</v>
      </c>
      <c r="Y181">
        <v>-2022</v>
      </c>
      <c r="Z181">
        <v>-0.2</v>
      </c>
      <c r="AA181">
        <v>17</v>
      </c>
      <c r="AB181">
        <v>9</v>
      </c>
      <c r="AC181">
        <v>8</v>
      </c>
      <c r="AD181">
        <v>52.94</v>
      </c>
      <c r="AE181">
        <v>12</v>
      </c>
      <c r="AF181">
        <v>5</v>
      </c>
      <c r="AG181">
        <v>6</v>
      </c>
      <c r="AH181">
        <v>6</v>
      </c>
    </row>
    <row r="182" spans="1:34">
      <c r="A182" s="103">
        <v>160</v>
      </c>
      <c r="B182">
        <v>3635</v>
      </c>
      <c r="C182" s="107" t="s">
        <v>85</v>
      </c>
      <c r="D182" s="107" t="s">
        <v>79</v>
      </c>
      <c r="E182">
        <v>2727</v>
      </c>
      <c r="F182">
        <v>2709</v>
      </c>
      <c r="G182">
        <v>400</v>
      </c>
      <c r="H182" s="107" t="s">
        <v>61</v>
      </c>
      <c r="I182">
        <v>6951</v>
      </c>
      <c r="J182" s="107" t="s">
        <v>323</v>
      </c>
      <c r="K182" s="107" t="s">
        <v>87</v>
      </c>
      <c r="L182">
        <v>3155</v>
      </c>
      <c r="M182">
        <v>3180</v>
      </c>
      <c r="N182">
        <v>300</v>
      </c>
      <c r="O182" s="107" t="s">
        <v>63</v>
      </c>
      <c r="P182">
        <v>0.92607053817594998</v>
      </c>
      <c r="Q182">
        <v>0.91076606483415301</v>
      </c>
      <c r="R182" s="15">
        <v>0.14687386113124601</v>
      </c>
      <c r="S182">
        <v>0.17559040196865999</v>
      </c>
      <c r="T182">
        <v>-0.79625939620523201</v>
      </c>
      <c r="U182">
        <v>0.79625939620523201</v>
      </c>
      <c r="V182">
        <v>-3.45</v>
      </c>
      <c r="W182">
        <v>13.58</v>
      </c>
      <c r="X182">
        <v>-35613</v>
      </c>
      <c r="Y182">
        <v>-2544</v>
      </c>
      <c r="Z182">
        <v>-0.08</v>
      </c>
      <c r="AA182">
        <v>14</v>
      </c>
      <c r="AB182">
        <v>6</v>
      </c>
      <c r="AC182">
        <v>8</v>
      </c>
      <c r="AD182">
        <v>42.86</v>
      </c>
      <c r="AE182">
        <v>11</v>
      </c>
      <c r="AF182">
        <v>4</v>
      </c>
      <c r="AG182">
        <v>5</v>
      </c>
      <c r="AH182">
        <v>5</v>
      </c>
    </row>
    <row r="183" spans="1:34">
      <c r="A183" s="103">
        <v>205</v>
      </c>
      <c r="B183">
        <v>1973</v>
      </c>
      <c r="C183" s="107" t="s">
        <v>310</v>
      </c>
      <c r="D183" s="107" t="s">
        <v>79</v>
      </c>
      <c r="E183">
        <v>3620</v>
      </c>
      <c r="F183">
        <v>3570</v>
      </c>
      <c r="G183">
        <v>200</v>
      </c>
      <c r="H183" s="107" t="s">
        <v>61</v>
      </c>
      <c r="I183">
        <v>9706</v>
      </c>
      <c r="J183" s="107" t="s">
        <v>337</v>
      </c>
      <c r="K183" s="107" t="s">
        <v>114</v>
      </c>
      <c r="L183">
        <v>6000</v>
      </c>
      <c r="M183">
        <v>6020</v>
      </c>
      <c r="N183">
        <v>100</v>
      </c>
      <c r="O183" s="107" t="s">
        <v>63</v>
      </c>
      <c r="P183">
        <v>0.92068522712853895</v>
      </c>
      <c r="Q183">
        <v>0.90440911265601798</v>
      </c>
      <c r="R183">
        <v>0.29092281918068502</v>
      </c>
      <c r="S183">
        <v>0.17342358472140301</v>
      </c>
      <c r="T183">
        <v>-1.35237987120935</v>
      </c>
      <c r="U183">
        <v>1.35237987120935</v>
      </c>
      <c r="V183">
        <v>-5.56</v>
      </c>
      <c r="W183">
        <v>18.600000000000001</v>
      </c>
      <c r="X183">
        <v>-36231</v>
      </c>
      <c r="Y183">
        <v>-1725</v>
      </c>
      <c r="Z183">
        <v>-0.06</v>
      </c>
      <c r="AA183">
        <v>21</v>
      </c>
      <c r="AB183">
        <v>9</v>
      </c>
      <c r="AC183">
        <v>12</v>
      </c>
      <c r="AD183">
        <v>42.86</v>
      </c>
      <c r="AE183">
        <v>10</v>
      </c>
      <c r="AF183">
        <v>8</v>
      </c>
      <c r="AG183">
        <v>8</v>
      </c>
      <c r="AH183">
        <v>5</v>
      </c>
    </row>
    <row r="184" spans="1:34">
      <c r="A184" s="103">
        <v>218</v>
      </c>
      <c r="B184">
        <v>6302</v>
      </c>
      <c r="C184" s="107" t="s">
        <v>1330</v>
      </c>
      <c r="D184" s="107" t="s">
        <v>99</v>
      </c>
      <c r="E184">
        <v>3190</v>
      </c>
      <c r="F184">
        <v>3230</v>
      </c>
      <c r="G184">
        <v>300</v>
      </c>
      <c r="H184" s="107" t="s">
        <v>61</v>
      </c>
      <c r="I184">
        <v>7261</v>
      </c>
      <c r="J184" s="107" t="s">
        <v>1331</v>
      </c>
      <c r="K184" s="107" t="s">
        <v>84</v>
      </c>
      <c r="L184">
        <v>965</v>
      </c>
      <c r="M184">
        <v>977</v>
      </c>
      <c r="N184">
        <v>1000</v>
      </c>
      <c r="O184" s="107" t="s">
        <v>63</v>
      </c>
      <c r="P184">
        <v>0.90119639827079301</v>
      </c>
      <c r="Q184">
        <v>0.90184390100873502</v>
      </c>
      <c r="R184" s="15">
        <v>1.39788743636346E-2</v>
      </c>
      <c r="S184">
        <v>3.4707410262522901E-3</v>
      </c>
      <c r="T184">
        <v>-0.31899153850216699</v>
      </c>
      <c r="U184">
        <v>0.31899153850216699</v>
      </c>
      <c r="V184">
        <v>-0.7</v>
      </c>
      <c r="W184">
        <v>0.83</v>
      </c>
      <c r="X184">
        <v>-38358</v>
      </c>
      <c r="Y184">
        <v>-2131</v>
      </c>
      <c r="Z184">
        <v>-0.04</v>
      </c>
      <c r="AA184">
        <v>18</v>
      </c>
      <c r="AB184">
        <v>10</v>
      </c>
      <c r="AC184">
        <v>8</v>
      </c>
      <c r="AD184">
        <v>55.56</v>
      </c>
      <c r="AE184">
        <v>14</v>
      </c>
      <c r="AF184">
        <v>3</v>
      </c>
      <c r="AG184">
        <v>4</v>
      </c>
      <c r="AH184">
        <v>11</v>
      </c>
    </row>
    <row r="185" spans="1:34">
      <c r="A185" s="103">
        <v>187</v>
      </c>
      <c r="B185">
        <v>7205</v>
      </c>
      <c r="C185" s="107" t="s">
        <v>117</v>
      </c>
      <c r="D185" s="107" t="s">
        <v>84</v>
      </c>
      <c r="E185">
        <v>1175</v>
      </c>
      <c r="F185">
        <v>1181</v>
      </c>
      <c r="G185">
        <v>900</v>
      </c>
      <c r="H185" s="107" t="s">
        <v>63</v>
      </c>
      <c r="I185">
        <v>8002</v>
      </c>
      <c r="J185" s="107" t="s">
        <v>31</v>
      </c>
      <c r="K185" s="107" t="s">
        <v>101</v>
      </c>
      <c r="L185">
        <v>834.9</v>
      </c>
      <c r="M185">
        <v>837.7</v>
      </c>
      <c r="N185">
        <v>1300</v>
      </c>
      <c r="O185" s="107" t="s">
        <v>61</v>
      </c>
      <c r="P185">
        <v>0.95272662804973696</v>
      </c>
      <c r="Q185">
        <v>0.90699121312063202</v>
      </c>
      <c r="R185">
        <v>0.18368612457215</v>
      </c>
      <c r="S185">
        <v>3.3537481627613101E-2</v>
      </c>
      <c r="T185">
        <v>2.1734762655520101</v>
      </c>
      <c r="U185">
        <v>2.1734762655520101</v>
      </c>
      <c r="V185">
        <v>8.49</v>
      </c>
      <c r="W185">
        <v>2.46</v>
      </c>
      <c r="X185">
        <v>-42476</v>
      </c>
      <c r="Y185">
        <v>-2655</v>
      </c>
      <c r="Z185">
        <v>-0.13</v>
      </c>
      <c r="AA185">
        <v>16</v>
      </c>
      <c r="AB185">
        <v>7</v>
      </c>
      <c r="AC185">
        <v>9</v>
      </c>
      <c r="AD185">
        <v>43.75</v>
      </c>
      <c r="AE185">
        <v>16</v>
      </c>
      <c r="AF185">
        <v>2</v>
      </c>
      <c r="AG185">
        <v>2</v>
      </c>
      <c r="AH185">
        <v>12</v>
      </c>
    </row>
    <row r="186" spans="1:34">
      <c r="A186" s="103">
        <v>227</v>
      </c>
      <c r="B186">
        <v>5110</v>
      </c>
      <c r="C186" s="107" t="s">
        <v>128</v>
      </c>
      <c r="D186" s="107" t="s">
        <v>129</v>
      </c>
      <c r="E186">
        <v>1437</v>
      </c>
      <c r="F186">
        <v>1432</v>
      </c>
      <c r="G186">
        <v>400</v>
      </c>
      <c r="H186" s="107" t="s">
        <v>61</v>
      </c>
      <c r="I186">
        <v>6988</v>
      </c>
      <c r="J186" s="107" t="s">
        <v>139</v>
      </c>
      <c r="K186" s="107" t="s">
        <v>62</v>
      </c>
      <c r="L186">
        <v>6350</v>
      </c>
      <c r="M186">
        <v>6410</v>
      </c>
      <c r="N186">
        <v>100</v>
      </c>
      <c r="O186" s="107" t="s">
        <v>63</v>
      </c>
      <c r="P186">
        <v>0.90189701451994397</v>
      </c>
      <c r="Q186">
        <v>0.90077638316515596</v>
      </c>
      <c r="R186">
        <v>0.26564912125263301</v>
      </c>
      <c r="S186">
        <v>0.209869985627195</v>
      </c>
      <c r="T186">
        <v>-1.64547050553619</v>
      </c>
      <c r="U186">
        <v>1.64547050553619</v>
      </c>
      <c r="V186">
        <v>-5.88</v>
      </c>
      <c r="W186">
        <v>10.64</v>
      </c>
      <c r="X186">
        <v>-46601</v>
      </c>
      <c r="Y186">
        <v>-2741</v>
      </c>
      <c r="Z186">
        <v>-0.27</v>
      </c>
      <c r="AA186">
        <v>17</v>
      </c>
      <c r="AB186">
        <v>8</v>
      </c>
      <c r="AC186">
        <v>9</v>
      </c>
      <c r="AD186">
        <v>47.06</v>
      </c>
      <c r="AE186">
        <v>13</v>
      </c>
      <c r="AF186">
        <v>4</v>
      </c>
      <c r="AG186">
        <v>3</v>
      </c>
      <c r="AH186">
        <v>10</v>
      </c>
    </row>
    <row r="187" spans="1:34">
      <c r="A187" s="103">
        <v>207</v>
      </c>
      <c r="B187">
        <v>4182</v>
      </c>
      <c r="C187" s="107" t="s">
        <v>88</v>
      </c>
      <c r="D187" s="107" t="s">
        <v>62</v>
      </c>
      <c r="E187">
        <v>1728</v>
      </c>
      <c r="F187">
        <v>1730</v>
      </c>
      <c r="G187">
        <v>600</v>
      </c>
      <c r="H187" s="107" t="s">
        <v>63</v>
      </c>
      <c r="I187">
        <v>9412</v>
      </c>
      <c r="J187" s="107" t="s">
        <v>1332</v>
      </c>
      <c r="K187" s="107" t="s">
        <v>79</v>
      </c>
      <c r="L187">
        <v>480</v>
      </c>
      <c r="M187">
        <v>478</v>
      </c>
      <c r="N187">
        <v>2200</v>
      </c>
      <c r="O187" s="107" t="s">
        <v>61</v>
      </c>
      <c r="P187">
        <v>0.913456375767284</v>
      </c>
      <c r="Q187">
        <v>0.90423579251245201</v>
      </c>
      <c r="R187">
        <v>0.37316055436050199</v>
      </c>
      <c r="S187">
        <v>8.6796576204352896E-2</v>
      </c>
      <c r="T187">
        <v>1.20060117804985</v>
      </c>
      <c r="U187">
        <v>1.20060117804985</v>
      </c>
      <c r="V187">
        <v>6.87</v>
      </c>
      <c r="W187">
        <v>1.31</v>
      </c>
      <c r="X187">
        <v>-49742</v>
      </c>
      <c r="Y187">
        <v>-2261</v>
      </c>
      <c r="Z187">
        <v>-0.11</v>
      </c>
      <c r="AA187">
        <v>22</v>
      </c>
      <c r="AB187">
        <v>11</v>
      </c>
      <c r="AC187">
        <v>11</v>
      </c>
      <c r="AD187">
        <v>50</v>
      </c>
      <c r="AE187">
        <v>11</v>
      </c>
      <c r="AF187">
        <v>9</v>
      </c>
      <c r="AG187">
        <v>7</v>
      </c>
      <c r="AH187">
        <v>6</v>
      </c>
    </row>
    <row r="188" spans="1:34">
      <c r="A188" s="103">
        <v>202</v>
      </c>
      <c r="B188">
        <v>3110</v>
      </c>
      <c r="C188" s="107" t="s">
        <v>1301</v>
      </c>
      <c r="D188" s="107" t="s">
        <v>106</v>
      </c>
      <c r="E188">
        <v>4260</v>
      </c>
      <c r="F188">
        <v>4220</v>
      </c>
      <c r="G188">
        <v>200</v>
      </c>
      <c r="H188" s="107" t="s">
        <v>63</v>
      </c>
      <c r="I188">
        <v>8425</v>
      </c>
      <c r="J188" s="107" t="s">
        <v>319</v>
      </c>
      <c r="K188" s="107" t="s">
        <v>299</v>
      </c>
      <c r="L188">
        <v>3355</v>
      </c>
      <c r="M188">
        <v>3350</v>
      </c>
      <c r="N188">
        <v>300</v>
      </c>
      <c r="O188" s="107" t="s">
        <v>61</v>
      </c>
      <c r="P188">
        <v>0.90341709769173895</v>
      </c>
      <c r="Q188">
        <v>0.90503092674797903</v>
      </c>
      <c r="R188">
        <v>9.3354567310156303E-2</v>
      </c>
      <c r="S188">
        <v>0.21976214550675699</v>
      </c>
      <c r="T188">
        <v>1.78483179640917</v>
      </c>
      <c r="U188">
        <v>1.78483179640917</v>
      </c>
      <c r="V188">
        <v>10.66</v>
      </c>
      <c r="W188">
        <v>19.079999999999998</v>
      </c>
      <c r="X188">
        <v>-57642</v>
      </c>
      <c r="Y188">
        <v>-3391</v>
      </c>
      <c r="Z188">
        <v>-0.1</v>
      </c>
      <c r="AA188">
        <v>17</v>
      </c>
      <c r="AB188">
        <v>9</v>
      </c>
      <c r="AC188">
        <v>8</v>
      </c>
      <c r="AD188">
        <v>52.94</v>
      </c>
      <c r="AE188">
        <v>11</v>
      </c>
      <c r="AF188">
        <v>8</v>
      </c>
      <c r="AG188">
        <v>6</v>
      </c>
      <c r="AH188">
        <v>3</v>
      </c>
    </row>
    <row r="189" spans="1:34">
      <c r="A189" s="103">
        <v>168</v>
      </c>
      <c r="B189">
        <v>6479</v>
      </c>
      <c r="C189" s="107" t="s">
        <v>1321</v>
      </c>
      <c r="D189" s="107" t="s">
        <v>87</v>
      </c>
      <c r="E189">
        <v>2330</v>
      </c>
      <c r="F189">
        <v>2326</v>
      </c>
      <c r="G189">
        <v>400</v>
      </c>
      <c r="H189" s="107" t="s">
        <v>61</v>
      </c>
      <c r="I189">
        <v>6807</v>
      </c>
      <c r="J189" s="107" t="s">
        <v>335</v>
      </c>
      <c r="K189" s="107" t="s">
        <v>87</v>
      </c>
      <c r="L189">
        <v>2296</v>
      </c>
      <c r="M189">
        <v>2272</v>
      </c>
      <c r="N189">
        <v>400</v>
      </c>
      <c r="O189" s="107" t="s">
        <v>63</v>
      </c>
      <c r="P189">
        <v>0.97169218400637003</v>
      </c>
      <c r="Q189">
        <v>0.90995364613211904</v>
      </c>
      <c r="R189">
        <v>5.42684407986412E-4</v>
      </c>
      <c r="S189">
        <v>2.7415574280097801E-2</v>
      </c>
      <c r="T189">
        <v>-0.87931375243055998</v>
      </c>
      <c r="U189">
        <v>0.87931375243055998</v>
      </c>
      <c r="V189">
        <v>-6.08</v>
      </c>
      <c r="W189">
        <v>2.3199999999999998</v>
      </c>
      <c r="X189">
        <v>-60393</v>
      </c>
      <c r="Y189">
        <v>-3020</v>
      </c>
      <c r="Z189">
        <v>-0.18</v>
      </c>
      <c r="AA189">
        <v>20</v>
      </c>
      <c r="AB189">
        <v>9</v>
      </c>
      <c r="AC189">
        <v>11</v>
      </c>
      <c r="AD189">
        <v>45</v>
      </c>
      <c r="AE189">
        <v>12</v>
      </c>
      <c r="AF189">
        <v>7</v>
      </c>
      <c r="AG189">
        <v>7</v>
      </c>
      <c r="AH189">
        <v>6</v>
      </c>
    </row>
    <row r="190" spans="1:34">
      <c r="A190" s="103">
        <v>20</v>
      </c>
      <c r="B190">
        <v>6457</v>
      </c>
      <c r="C190" s="107" t="s">
        <v>314</v>
      </c>
      <c r="D190" s="107" t="s">
        <v>99</v>
      </c>
      <c r="E190">
        <v>3360</v>
      </c>
      <c r="F190">
        <v>3360</v>
      </c>
      <c r="G190">
        <v>200</v>
      </c>
      <c r="H190" s="107" t="s">
        <v>63</v>
      </c>
      <c r="I190">
        <v>7203</v>
      </c>
      <c r="J190" s="107" t="s">
        <v>329</v>
      </c>
      <c r="K190" s="107" t="s">
        <v>84</v>
      </c>
      <c r="L190">
        <v>7778</v>
      </c>
      <c r="M190">
        <v>7811</v>
      </c>
      <c r="N190">
        <v>100</v>
      </c>
      <c r="O190" s="107" t="s">
        <v>61</v>
      </c>
      <c r="P190">
        <v>0.93185278677755701</v>
      </c>
      <c r="Q190">
        <v>0.95058438506216603</v>
      </c>
      <c r="R190">
        <v>0.10406235921261101</v>
      </c>
      <c r="S190" s="15">
        <v>6.2547092266055496E-2</v>
      </c>
      <c r="T190">
        <v>0.88236372810656805</v>
      </c>
      <c r="U190">
        <v>0.88236372810656805</v>
      </c>
      <c r="V190">
        <v>1.57</v>
      </c>
      <c r="W190">
        <v>13.97</v>
      </c>
      <c r="X190">
        <v>-61118</v>
      </c>
      <c r="Y190">
        <v>-12224</v>
      </c>
      <c r="Z190">
        <v>-0.8</v>
      </c>
      <c r="AA190">
        <v>5</v>
      </c>
      <c r="AB190">
        <v>2</v>
      </c>
      <c r="AC190">
        <v>3</v>
      </c>
      <c r="AD190">
        <v>40</v>
      </c>
      <c r="AE190">
        <v>14</v>
      </c>
      <c r="AF190">
        <v>2</v>
      </c>
      <c r="AG190">
        <v>3</v>
      </c>
      <c r="AH190">
        <v>0</v>
      </c>
    </row>
    <row r="191" spans="1:34">
      <c r="A191" s="103">
        <v>91</v>
      </c>
      <c r="B191">
        <v>4182</v>
      </c>
      <c r="C191" s="107" t="s">
        <v>88</v>
      </c>
      <c r="D191" s="107" t="s">
        <v>62</v>
      </c>
      <c r="E191">
        <v>1728</v>
      </c>
      <c r="F191">
        <v>1730</v>
      </c>
      <c r="G191">
        <v>600</v>
      </c>
      <c r="H191" s="107" t="s">
        <v>63</v>
      </c>
      <c r="I191">
        <v>7267</v>
      </c>
      <c r="J191" s="107" t="s">
        <v>118</v>
      </c>
      <c r="K191" s="107" t="s">
        <v>84</v>
      </c>
      <c r="L191">
        <v>3178</v>
      </c>
      <c r="M191">
        <v>3221</v>
      </c>
      <c r="N191">
        <v>300</v>
      </c>
      <c r="O191" s="107" t="s">
        <v>61</v>
      </c>
      <c r="P191">
        <v>0.93031979509156204</v>
      </c>
      <c r="Q191">
        <v>0.92667452773757897</v>
      </c>
      <c r="R191">
        <v>3.5425494286652801E-2</v>
      </c>
      <c r="S191" s="15">
        <v>1.8848301250189398E-2</v>
      </c>
      <c r="T191">
        <v>1.01209822751208</v>
      </c>
      <c r="U191">
        <v>1.01209822751208</v>
      </c>
      <c r="V191">
        <v>3.59</v>
      </c>
      <c r="W191">
        <v>7.42</v>
      </c>
      <c r="X191">
        <v>-68114</v>
      </c>
      <c r="Y191">
        <v>-4257</v>
      </c>
      <c r="Z191">
        <v>-0.3</v>
      </c>
      <c r="AA191">
        <v>16</v>
      </c>
      <c r="AB191">
        <v>10</v>
      </c>
      <c r="AC191">
        <v>6</v>
      </c>
      <c r="AD191">
        <v>62.5</v>
      </c>
      <c r="AE191">
        <v>14</v>
      </c>
      <c r="AF191">
        <v>4</v>
      </c>
      <c r="AG191">
        <v>4</v>
      </c>
      <c r="AH191">
        <v>8</v>
      </c>
    </row>
    <row r="192" spans="1:34">
      <c r="A192" s="103">
        <v>104</v>
      </c>
      <c r="B192">
        <v>6702</v>
      </c>
      <c r="C192" s="107" t="s">
        <v>332</v>
      </c>
      <c r="D192" s="107" t="s">
        <v>87</v>
      </c>
      <c r="E192">
        <v>10200</v>
      </c>
      <c r="F192">
        <v>10055</v>
      </c>
      <c r="G192">
        <v>100</v>
      </c>
      <c r="H192" s="107" t="s">
        <v>61</v>
      </c>
      <c r="I192">
        <v>9934</v>
      </c>
      <c r="J192" s="107" t="s">
        <v>950</v>
      </c>
      <c r="K192" s="107" t="s">
        <v>101</v>
      </c>
      <c r="L192">
        <v>2850</v>
      </c>
      <c r="M192">
        <v>2830</v>
      </c>
      <c r="N192">
        <v>400</v>
      </c>
      <c r="O192" s="107" t="s">
        <v>63</v>
      </c>
      <c r="P192">
        <v>0.90820686529736006</v>
      </c>
      <c r="Q192">
        <v>0.92342838250164805</v>
      </c>
      <c r="R192">
        <v>4.8898108556825998E-2</v>
      </c>
      <c r="S192">
        <v>7.5414696607781098E-4</v>
      </c>
      <c r="T192">
        <v>-0.98054406886010004</v>
      </c>
      <c r="U192">
        <v>0.98054406886010004</v>
      </c>
      <c r="V192">
        <v>-2.96</v>
      </c>
      <c r="W192">
        <v>12.58</v>
      </c>
      <c r="X192">
        <v>-69216</v>
      </c>
      <c r="Y192">
        <v>-4072</v>
      </c>
      <c r="Z192">
        <v>-0.4</v>
      </c>
      <c r="AA192">
        <v>17</v>
      </c>
      <c r="AB192">
        <v>4</v>
      </c>
      <c r="AC192">
        <v>13</v>
      </c>
      <c r="AD192">
        <v>23.53</v>
      </c>
      <c r="AE192">
        <v>14</v>
      </c>
      <c r="AF192">
        <v>4</v>
      </c>
      <c r="AG192">
        <v>3</v>
      </c>
      <c r="AH192">
        <v>10</v>
      </c>
    </row>
    <row r="193" spans="1:34">
      <c r="A193" s="103">
        <v>97</v>
      </c>
      <c r="B193">
        <v>3231</v>
      </c>
      <c r="C193" s="107" t="s">
        <v>963</v>
      </c>
      <c r="D193" s="107" t="s">
        <v>114</v>
      </c>
      <c r="E193">
        <v>2659</v>
      </c>
      <c r="F193">
        <v>2627</v>
      </c>
      <c r="G193">
        <v>400</v>
      </c>
      <c r="H193" s="107" t="s">
        <v>61</v>
      </c>
      <c r="I193">
        <v>6951</v>
      </c>
      <c r="J193" s="107" t="s">
        <v>323</v>
      </c>
      <c r="K193" s="107" t="s">
        <v>87</v>
      </c>
      <c r="L193">
        <v>3155</v>
      </c>
      <c r="M193">
        <v>3180</v>
      </c>
      <c r="N193">
        <v>300</v>
      </c>
      <c r="O193" s="107" t="s">
        <v>63</v>
      </c>
      <c r="P193">
        <v>0.93279121932263098</v>
      </c>
      <c r="Q193">
        <v>0.92545379594368005</v>
      </c>
      <c r="R193">
        <v>5.3809779377687002E-2</v>
      </c>
      <c r="S193">
        <v>8.2418227072955805E-2</v>
      </c>
      <c r="T193">
        <v>-1.75971163335389</v>
      </c>
      <c r="U193">
        <v>1.75971163335389</v>
      </c>
      <c r="V193">
        <v>-9.18</v>
      </c>
      <c r="W193">
        <v>10.15</v>
      </c>
      <c r="X193">
        <v>-74636</v>
      </c>
      <c r="Y193">
        <v>-4665</v>
      </c>
      <c r="Z193">
        <v>-0.19</v>
      </c>
      <c r="AA193">
        <v>16</v>
      </c>
      <c r="AB193">
        <v>9</v>
      </c>
      <c r="AC193">
        <v>7</v>
      </c>
      <c r="AD193">
        <v>56.25</v>
      </c>
      <c r="AE193">
        <v>8</v>
      </c>
      <c r="AF193">
        <v>7</v>
      </c>
      <c r="AG193">
        <v>6</v>
      </c>
      <c r="AH193">
        <v>3</v>
      </c>
    </row>
    <row r="194" spans="1:34">
      <c r="A194" s="103">
        <v>129</v>
      </c>
      <c r="B194">
        <v>6752</v>
      </c>
      <c r="C194" s="107" t="s">
        <v>105</v>
      </c>
      <c r="D194" s="107" t="s">
        <v>87</v>
      </c>
      <c r="E194">
        <v>1059</v>
      </c>
      <c r="F194">
        <v>1058</v>
      </c>
      <c r="G194">
        <v>1000</v>
      </c>
      <c r="H194" s="107" t="s">
        <v>61</v>
      </c>
      <c r="I194">
        <v>8795</v>
      </c>
      <c r="J194" s="107" t="s">
        <v>135</v>
      </c>
      <c r="K194" s="107" t="s">
        <v>110</v>
      </c>
      <c r="L194">
        <v>1384</v>
      </c>
      <c r="M194">
        <v>1373</v>
      </c>
      <c r="N194">
        <v>800</v>
      </c>
      <c r="O194" s="107" t="s">
        <v>63</v>
      </c>
      <c r="P194">
        <v>0.93601780700530601</v>
      </c>
      <c r="Q194">
        <v>0.91709192493839198</v>
      </c>
      <c r="R194">
        <v>2.5168296467711699E-2</v>
      </c>
      <c r="S194">
        <v>1.25205342874227E-2</v>
      </c>
      <c r="T194">
        <v>-5.2860413250826001E-2</v>
      </c>
      <c r="U194">
        <v>5.2860413250826001E-2</v>
      </c>
      <c r="V194">
        <v>-0.13</v>
      </c>
      <c r="W194">
        <v>3.68</v>
      </c>
      <c r="X194">
        <v>-86216</v>
      </c>
      <c r="Y194">
        <v>-5388</v>
      </c>
      <c r="Z194">
        <v>-0.22</v>
      </c>
      <c r="AA194">
        <v>16</v>
      </c>
      <c r="AB194">
        <v>6</v>
      </c>
      <c r="AC194">
        <v>10</v>
      </c>
      <c r="AD194">
        <v>37.5</v>
      </c>
      <c r="AE194">
        <v>14</v>
      </c>
      <c r="AF194">
        <v>4</v>
      </c>
      <c r="AG194">
        <v>5</v>
      </c>
      <c r="AH194">
        <v>7</v>
      </c>
    </row>
    <row r="195" spans="1:34">
      <c r="A195" s="103">
        <v>197</v>
      </c>
      <c r="B195">
        <v>7327</v>
      </c>
      <c r="C195" s="107" t="s">
        <v>141</v>
      </c>
      <c r="D195" s="107" t="s">
        <v>82</v>
      </c>
      <c r="E195">
        <v>3095</v>
      </c>
      <c r="F195">
        <v>3140</v>
      </c>
      <c r="G195">
        <v>300</v>
      </c>
      <c r="H195" s="107" t="s">
        <v>63</v>
      </c>
      <c r="I195">
        <v>7817</v>
      </c>
      <c r="J195" s="107" t="s">
        <v>1333</v>
      </c>
      <c r="K195" s="107" t="s">
        <v>1334</v>
      </c>
      <c r="L195">
        <v>4600</v>
      </c>
      <c r="M195">
        <v>4600</v>
      </c>
      <c r="N195">
        <v>200</v>
      </c>
      <c r="O195" s="107" t="s">
        <v>61</v>
      </c>
      <c r="P195">
        <v>0.90218569053465503</v>
      </c>
      <c r="Q195">
        <v>0.90564467070953103</v>
      </c>
      <c r="R195">
        <v>0.29559751729057399</v>
      </c>
      <c r="S195">
        <v>0.12465252222784599</v>
      </c>
      <c r="T195">
        <v>0.48369814428833002</v>
      </c>
      <c r="U195">
        <v>0.48369814428833002</v>
      </c>
      <c r="V195">
        <v>1.6</v>
      </c>
      <c r="W195">
        <v>2.39</v>
      </c>
      <c r="X195">
        <v>-96389</v>
      </c>
      <c r="Y195">
        <v>-96389</v>
      </c>
      <c r="Z195">
        <v>-4.83</v>
      </c>
      <c r="AA195">
        <v>1</v>
      </c>
      <c r="AB195">
        <v>0</v>
      </c>
      <c r="AC195">
        <v>1</v>
      </c>
      <c r="AD195">
        <v>0</v>
      </c>
      <c r="AE195">
        <v>7</v>
      </c>
      <c r="AF195">
        <v>0</v>
      </c>
      <c r="AG195">
        <v>1</v>
      </c>
      <c r="AH195">
        <v>0</v>
      </c>
    </row>
    <row r="196" spans="1:34">
      <c r="A196" s="103">
        <v>222</v>
      </c>
      <c r="B196">
        <v>9719</v>
      </c>
      <c r="C196" s="107" t="s">
        <v>1335</v>
      </c>
      <c r="D196" s="107" t="s">
        <v>79</v>
      </c>
      <c r="E196">
        <v>5890</v>
      </c>
      <c r="F196">
        <v>5790</v>
      </c>
      <c r="G196">
        <v>100</v>
      </c>
      <c r="H196" s="107" t="s">
        <v>61</v>
      </c>
      <c r="I196">
        <v>9759</v>
      </c>
      <c r="J196" s="107" t="s">
        <v>1026</v>
      </c>
      <c r="K196" s="107" t="s">
        <v>79</v>
      </c>
      <c r="L196">
        <v>3625</v>
      </c>
      <c r="M196">
        <v>3555</v>
      </c>
      <c r="N196">
        <v>200</v>
      </c>
      <c r="O196" s="107" t="s">
        <v>63</v>
      </c>
      <c r="P196">
        <v>0.95587199244697696</v>
      </c>
      <c r="Q196">
        <v>0.90126330060728199</v>
      </c>
      <c r="R196">
        <v>9.1667879348844294E-2</v>
      </c>
      <c r="S196">
        <v>0.10494923045466401</v>
      </c>
      <c r="T196">
        <v>-5.6349498374836098E-2</v>
      </c>
      <c r="U196">
        <v>5.6349498374836098E-2</v>
      </c>
      <c r="V196">
        <v>-0.11</v>
      </c>
      <c r="W196">
        <v>22.8</v>
      </c>
      <c r="X196">
        <v>-97616</v>
      </c>
      <c r="Y196">
        <v>-7509</v>
      </c>
      <c r="Z196">
        <v>-0.35</v>
      </c>
      <c r="AA196">
        <v>13</v>
      </c>
      <c r="AB196">
        <v>6</v>
      </c>
      <c r="AC196">
        <v>7</v>
      </c>
      <c r="AD196">
        <v>46.15</v>
      </c>
      <c r="AE196">
        <v>13</v>
      </c>
      <c r="AF196">
        <v>3</v>
      </c>
      <c r="AG196">
        <v>2</v>
      </c>
      <c r="AH196">
        <v>8</v>
      </c>
    </row>
    <row r="197" spans="1:34">
      <c r="A197" s="103">
        <v>190</v>
      </c>
      <c r="B197">
        <v>1911</v>
      </c>
      <c r="C197" s="107" t="s">
        <v>103</v>
      </c>
      <c r="D197" s="107" t="s">
        <v>78</v>
      </c>
      <c r="E197">
        <v>1666</v>
      </c>
      <c r="F197">
        <v>1644</v>
      </c>
      <c r="G197">
        <v>700</v>
      </c>
      <c r="H197" s="107" t="s">
        <v>63</v>
      </c>
      <c r="I197">
        <v>4634</v>
      </c>
      <c r="J197" s="107" t="s">
        <v>140</v>
      </c>
      <c r="K197" s="107" t="s">
        <v>62</v>
      </c>
      <c r="L197">
        <v>2765</v>
      </c>
      <c r="M197">
        <v>2734</v>
      </c>
      <c r="N197">
        <v>400</v>
      </c>
      <c r="O197" s="107" t="s">
        <v>61</v>
      </c>
      <c r="P197">
        <v>0.92248588091615402</v>
      </c>
      <c r="Q197">
        <v>0.906439339560285</v>
      </c>
      <c r="R197" s="15">
        <v>7.0621864514431601E-2</v>
      </c>
      <c r="S197" s="15">
        <v>0.21307900668526999</v>
      </c>
      <c r="T197">
        <v>1.1030325729252</v>
      </c>
      <c r="U197">
        <v>1.1030325729252</v>
      </c>
      <c r="V197">
        <v>1.89</v>
      </c>
      <c r="W197">
        <v>5.23</v>
      </c>
      <c r="X197">
        <v>-107878</v>
      </c>
      <c r="Y197">
        <v>-6742</v>
      </c>
      <c r="Z197">
        <v>-0.39</v>
      </c>
      <c r="AA197">
        <v>16</v>
      </c>
      <c r="AB197">
        <v>6</v>
      </c>
      <c r="AC197">
        <v>10</v>
      </c>
      <c r="AD197">
        <v>37.5</v>
      </c>
      <c r="AE197">
        <v>15</v>
      </c>
      <c r="AF197">
        <v>2</v>
      </c>
      <c r="AG197">
        <v>2</v>
      </c>
      <c r="AH197">
        <v>12</v>
      </c>
    </row>
    <row r="198" spans="1:34">
      <c r="A198" s="103">
        <v>228</v>
      </c>
      <c r="B198">
        <v>4202</v>
      </c>
      <c r="C198" s="107" t="s">
        <v>89</v>
      </c>
      <c r="D198" s="107" t="s">
        <v>62</v>
      </c>
      <c r="E198">
        <v>1079</v>
      </c>
      <c r="F198">
        <v>1079</v>
      </c>
      <c r="G198">
        <v>700</v>
      </c>
      <c r="H198" s="107" t="s">
        <v>61</v>
      </c>
      <c r="I198">
        <v>6371</v>
      </c>
      <c r="J198" s="107" t="s">
        <v>108</v>
      </c>
      <c r="K198" s="107" t="s">
        <v>99</v>
      </c>
      <c r="L198">
        <v>3995</v>
      </c>
      <c r="M198">
        <v>4000</v>
      </c>
      <c r="N198">
        <v>200</v>
      </c>
      <c r="O198" s="107" t="s">
        <v>63</v>
      </c>
      <c r="P198">
        <v>0.93383341843692502</v>
      </c>
      <c r="Q198">
        <v>0.90031756105437299</v>
      </c>
      <c r="R198">
        <v>0.160669839021332</v>
      </c>
      <c r="S198">
        <v>0.22839107011437501</v>
      </c>
      <c r="T198">
        <v>-0.11969610366439599</v>
      </c>
      <c r="U198">
        <v>0.11969610366439599</v>
      </c>
      <c r="V198">
        <v>-0.54</v>
      </c>
      <c r="W198">
        <v>5.59</v>
      </c>
      <c r="X198">
        <v>-110166</v>
      </c>
      <c r="Y198">
        <v>-6885</v>
      </c>
      <c r="Z198">
        <v>-0.47</v>
      </c>
      <c r="AA198">
        <v>16</v>
      </c>
      <c r="AB198">
        <v>5</v>
      </c>
      <c r="AC198">
        <v>11</v>
      </c>
      <c r="AD198">
        <v>31.25</v>
      </c>
      <c r="AE198">
        <v>14</v>
      </c>
      <c r="AF198">
        <v>3</v>
      </c>
      <c r="AG198">
        <v>5</v>
      </c>
      <c r="AH198">
        <v>8</v>
      </c>
    </row>
    <row r="199" spans="1:34">
      <c r="A199" s="103">
        <v>114</v>
      </c>
      <c r="B199">
        <v>4204</v>
      </c>
      <c r="C199" s="107" t="s">
        <v>324</v>
      </c>
      <c r="D199" s="107" t="s">
        <v>62</v>
      </c>
      <c r="E199">
        <v>1941</v>
      </c>
      <c r="F199">
        <v>1926</v>
      </c>
      <c r="G199">
        <v>400</v>
      </c>
      <c r="H199" s="107" t="s">
        <v>61</v>
      </c>
      <c r="I199">
        <v>5947</v>
      </c>
      <c r="J199" s="107" t="s">
        <v>325</v>
      </c>
      <c r="K199" s="107" t="s">
        <v>116</v>
      </c>
      <c r="L199">
        <v>8580</v>
      </c>
      <c r="M199">
        <v>8530</v>
      </c>
      <c r="N199">
        <v>100</v>
      </c>
      <c r="O199" s="107" t="s">
        <v>63</v>
      </c>
      <c r="P199">
        <v>0.92973564888283999</v>
      </c>
      <c r="Q199">
        <v>0.92121716168355605</v>
      </c>
      <c r="R199">
        <v>0.122954150818847</v>
      </c>
      <c r="S199">
        <v>2.6750232383308602E-3</v>
      </c>
      <c r="T199">
        <v>-0.60435174302876804</v>
      </c>
      <c r="U199">
        <v>0.60435174302876804</v>
      </c>
      <c r="V199">
        <v>-1.48</v>
      </c>
      <c r="W199">
        <v>9.68</v>
      </c>
      <c r="X199">
        <v>-110401</v>
      </c>
      <c r="Y199">
        <v>-7886</v>
      </c>
      <c r="Z199">
        <v>-0.25</v>
      </c>
      <c r="AA199">
        <v>14</v>
      </c>
      <c r="AB199">
        <v>7</v>
      </c>
      <c r="AC199">
        <v>7</v>
      </c>
      <c r="AD199">
        <v>50</v>
      </c>
      <c r="AE199">
        <v>16</v>
      </c>
      <c r="AF199">
        <v>4</v>
      </c>
      <c r="AG199">
        <v>2</v>
      </c>
      <c r="AH199">
        <v>8</v>
      </c>
    </row>
    <row r="200" spans="1:34">
      <c r="A200" s="103">
        <v>62</v>
      </c>
      <c r="B200">
        <v>7181</v>
      </c>
      <c r="C200" s="107" t="s">
        <v>137</v>
      </c>
      <c r="D200" s="107" t="s">
        <v>110</v>
      </c>
      <c r="E200">
        <v>2005</v>
      </c>
      <c r="F200">
        <v>1990</v>
      </c>
      <c r="G200">
        <v>500</v>
      </c>
      <c r="H200" s="107" t="s">
        <v>63</v>
      </c>
      <c r="I200">
        <v>9603</v>
      </c>
      <c r="J200" s="107" t="s">
        <v>1336</v>
      </c>
      <c r="K200" s="107" t="s">
        <v>120</v>
      </c>
      <c r="L200">
        <v>3180</v>
      </c>
      <c r="M200">
        <v>3190</v>
      </c>
      <c r="N200">
        <v>300</v>
      </c>
      <c r="O200" s="107" t="s">
        <v>61</v>
      </c>
      <c r="P200">
        <v>0.96859979104961802</v>
      </c>
      <c r="Q200">
        <v>0.93498500306808796</v>
      </c>
      <c r="R200">
        <v>2.87943711969972E-4</v>
      </c>
      <c r="S200">
        <v>0.23020018085426999</v>
      </c>
      <c r="T200">
        <v>0.74483377150682095</v>
      </c>
      <c r="U200">
        <v>0.74483377150682095</v>
      </c>
      <c r="V200">
        <v>1.97</v>
      </c>
      <c r="W200">
        <v>3.97</v>
      </c>
      <c r="X200">
        <v>-110956</v>
      </c>
      <c r="Y200">
        <v>-7397</v>
      </c>
      <c r="Z200">
        <v>-0.38</v>
      </c>
      <c r="AA200">
        <v>15</v>
      </c>
      <c r="AB200">
        <v>6</v>
      </c>
      <c r="AC200">
        <v>9</v>
      </c>
      <c r="AD200">
        <v>40</v>
      </c>
      <c r="AE200">
        <v>11</v>
      </c>
      <c r="AF200">
        <v>5</v>
      </c>
      <c r="AG200">
        <v>7</v>
      </c>
      <c r="AH200">
        <v>3</v>
      </c>
    </row>
    <row r="201" spans="1:34">
      <c r="A201" s="103">
        <v>86</v>
      </c>
      <c r="B201">
        <v>6702</v>
      </c>
      <c r="C201" s="107" t="s">
        <v>332</v>
      </c>
      <c r="D201" s="107" t="s">
        <v>87</v>
      </c>
      <c r="E201">
        <v>10200</v>
      </c>
      <c r="F201">
        <v>10055</v>
      </c>
      <c r="G201">
        <v>100</v>
      </c>
      <c r="H201" s="107" t="s">
        <v>63</v>
      </c>
      <c r="I201">
        <v>6845</v>
      </c>
      <c r="J201" s="107" t="s">
        <v>307</v>
      </c>
      <c r="K201" s="107" t="s">
        <v>87</v>
      </c>
      <c r="L201">
        <v>3260</v>
      </c>
      <c r="M201">
        <v>3205</v>
      </c>
      <c r="N201">
        <v>300</v>
      </c>
      <c r="O201" s="107" t="s">
        <v>61</v>
      </c>
      <c r="P201">
        <v>0.91838268195031603</v>
      </c>
      <c r="Q201">
        <v>0.92799016097123399</v>
      </c>
      <c r="R201">
        <v>0.196829017151402</v>
      </c>
      <c r="S201">
        <v>4.7426715526741402E-2</v>
      </c>
      <c r="T201">
        <v>0.90478897429434202</v>
      </c>
      <c r="U201">
        <v>0.90478897429434202</v>
      </c>
      <c r="V201">
        <v>2.48</v>
      </c>
      <c r="W201">
        <v>4.38</v>
      </c>
      <c r="X201">
        <v>-115725</v>
      </c>
      <c r="Y201">
        <v>-9644</v>
      </c>
      <c r="Z201">
        <v>-0.71</v>
      </c>
      <c r="AA201">
        <v>12</v>
      </c>
      <c r="AB201">
        <v>5</v>
      </c>
      <c r="AC201">
        <v>7</v>
      </c>
      <c r="AD201">
        <v>41.67</v>
      </c>
      <c r="AE201">
        <v>13</v>
      </c>
      <c r="AF201">
        <v>4</v>
      </c>
      <c r="AG201">
        <v>3</v>
      </c>
      <c r="AH201">
        <v>5</v>
      </c>
    </row>
    <row r="202" spans="1:34">
      <c r="A202" s="103">
        <v>14</v>
      </c>
      <c r="B202">
        <v>2413</v>
      </c>
      <c r="C202" s="107" t="s">
        <v>1271</v>
      </c>
      <c r="D202" s="107" t="s">
        <v>120</v>
      </c>
      <c r="E202">
        <v>3065</v>
      </c>
      <c r="F202">
        <v>3025</v>
      </c>
      <c r="G202">
        <v>300</v>
      </c>
      <c r="H202" s="107" t="s">
        <v>61</v>
      </c>
      <c r="I202">
        <v>3110</v>
      </c>
      <c r="J202" s="107" t="s">
        <v>1301</v>
      </c>
      <c r="K202" s="107" t="s">
        <v>106</v>
      </c>
      <c r="L202">
        <v>4260</v>
      </c>
      <c r="M202">
        <v>4220</v>
      </c>
      <c r="N202">
        <v>200</v>
      </c>
      <c r="O202" s="107" t="s">
        <v>63</v>
      </c>
      <c r="P202">
        <v>0.93691893816233995</v>
      </c>
      <c r="Q202">
        <v>0.953999963459496</v>
      </c>
      <c r="R202">
        <v>0.23779450245884401</v>
      </c>
      <c r="S202">
        <v>7.4670265472324901E-2</v>
      </c>
      <c r="T202">
        <v>-1.7496343106060701</v>
      </c>
      <c r="U202">
        <v>1.7496343106060701</v>
      </c>
      <c r="V202">
        <v>-9.35</v>
      </c>
      <c r="W202">
        <v>7.52</v>
      </c>
      <c r="X202">
        <v>-115949</v>
      </c>
      <c r="Y202">
        <v>-6821</v>
      </c>
      <c r="Z202">
        <v>-0.22</v>
      </c>
      <c r="AA202">
        <v>17</v>
      </c>
      <c r="AB202">
        <v>8</v>
      </c>
      <c r="AC202">
        <v>9</v>
      </c>
      <c r="AD202">
        <v>47.06</v>
      </c>
      <c r="AE202">
        <v>10</v>
      </c>
      <c r="AF202">
        <v>5</v>
      </c>
      <c r="AG202">
        <v>8</v>
      </c>
      <c r="AH202">
        <v>4</v>
      </c>
    </row>
    <row r="203" spans="1:34">
      <c r="A203" s="103">
        <v>42</v>
      </c>
      <c r="B203">
        <v>4062</v>
      </c>
      <c r="C203" s="107" t="s">
        <v>326</v>
      </c>
      <c r="D203" s="107" t="s">
        <v>87</v>
      </c>
      <c r="E203">
        <v>2625</v>
      </c>
      <c r="F203">
        <v>2608</v>
      </c>
      <c r="G203">
        <v>400</v>
      </c>
      <c r="H203" s="107" t="s">
        <v>61</v>
      </c>
      <c r="I203">
        <v>6951</v>
      </c>
      <c r="J203" s="107" t="s">
        <v>323</v>
      </c>
      <c r="K203" s="107" t="s">
        <v>87</v>
      </c>
      <c r="L203">
        <v>3155</v>
      </c>
      <c r="M203">
        <v>3180</v>
      </c>
      <c r="N203">
        <v>300</v>
      </c>
      <c r="O203" s="107" t="s">
        <v>63</v>
      </c>
      <c r="P203">
        <v>0.94007297053250105</v>
      </c>
      <c r="Q203">
        <v>0.94173180717081495</v>
      </c>
      <c r="R203">
        <v>3.9913042827734002E-2</v>
      </c>
      <c r="S203">
        <v>0.12986678399785501</v>
      </c>
      <c r="T203">
        <v>-1.2709237771872901</v>
      </c>
      <c r="U203">
        <v>1.2709237771872901</v>
      </c>
      <c r="V203">
        <v>-3.76</v>
      </c>
      <c r="W203">
        <v>9.35</v>
      </c>
      <c r="X203">
        <v>-118052</v>
      </c>
      <c r="Y203">
        <v>-7870</v>
      </c>
      <c r="Z203">
        <v>-0.41</v>
      </c>
      <c r="AA203">
        <v>15</v>
      </c>
      <c r="AB203">
        <v>7</v>
      </c>
      <c r="AC203">
        <v>8</v>
      </c>
      <c r="AD203">
        <v>46.67</v>
      </c>
      <c r="AE203">
        <v>12</v>
      </c>
      <c r="AF203">
        <v>5</v>
      </c>
      <c r="AG203">
        <v>6</v>
      </c>
      <c r="AH203">
        <v>4</v>
      </c>
    </row>
    <row r="204" spans="1:34">
      <c r="A204" s="103">
        <v>16</v>
      </c>
      <c r="B204">
        <v>9501</v>
      </c>
      <c r="C204" s="107" t="s">
        <v>1276</v>
      </c>
      <c r="D204" s="107" t="s">
        <v>124</v>
      </c>
      <c r="E204">
        <v>484</v>
      </c>
      <c r="F204">
        <v>488</v>
      </c>
      <c r="G204">
        <v>2100</v>
      </c>
      <c r="H204" s="107" t="s">
        <v>63</v>
      </c>
      <c r="I204">
        <v>9508</v>
      </c>
      <c r="J204" s="107" t="s">
        <v>1277</v>
      </c>
      <c r="K204" s="107" t="s">
        <v>124</v>
      </c>
      <c r="L204">
        <v>951</v>
      </c>
      <c r="M204">
        <v>948</v>
      </c>
      <c r="N204">
        <v>1100</v>
      </c>
      <c r="O204" s="107" t="s">
        <v>61</v>
      </c>
      <c r="P204">
        <v>0.92096371465890803</v>
      </c>
      <c r="Q204">
        <v>0.95292207083465896</v>
      </c>
      <c r="R204">
        <v>0.124526242385693</v>
      </c>
      <c r="S204">
        <v>0.15224977990007599</v>
      </c>
      <c r="T204">
        <v>1.1658384816055001</v>
      </c>
      <c r="U204">
        <v>1.1658384816055001</v>
      </c>
      <c r="V204">
        <v>2.7</v>
      </c>
      <c r="W204">
        <v>1.73</v>
      </c>
      <c r="X204">
        <v>-124320</v>
      </c>
      <c r="Y204">
        <v>-9563</v>
      </c>
      <c r="Z204">
        <v>-0.48</v>
      </c>
      <c r="AA204">
        <v>13</v>
      </c>
      <c r="AB204">
        <v>5</v>
      </c>
      <c r="AC204">
        <v>8</v>
      </c>
      <c r="AD204">
        <v>38.46</v>
      </c>
      <c r="AE204">
        <v>14</v>
      </c>
      <c r="AF204">
        <v>3</v>
      </c>
      <c r="AG204">
        <v>4</v>
      </c>
      <c r="AH204">
        <v>6</v>
      </c>
    </row>
    <row r="205" spans="1:34">
      <c r="A205" s="103">
        <v>154</v>
      </c>
      <c r="B205">
        <v>7189</v>
      </c>
      <c r="C205" s="107" t="s">
        <v>81</v>
      </c>
      <c r="D205" s="107" t="s">
        <v>82</v>
      </c>
      <c r="E205">
        <v>873</v>
      </c>
      <c r="F205">
        <v>879</v>
      </c>
      <c r="G205">
        <v>1200</v>
      </c>
      <c r="H205" s="107" t="s">
        <v>63</v>
      </c>
      <c r="I205">
        <v>8377</v>
      </c>
      <c r="J205" s="107" t="s">
        <v>94</v>
      </c>
      <c r="K205" s="107" t="s">
        <v>82</v>
      </c>
      <c r="L205">
        <v>1164</v>
      </c>
      <c r="M205">
        <v>1172</v>
      </c>
      <c r="N205">
        <v>900</v>
      </c>
      <c r="O205" s="107" t="s">
        <v>61</v>
      </c>
      <c r="P205">
        <v>0.95176674622910695</v>
      </c>
      <c r="Q205">
        <v>0.91244252762219202</v>
      </c>
      <c r="R205">
        <v>0.26111794351433099</v>
      </c>
      <c r="S205">
        <v>0.29519690625232098</v>
      </c>
      <c r="T205">
        <v>0.592819386696259</v>
      </c>
      <c r="U205">
        <v>0.592819386696259</v>
      </c>
      <c r="V205">
        <v>2.41</v>
      </c>
      <c r="W205">
        <v>0</v>
      </c>
      <c r="X205">
        <v>-129434</v>
      </c>
      <c r="Y205">
        <v>-6812</v>
      </c>
      <c r="Z205">
        <v>-0.3</v>
      </c>
      <c r="AA205">
        <v>19</v>
      </c>
      <c r="AB205">
        <v>9</v>
      </c>
      <c r="AC205">
        <v>10</v>
      </c>
      <c r="AD205">
        <v>47.37</v>
      </c>
      <c r="AE205">
        <v>15</v>
      </c>
      <c r="AF205">
        <v>3</v>
      </c>
      <c r="AG205">
        <v>4</v>
      </c>
      <c r="AH205">
        <v>12</v>
      </c>
    </row>
    <row r="206" spans="1:34">
      <c r="A206" s="103">
        <v>150</v>
      </c>
      <c r="B206">
        <v>5333</v>
      </c>
      <c r="C206" s="107" t="s">
        <v>334</v>
      </c>
      <c r="D206" s="107" t="s">
        <v>106</v>
      </c>
      <c r="E206">
        <v>1915</v>
      </c>
      <c r="F206">
        <v>1919</v>
      </c>
      <c r="G206">
        <v>500</v>
      </c>
      <c r="H206" s="107" t="s">
        <v>61</v>
      </c>
      <c r="I206">
        <v>8253</v>
      </c>
      <c r="J206" s="107" t="s">
        <v>1273</v>
      </c>
      <c r="K206" s="107" t="s">
        <v>299</v>
      </c>
      <c r="L206">
        <v>1901</v>
      </c>
      <c r="M206">
        <v>1908</v>
      </c>
      <c r="N206">
        <v>500</v>
      </c>
      <c r="O206" s="107" t="s">
        <v>63</v>
      </c>
      <c r="P206">
        <v>0.92634573182596103</v>
      </c>
      <c r="Q206">
        <v>0.91296935818390101</v>
      </c>
      <c r="R206" s="15">
        <v>0.154687813635</v>
      </c>
      <c r="S206">
        <v>4.9467356456332004E-3</v>
      </c>
      <c r="T206">
        <v>-1.06076587169183</v>
      </c>
      <c r="U206">
        <v>1.06076587169183</v>
      </c>
      <c r="V206">
        <v>-7.98</v>
      </c>
      <c r="W206">
        <v>0.56999999999999995</v>
      </c>
      <c r="X206">
        <v>-129824</v>
      </c>
      <c r="Y206">
        <v>-7637</v>
      </c>
      <c r="Z206">
        <v>-0.39</v>
      </c>
      <c r="AA206">
        <v>17</v>
      </c>
      <c r="AB206">
        <v>7</v>
      </c>
      <c r="AC206">
        <v>10</v>
      </c>
      <c r="AD206">
        <v>41.18</v>
      </c>
      <c r="AE206">
        <v>13</v>
      </c>
      <c r="AF206">
        <v>4</v>
      </c>
      <c r="AG206">
        <v>6</v>
      </c>
      <c r="AH206">
        <v>7</v>
      </c>
    </row>
    <row r="207" spans="1:34">
      <c r="A207" s="103">
        <v>210</v>
      </c>
      <c r="B207">
        <v>7181</v>
      </c>
      <c r="C207" s="107" t="s">
        <v>137</v>
      </c>
      <c r="D207" s="107" t="s">
        <v>110</v>
      </c>
      <c r="E207">
        <v>2005</v>
      </c>
      <c r="F207">
        <v>1990</v>
      </c>
      <c r="G207">
        <v>500</v>
      </c>
      <c r="H207" s="107" t="s">
        <v>63</v>
      </c>
      <c r="I207">
        <v>8377</v>
      </c>
      <c r="J207" s="107" t="s">
        <v>94</v>
      </c>
      <c r="K207" s="107" t="s">
        <v>82</v>
      </c>
      <c r="L207">
        <v>1164</v>
      </c>
      <c r="M207">
        <v>1172</v>
      </c>
      <c r="N207">
        <v>800</v>
      </c>
      <c r="O207" s="107" t="s">
        <v>61</v>
      </c>
      <c r="P207">
        <v>0.903424595290792</v>
      </c>
      <c r="Q207">
        <v>0.90340679291043302</v>
      </c>
      <c r="R207">
        <v>0.19998511452263201</v>
      </c>
      <c r="S207">
        <v>0.32152843041256302</v>
      </c>
      <c r="T207">
        <v>1.7539948337739599</v>
      </c>
      <c r="U207">
        <v>1.7539948337739599</v>
      </c>
      <c r="V207">
        <v>4.9400000000000004</v>
      </c>
      <c r="W207">
        <v>5.77</v>
      </c>
      <c r="X207">
        <v>-134069</v>
      </c>
      <c r="Y207">
        <v>-7056</v>
      </c>
      <c r="Z207">
        <v>-0.36</v>
      </c>
      <c r="AA207">
        <v>19</v>
      </c>
      <c r="AB207">
        <v>8</v>
      </c>
      <c r="AC207">
        <v>11</v>
      </c>
      <c r="AD207">
        <v>42.11</v>
      </c>
      <c r="AE207">
        <v>13</v>
      </c>
      <c r="AF207">
        <v>4</v>
      </c>
      <c r="AG207">
        <v>4</v>
      </c>
      <c r="AH207">
        <v>11</v>
      </c>
    </row>
    <row r="208" spans="1:34">
      <c r="A208" s="103">
        <v>100</v>
      </c>
      <c r="B208">
        <v>3635</v>
      </c>
      <c r="C208" s="107" t="s">
        <v>85</v>
      </c>
      <c r="D208" s="107" t="s">
        <v>79</v>
      </c>
      <c r="E208">
        <v>2727</v>
      </c>
      <c r="F208">
        <v>2709</v>
      </c>
      <c r="G208">
        <v>300</v>
      </c>
      <c r="H208" s="107" t="s">
        <v>61</v>
      </c>
      <c r="I208">
        <v>6588</v>
      </c>
      <c r="J208" s="107" t="s">
        <v>955</v>
      </c>
      <c r="K208" s="107" t="s">
        <v>87</v>
      </c>
      <c r="L208">
        <v>4625</v>
      </c>
      <c r="M208">
        <v>4530</v>
      </c>
      <c r="N208">
        <v>200</v>
      </c>
      <c r="O208" s="107" t="s">
        <v>63</v>
      </c>
      <c r="P208">
        <v>0.959124265042124</v>
      </c>
      <c r="Q208">
        <v>0.92445244275541205</v>
      </c>
      <c r="R208">
        <v>7.0350978554231704E-3</v>
      </c>
      <c r="S208">
        <v>0.14018340807837501</v>
      </c>
      <c r="T208">
        <v>-1.0703466633980201</v>
      </c>
      <c r="U208">
        <v>1.0703466633980201</v>
      </c>
      <c r="V208">
        <v>-9.36</v>
      </c>
      <c r="W208">
        <v>10.3</v>
      </c>
      <c r="X208">
        <v>-149155</v>
      </c>
      <c r="Y208">
        <v>-16573</v>
      </c>
      <c r="Z208">
        <v>-0.94</v>
      </c>
      <c r="AA208">
        <v>9</v>
      </c>
      <c r="AB208">
        <v>4</v>
      </c>
      <c r="AC208">
        <v>5</v>
      </c>
      <c r="AD208">
        <v>44.44</v>
      </c>
      <c r="AE208">
        <v>12</v>
      </c>
      <c r="AF208">
        <v>1</v>
      </c>
      <c r="AG208">
        <v>3</v>
      </c>
      <c r="AH208">
        <v>5</v>
      </c>
    </row>
    <row r="209" spans="1:34">
      <c r="A209" s="103">
        <v>72</v>
      </c>
      <c r="B209">
        <v>4182</v>
      </c>
      <c r="C209" s="107" t="s">
        <v>88</v>
      </c>
      <c r="D209" s="107" t="s">
        <v>62</v>
      </c>
      <c r="E209">
        <v>1728</v>
      </c>
      <c r="F209">
        <v>1730</v>
      </c>
      <c r="G209">
        <v>600</v>
      </c>
      <c r="H209" s="107" t="s">
        <v>63</v>
      </c>
      <c r="I209">
        <v>9072</v>
      </c>
      <c r="J209" s="107" t="s">
        <v>126</v>
      </c>
      <c r="K209" s="107" t="s">
        <v>119</v>
      </c>
      <c r="L209">
        <v>2740</v>
      </c>
      <c r="M209">
        <v>2739</v>
      </c>
      <c r="N209">
        <v>400</v>
      </c>
      <c r="O209" s="107" t="s">
        <v>61</v>
      </c>
      <c r="P209">
        <v>0.94965549511020497</v>
      </c>
      <c r="Q209">
        <v>0.93131522168615199</v>
      </c>
      <c r="R209">
        <v>6.53585450399466E-3</v>
      </c>
      <c r="S209" s="15">
        <v>9.3068475844434301E-5</v>
      </c>
      <c r="T209">
        <v>1.61100492484582</v>
      </c>
      <c r="U209">
        <v>1.61100492484582</v>
      </c>
      <c r="V209">
        <v>7.14</v>
      </c>
      <c r="W209">
        <v>5.26</v>
      </c>
      <c r="X209">
        <v>-153106</v>
      </c>
      <c r="Y209">
        <v>-9006</v>
      </c>
      <c r="Z209">
        <v>-0.41</v>
      </c>
      <c r="AA209">
        <v>17</v>
      </c>
      <c r="AB209">
        <v>6</v>
      </c>
      <c r="AC209">
        <v>11</v>
      </c>
      <c r="AD209">
        <v>35.29</v>
      </c>
      <c r="AE209">
        <v>13</v>
      </c>
      <c r="AF209">
        <v>6</v>
      </c>
      <c r="AG209">
        <v>5</v>
      </c>
      <c r="AH209">
        <v>6</v>
      </c>
    </row>
    <row r="210" spans="1:34">
      <c r="A210" s="103">
        <v>92</v>
      </c>
      <c r="B210">
        <v>6287</v>
      </c>
      <c r="C210" s="107" t="s">
        <v>951</v>
      </c>
      <c r="D210" s="107" t="s">
        <v>99</v>
      </c>
      <c r="E210">
        <v>3455</v>
      </c>
      <c r="F210">
        <v>3455</v>
      </c>
      <c r="G210">
        <v>300</v>
      </c>
      <c r="H210" s="107" t="s">
        <v>61</v>
      </c>
      <c r="I210">
        <v>7274</v>
      </c>
      <c r="J210" s="107" t="s">
        <v>336</v>
      </c>
      <c r="K210" s="107" t="s">
        <v>84</v>
      </c>
      <c r="L210">
        <v>2278</v>
      </c>
      <c r="M210">
        <v>2283</v>
      </c>
      <c r="N210">
        <v>500</v>
      </c>
      <c r="O210" s="107" t="s">
        <v>63</v>
      </c>
      <c r="P210">
        <v>0.96157809798891702</v>
      </c>
      <c r="Q210">
        <v>0.92667112918005801</v>
      </c>
      <c r="R210">
        <v>1.6759106076749099E-2</v>
      </c>
      <c r="S210" s="15">
        <v>0.321504657117964</v>
      </c>
      <c r="T210">
        <v>-0.859933028141316</v>
      </c>
      <c r="U210">
        <v>0.859933028141316</v>
      </c>
      <c r="V210">
        <v>-11.52</v>
      </c>
      <c r="W210">
        <v>10.130000000000001</v>
      </c>
      <c r="X210">
        <v>-158411</v>
      </c>
      <c r="Y210">
        <v>-7543</v>
      </c>
      <c r="Z210">
        <v>-0.36</v>
      </c>
      <c r="AA210">
        <v>21</v>
      </c>
      <c r="AB210">
        <v>11</v>
      </c>
      <c r="AC210">
        <v>10</v>
      </c>
      <c r="AD210">
        <v>52.38</v>
      </c>
      <c r="AE210">
        <v>10</v>
      </c>
      <c r="AF210">
        <v>8</v>
      </c>
      <c r="AG210">
        <v>9</v>
      </c>
      <c r="AH210">
        <v>4</v>
      </c>
    </row>
    <row r="211" spans="1:34">
      <c r="A211" s="103">
        <v>153</v>
      </c>
      <c r="B211">
        <v>4519</v>
      </c>
      <c r="C211" s="107" t="s">
        <v>954</v>
      </c>
      <c r="D211" s="107" t="s">
        <v>136</v>
      </c>
      <c r="E211">
        <v>10025</v>
      </c>
      <c r="F211">
        <v>10040</v>
      </c>
      <c r="G211">
        <v>100</v>
      </c>
      <c r="H211" s="107" t="s">
        <v>63</v>
      </c>
      <c r="I211">
        <v>4613</v>
      </c>
      <c r="J211" s="107" t="s">
        <v>320</v>
      </c>
      <c r="K211" s="107" t="s">
        <v>62</v>
      </c>
      <c r="L211">
        <v>2822</v>
      </c>
      <c r="M211">
        <v>2757</v>
      </c>
      <c r="N211">
        <v>400</v>
      </c>
      <c r="O211" s="107" t="s">
        <v>61</v>
      </c>
      <c r="P211">
        <v>0.92507405163888901</v>
      </c>
      <c r="Q211">
        <v>0.91265505585520001</v>
      </c>
      <c r="R211">
        <v>0.24827313705856299</v>
      </c>
      <c r="S211">
        <v>9.3367952693109504E-3</v>
      </c>
      <c r="T211">
        <v>2.3572776817252401</v>
      </c>
      <c r="U211">
        <v>2.3572776817252401</v>
      </c>
      <c r="V211">
        <v>7.35</v>
      </c>
      <c r="W211">
        <v>9.84</v>
      </c>
      <c r="X211">
        <v>-169869</v>
      </c>
      <c r="Y211">
        <v>-14156</v>
      </c>
      <c r="Z211">
        <v>-0.56000000000000005</v>
      </c>
      <c r="AA211">
        <v>12</v>
      </c>
      <c r="AB211">
        <v>5</v>
      </c>
      <c r="AC211">
        <v>7</v>
      </c>
      <c r="AD211">
        <v>41.67</v>
      </c>
      <c r="AE211">
        <v>11</v>
      </c>
      <c r="AF211">
        <v>5</v>
      </c>
      <c r="AG211">
        <v>5</v>
      </c>
      <c r="AH211">
        <v>2</v>
      </c>
    </row>
    <row r="212" spans="1:34">
      <c r="A212" s="103">
        <v>166</v>
      </c>
      <c r="B212">
        <v>6479</v>
      </c>
      <c r="C212" s="107" t="s">
        <v>1321</v>
      </c>
      <c r="D212" s="107" t="s">
        <v>87</v>
      </c>
      <c r="E212">
        <v>2330</v>
      </c>
      <c r="F212">
        <v>2326</v>
      </c>
      <c r="G212">
        <v>400</v>
      </c>
      <c r="H212" s="107" t="s">
        <v>61</v>
      </c>
      <c r="I212">
        <v>7274</v>
      </c>
      <c r="J212" s="107" t="s">
        <v>336</v>
      </c>
      <c r="K212" s="107" t="s">
        <v>84</v>
      </c>
      <c r="L212">
        <v>2278</v>
      </c>
      <c r="M212">
        <v>2283</v>
      </c>
      <c r="N212">
        <v>400</v>
      </c>
      <c r="O212" s="107" t="s">
        <v>63</v>
      </c>
      <c r="P212">
        <v>0.93202658198659205</v>
      </c>
      <c r="Q212">
        <v>0.91033359768853495</v>
      </c>
      <c r="R212">
        <v>3.8868278696830703E-2</v>
      </c>
      <c r="S212">
        <v>5.4226892403909698E-3</v>
      </c>
      <c r="T212">
        <v>-0.48700769013758599</v>
      </c>
      <c r="U212">
        <v>0.48700769013758599</v>
      </c>
      <c r="V212">
        <v>-5.79</v>
      </c>
      <c r="W212">
        <v>1.85</v>
      </c>
      <c r="X212">
        <v>-170670</v>
      </c>
      <c r="Y212">
        <v>-10039</v>
      </c>
      <c r="Z212">
        <v>-0.52</v>
      </c>
      <c r="AA212">
        <v>17</v>
      </c>
      <c r="AB212">
        <v>7</v>
      </c>
      <c r="AC212">
        <v>10</v>
      </c>
      <c r="AD212">
        <v>41.18</v>
      </c>
      <c r="AE212">
        <v>14</v>
      </c>
      <c r="AF212">
        <v>3</v>
      </c>
      <c r="AG212">
        <v>5</v>
      </c>
      <c r="AH212">
        <v>9</v>
      </c>
    </row>
    <row r="213" spans="1:34">
      <c r="A213" s="103">
        <v>28</v>
      </c>
      <c r="B213">
        <v>7267</v>
      </c>
      <c r="C213" s="107" t="s">
        <v>118</v>
      </c>
      <c r="D213" s="107" t="s">
        <v>84</v>
      </c>
      <c r="E213">
        <v>3178</v>
      </c>
      <c r="F213">
        <v>3221</v>
      </c>
      <c r="G213">
        <v>300</v>
      </c>
      <c r="H213" s="107" t="s">
        <v>61</v>
      </c>
      <c r="I213">
        <v>8002</v>
      </c>
      <c r="J213" s="107" t="s">
        <v>31</v>
      </c>
      <c r="K213" s="107" t="s">
        <v>101</v>
      </c>
      <c r="L213">
        <v>834.9</v>
      </c>
      <c r="M213">
        <v>837.7</v>
      </c>
      <c r="N213">
        <v>1200</v>
      </c>
      <c r="O213" s="107" t="s">
        <v>63</v>
      </c>
      <c r="P213">
        <v>0.95378445539291201</v>
      </c>
      <c r="Q213">
        <v>0.94554923923634904</v>
      </c>
      <c r="R213">
        <v>8.2051284004877406E-2</v>
      </c>
      <c r="S213" s="15">
        <v>9.1427140728836398E-4</v>
      </c>
      <c r="T213">
        <v>-0.246739258895178</v>
      </c>
      <c r="U213">
        <v>0.246739258895178</v>
      </c>
      <c r="V213">
        <v>-0.44</v>
      </c>
      <c r="W213">
        <v>4.03</v>
      </c>
      <c r="X213">
        <v>-183458</v>
      </c>
      <c r="Y213">
        <v>-12231</v>
      </c>
      <c r="Z213">
        <v>-0.72</v>
      </c>
      <c r="AA213">
        <v>15</v>
      </c>
      <c r="AB213">
        <v>6</v>
      </c>
      <c r="AC213">
        <v>9</v>
      </c>
      <c r="AD213">
        <v>40</v>
      </c>
      <c r="AE213">
        <v>16</v>
      </c>
      <c r="AF213">
        <v>0</v>
      </c>
      <c r="AG213">
        <v>3</v>
      </c>
      <c r="AH213">
        <v>12</v>
      </c>
    </row>
    <row r="214" spans="1:34">
      <c r="A214" s="103">
        <v>133</v>
      </c>
      <c r="B214">
        <v>4626</v>
      </c>
      <c r="C214" s="107" t="s">
        <v>948</v>
      </c>
      <c r="D214" s="107" t="s">
        <v>62</v>
      </c>
      <c r="E214">
        <v>4350</v>
      </c>
      <c r="F214">
        <v>4315</v>
      </c>
      <c r="G214">
        <v>200</v>
      </c>
      <c r="H214" s="107" t="s">
        <v>63</v>
      </c>
      <c r="I214">
        <v>5947</v>
      </c>
      <c r="J214" s="107" t="s">
        <v>325</v>
      </c>
      <c r="K214" s="107" t="s">
        <v>116</v>
      </c>
      <c r="L214">
        <v>8580</v>
      </c>
      <c r="M214">
        <v>8530</v>
      </c>
      <c r="N214">
        <v>100</v>
      </c>
      <c r="O214" s="107" t="s">
        <v>61</v>
      </c>
      <c r="P214">
        <v>0.94827959377150695</v>
      </c>
      <c r="Q214">
        <v>0.91668181265496895</v>
      </c>
      <c r="R214">
        <v>5.6387263318823801E-2</v>
      </c>
      <c r="S214">
        <v>0.134712793805501</v>
      </c>
      <c r="T214">
        <v>0.90178601635022804</v>
      </c>
      <c r="U214">
        <v>0.90178601635022804</v>
      </c>
      <c r="V214">
        <v>2.27</v>
      </c>
      <c r="W214">
        <v>1.17</v>
      </c>
      <c r="X214">
        <v>-185019</v>
      </c>
      <c r="Y214">
        <v>-11564</v>
      </c>
      <c r="Z214">
        <v>-0.52</v>
      </c>
      <c r="AA214">
        <v>16</v>
      </c>
      <c r="AB214">
        <v>6</v>
      </c>
      <c r="AC214">
        <v>10</v>
      </c>
      <c r="AD214">
        <v>37.5</v>
      </c>
      <c r="AE214">
        <v>14</v>
      </c>
      <c r="AF214">
        <v>3</v>
      </c>
      <c r="AG214">
        <v>4</v>
      </c>
      <c r="AH214">
        <v>9</v>
      </c>
    </row>
    <row r="215" spans="1:34">
      <c r="A215" s="103">
        <v>57</v>
      </c>
      <c r="B215">
        <v>3038</v>
      </c>
      <c r="C215" s="107" t="s">
        <v>338</v>
      </c>
      <c r="D215" s="107" t="s">
        <v>101</v>
      </c>
      <c r="E215">
        <v>3440</v>
      </c>
      <c r="F215">
        <v>3440</v>
      </c>
      <c r="G215">
        <v>200</v>
      </c>
      <c r="H215" s="107" t="s">
        <v>63</v>
      </c>
      <c r="I215">
        <v>6098</v>
      </c>
      <c r="J215" s="107" t="s">
        <v>339</v>
      </c>
      <c r="K215" s="107" t="s">
        <v>120</v>
      </c>
      <c r="L215">
        <v>4053</v>
      </c>
      <c r="M215">
        <v>4103</v>
      </c>
      <c r="N215">
        <v>200</v>
      </c>
      <c r="O215" s="107" t="s">
        <v>61</v>
      </c>
      <c r="P215">
        <v>0.93050406400974395</v>
      </c>
      <c r="Q215">
        <v>0.936228069551028</v>
      </c>
      <c r="R215" s="15">
        <v>0.33458693859531202</v>
      </c>
      <c r="S215">
        <v>5.50780823092617E-2</v>
      </c>
      <c r="T215">
        <v>0.257460876774671</v>
      </c>
      <c r="U215">
        <v>0.257460876774671</v>
      </c>
      <c r="V215">
        <v>1.18</v>
      </c>
      <c r="W215">
        <v>16.16</v>
      </c>
      <c r="X215">
        <v>-187710</v>
      </c>
      <c r="Y215">
        <v>-8161</v>
      </c>
      <c r="Z215">
        <v>-0.37</v>
      </c>
      <c r="AA215">
        <v>23</v>
      </c>
      <c r="AB215">
        <v>11</v>
      </c>
      <c r="AC215">
        <v>12</v>
      </c>
      <c r="AD215">
        <v>47.83</v>
      </c>
      <c r="AE215">
        <v>10</v>
      </c>
      <c r="AF215">
        <v>10</v>
      </c>
      <c r="AG215">
        <v>12</v>
      </c>
      <c r="AH215">
        <v>1</v>
      </c>
    </row>
    <row r="216" spans="1:34">
      <c r="A216" s="103">
        <v>184</v>
      </c>
      <c r="B216">
        <v>4183</v>
      </c>
      <c r="C216" s="107" t="s">
        <v>301</v>
      </c>
      <c r="D216" s="107" t="s">
        <v>62</v>
      </c>
      <c r="E216">
        <v>2790</v>
      </c>
      <c r="F216">
        <v>2776</v>
      </c>
      <c r="G216">
        <v>300</v>
      </c>
      <c r="H216" s="107" t="s">
        <v>63</v>
      </c>
      <c r="I216">
        <v>6473</v>
      </c>
      <c r="J216" s="107" t="s">
        <v>133</v>
      </c>
      <c r="K216" s="107" t="s">
        <v>99</v>
      </c>
      <c r="L216">
        <v>1375</v>
      </c>
      <c r="M216">
        <v>1381</v>
      </c>
      <c r="N216">
        <v>600</v>
      </c>
      <c r="O216" s="107" t="s">
        <v>61</v>
      </c>
      <c r="P216">
        <v>0.937385608295075</v>
      </c>
      <c r="Q216">
        <v>0.907068979996144</v>
      </c>
      <c r="R216">
        <v>9.4554935566329903E-3</v>
      </c>
      <c r="S216">
        <v>5.1645626098436301E-2</v>
      </c>
      <c r="T216">
        <v>1.90434576983326</v>
      </c>
      <c r="U216">
        <v>1.90434576983326</v>
      </c>
      <c r="V216">
        <v>3.37</v>
      </c>
      <c r="W216">
        <v>0.5</v>
      </c>
      <c r="X216">
        <v>-201641</v>
      </c>
      <c r="Y216">
        <v>-11861</v>
      </c>
      <c r="Z216">
        <v>-0.67</v>
      </c>
      <c r="AA216">
        <v>17</v>
      </c>
      <c r="AB216">
        <v>5</v>
      </c>
      <c r="AC216">
        <v>12</v>
      </c>
      <c r="AD216">
        <v>29.41</v>
      </c>
      <c r="AE216">
        <v>15</v>
      </c>
      <c r="AF216">
        <v>4</v>
      </c>
      <c r="AG216">
        <v>5</v>
      </c>
      <c r="AH216">
        <v>8</v>
      </c>
    </row>
    <row r="217" spans="1:34">
      <c r="A217" s="103">
        <v>204</v>
      </c>
      <c r="B217">
        <v>4634</v>
      </c>
      <c r="C217" s="107" t="s">
        <v>140</v>
      </c>
      <c r="D217" s="107" t="s">
        <v>62</v>
      </c>
      <c r="E217">
        <v>2765</v>
      </c>
      <c r="F217">
        <v>2734</v>
      </c>
      <c r="G217">
        <v>400</v>
      </c>
      <c r="H217" s="107" t="s">
        <v>61</v>
      </c>
      <c r="I217">
        <v>5803</v>
      </c>
      <c r="J217" s="107" t="s">
        <v>28</v>
      </c>
      <c r="K217" s="107" t="s">
        <v>132</v>
      </c>
      <c r="L217">
        <v>493</v>
      </c>
      <c r="M217">
        <v>491</v>
      </c>
      <c r="N217">
        <v>2200</v>
      </c>
      <c r="O217" s="107" t="s">
        <v>63</v>
      </c>
      <c r="P217">
        <v>0.91621691255936299</v>
      </c>
      <c r="Q217">
        <v>0.90476327054127104</v>
      </c>
      <c r="R217">
        <v>0.15292713440071701</v>
      </c>
      <c r="S217">
        <v>1.8592497232454E-2</v>
      </c>
      <c r="T217">
        <v>-1.03218389324057</v>
      </c>
      <c r="U217">
        <v>1.03218389324057</v>
      </c>
      <c r="V217">
        <v>-5.61</v>
      </c>
      <c r="W217">
        <v>1.23</v>
      </c>
      <c r="X217">
        <v>-201900</v>
      </c>
      <c r="Y217">
        <v>-11876</v>
      </c>
      <c r="Z217">
        <v>-0.71</v>
      </c>
      <c r="AA217">
        <v>17</v>
      </c>
      <c r="AB217">
        <v>8</v>
      </c>
      <c r="AC217">
        <v>9</v>
      </c>
      <c r="AD217">
        <v>47.06</v>
      </c>
      <c r="AE217">
        <v>12</v>
      </c>
      <c r="AF217">
        <v>4</v>
      </c>
      <c r="AG217">
        <v>6</v>
      </c>
      <c r="AH217">
        <v>7</v>
      </c>
    </row>
    <row r="218" spans="1:34">
      <c r="A218" s="103">
        <v>134</v>
      </c>
      <c r="B218">
        <v>6752</v>
      </c>
      <c r="C218" s="107" t="s">
        <v>105</v>
      </c>
      <c r="D218" s="107" t="s">
        <v>87</v>
      </c>
      <c r="E218">
        <v>1059</v>
      </c>
      <c r="F218">
        <v>1058</v>
      </c>
      <c r="G218">
        <v>900</v>
      </c>
      <c r="H218" s="107" t="s">
        <v>63</v>
      </c>
      <c r="I218">
        <v>7267</v>
      </c>
      <c r="J218" s="107" t="s">
        <v>118</v>
      </c>
      <c r="K218" s="107" t="s">
        <v>84</v>
      </c>
      <c r="L218">
        <v>3178</v>
      </c>
      <c r="M218">
        <v>3221</v>
      </c>
      <c r="N218">
        <v>300</v>
      </c>
      <c r="O218" s="107" t="s">
        <v>61</v>
      </c>
      <c r="P218">
        <v>0.90402626792136598</v>
      </c>
      <c r="Q218">
        <v>0.91655147125092995</v>
      </c>
      <c r="R218">
        <v>4.73939163873425E-2</v>
      </c>
      <c r="S218">
        <v>0.110496339601278</v>
      </c>
      <c r="T218">
        <v>0.97797219288978898</v>
      </c>
      <c r="U218">
        <v>0.97797219288978898</v>
      </c>
      <c r="V218">
        <v>2.84</v>
      </c>
      <c r="W218">
        <v>1.46</v>
      </c>
      <c r="X218">
        <v>-214152</v>
      </c>
      <c r="Y218">
        <v>-12597</v>
      </c>
      <c r="Z218">
        <v>-0.65</v>
      </c>
      <c r="AA218">
        <v>17</v>
      </c>
      <c r="AB218">
        <v>7</v>
      </c>
      <c r="AC218">
        <v>10</v>
      </c>
      <c r="AD218">
        <v>41.18</v>
      </c>
      <c r="AE218">
        <v>15</v>
      </c>
      <c r="AF218">
        <v>2</v>
      </c>
      <c r="AG218">
        <v>3</v>
      </c>
      <c r="AH218">
        <v>12</v>
      </c>
    </row>
    <row r="219" spans="1:34">
      <c r="A219" s="103">
        <v>4</v>
      </c>
      <c r="B219">
        <v>6951</v>
      </c>
      <c r="C219" s="107" t="s">
        <v>323</v>
      </c>
      <c r="D219" s="107" t="s">
        <v>87</v>
      </c>
      <c r="E219">
        <v>3155</v>
      </c>
      <c r="F219">
        <v>3180</v>
      </c>
      <c r="G219">
        <v>200</v>
      </c>
      <c r="H219" s="107" t="s">
        <v>61</v>
      </c>
      <c r="I219">
        <v>8036</v>
      </c>
      <c r="J219" s="107" t="s">
        <v>321</v>
      </c>
      <c r="K219" s="107" t="s">
        <v>101</v>
      </c>
      <c r="L219">
        <v>7670</v>
      </c>
      <c r="M219">
        <v>7550</v>
      </c>
      <c r="N219">
        <v>100</v>
      </c>
      <c r="O219" s="107" t="s">
        <v>63</v>
      </c>
      <c r="P219">
        <v>0.90102611419020295</v>
      </c>
      <c r="Q219">
        <v>0.96394214135614698</v>
      </c>
      <c r="R219">
        <v>0.37056687399930099</v>
      </c>
      <c r="S219">
        <v>0.199634770156918</v>
      </c>
      <c r="T219">
        <v>-2.6380685793360299E-2</v>
      </c>
      <c r="U219">
        <v>2.6380685793360299E-2</v>
      </c>
      <c r="V219">
        <v>-0.09</v>
      </c>
      <c r="W219">
        <v>15.76</v>
      </c>
      <c r="X219">
        <v>-220595</v>
      </c>
      <c r="Y219">
        <v>-11030</v>
      </c>
      <c r="Z219">
        <v>-0.46</v>
      </c>
      <c r="AA219">
        <v>20</v>
      </c>
      <c r="AB219">
        <v>9</v>
      </c>
      <c r="AC219">
        <v>11</v>
      </c>
      <c r="AD219">
        <v>45</v>
      </c>
      <c r="AE219">
        <v>10</v>
      </c>
      <c r="AF219">
        <v>8</v>
      </c>
      <c r="AG219">
        <v>8</v>
      </c>
      <c r="AH219">
        <v>4</v>
      </c>
    </row>
    <row r="220" spans="1:34">
      <c r="A220" s="103">
        <v>56</v>
      </c>
      <c r="B220">
        <v>2413</v>
      </c>
      <c r="C220" s="107" t="s">
        <v>1271</v>
      </c>
      <c r="D220" s="107" t="s">
        <v>120</v>
      </c>
      <c r="E220">
        <v>3065</v>
      </c>
      <c r="F220">
        <v>3025</v>
      </c>
      <c r="G220">
        <v>300</v>
      </c>
      <c r="H220" s="107" t="s">
        <v>61</v>
      </c>
      <c r="I220">
        <v>6920</v>
      </c>
      <c r="J220" s="107" t="s">
        <v>86</v>
      </c>
      <c r="K220" s="107" t="s">
        <v>87</v>
      </c>
      <c r="L220">
        <v>9950</v>
      </c>
      <c r="M220">
        <v>9850</v>
      </c>
      <c r="N220">
        <v>100</v>
      </c>
      <c r="O220" s="107" t="s">
        <v>63</v>
      </c>
      <c r="P220">
        <v>0.92162118622849698</v>
      </c>
      <c r="Q220">
        <v>0.93651734322216096</v>
      </c>
      <c r="R220">
        <v>0.106879244782399</v>
      </c>
      <c r="S220">
        <v>0.15237373093867901</v>
      </c>
      <c r="T220">
        <v>-1.57283877700538</v>
      </c>
      <c r="U220">
        <v>1.57283877700538</v>
      </c>
      <c r="V220">
        <v>-13.26</v>
      </c>
      <c r="W220">
        <v>7.87</v>
      </c>
      <c r="X220">
        <v>-245378</v>
      </c>
      <c r="Y220">
        <v>-16359</v>
      </c>
      <c r="Z220">
        <v>-0.61</v>
      </c>
      <c r="AA220">
        <v>15</v>
      </c>
      <c r="AB220">
        <v>8</v>
      </c>
      <c r="AC220">
        <v>7</v>
      </c>
      <c r="AD220">
        <v>53.33</v>
      </c>
      <c r="AE220">
        <v>9</v>
      </c>
      <c r="AF220">
        <v>7</v>
      </c>
      <c r="AG220">
        <v>6</v>
      </c>
      <c r="AH220">
        <v>2</v>
      </c>
    </row>
    <row r="221" spans="1:34">
      <c r="A221" s="103">
        <v>58</v>
      </c>
      <c r="B221">
        <v>8058</v>
      </c>
      <c r="C221" s="107" t="s">
        <v>1337</v>
      </c>
      <c r="D221" s="107" t="s">
        <v>101</v>
      </c>
      <c r="E221">
        <v>2947</v>
      </c>
      <c r="F221">
        <v>2945</v>
      </c>
      <c r="G221">
        <v>300</v>
      </c>
      <c r="H221" s="107" t="s">
        <v>61</v>
      </c>
      <c r="I221">
        <v>9956</v>
      </c>
      <c r="J221" s="107" t="s">
        <v>318</v>
      </c>
      <c r="K221" s="107" t="s">
        <v>95</v>
      </c>
      <c r="L221">
        <v>2096</v>
      </c>
      <c r="M221">
        <v>2070</v>
      </c>
      <c r="N221">
        <v>400</v>
      </c>
      <c r="O221" s="107" t="s">
        <v>63</v>
      </c>
      <c r="P221">
        <v>0.91671889994633005</v>
      </c>
      <c r="Q221">
        <v>0.93580908712463895</v>
      </c>
      <c r="R221" s="15">
        <v>0.20094539624858901</v>
      </c>
      <c r="S221">
        <v>1.83830803650715E-3</v>
      </c>
      <c r="T221">
        <v>-0.68381781877662495</v>
      </c>
      <c r="U221">
        <v>0.68381781877662495</v>
      </c>
      <c r="V221">
        <v>-1.68</v>
      </c>
      <c r="W221">
        <v>6.28</v>
      </c>
      <c r="X221">
        <v>-248503</v>
      </c>
      <c r="Y221">
        <v>-15531</v>
      </c>
      <c r="Z221">
        <v>-0.79</v>
      </c>
      <c r="AA221">
        <v>16</v>
      </c>
      <c r="AB221">
        <v>4</v>
      </c>
      <c r="AC221">
        <v>12</v>
      </c>
      <c r="AD221">
        <v>25</v>
      </c>
      <c r="AE221">
        <v>14</v>
      </c>
      <c r="AF221">
        <v>3</v>
      </c>
      <c r="AG221">
        <v>2</v>
      </c>
      <c r="AH221">
        <v>11</v>
      </c>
    </row>
    <row r="222" spans="1:34">
      <c r="A222" s="103">
        <v>211</v>
      </c>
      <c r="B222">
        <v>6471</v>
      </c>
      <c r="C222" s="107" t="s">
        <v>138</v>
      </c>
      <c r="D222" s="107" t="s">
        <v>99</v>
      </c>
      <c r="E222">
        <v>1090</v>
      </c>
      <c r="F222">
        <v>1088</v>
      </c>
      <c r="G222">
        <v>600</v>
      </c>
      <c r="H222" s="107" t="s">
        <v>61</v>
      </c>
      <c r="I222">
        <v>6988</v>
      </c>
      <c r="J222" s="107" t="s">
        <v>139</v>
      </c>
      <c r="K222" s="107" t="s">
        <v>62</v>
      </c>
      <c r="L222">
        <v>6350</v>
      </c>
      <c r="M222">
        <v>6410</v>
      </c>
      <c r="N222">
        <v>100</v>
      </c>
      <c r="O222" s="107" t="s">
        <v>63</v>
      </c>
      <c r="P222">
        <v>0.97315138196719697</v>
      </c>
      <c r="Q222">
        <v>0.90335895199439198</v>
      </c>
      <c r="R222" s="15">
        <v>2.9732814711081901E-2</v>
      </c>
      <c r="S222">
        <v>0.11439034671088399</v>
      </c>
      <c r="T222">
        <v>-1.39972372048321</v>
      </c>
      <c r="U222">
        <v>1.39972372048321</v>
      </c>
      <c r="V222">
        <v>-2.74</v>
      </c>
      <c r="W222">
        <v>1.84</v>
      </c>
      <c r="X222">
        <v>-260430</v>
      </c>
      <c r="Y222">
        <v>-14468</v>
      </c>
      <c r="Z222">
        <v>-0.98</v>
      </c>
      <c r="AA222">
        <v>18</v>
      </c>
      <c r="AB222">
        <v>5</v>
      </c>
      <c r="AC222">
        <v>13</v>
      </c>
      <c r="AD222">
        <v>27.78</v>
      </c>
      <c r="AE222">
        <v>14</v>
      </c>
      <c r="AF222">
        <v>3</v>
      </c>
      <c r="AG222">
        <v>4</v>
      </c>
      <c r="AH222">
        <v>11</v>
      </c>
    </row>
    <row r="223" spans="1:34">
      <c r="A223" s="103">
        <v>183</v>
      </c>
      <c r="B223">
        <v>3407</v>
      </c>
      <c r="C223" s="107" t="s">
        <v>1338</v>
      </c>
      <c r="D223" s="107" t="s">
        <v>62</v>
      </c>
      <c r="E223">
        <v>1280</v>
      </c>
      <c r="F223">
        <v>1271.5</v>
      </c>
      <c r="G223">
        <v>800</v>
      </c>
      <c r="H223" s="107" t="s">
        <v>63</v>
      </c>
      <c r="I223">
        <v>8359</v>
      </c>
      <c r="J223" s="107" t="s">
        <v>1339</v>
      </c>
      <c r="K223" s="107" t="s">
        <v>82</v>
      </c>
      <c r="L223">
        <v>480</v>
      </c>
      <c r="M223">
        <v>477</v>
      </c>
      <c r="N223">
        <v>2100</v>
      </c>
      <c r="O223" s="107" t="s">
        <v>61</v>
      </c>
      <c r="P223">
        <v>0.91041584670890696</v>
      </c>
      <c r="Q223">
        <v>0.90730699139177895</v>
      </c>
      <c r="R223">
        <v>2.01188358982692E-2</v>
      </c>
      <c r="S223">
        <v>8.1399298290939801E-4</v>
      </c>
      <c r="T223">
        <v>1.8178759118893499</v>
      </c>
      <c r="U223">
        <v>1.8178759118893499</v>
      </c>
      <c r="V223">
        <v>4.68</v>
      </c>
      <c r="W223">
        <v>1.52</v>
      </c>
      <c r="X223">
        <v>-264535</v>
      </c>
      <c r="Y223">
        <v>-13227</v>
      </c>
      <c r="Z223">
        <v>-0.69</v>
      </c>
      <c r="AA223">
        <v>20</v>
      </c>
      <c r="AB223">
        <v>8</v>
      </c>
      <c r="AC223">
        <v>12</v>
      </c>
      <c r="AD223">
        <v>40</v>
      </c>
      <c r="AE223">
        <v>14</v>
      </c>
      <c r="AF223">
        <v>5</v>
      </c>
      <c r="AG223">
        <v>7</v>
      </c>
      <c r="AH223">
        <v>8</v>
      </c>
    </row>
    <row r="224" spans="1:34">
      <c r="A224" s="103">
        <v>124</v>
      </c>
      <c r="B224">
        <v>5110</v>
      </c>
      <c r="C224" s="107" t="s">
        <v>128</v>
      </c>
      <c r="D224" s="107" t="s">
        <v>129</v>
      </c>
      <c r="E224">
        <v>1437</v>
      </c>
      <c r="F224">
        <v>1432</v>
      </c>
      <c r="G224">
        <v>700</v>
      </c>
      <c r="H224" s="107" t="s">
        <v>61</v>
      </c>
      <c r="I224">
        <v>5803</v>
      </c>
      <c r="J224" s="107" t="s">
        <v>28</v>
      </c>
      <c r="K224" s="107" t="s">
        <v>132</v>
      </c>
      <c r="L224">
        <v>493</v>
      </c>
      <c r="M224">
        <v>491</v>
      </c>
      <c r="N224">
        <v>2000</v>
      </c>
      <c r="O224" s="107" t="s">
        <v>63</v>
      </c>
      <c r="P224">
        <v>0.93579664354154302</v>
      </c>
      <c r="Q224">
        <v>0.91803271755849403</v>
      </c>
      <c r="R224">
        <v>2.7792602730979499E-2</v>
      </c>
      <c r="S224">
        <v>2.3879528748882699E-2</v>
      </c>
      <c r="T224">
        <v>-0.92109771002484297</v>
      </c>
      <c r="U224">
        <v>0.92109771002484297</v>
      </c>
      <c r="V224">
        <v>-6.44</v>
      </c>
      <c r="W224">
        <v>2.04</v>
      </c>
      <c r="X224">
        <v>-308037</v>
      </c>
      <c r="Y224">
        <v>-17113</v>
      </c>
      <c r="Z224">
        <v>-0.84</v>
      </c>
      <c r="AA224">
        <v>18</v>
      </c>
      <c r="AB224">
        <v>6</v>
      </c>
      <c r="AC224">
        <v>12</v>
      </c>
      <c r="AD224">
        <v>33.33</v>
      </c>
      <c r="AE224">
        <v>12</v>
      </c>
      <c r="AF224">
        <v>5</v>
      </c>
      <c r="AG224">
        <v>6</v>
      </c>
      <c r="AH224">
        <v>7</v>
      </c>
    </row>
    <row r="225" spans="1:34">
      <c r="A225" s="103">
        <v>156</v>
      </c>
      <c r="B225">
        <v>4686</v>
      </c>
      <c r="C225" s="107" t="s">
        <v>1272</v>
      </c>
      <c r="D225" s="107" t="s">
        <v>79</v>
      </c>
      <c r="E225">
        <v>5910</v>
      </c>
      <c r="F225">
        <v>5910</v>
      </c>
      <c r="G225">
        <v>200</v>
      </c>
      <c r="H225" s="107" t="s">
        <v>63</v>
      </c>
      <c r="I225">
        <v>6702</v>
      </c>
      <c r="J225" s="107" t="s">
        <v>332</v>
      </c>
      <c r="K225" s="107" t="s">
        <v>87</v>
      </c>
      <c r="L225">
        <v>10200</v>
      </c>
      <c r="M225">
        <v>10055</v>
      </c>
      <c r="N225">
        <v>100</v>
      </c>
      <c r="O225" s="107" t="s">
        <v>61</v>
      </c>
      <c r="P225">
        <v>0.93343009191449799</v>
      </c>
      <c r="Q225">
        <v>0.91135160336366305</v>
      </c>
      <c r="R225" s="15">
        <v>4.8945474673179202E-4</v>
      </c>
      <c r="S225">
        <v>0.15520594180637501</v>
      </c>
      <c r="T225">
        <v>1.6076170745494101</v>
      </c>
      <c r="U225">
        <v>1.6076170745494101</v>
      </c>
      <c r="V225">
        <v>14.36</v>
      </c>
      <c r="W225">
        <v>17.55</v>
      </c>
      <c r="X225">
        <v>-319315</v>
      </c>
      <c r="Y225">
        <v>-21288</v>
      </c>
      <c r="Z225">
        <v>-1.34</v>
      </c>
      <c r="AA225">
        <v>15</v>
      </c>
      <c r="AB225">
        <v>6</v>
      </c>
      <c r="AC225">
        <v>9</v>
      </c>
      <c r="AD225">
        <v>40</v>
      </c>
      <c r="AE225">
        <v>11</v>
      </c>
      <c r="AF225">
        <v>5</v>
      </c>
      <c r="AG225">
        <v>8</v>
      </c>
      <c r="AH225">
        <v>2</v>
      </c>
    </row>
    <row r="226" spans="1:34">
      <c r="A226" s="103">
        <v>105</v>
      </c>
      <c r="B226">
        <v>1824</v>
      </c>
      <c r="C226" s="107" t="s">
        <v>312</v>
      </c>
      <c r="D226" s="107" t="s">
        <v>78</v>
      </c>
      <c r="E226">
        <v>1081</v>
      </c>
      <c r="F226">
        <v>1069</v>
      </c>
      <c r="G226">
        <v>1000</v>
      </c>
      <c r="H226" s="107" t="s">
        <v>61</v>
      </c>
      <c r="I226">
        <v>1860</v>
      </c>
      <c r="J226" s="107" t="s">
        <v>111</v>
      </c>
      <c r="K226" s="107" t="s">
        <v>78</v>
      </c>
      <c r="L226">
        <v>746</v>
      </c>
      <c r="M226">
        <v>738</v>
      </c>
      <c r="N226">
        <v>1400</v>
      </c>
      <c r="O226" s="107" t="s">
        <v>63</v>
      </c>
      <c r="P226">
        <v>0.92880932670580896</v>
      </c>
      <c r="Q226">
        <v>0.92307277569462798</v>
      </c>
      <c r="R226">
        <v>0.20473029292352901</v>
      </c>
      <c r="S226">
        <v>2.1751226065286702E-2</v>
      </c>
      <c r="T226">
        <v>-1.42050043768017</v>
      </c>
      <c r="U226">
        <v>1.42050043768017</v>
      </c>
      <c r="V226">
        <v>-2.73</v>
      </c>
      <c r="W226">
        <v>3.35</v>
      </c>
      <c r="X226">
        <v>-347677</v>
      </c>
      <c r="Y226">
        <v>-18299</v>
      </c>
      <c r="Z226">
        <v>-0.89</v>
      </c>
      <c r="AA226">
        <v>19</v>
      </c>
      <c r="AB226">
        <v>7</v>
      </c>
      <c r="AC226">
        <v>12</v>
      </c>
      <c r="AD226">
        <v>36.840000000000003</v>
      </c>
      <c r="AE226">
        <v>12</v>
      </c>
      <c r="AF226">
        <v>3</v>
      </c>
      <c r="AG226">
        <v>8</v>
      </c>
      <c r="AH226">
        <v>8</v>
      </c>
    </row>
    <row r="227" spans="1:34">
      <c r="A227" s="103">
        <v>75</v>
      </c>
      <c r="B227">
        <v>6588</v>
      </c>
      <c r="C227" s="107" t="s">
        <v>955</v>
      </c>
      <c r="D227" s="107" t="s">
        <v>87</v>
      </c>
      <c r="E227">
        <v>4625</v>
      </c>
      <c r="F227">
        <v>4530</v>
      </c>
      <c r="G227">
        <v>200</v>
      </c>
      <c r="H227" s="107" t="s">
        <v>61</v>
      </c>
      <c r="I227">
        <v>6920</v>
      </c>
      <c r="J227" s="107" t="s">
        <v>86</v>
      </c>
      <c r="K227" s="107" t="s">
        <v>87</v>
      </c>
      <c r="L227">
        <v>9950</v>
      </c>
      <c r="M227">
        <v>9850</v>
      </c>
      <c r="N227">
        <v>100</v>
      </c>
      <c r="O227" s="107" t="s">
        <v>63</v>
      </c>
      <c r="P227">
        <v>0.95692484778381703</v>
      </c>
      <c r="Q227">
        <v>0.93061395307128103</v>
      </c>
      <c r="R227">
        <v>9.9973967827147903E-2</v>
      </c>
      <c r="S227">
        <v>0.19297325733607501</v>
      </c>
      <c r="T227">
        <v>-1.22527086886002</v>
      </c>
      <c r="U227">
        <v>1.22527086886002</v>
      </c>
      <c r="V227">
        <v>-5.24</v>
      </c>
      <c r="W227">
        <v>8.02</v>
      </c>
      <c r="X227">
        <v>-349103</v>
      </c>
      <c r="Y227">
        <v>-21819</v>
      </c>
      <c r="Z227">
        <v>-1.37</v>
      </c>
      <c r="AA227">
        <v>16</v>
      </c>
      <c r="AB227">
        <v>5</v>
      </c>
      <c r="AC227">
        <v>11</v>
      </c>
      <c r="AD227">
        <v>31.25</v>
      </c>
      <c r="AE227">
        <v>9</v>
      </c>
      <c r="AF227">
        <v>3</v>
      </c>
      <c r="AG227">
        <v>10</v>
      </c>
      <c r="AH227">
        <v>3</v>
      </c>
    </row>
    <row r="228" spans="1:34">
      <c r="A228" s="103">
        <v>149</v>
      </c>
      <c r="B228">
        <v>3635</v>
      </c>
      <c r="C228" s="107" t="s">
        <v>85</v>
      </c>
      <c r="D228" s="107" t="s">
        <v>79</v>
      </c>
      <c r="E228">
        <v>2727</v>
      </c>
      <c r="F228">
        <v>2709</v>
      </c>
      <c r="G228">
        <v>200</v>
      </c>
      <c r="H228" s="107" t="s">
        <v>61</v>
      </c>
      <c r="I228">
        <v>4686</v>
      </c>
      <c r="J228" s="107" t="s">
        <v>1272</v>
      </c>
      <c r="K228" s="107" t="s">
        <v>79</v>
      </c>
      <c r="L228">
        <v>5910</v>
      </c>
      <c r="M228">
        <v>5910</v>
      </c>
      <c r="N228">
        <v>100</v>
      </c>
      <c r="O228" s="107" t="s">
        <v>63</v>
      </c>
      <c r="P228">
        <v>0.91377003500196297</v>
      </c>
      <c r="Q228">
        <v>0.91330375510607897</v>
      </c>
      <c r="R228">
        <v>0.16803012869794701</v>
      </c>
      <c r="S228">
        <v>0.25255182691435102</v>
      </c>
      <c r="T228">
        <v>-1.2980125426968001</v>
      </c>
      <c r="U228">
        <v>1.2980125426968001</v>
      </c>
      <c r="V228">
        <v>-16.13</v>
      </c>
      <c r="W228">
        <v>8.32</v>
      </c>
      <c r="X228">
        <v>-359580</v>
      </c>
      <c r="Y228">
        <v>-17123</v>
      </c>
      <c r="Z228">
        <v>-0.72</v>
      </c>
      <c r="AA228">
        <v>21</v>
      </c>
      <c r="AB228">
        <v>10</v>
      </c>
      <c r="AC228">
        <v>11</v>
      </c>
      <c r="AD228">
        <v>47.62</v>
      </c>
      <c r="AE228">
        <v>10</v>
      </c>
      <c r="AF228">
        <v>8</v>
      </c>
      <c r="AG228">
        <v>8</v>
      </c>
      <c r="AH228">
        <v>5</v>
      </c>
    </row>
    <row r="229" spans="1:34">
      <c r="A229" s="103">
        <v>82</v>
      </c>
      <c r="B229">
        <v>3110</v>
      </c>
      <c r="C229" s="107" t="s">
        <v>1301</v>
      </c>
      <c r="D229" s="107" t="s">
        <v>106</v>
      </c>
      <c r="E229">
        <v>4260</v>
      </c>
      <c r="F229">
        <v>4220</v>
      </c>
      <c r="G229">
        <v>100</v>
      </c>
      <c r="H229" s="107" t="s">
        <v>61</v>
      </c>
      <c r="I229">
        <v>4686</v>
      </c>
      <c r="J229" s="107" t="s">
        <v>1272</v>
      </c>
      <c r="K229" s="107" t="s">
        <v>79</v>
      </c>
      <c r="L229">
        <v>5910</v>
      </c>
      <c r="M229">
        <v>5910</v>
      </c>
      <c r="N229">
        <v>100</v>
      </c>
      <c r="O229" s="107" t="s">
        <v>63</v>
      </c>
      <c r="P229">
        <v>0.95527769693960995</v>
      </c>
      <c r="Q229">
        <v>0.92923069391233004</v>
      </c>
      <c r="R229">
        <v>0.16209214821658</v>
      </c>
      <c r="S229">
        <v>0.34463281257008399</v>
      </c>
      <c r="T229">
        <v>-0.562185817043523</v>
      </c>
      <c r="U229">
        <v>0.562185817043523</v>
      </c>
      <c r="V229">
        <v>-4.4400000000000004</v>
      </c>
      <c r="W229">
        <v>28.6</v>
      </c>
      <c r="X229">
        <v>-438435</v>
      </c>
      <c r="Y229">
        <v>-36536</v>
      </c>
      <c r="Z229">
        <v>-1.87</v>
      </c>
      <c r="AA229">
        <v>12</v>
      </c>
      <c r="AB229">
        <v>3</v>
      </c>
      <c r="AC229">
        <v>9</v>
      </c>
      <c r="AD229">
        <v>25</v>
      </c>
      <c r="AE229">
        <v>9</v>
      </c>
      <c r="AF229">
        <v>1</v>
      </c>
      <c r="AG229">
        <v>8</v>
      </c>
      <c r="AH229">
        <v>3</v>
      </c>
    </row>
    <row r="230" spans="1:34">
      <c r="A230" s="103">
        <v>170</v>
      </c>
      <c r="B230">
        <v>6383</v>
      </c>
      <c r="C230" s="107" t="s">
        <v>1340</v>
      </c>
      <c r="D230" s="107" t="s">
        <v>99</v>
      </c>
      <c r="E230">
        <v>6640</v>
      </c>
      <c r="F230">
        <v>6660</v>
      </c>
      <c r="G230">
        <v>100</v>
      </c>
      <c r="H230" s="107" t="s">
        <v>63</v>
      </c>
      <c r="I230">
        <v>6965</v>
      </c>
      <c r="J230" s="107" t="s">
        <v>962</v>
      </c>
      <c r="K230" s="107" t="s">
        <v>87</v>
      </c>
      <c r="L230">
        <v>4610</v>
      </c>
      <c r="M230">
        <v>4630</v>
      </c>
      <c r="N230">
        <v>100</v>
      </c>
      <c r="O230" s="107" t="s">
        <v>61</v>
      </c>
      <c r="P230">
        <v>0.90320359433215203</v>
      </c>
      <c r="Q230">
        <v>0.90907221276222505</v>
      </c>
      <c r="R230">
        <v>0.11350688475884101</v>
      </c>
      <c r="S230">
        <v>2.52624677953074E-2</v>
      </c>
      <c r="T230">
        <v>1.09751189643181</v>
      </c>
      <c r="U230">
        <v>1.09751189643181</v>
      </c>
      <c r="V230">
        <v>2.95</v>
      </c>
      <c r="W230">
        <v>30.48</v>
      </c>
      <c r="X230">
        <v>-498068</v>
      </c>
      <c r="Y230">
        <v>-49807</v>
      </c>
      <c r="Z230">
        <v>-2.68</v>
      </c>
      <c r="AA230">
        <v>10</v>
      </c>
      <c r="AB230">
        <v>2</v>
      </c>
      <c r="AC230">
        <v>8</v>
      </c>
      <c r="AD230">
        <v>20</v>
      </c>
      <c r="AE230">
        <v>12</v>
      </c>
      <c r="AF230">
        <v>1</v>
      </c>
      <c r="AG230">
        <v>6</v>
      </c>
      <c r="AH230">
        <v>3</v>
      </c>
    </row>
    <row r="231" spans="1:34">
      <c r="C231" s="107"/>
      <c r="D231" s="107"/>
      <c r="H231" s="107"/>
      <c r="J231" s="107"/>
      <c r="K231" s="107"/>
      <c r="O231" s="107"/>
    </row>
    <row r="232" spans="1:34">
      <c r="C232" s="107"/>
      <c r="D232" s="107"/>
      <c r="H232" s="107"/>
      <c r="J232" s="107"/>
      <c r="K232" s="107"/>
      <c r="O232" s="107"/>
    </row>
    <row r="233" spans="1:34">
      <c r="C233" s="107"/>
      <c r="D233" s="107"/>
      <c r="H233" s="107"/>
      <c r="J233" s="107"/>
      <c r="K233" s="107"/>
      <c r="O233" s="107"/>
      <c r="R233" s="15"/>
    </row>
    <row r="234" spans="1:34">
      <c r="C234" s="107"/>
      <c r="D234" s="107"/>
      <c r="H234" s="107"/>
      <c r="J234" s="107"/>
      <c r="K234" s="107"/>
      <c r="O234" s="107"/>
    </row>
    <row r="235" spans="1:34">
      <c r="C235" s="107"/>
      <c r="D235" s="107"/>
      <c r="H235" s="107"/>
      <c r="J235" s="107"/>
      <c r="K235" s="107"/>
      <c r="O235" s="107"/>
    </row>
    <row r="236" spans="1:34">
      <c r="C236" s="107"/>
      <c r="D236" s="107"/>
      <c r="H236" s="107"/>
      <c r="J236" s="107"/>
      <c r="K236" s="107"/>
      <c r="O236" s="107"/>
    </row>
    <row r="237" spans="1:34">
      <c r="C237" s="107"/>
      <c r="D237" s="107"/>
      <c r="H237" s="107"/>
      <c r="J237" s="107"/>
      <c r="K237" s="107"/>
      <c r="O237" s="107"/>
      <c r="R237" s="15"/>
      <c r="S237" s="15"/>
    </row>
    <row r="238" spans="1:34">
      <c r="C238" s="107"/>
      <c r="D238" s="107"/>
      <c r="H238" s="107"/>
      <c r="J238" s="107"/>
      <c r="K238" s="107"/>
      <c r="O238" s="107"/>
    </row>
    <row r="239" spans="1:34">
      <c r="C239" s="107"/>
      <c r="D239" s="107"/>
      <c r="H239" s="107"/>
      <c r="J239" s="107"/>
      <c r="K239" s="107"/>
      <c r="O239" s="107"/>
    </row>
    <row r="240" spans="1:34">
      <c r="C240" s="107"/>
      <c r="D240" s="107"/>
      <c r="H240" s="107"/>
      <c r="J240" s="107"/>
      <c r="K240" s="107"/>
      <c r="O240" s="107"/>
      <c r="R240" s="15"/>
    </row>
    <row r="241" spans="3:19">
      <c r="C241" s="107"/>
      <c r="D241" s="107"/>
      <c r="H241" s="107"/>
      <c r="J241" s="107"/>
      <c r="K241" s="107"/>
      <c r="O241" s="107"/>
    </row>
    <row r="242" spans="3:19">
      <c r="C242" s="107"/>
      <c r="D242" s="107"/>
      <c r="H242" s="107"/>
      <c r="J242" s="107"/>
      <c r="K242" s="107"/>
      <c r="O242" s="107"/>
    </row>
    <row r="243" spans="3:19">
      <c r="C243" s="107"/>
      <c r="D243" s="107"/>
      <c r="H243" s="107"/>
      <c r="J243" s="107"/>
      <c r="K243" s="107"/>
      <c r="O243" s="107"/>
      <c r="R243" s="15"/>
    </row>
    <row r="244" spans="3:19">
      <c r="C244" s="107"/>
      <c r="D244" s="107"/>
      <c r="H244" s="107"/>
      <c r="J244" s="107"/>
      <c r="K244" s="107"/>
      <c r="O244" s="107"/>
      <c r="R244" s="15"/>
      <c r="S244" s="15"/>
    </row>
    <row r="245" spans="3:19">
      <c r="C245" s="107"/>
      <c r="D245" s="107"/>
      <c r="H245" s="107"/>
      <c r="J245" s="107"/>
      <c r="K245" s="107"/>
      <c r="O245" s="107"/>
    </row>
    <row r="246" spans="3:19">
      <c r="C246" s="107"/>
      <c r="D246" s="107"/>
      <c r="H246" s="107"/>
      <c r="J246" s="107"/>
      <c r="K246" s="107"/>
      <c r="O246" s="107"/>
    </row>
    <row r="247" spans="3:19">
      <c r="C247" s="107"/>
      <c r="D247" s="107"/>
      <c r="H247" s="107"/>
      <c r="J247" s="107"/>
      <c r="K247" s="107"/>
      <c r="O247" s="107"/>
    </row>
    <row r="248" spans="3:19">
      <c r="C248" s="107"/>
      <c r="D248" s="107"/>
      <c r="H248" s="107"/>
      <c r="J248" s="107"/>
      <c r="K248" s="107"/>
      <c r="O248" s="107"/>
    </row>
    <row r="249" spans="3:19">
      <c r="C249" s="107"/>
      <c r="D249" s="107"/>
      <c r="H249" s="107"/>
      <c r="J249" s="107"/>
      <c r="K249" s="107"/>
      <c r="O249" s="107"/>
    </row>
    <row r="250" spans="3:19">
      <c r="C250" s="107"/>
      <c r="D250" s="107"/>
      <c r="H250" s="107"/>
      <c r="J250" s="107"/>
      <c r="K250" s="107"/>
      <c r="O250" s="107"/>
    </row>
    <row r="251" spans="3:19">
      <c r="C251" s="107"/>
      <c r="D251" s="107"/>
      <c r="H251" s="107"/>
      <c r="J251" s="107"/>
      <c r="K251" s="107"/>
      <c r="O251" s="107"/>
    </row>
    <row r="252" spans="3:19">
      <c r="C252" s="107"/>
      <c r="D252" s="107"/>
      <c r="H252" s="107"/>
      <c r="J252" s="107"/>
      <c r="K252" s="107"/>
      <c r="O252" s="107"/>
    </row>
    <row r="253" spans="3:19">
      <c r="C253" s="107"/>
      <c r="D253" s="107"/>
      <c r="H253" s="107"/>
      <c r="J253" s="107"/>
      <c r="K253" s="107"/>
      <c r="O253" s="107"/>
    </row>
    <row r="254" spans="3:19">
      <c r="C254" s="107"/>
      <c r="D254" s="107"/>
      <c r="H254" s="107"/>
      <c r="J254" s="107"/>
      <c r="K254" s="107"/>
      <c r="O254" s="107"/>
    </row>
    <row r="255" spans="3:19">
      <c r="C255" s="107"/>
      <c r="D255" s="107"/>
      <c r="H255" s="107"/>
      <c r="J255" s="107"/>
      <c r="K255" s="107"/>
      <c r="O255" s="107"/>
    </row>
    <row r="256" spans="3:19">
      <c r="C256" s="107"/>
      <c r="D256" s="107"/>
      <c r="H256" s="107"/>
      <c r="J256" s="107"/>
      <c r="K256" s="107"/>
      <c r="O256" s="107"/>
    </row>
    <row r="257" spans="3:18">
      <c r="C257" s="107"/>
      <c r="D257" s="107"/>
      <c r="H257" s="107"/>
      <c r="J257" s="107"/>
      <c r="K257" s="107"/>
      <c r="O257" s="107"/>
      <c r="R257" s="15"/>
    </row>
    <row r="258" spans="3:18">
      <c r="C258" s="107"/>
      <c r="D258" s="107"/>
      <c r="H258" s="107"/>
      <c r="J258" s="107"/>
      <c r="K258" s="107"/>
      <c r="O258" s="107"/>
    </row>
    <row r="259" spans="3:18">
      <c r="C259" s="107"/>
      <c r="D259" s="107"/>
      <c r="H259" s="107"/>
      <c r="J259" s="107"/>
      <c r="K259" s="107"/>
      <c r="O259" s="107"/>
      <c r="R259" s="15"/>
    </row>
    <row r="260" spans="3:18">
      <c r="C260" s="107"/>
      <c r="D260" s="107"/>
      <c r="H260" s="107"/>
      <c r="J260" s="107"/>
      <c r="K260" s="107"/>
      <c r="O260" s="107"/>
    </row>
    <row r="261" spans="3:18">
      <c r="C261" s="107"/>
      <c r="D261" s="107"/>
      <c r="H261" s="107"/>
      <c r="J261" s="107"/>
      <c r="K261" s="107"/>
      <c r="O261" s="107"/>
    </row>
    <row r="262" spans="3:18">
      <c r="C262" s="107"/>
      <c r="D262" s="107"/>
      <c r="H262" s="107"/>
      <c r="J262" s="107"/>
      <c r="K262" s="107"/>
      <c r="O262" s="107"/>
      <c r="R262" s="15"/>
    </row>
    <row r="263" spans="3:18">
      <c r="C263" s="107"/>
      <c r="D263" s="107"/>
      <c r="H263" s="107"/>
      <c r="J263" s="107"/>
      <c r="K263" s="107"/>
      <c r="O263" s="107"/>
    </row>
    <row r="264" spans="3:18">
      <c r="C264" s="107"/>
      <c r="D264" s="107"/>
      <c r="H264" s="107"/>
      <c r="J264" s="107"/>
      <c r="K264" s="107"/>
      <c r="O264" s="107"/>
    </row>
    <row r="265" spans="3:18">
      <c r="C265" s="107"/>
      <c r="D265" s="107"/>
      <c r="H265" s="107"/>
      <c r="J265" s="107"/>
      <c r="K265" s="107"/>
      <c r="O265" s="107"/>
    </row>
    <row r="266" spans="3:18">
      <c r="C266" s="107"/>
      <c r="D266" s="107"/>
      <c r="H266" s="107"/>
      <c r="J266" s="107"/>
      <c r="K266" s="107"/>
      <c r="O266" s="107"/>
    </row>
    <row r="267" spans="3:18">
      <c r="C267" s="107"/>
      <c r="D267" s="107"/>
      <c r="H267" s="107"/>
      <c r="J267" s="107"/>
      <c r="K267" s="107"/>
      <c r="O267" s="107"/>
    </row>
    <row r="268" spans="3:18">
      <c r="C268" s="107"/>
      <c r="D268" s="107"/>
      <c r="H268" s="107"/>
      <c r="J268" s="107"/>
      <c r="K268" s="107"/>
      <c r="O268" s="107"/>
    </row>
    <row r="269" spans="3:18">
      <c r="C269" s="107"/>
      <c r="D269" s="107"/>
      <c r="H269" s="107"/>
      <c r="J269" s="107"/>
      <c r="K269" s="107"/>
      <c r="O269" s="107"/>
    </row>
    <row r="270" spans="3:18">
      <c r="C270" s="107"/>
      <c r="D270" s="107"/>
      <c r="H270" s="107"/>
      <c r="J270" s="107"/>
      <c r="K270" s="107"/>
      <c r="O270" s="107"/>
    </row>
    <row r="271" spans="3:18">
      <c r="C271" s="107"/>
      <c r="D271" s="107"/>
      <c r="H271" s="107"/>
      <c r="J271" s="107"/>
      <c r="K271" s="107"/>
      <c r="O271" s="107"/>
    </row>
    <row r="272" spans="3:18">
      <c r="C272" s="107"/>
      <c r="D272" s="107"/>
      <c r="H272" s="107"/>
      <c r="J272" s="107"/>
      <c r="K272" s="107"/>
      <c r="O272" s="107"/>
    </row>
    <row r="273" spans="3:18">
      <c r="C273" s="107"/>
      <c r="D273" s="107"/>
      <c r="H273" s="107"/>
      <c r="J273" s="107"/>
      <c r="K273" s="107"/>
      <c r="O273" s="107"/>
    </row>
    <row r="274" spans="3:18">
      <c r="C274" s="107"/>
      <c r="D274" s="107"/>
      <c r="H274" s="107"/>
      <c r="J274" s="107"/>
      <c r="K274" s="107"/>
      <c r="O274" s="107"/>
    </row>
    <row r="275" spans="3:18">
      <c r="C275" s="107"/>
      <c r="D275" s="107"/>
      <c r="H275" s="107"/>
      <c r="J275" s="107"/>
      <c r="K275" s="107"/>
      <c r="O275" s="107"/>
    </row>
    <row r="276" spans="3:18">
      <c r="C276" s="107"/>
      <c r="D276" s="107"/>
      <c r="H276" s="107"/>
      <c r="J276" s="107"/>
      <c r="K276" s="107"/>
      <c r="O276" s="107"/>
    </row>
    <row r="277" spans="3:18">
      <c r="C277" s="107"/>
      <c r="D277" s="107"/>
      <c r="H277" s="107"/>
      <c r="J277" s="107"/>
      <c r="K277" s="107"/>
      <c r="O277" s="107"/>
    </row>
    <row r="278" spans="3:18">
      <c r="C278" s="107"/>
      <c r="D278" s="107"/>
      <c r="H278" s="107"/>
      <c r="J278" s="107"/>
      <c r="K278" s="107"/>
      <c r="O278" s="107"/>
    </row>
    <row r="279" spans="3:18">
      <c r="C279" s="107"/>
      <c r="D279" s="107"/>
      <c r="H279" s="107"/>
      <c r="J279" s="107"/>
      <c r="K279" s="107"/>
      <c r="O279" s="107"/>
    </row>
    <row r="280" spans="3:18">
      <c r="C280" s="107"/>
      <c r="D280" s="107"/>
      <c r="H280" s="107"/>
      <c r="J280" s="107"/>
      <c r="K280" s="107"/>
      <c r="O280" s="107"/>
    </row>
    <row r="281" spans="3:18">
      <c r="C281" s="107"/>
      <c r="D281" s="107"/>
      <c r="H281" s="107"/>
      <c r="J281" s="107"/>
      <c r="K281" s="107"/>
      <c r="O281" s="107"/>
      <c r="R281" s="15"/>
    </row>
    <row r="282" spans="3:18">
      <c r="C282" s="107"/>
      <c r="D282" s="107"/>
      <c r="H282" s="107"/>
      <c r="J282" s="107"/>
      <c r="K282" s="107"/>
      <c r="O282" s="107"/>
    </row>
    <row r="283" spans="3:18">
      <c r="C283" s="107"/>
      <c r="D283" s="107"/>
      <c r="H283" s="107"/>
      <c r="J283" s="107"/>
      <c r="K283" s="107"/>
      <c r="O283" s="107"/>
    </row>
    <row r="284" spans="3:18">
      <c r="C284" s="107"/>
      <c r="D284" s="107"/>
      <c r="H284" s="107"/>
      <c r="J284" s="107"/>
      <c r="K284" s="107"/>
      <c r="O284" s="107"/>
    </row>
    <row r="285" spans="3:18">
      <c r="C285" s="107"/>
      <c r="D285" s="107"/>
      <c r="H285" s="107"/>
      <c r="J285" s="107"/>
      <c r="K285" s="107"/>
      <c r="O285" s="107"/>
    </row>
    <row r="286" spans="3:18">
      <c r="C286" s="107"/>
      <c r="D286" s="107"/>
      <c r="H286" s="107"/>
      <c r="J286" s="107"/>
      <c r="K286" s="107"/>
      <c r="O286" s="107"/>
    </row>
    <row r="287" spans="3:18">
      <c r="C287" s="107"/>
      <c r="D287" s="107"/>
      <c r="H287" s="107"/>
      <c r="J287" s="107"/>
      <c r="K287" s="107"/>
      <c r="O287" s="107"/>
    </row>
    <row r="288" spans="3:18">
      <c r="C288" s="107"/>
      <c r="D288" s="107"/>
      <c r="H288" s="107"/>
      <c r="J288" s="107"/>
      <c r="K288" s="107"/>
      <c r="O288" s="107"/>
    </row>
    <row r="289" spans="3:19">
      <c r="C289" s="107"/>
      <c r="D289" s="107"/>
      <c r="H289" s="107"/>
      <c r="J289" s="107"/>
      <c r="K289" s="107"/>
      <c r="O289" s="107"/>
    </row>
    <row r="290" spans="3:19">
      <c r="C290" s="107"/>
      <c r="D290" s="107"/>
      <c r="H290" s="107"/>
      <c r="J290" s="107"/>
      <c r="K290" s="107"/>
      <c r="O290" s="107"/>
    </row>
    <row r="291" spans="3:19">
      <c r="C291" s="107"/>
      <c r="D291" s="107"/>
      <c r="H291" s="107"/>
      <c r="J291" s="107"/>
      <c r="K291" s="107"/>
      <c r="O291" s="107"/>
    </row>
    <row r="292" spans="3:19">
      <c r="C292" s="107"/>
      <c r="D292" s="107"/>
      <c r="H292" s="107"/>
      <c r="J292" s="107"/>
      <c r="K292" s="107"/>
      <c r="O292" s="107"/>
    </row>
    <row r="293" spans="3:19">
      <c r="C293" s="107"/>
      <c r="D293" s="107"/>
      <c r="H293" s="107"/>
      <c r="J293" s="107"/>
      <c r="K293" s="107"/>
      <c r="O293" s="107"/>
    </row>
    <row r="294" spans="3:19">
      <c r="C294" s="107"/>
      <c r="D294" s="107"/>
      <c r="H294" s="107"/>
      <c r="J294" s="107"/>
      <c r="K294" s="107"/>
      <c r="O294" s="107"/>
    </row>
    <row r="295" spans="3:19">
      <c r="C295" s="107"/>
      <c r="D295" s="107"/>
      <c r="H295" s="107"/>
      <c r="J295" s="107"/>
      <c r="K295" s="107"/>
      <c r="O295" s="107"/>
    </row>
    <row r="296" spans="3:19">
      <c r="C296" s="107"/>
      <c r="D296" s="107"/>
      <c r="H296" s="107"/>
      <c r="J296" s="107"/>
      <c r="K296" s="107"/>
      <c r="O296" s="107"/>
      <c r="R296" s="15"/>
    </row>
    <row r="297" spans="3:19">
      <c r="C297" s="107"/>
      <c r="D297" s="107"/>
      <c r="H297" s="107"/>
      <c r="J297" s="107"/>
      <c r="K297" s="107"/>
      <c r="O297" s="107"/>
      <c r="R297" s="15"/>
    </row>
    <row r="298" spans="3:19">
      <c r="C298" s="107"/>
      <c r="D298" s="107"/>
      <c r="H298" s="107"/>
      <c r="J298" s="107"/>
      <c r="K298" s="107"/>
      <c r="O298" s="107"/>
    </row>
    <row r="299" spans="3:19">
      <c r="C299" s="107"/>
      <c r="D299" s="107"/>
      <c r="H299" s="107"/>
      <c r="J299" s="107"/>
      <c r="K299" s="107"/>
      <c r="O299" s="107"/>
    </row>
    <row r="300" spans="3:19">
      <c r="C300" s="107"/>
      <c r="D300" s="107"/>
      <c r="H300" s="107"/>
      <c r="J300" s="107"/>
      <c r="K300" s="107"/>
      <c r="O300" s="107"/>
    </row>
    <row r="301" spans="3:19">
      <c r="C301" s="107"/>
      <c r="D301" s="107"/>
      <c r="H301" s="107"/>
      <c r="J301" s="107"/>
      <c r="K301" s="107"/>
      <c r="O301" s="107"/>
      <c r="S301" s="15"/>
    </row>
    <row r="302" spans="3:19">
      <c r="C302" s="107"/>
      <c r="D302" s="107"/>
      <c r="H302" s="107"/>
      <c r="J302" s="107"/>
      <c r="K302" s="107"/>
      <c r="O302" s="107"/>
    </row>
    <row r="303" spans="3:19">
      <c r="C303" s="107"/>
      <c r="D303" s="107"/>
      <c r="H303" s="107"/>
      <c r="J303" s="107"/>
      <c r="K303" s="107"/>
      <c r="O303" s="107"/>
    </row>
    <row r="304" spans="3:19">
      <c r="C304" s="107"/>
      <c r="D304" s="107"/>
      <c r="H304" s="107"/>
      <c r="J304" s="107"/>
      <c r="K304" s="107"/>
      <c r="O304" s="107"/>
    </row>
    <row r="305" spans="3:19">
      <c r="C305" s="107"/>
      <c r="D305" s="107"/>
      <c r="H305" s="107"/>
      <c r="J305" s="107"/>
      <c r="K305" s="107"/>
      <c r="O305" s="107"/>
    </row>
    <row r="306" spans="3:19">
      <c r="C306" s="107"/>
      <c r="D306" s="107"/>
      <c r="H306" s="107"/>
      <c r="J306" s="107"/>
      <c r="K306" s="107"/>
      <c r="O306" s="107"/>
      <c r="S306" s="15"/>
    </row>
    <row r="307" spans="3:19">
      <c r="C307" s="107"/>
      <c r="D307" s="107"/>
      <c r="H307" s="107"/>
      <c r="J307" s="107"/>
      <c r="K307" s="107"/>
      <c r="O307" s="107"/>
    </row>
    <row r="308" spans="3:19">
      <c r="C308" s="107"/>
      <c r="D308" s="107"/>
      <c r="H308" s="107"/>
      <c r="J308" s="107"/>
      <c r="K308" s="107"/>
      <c r="O308" s="107"/>
    </row>
    <row r="309" spans="3:19">
      <c r="C309" s="107"/>
      <c r="D309" s="107"/>
      <c r="H309" s="107"/>
      <c r="J309" s="107"/>
      <c r="K309" s="107"/>
      <c r="O309" s="107"/>
    </row>
    <row r="310" spans="3:19">
      <c r="C310" s="107"/>
      <c r="D310" s="107"/>
      <c r="H310" s="107"/>
      <c r="J310" s="107"/>
      <c r="K310" s="107"/>
      <c r="O310" s="107"/>
    </row>
    <row r="311" spans="3:19">
      <c r="C311" s="107"/>
      <c r="D311" s="107"/>
      <c r="H311" s="107"/>
      <c r="J311" s="107"/>
      <c r="K311" s="107"/>
      <c r="O311" s="107"/>
    </row>
    <row r="312" spans="3:19">
      <c r="C312" s="107"/>
      <c r="D312" s="107"/>
      <c r="H312" s="107"/>
      <c r="J312" s="107"/>
      <c r="K312" s="107"/>
      <c r="O312" s="107"/>
    </row>
    <row r="313" spans="3:19">
      <c r="C313" s="107"/>
      <c r="D313" s="107"/>
      <c r="H313" s="107"/>
      <c r="J313" s="107"/>
      <c r="K313" s="107"/>
      <c r="O313" s="107"/>
    </row>
    <row r="314" spans="3:19">
      <c r="C314" s="107"/>
      <c r="D314" s="107"/>
      <c r="H314" s="107"/>
      <c r="J314" s="107"/>
      <c r="K314" s="107"/>
      <c r="O314" s="107"/>
    </row>
    <row r="315" spans="3:19">
      <c r="C315" s="107"/>
      <c r="D315" s="107"/>
      <c r="H315" s="107"/>
      <c r="J315" s="107"/>
      <c r="K315" s="107"/>
      <c r="O315" s="107"/>
    </row>
    <row r="316" spans="3:19">
      <c r="C316" s="107"/>
      <c r="D316" s="107"/>
      <c r="H316" s="107"/>
      <c r="J316" s="107"/>
      <c r="K316" s="107"/>
      <c r="O316" s="107"/>
    </row>
    <row r="317" spans="3:19">
      <c r="C317" s="107"/>
      <c r="D317" s="107"/>
      <c r="H317" s="107"/>
      <c r="J317" s="107"/>
      <c r="K317" s="107"/>
      <c r="O317" s="107"/>
    </row>
    <row r="318" spans="3:19">
      <c r="C318" s="107"/>
      <c r="D318" s="107"/>
      <c r="H318" s="107"/>
      <c r="J318" s="107"/>
      <c r="K318" s="107"/>
      <c r="O318" s="107"/>
    </row>
    <row r="319" spans="3:19">
      <c r="C319" s="107"/>
      <c r="D319" s="107"/>
      <c r="H319" s="107"/>
      <c r="J319" s="107"/>
      <c r="K319" s="107"/>
      <c r="O319" s="107"/>
    </row>
    <row r="320" spans="3:19">
      <c r="C320" s="107"/>
      <c r="D320" s="107"/>
      <c r="H320" s="107"/>
      <c r="J320" s="107"/>
      <c r="K320" s="107"/>
      <c r="O320" s="107"/>
    </row>
    <row r="321" spans="3:18">
      <c r="C321" s="107"/>
      <c r="D321" s="107"/>
      <c r="H321" s="107"/>
      <c r="J321" s="107"/>
      <c r="K321" s="107"/>
      <c r="O321" s="107"/>
      <c r="R321" s="15"/>
    </row>
    <row r="322" spans="3:18">
      <c r="C322" s="107"/>
      <c r="D322" s="107"/>
      <c r="H322" s="107"/>
      <c r="J322" s="107"/>
      <c r="K322" s="107"/>
      <c r="O322" s="107"/>
    </row>
    <row r="323" spans="3:18">
      <c r="C323" s="107"/>
      <c r="D323" s="107"/>
      <c r="H323" s="107"/>
      <c r="J323" s="107"/>
      <c r="K323" s="107"/>
      <c r="O323" s="107"/>
    </row>
    <row r="324" spans="3:18">
      <c r="C324" s="107"/>
      <c r="D324" s="107"/>
      <c r="H324" s="107"/>
      <c r="J324" s="107"/>
      <c r="K324" s="107"/>
      <c r="O324" s="107"/>
    </row>
    <row r="325" spans="3:18">
      <c r="C325" s="107"/>
      <c r="D325" s="107"/>
      <c r="H325" s="107"/>
      <c r="J325" s="107"/>
      <c r="K325" s="107"/>
      <c r="O325" s="107"/>
    </row>
    <row r="326" spans="3:18">
      <c r="C326" s="107"/>
      <c r="D326" s="107"/>
      <c r="H326" s="107"/>
      <c r="J326" s="107"/>
      <c r="K326" s="107"/>
      <c r="O326" s="107"/>
    </row>
    <row r="327" spans="3:18">
      <c r="C327" s="107"/>
      <c r="D327" s="107"/>
      <c r="H327" s="107"/>
      <c r="J327" s="107"/>
      <c r="K327" s="107"/>
      <c r="O327" s="107"/>
    </row>
    <row r="328" spans="3:18">
      <c r="C328" s="107"/>
      <c r="D328" s="107"/>
      <c r="H328" s="107"/>
      <c r="J328" s="107"/>
      <c r="K328" s="107"/>
      <c r="O328" s="107"/>
    </row>
    <row r="329" spans="3:18">
      <c r="C329" s="107"/>
      <c r="D329" s="107"/>
      <c r="H329" s="107"/>
      <c r="J329" s="107"/>
      <c r="K329" s="107"/>
      <c r="O329" s="107"/>
    </row>
    <row r="330" spans="3:18">
      <c r="C330" s="107"/>
      <c r="D330" s="107"/>
      <c r="H330" s="107"/>
      <c r="J330" s="107"/>
      <c r="K330" s="107"/>
      <c r="O330" s="107"/>
    </row>
    <row r="331" spans="3:18">
      <c r="C331" s="107"/>
      <c r="D331" s="107"/>
      <c r="H331" s="107"/>
      <c r="J331" s="107"/>
      <c r="K331" s="107"/>
      <c r="O331" s="107"/>
    </row>
    <row r="332" spans="3:18">
      <c r="C332" s="107"/>
      <c r="D332" s="107"/>
      <c r="H332" s="107"/>
      <c r="J332" s="107"/>
      <c r="K332" s="107"/>
      <c r="O332" s="107"/>
    </row>
    <row r="333" spans="3:18">
      <c r="C333" s="107"/>
      <c r="D333" s="107"/>
      <c r="H333" s="107"/>
      <c r="J333" s="107"/>
      <c r="K333" s="107"/>
      <c r="O333" s="107"/>
    </row>
    <row r="334" spans="3:18">
      <c r="C334" s="107"/>
      <c r="D334" s="107"/>
      <c r="H334" s="107"/>
      <c r="J334" s="107"/>
      <c r="K334" s="107"/>
      <c r="O334" s="107"/>
    </row>
    <row r="335" spans="3:18">
      <c r="C335" s="107"/>
      <c r="D335" s="107"/>
      <c r="H335" s="107"/>
      <c r="J335" s="107"/>
      <c r="K335" s="107"/>
      <c r="O335" s="107"/>
    </row>
    <row r="336" spans="3:18">
      <c r="C336" s="107"/>
      <c r="D336" s="107"/>
      <c r="H336" s="107"/>
      <c r="J336" s="107"/>
      <c r="K336" s="107"/>
      <c r="O336" s="107"/>
      <c r="R336" s="15"/>
    </row>
    <row r="337" spans="3:18">
      <c r="C337" s="107"/>
      <c r="D337" s="107"/>
      <c r="H337" s="107"/>
      <c r="J337" s="107"/>
      <c r="K337" s="107"/>
      <c r="O337" s="107"/>
    </row>
    <row r="338" spans="3:18">
      <c r="C338" s="107"/>
      <c r="D338" s="107"/>
      <c r="H338" s="107"/>
      <c r="J338" s="107"/>
      <c r="K338" s="107"/>
      <c r="O338" s="107"/>
    </row>
    <row r="339" spans="3:18">
      <c r="C339" s="107"/>
      <c r="D339" s="107"/>
      <c r="H339" s="107"/>
      <c r="J339" s="107"/>
      <c r="K339" s="107"/>
      <c r="O339" s="107"/>
    </row>
    <row r="340" spans="3:18">
      <c r="C340" s="107"/>
      <c r="D340" s="107"/>
      <c r="H340" s="107"/>
      <c r="J340" s="107"/>
      <c r="K340" s="107"/>
      <c r="O340" s="107"/>
    </row>
    <row r="341" spans="3:18">
      <c r="C341" s="107"/>
      <c r="D341" s="107"/>
      <c r="H341" s="107"/>
      <c r="J341" s="107"/>
      <c r="K341" s="107"/>
      <c r="O341" s="107"/>
      <c r="R341" s="15"/>
    </row>
    <row r="342" spans="3:18">
      <c r="C342" s="107"/>
      <c r="D342" s="107"/>
      <c r="H342" s="107"/>
      <c r="J342" s="107"/>
      <c r="K342" s="107"/>
      <c r="O342" s="107"/>
    </row>
    <row r="343" spans="3:18">
      <c r="C343" s="107"/>
      <c r="D343" s="107"/>
      <c r="H343" s="107"/>
      <c r="J343" s="107"/>
      <c r="K343" s="107"/>
      <c r="O343" s="107"/>
    </row>
    <row r="344" spans="3:18">
      <c r="C344" s="107"/>
      <c r="D344" s="107"/>
      <c r="H344" s="107"/>
      <c r="J344" s="107"/>
      <c r="K344" s="107"/>
      <c r="O344" s="107"/>
    </row>
    <row r="345" spans="3:18">
      <c r="C345" s="107"/>
      <c r="D345" s="107"/>
      <c r="H345" s="107"/>
      <c r="J345" s="107"/>
      <c r="K345" s="107"/>
      <c r="O345" s="107"/>
    </row>
    <row r="346" spans="3:18">
      <c r="C346" s="107"/>
      <c r="D346" s="107"/>
      <c r="H346" s="107"/>
      <c r="J346" s="107"/>
      <c r="K346" s="107"/>
      <c r="O346" s="107"/>
    </row>
    <row r="347" spans="3:18">
      <c r="C347" s="107"/>
      <c r="D347" s="107"/>
      <c r="H347" s="107"/>
      <c r="J347" s="107"/>
      <c r="K347" s="107"/>
      <c r="O347" s="107"/>
    </row>
    <row r="348" spans="3:18">
      <c r="C348" s="107"/>
      <c r="D348" s="107"/>
      <c r="H348" s="107"/>
      <c r="J348" s="107"/>
      <c r="K348" s="107"/>
      <c r="O348" s="107"/>
    </row>
    <row r="349" spans="3:18">
      <c r="C349" s="107"/>
      <c r="D349" s="107"/>
      <c r="H349" s="107"/>
      <c r="J349" s="107"/>
      <c r="K349" s="107"/>
      <c r="O349" s="107"/>
    </row>
    <row r="350" spans="3:18">
      <c r="C350" s="107"/>
      <c r="D350" s="107"/>
      <c r="H350" s="107"/>
      <c r="J350" s="107"/>
      <c r="K350" s="107"/>
      <c r="O350" s="107"/>
    </row>
    <row r="351" spans="3:18">
      <c r="C351" s="107"/>
      <c r="D351" s="107"/>
      <c r="H351" s="107"/>
      <c r="J351" s="107"/>
      <c r="K351" s="107"/>
      <c r="O351" s="107"/>
    </row>
    <row r="352" spans="3:18">
      <c r="C352" s="107"/>
      <c r="D352" s="107"/>
      <c r="H352" s="107"/>
      <c r="J352" s="107"/>
      <c r="K352" s="107"/>
      <c r="O352" s="107"/>
    </row>
    <row r="353" spans="3:15">
      <c r="C353" s="107"/>
      <c r="D353" s="107"/>
      <c r="H353" s="107"/>
      <c r="J353" s="107"/>
      <c r="K353" s="107"/>
      <c r="O353" s="107"/>
    </row>
    <row r="354" spans="3:15">
      <c r="C354" s="107"/>
      <c r="D354" s="107"/>
      <c r="H354" s="107"/>
      <c r="J354" s="107"/>
      <c r="K354" s="107"/>
      <c r="O354" s="107"/>
    </row>
    <row r="355" spans="3:15">
      <c r="C355" s="107"/>
      <c r="D355" s="107"/>
      <c r="H355" s="107"/>
      <c r="J355" s="107"/>
      <c r="K355" s="107"/>
      <c r="O355" s="107"/>
    </row>
    <row r="356" spans="3:15">
      <c r="C356" s="107"/>
      <c r="D356" s="107"/>
      <c r="H356" s="107"/>
      <c r="J356" s="107"/>
      <c r="K356" s="107"/>
      <c r="O356" s="107"/>
    </row>
    <row r="357" spans="3:15">
      <c r="C357" s="107"/>
      <c r="D357" s="107"/>
      <c r="H357" s="107"/>
      <c r="J357" s="107"/>
      <c r="K357" s="107"/>
      <c r="O357" s="107"/>
    </row>
    <row r="358" spans="3:15">
      <c r="C358" s="107"/>
      <c r="D358" s="107"/>
      <c r="H358" s="107"/>
      <c r="J358" s="107"/>
      <c r="K358" s="107"/>
      <c r="O358" s="107"/>
    </row>
    <row r="359" spans="3:15">
      <c r="C359" s="107"/>
      <c r="D359" s="107"/>
      <c r="H359" s="107"/>
      <c r="J359" s="107"/>
      <c r="K359" s="107"/>
      <c r="O359" s="107"/>
    </row>
    <row r="360" spans="3:15">
      <c r="C360" s="107"/>
      <c r="D360" s="107"/>
      <c r="H360" s="107"/>
      <c r="J360" s="107"/>
      <c r="K360" s="107"/>
      <c r="O360" s="107"/>
    </row>
    <row r="361" spans="3:15">
      <c r="C361" s="107"/>
      <c r="D361" s="107"/>
      <c r="H361" s="107"/>
      <c r="J361" s="107"/>
      <c r="K361" s="107"/>
      <c r="O361" s="107"/>
    </row>
    <row r="362" spans="3:15">
      <c r="C362" s="107"/>
      <c r="D362" s="107"/>
      <c r="H362" s="107"/>
      <c r="J362" s="107"/>
      <c r="K362" s="107"/>
      <c r="O362" s="107"/>
    </row>
    <row r="363" spans="3:15">
      <c r="C363" s="107"/>
      <c r="D363" s="107"/>
      <c r="H363" s="107"/>
      <c r="J363" s="107"/>
      <c r="K363" s="107"/>
      <c r="O363" s="107"/>
    </row>
    <row r="364" spans="3:15">
      <c r="C364" s="107"/>
      <c r="D364" s="107"/>
      <c r="H364" s="107"/>
      <c r="J364" s="107"/>
      <c r="K364" s="107"/>
      <c r="O364" s="107"/>
    </row>
    <row r="365" spans="3:15">
      <c r="C365" s="107"/>
      <c r="D365" s="107"/>
      <c r="H365" s="107"/>
      <c r="J365" s="107"/>
      <c r="K365" s="107"/>
      <c r="O365" s="107"/>
    </row>
    <row r="366" spans="3:15">
      <c r="C366" s="107"/>
      <c r="D366" s="107"/>
      <c r="H366" s="107"/>
      <c r="J366" s="107"/>
      <c r="K366" s="107"/>
      <c r="O366" s="107"/>
    </row>
    <row r="367" spans="3:15">
      <c r="C367" s="107"/>
      <c r="D367" s="107"/>
      <c r="H367" s="107"/>
      <c r="J367" s="107"/>
      <c r="K367" s="107"/>
      <c r="O367" s="107"/>
    </row>
    <row r="368" spans="3:15">
      <c r="C368" s="107"/>
      <c r="D368" s="107"/>
      <c r="H368" s="107"/>
      <c r="J368" s="107"/>
      <c r="K368" s="107"/>
      <c r="O368" s="107"/>
    </row>
    <row r="369" spans="3:19">
      <c r="C369" s="107"/>
      <c r="D369" s="107"/>
      <c r="H369" s="107"/>
      <c r="J369" s="107"/>
      <c r="K369" s="107"/>
      <c r="O369" s="107"/>
    </row>
    <row r="370" spans="3:19">
      <c r="C370" s="107"/>
      <c r="D370" s="107"/>
      <c r="H370" s="107"/>
      <c r="J370" s="107"/>
      <c r="K370" s="107"/>
      <c r="O370" s="107"/>
    </row>
    <row r="371" spans="3:19">
      <c r="C371" s="107"/>
      <c r="D371" s="107"/>
      <c r="H371" s="107"/>
      <c r="J371" s="107"/>
      <c r="K371" s="107"/>
      <c r="O371" s="107"/>
    </row>
    <row r="372" spans="3:19">
      <c r="C372" s="107"/>
      <c r="D372" s="107"/>
      <c r="H372" s="107"/>
      <c r="J372" s="107"/>
      <c r="K372" s="107"/>
      <c r="O372" s="107"/>
    </row>
    <row r="373" spans="3:19">
      <c r="C373" s="107"/>
      <c r="D373" s="107"/>
      <c r="H373" s="107"/>
      <c r="J373" s="107"/>
      <c r="K373" s="107"/>
      <c r="O373" s="107"/>
    </row>
    <row r="374" spans="3:19">
      <c r="C374" s="107"/>
      <c r="D374" s="107"/>
      <c r="H374" s="107"/>
      <c r="J374" s="107"/>
      <c r="K374" s="107"/>
      <c r="O374" s="107"/>
    </row>
    <row r="375" spans="3:19">
      <c r="C375" s="107"/>
      <c r="D375" s="107"/>
      <c r="H375" s="107"/>
      <c r="J375" s="107"/>
      <c r="K375" s="107"/>
      <c r="O375" s="107"/>
    </row>
    <row r="376" spans="3:19">
      <c r="C376" s="107"/>
      <c r="D376" s="107"/>
      <c r="H376" s="107"/>
      <c r="J376" s="107"/>
      <c r="K376" s="107"/>
      <c r="O376" s="107"/>
    </row>
    <row r="377" spans="3:19">
      <c r="C377" s="107"/>
      <c r="D377" s="107"/>
      <c r="H377" s="107"/>
      <c r="J377" s="107"/>
      <c r="K377" s="107"/>
      <c r="O377" s="107"/>
      <c r="S377" s="15"/>
    </row>
    <row r="378" spans="3:19">
      <c r="C378" s="107"/>
      <c r="D378" s="107"/>
      <c r="H378" s="107"/>
      <c r="J378" s="107"/>
      <c r="K378" s="107"/>
      <c r="O378" s="107"/>
    </row>
    <row r="379" spans="3:19">
      <c r="C379" s="107"/>
      <c r="D379" s="107"/>
      <c r="H379" s="107"/>
      <c r="J379" s="107"/>
      <c r="K379" s="107"/>
      <c r="O379" s="107"/>
      <c r="R379" s="15"/>
    </row>
    <row r="380" spans="3:19">
      <c r="C380" s="107"/>
      <c r="D380" s="107"/>
      <c r="H380" s="107"/>
      <c r="J380" s="107"/>
      <c r="K380" s="107"/>
      <c r="O380" s="107"/>
    </row>
    <row r="381" spans="3:19">
      <c r="C381" s="107"/>
      <c r="D381" s="107"/>
      <c r="H381" s="107"/>
      <c r="J381" s="107"/>
      <c r="K381" s="107"/>
      <c r="O381" s="107"/>
    </row>
    <row r="382" spans="3:19">
      <c r="C382" s="107"/>
      <c r="D382" s="107"/>
      <c r="H382" s="107"/>
      <c r="J382" s="107"/>
      <c r="K382" s="107"/>
      <c r="O382" s="107"/>
    </row>
    <row r="383" spans="3:19">
      <c r="C383" s="107"/>
      <c r="D383" s="107"/>
      <c r="H383" s="107"/>
      <c r="J383" s="107"/>
      <c r="K383" s="107"/>
      <c r="O383" s="107"/>
    </row>
    <row r="384" spans="3:19">
      <c r="C384" s="107"/>
      <c r="D384" s="107"/>
      <c r="H384" s="107"/>
      <c r="J384" s="107"/>
      <c r="K384" s="107"/>
      <c r="O384" s="107"/>
    </row>
    <row r="385" spans="3:19">
      <c r="C385" s="107"/>
      <c r="D385" s="107"/>
      <c r="H385" s="107"/>
      <c r="J385" s="107"/>
      <c r="K385" s="107"/>
      <c r="O385" s="107"/>
    </row>
    <row r="386" spans="3:19">
      <c r="C386" s="107"/>
      <c r="D386" s="107"/>
      <c r="H386" s="107"/>
      <c r="J386" s="107"/>
      <c r="K386" s="107"/>
      <c r="O386" s="107"/>
    </row>
    <row r="387" spans="3:19">
      <c r="C387" s="107"/>
      <c r="D387" s="107"/>
      <c r="H387" s="107"/>
      <c r="J387" s="107"/>
      <c r="K387" s="107"/>
      <c r="O387" s="107"/>
    </row>
    <row r="388" spans="3:19">
      <c r="C388" s="107"/>
      <c r="D388" s="107"/>
      <c r="H388" s="107"/>
      <c r="J388" s="107"/>
      <c r="K388" s="107"/>
      <c r="O388" s="107"/>
    </row>
    <row r="389" spans="3:19">
      <c r="C389" s="107"/>
      <c r="D389" s="107"/>
      <c r="H389" s="107"/>
      <c r="J389" s="107"/>
      <c r="K389" s="107"/>
      <c r="O389" s="107"/>
    </row>
    <row r="390" spans="3:19">
      <c r="C390" s="107"/>
      <c r="D390" s="107"/>
      <c r="H390" s="107"/>
      <c r="J390" s="107"/>
      <c r="K390" s="107"/>
      <c r="O390" s="107"/>
      <c r="R390" s="15"/>
    </row>
    <row r="391" spans="3:19">
      <c r="C391" s="107"/>
      <c r="D391" s="107"/>
      <c r="H391" s="107"/>
      <c r="J391" s="107"/>
      <c r="K391" s="107"/>
      <c r="O391" s="107"/>
    </row>
    <row r="392" spans="3:19">
      <c r="C392" s="107"/>
      <c r="D392" s="107"/>
      <c r="H392" s="107"/>
      <c r="J392" s="107"/>
      <c r="K392" s="107"/>
      <c r="O392" s="107"/>
    </row>
    <row r="393" spans="3:19">
      <c r="C393" s="107"/>
      <c r="D393" s="107"/>
      <c r="H393" s="107"/>
      <c r="J393" s="107"/>
      <c r="K393" s="107"/>
      <c r="O393" s="107"/>
    </row>
    <row r="394" spans="3:19">
      <c r="C394" s="107"/>
      <c r="D394" s="107"/>
      <c r="H394" s="107"/>
      <c r="J394" s="107"/>
      <c r="K394" s="107"/>
      <c r="O394" s="107"/>
    </row>
    <row r="395" spans="3:19">
      <c r="C395" s="107"/>
      <c r="D395" s="107"/>
      <c r="H395" s="107"/>
      <c r="J395" s="107"/>
      <c r="K395" s="107"/>
      <c r="O395" s="107"/>
    </row>
    <row r="396" spans="3:19">
      <c r="C396" s="107"/>
      <c r="D396" s="107"/>
      <c r="H396" s="107"/>
      <c r="J396" s="107"/>
      <c r="K396" s="107"/>
      <c r="O396" s="107"/>
    </row>
    <row r="397" spans="3:19">
      <c r="C397" s="107"/>
      <c r="D397" s="107"/>
      <c r="H397" s="107"/>
      <c r="J397" s="107"/>
      <c r="K397" s="107"/>
      <c r="O397" s="107"/>
    </row>
    <row r="398" spans="3:19">
      <c r="C398" s="107"/>
      <c r="D398" s="107"/>
      <c r="H398" s="107"/>
      <c r="J398" s="107"/>
      <c r="K398" s="107"/>
      <c r="O398" s="107"/>
      <c r="S398" s="15"/>
    </row>
    <row r="399" spans="3:19">
      <c r="C399" s="107"/>
      <c r="D399" s="107"/>
      <c r="H399" s="107"/>
      <c r="J399" s="107"/>
      <c r="K399" s="107"/>
      <c r="O399" s="107"/>
    </row>
    <row r="400" spans="3:19">
      <c r="C400" s="107"/>
      <c r="D400" s="107"/>
      <c r="H400" s="107"/>
      <c r="J400" s="107"/>
      <c r="K400" s="107"/>
      <c r="O400" s="107"/>
    </row>
    <row r="401" spans="3:15">
      <c r="C401" s="107"/>
      <c r="D401" s="107"/>
      <c r="H401" s="107"/>
      <c r="J401" s="107"/>
      <c r="K401" s="107"/>
      <c r="O401" s="107"/>
    </row>
    <row r="402" spans="3:15">
      <c r="C402" s="107"/>
      <c r="D402" s="107"/>
      <c r="H402" s="107"/>
      <c r="J402" s="107"/>
      <c r="K402" s="107"/>
      <c r="O402" s="107"/>
    </row>
    <row r="403" spans="3:15">
      <c r="C403" s="107"/>
      <c r="D403" s="107"/>
      <c r="H403" s="107"/>
      <c r="J403" s="107"/>
      <c r="K403" s="107"/>
      <c r="O403" s="107"/>
    </row>
    <row r="404" spans="3:15">
      <c r="C404" s="107"/>
      <c r="D404" s="107"/>
      <c r="H404" s="107"/>
      <c r="J404" s="107"/>
      <c r="K404" s="107"/>
      <c r="O404" s="107"/>
    </row>
    <row r="405" spans="3:15">
      <c r="C405" s="107"/>
      <c r="D405" s="107"/>
      <c r="H405" s="107"/>
      <c r="J405" s="107"/>
      <c r="K405" s="107"/>
      <c r="O405" s="107"/>
    </row>
    <row r="406" spans="3:15">
      <c r="C406" s="107"/>
      <c r="D406" s="107"/>
      <c r="H406" s="107"/>
      <c r="J406" s="107"/>
      <c r="K406" s="107"/>
      <c r="O406" s="107"/>
    </row>
    <row r="407" spans="3:15">
      <c r="C407" s="107"/>
      <c r="D407" s="107"/>
      <c r="H407" s="107"/>
      <c r="J407" s="107"/>
      <c r="K407" s="107"/>
      <c r="O407" s="107"/>
    </row>
    <row r="408" spans="3:15">
      <c r="C408" s="107"/>
      <c r="D408" s="107"/>
      <c r="H408" s="107"/>
      <c r="J408" s="107"/>
      <c r="K408" s="107"/>
      <c r="O408" s="107"/>
    </row>
    <row r="409" spans="3:15">
      <c r="C409" s="107"/>
      <c r="D409" s="107"/>
      <c r="H409" s="107"/>
      <c r="J409" s="107"/>
      <c r="K409" s="107"/>
      <c r="O409" s="107"/>
    </row>
    <row r="410" spans="3:15">
      <c r="C410" s="107"/>
      <c r="D410" s="107"/>
      <c r="H410" s="107"/>
      <c r="J410" s="107"/>
      <c r="K410" s="107"/>
      <c r="O410" s="107"/>
    </row>
    <row r="411" spans="3:15">
      <c r="C411" s="107"/>
      <c r="D411" s="107"/>
      <c r="H411" s="107"/>
      <c r="J411" s="107"/>
      <c r="K411" s="107"/>
      <c r="O411" s="107"/>
    </row>
    <row r="412" spans="3:15">
      <c r="C412" s="107"/>
      <c r="D412" s="107"/>
      <c r="H412" s="107"/>
      <c r="J412" s="107"/>
      <c r="K412" s="107"/>
      <c r="O412" s="107"/>
    </row>
    <row r="413" spans="3:15">
      <c r="C413" s="107"/>
      <c r="D413" s="107"/>
      <c r="H413" s="107"/>
      <c r="J413" s="107"/>
      <c r="K413" s="107"/>
      <c r="O413" s="107"/>
    </row>
    <row r="414" spans="3:15">
      <c r="C414" s="107"/>
      <c r="D414" s="107"/>
      <c r="H414" s="107"/>
      <c r="J414" s="107"/>
      <c r="K414" s="107"/>
      <c r="O414" s="107"/>
    </row>
    <row r="415" spans="3:15">
      <c r="C415" s="107"/>
      <c r="D415" s="107"/>
      <c r="H415" s="107"/>
      <c r="J415" s="107"/>
      <c r="K415" s="107"/>
      <c r="O415" s="107"/>
    </row>
    <row r="416" spans="3:15">
      <c r="C416" s="107"/>
      <c r="D416" s="107"/>
      <c r="H416" s="107"/>
      <c r="J416" s="107"/>
      <c r="K416" s="107"/>
      <c r="O416" s="107"/>
    </row>
    <row r="417" spans="3:15">
      <c r="C417" s="107"/>
      <c r="D417" s="107"/>
      <c r="H417" s="107"/>
      <c r="J417" s="107"/>
      <c r="K417" s="107"/>
      <c r="O417" s="107"/>
    </row>
    <row r="418" spans="3:15">
      <c r="C418" s="107"/>
      <c r="D418" s="107"/>
      <c r="H418" s="107"/>
      <c r="J418" s="107"/>
      <c r="K418" s="107"/>
      <c r="O418" s="107"/>
    </row>
    <row r="419" spans="3:15">
      <c r="C419" s="107"/>
      <c r="D419" s="107"/>
      <c r="H419" s="107"/>
      <c r="J419" s="107"/>
      <c r="K419" s="107"/>
      <c r="O419" s="107"/>
    </row>
    <row r="420" spans="3:15">
      <c r="C420" s="107"/>
      <c r="D420" s="107"/>
      <c r="H420" s="107"/>
      <c r="J420" s="107"/>
      <c r="K420" s="107"/>
      <c r="O420" s="107"/>
    </row>
    <row r="421" spans="3:15">
      <c r="C421" s="107"/>
      <c r="D421" s="107"/>
      <c r="H421" s="107"/>
      <c r="J421" s="107"/>
      <c r="K421" s="107"/>
      <c r="O421" s="107"/>
    </row>
    <row r="422" spans="3:15">
      <c r="C422" s="107"/>
      <c r="D422" s="107"/>
      <c r="H422" s="107"/>
      <c r="J422" s="107"/>
      <c r="K422" s="107"/>
      <c r="O422" s="107"/>
    </row>
    <row r="423" spans="3:15">
      <c r="C423" s="107"/>
      <c r="D423" s="107"/>
      <c r="H423" s="107"/>
      <c r="J423" s="107"/>
      <c r="K423" s="107"/>
      <c r="O423" s="107"/>
    </row>
    <row r="424" spans="3:15">
      <c r="C424" s="107"/>
      <c r="D424" s="107"/>
      <c r="H424" s="107"/>
      <c r="J424" s="107"/>
      <c r="K424" s="107"/>
      <c r="O424" s="107"/>
    </row>
    <row r="425" spans="3:15">
      <c r="C425" s="107"/>
      <c r="D425" s="107"/>
      <c r="H425" s="107"/>
      <c r="J425" s="107"/>
      <c r="K425" s="107"/>
      <c r="O425" s="107"/>
    </row>
    <row r="426" spans="3:15">
      <c r="C426" s="107"/>
      <c r="D426" s="107"/>
      <c r="H426" s="107"/>
      <c r="J426" s="107"/>
      <c r="K426" s="107"/>
      <c r="O426" s="107"/>
    </row>
    <row r="427" spans="3:15">
      <c r="C427" s="107"/>
      <c r="D427" s="107"/>
      <c r="H427" s="107"/>
      <c r="J427" s="107"/>
      <c r="K427" s="107"/>
      <c r="O427" s="107"/>
    </row>
    <row r="428" spans="3:15">
      <c r="C428" s="107"/>
      <c r="D428" s="107"/>
      <c r="H428" s="107"/>
      <c r="J428" s="107"/>
      <c r="K428" s="107"/>
      <c r="O428" s="107"/>
    </row>
    <row r="429" spans="3:15">
      <c r="C429" s="107"/>
      <c r="D429" s="107"/>
      <c r="H429" s="107"/>
      <c r="J429" s="107"/>
      <c r="K429" s="107"/>
      <c r="O429" s="107"/>
    </row>
    <row r="430" spans="3:15">
      <c r="C430" s="107"/>
      <c r="D430" s="107"/>
      <c r="H430" s="107"/>
      <c r="J430" s="107"/>
      <c r="K430" s="107"/>
      <c r="O430" s="107"/>
    </row>
    <row r="431" spans="3:15">
      <c r="C431" s="107"/>
      <c r="D431" s="107"/>
      <c r="H431" s="107"/>
      <c r="J431" s="107"/>
      <c r="K431" s="107"/>
      <c r="O431" s="107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7" customFormat="1">
      <c r="C1" s="1" t="s">
        <v>1016</v>
      </c>
      <c r="D1" s="142">
        <v>0.1</v>
      </c>
    </row>
    <row r="2" spans="1:4" s="107" customFormat="1">
      <c r="A2" s="13" t="s">
        <v>1014</v>
      </c>
      <c r="B2" s="1" t="s">
        <v>1023</v>
      </c>
      <c r="C2" s="1" t="s">
        <v>1015</v>
      </c>
    </row>
    <row r="3" spans="1:4" s="107" customFormat="1">
      <c r="A3" s="107">
        <v>500000</v>
      </c>
      <c r="B3" s="107">
        <v>250</v>
      </c>
      <c r="C3" s="107">
        <f>B3*(1+$D$1)</f>
        <v>275</v>
      </c>
    </row>
    <row r="4" spans="1:4" s="107" customFormat="1">
      <c r="A4" s="107">
        <v>1000000</v>
      </c>
      <c r="B4" s="107">
        <v>487</v>
      </c>
      <c r="C4" s="107">
        <f t="shared" ref="C4:C6" si="0">B4*(1+$D$1)</f>
        <v>535.70000000000005</v>
      </c>
    </row>
    <row r="5" spans="1:4" s="107" customFormat="1">
      <c r="A5" s="107">
        <v>1500000</v>
      </c>
      <c r="B5" s="107">
        <v>582</v>
      </c>
      <c r="C5" s="107">
        <f t="shared" si="0"/>
        <v>640.20000000000005</v>
      </c>
    </row>
    <row r="6" spans="1:4" s="107" customFormat="1">
      <c r="A6" s="107">
        <v>30000000</v>
      </c>
      <c r="B6" s="107">
        <v>921</v>
      </c>
      <c r="C6" s="107">
        <f t="shared" si="0"/>
        <v>1013.1000000000001</v>
      </c>
    </row>
    <row r="7" spans="1:4" s="107" customFormat="1"/>
    <row r="8" spans="1:4" s="107" customFormat="1">
      <c r="A8" s="13" t="s">
        <v>1017</v>
      </c>
      <c r="B8" s="1" t="s">
        <v>1024</v>
      </c>
    </row>
    <row r="9" spans="1:4" s="107" customFormat="1">
      <c r="A9" s="143" t="s">
        <v>1018</v>
      </c>
      <c r="B9" s="145">
        <v>198</v>
      </c>
    </row>
    <row r="10" spans="1:4" s="107" customFormat="1">
      <c r="A10" s="143" t="s">
        <v>1019</v>
      </c>
      <c r="B10" s="145">
        <v>385</v>
      </c>
    </row>
    <row r="11" spans="1:4" s="107" customFormat="1">
      <c r="A11" s="1" t="s">
        <v>1020</v>
      </c>
      <c r="B11" s="146">
        <v>2.8000000000000001E-2</v>
      </c>
    </row>
    <row r="12" spans="1:4" s="107" customFormat="1">
      <c r="A12" s="1" t="s">
        <v>241</v>
      </c>
      <c r="B12" s="146">
        <v>1.0999999999999999E-2</v>
      </c>
    </row>
    <row r="15" spans="1:4" ht="15">
      <c r="A15" s="79" t="s">
        <v>173</v>
      </c>
    </row>
    <row r="16" spans="1:4">
      <c r="B16" s="1"/>
    </row>
    <row r="17" spans="1:2" ht="15.75" thickBot="1">
      <c r="A17" s="70" t="s">
        <v>174</v>
      </c>
    </row>
    <row r="18" spans="1:2" ht="15.75" thickBot="1">
      <c r="A18" s="72" t="s">
        <v>175</v>
      </c>
      <c r="B18" s="73" t="s">
        <v>176</v>
      </c>
    </row>
    <row r="19" spans="1:2" ht="15.75" thickBot="1">
      <c r="A19" s="74" t="s">
        <v>177</v>
      </c>
      <c r="B19" s="71" t="s">
        <v>178</v>
      </c>
    </row>
    <row r="20" spans="1:2" ht="15.75" thickBot="1">
      <c r="A20" s="74" t="s">
        <v>179</v>
      </c>
      <c r="B20" s="71" t="s">
        <v>180</v>
      </c>
    </row>
    <row r="21" spans="1:2" ht="15.75" thickBot="1">
      <c r="A21" s="74" t="s">
        <v>181</v>
      </c>
      <c r="B21" s="71" t="s">
        <v>182</v>
      </c>
    </row>
    <row r="22" spans="1:2" ht="15.75" thickBot="1">
      <c r="A22" s="74" t="s">
        <v>183</v>
      </c>
      <c r="B22" s="71" t="s">
        <v>184</v>
      </c>
    </row>
    <row r="23" spans="1:2" ht="15.75" thickBot="1">
      <c r="A23" s="75" t="s">
        <v>185</v>
      </c>
      <c r="B23" s="76" t="s">
        <v>186</v>
      </c>
    </row>
    <row r="24" spans="1:2" ht="15.75" thickBot="1">
      <c r="A24" s="77" t="s">
        <v>187</v>
      </c>
      <c r="B24" s="78" t="s">
        <v>188</v>
      </c>
    </row>
    <row r="25" spans="1:2" ht="15.75" thickBot="1">
      <c r="A25" s="74" t="s">
        <v>189</v>
      </c>
      <c r="B25" s="71" t="s">
        <v>190</v>
      </c>
    </row>
    <row r="26" spans="1:2" ht="15.75" thickBot="1">
      <c r="A26" s="74" t="s">
        <v>191</v>
      </c>
      <c r="B26" s="71" t="s">
        <v>192</v>
      </c>
    </row>
    <row r="27" spans="1:2" ht="15.75" thickBot="1">
      <c r="A27" s="70" t="s">
        <v>193</v>
      </c>
    </row>
    <row r="28" spans="1:2" ht="15.75" thickBot="1">
      <c r="A28" s="72" t="s">
        <v>175</v>
      </c>
      <c r="B28" s="73" t="s">
        <v>176</v>
      </c>
    </row>
    <row r="29" spans="1:2" ht="15.75" thickBot="1">
      <c r="A29" s="74" t="s">
        <v>179</v>
      </c>
      <c r="B29" s="71" t="s">
        <v>180</v>
      </c>
    </row>
    <row r="30" spans="1:2" ht="15.75" thickBot="1">
      <c r="A30" s="74" t="s">
        <v>181</v>
      </c>
      <c r="B30" s="71" t="s">
        <v>194</v>
      </c>
    </row>
    <row r="31" spans="1:2" ht="15.75" thickBot="1">
      <c r="A31" s="74" t="s">
        <v>183</v>
      </c>
      <c r="B31" s="71" t="s">
        <v>195</v>
      </c>
    </row>
    <row r="32" spans="1:2" ht="15.75" thickBot="1">
      <c r="A32" s="75" t="s">
        <v>196</v>
      </c>
      <c r="B32" s="76" t="s">
        <v>197</v>
      </c>
    </row>
    <row r="35" spans="1:8" ht="15">
      <c r="A35" s="79" t="s">
        <v>198</v>
      </c>
    </row>
    <row r="36" spans="1:8" ht="15" thickBot="1"/>
    <row r="37" spans="1:8" ht="15.75" thickBot="1">
      <c r="A37" s="72" t="s">
        <v>199</v>
      </c>
      <c r="B37" s="73" t="s">
        <v>165</v>
      </c>
    </row>
    <row r="38" spans="1:8" ht="15.75" thickBot="1">
      <c r="A38" s="74" t="s">
        <v>179</v>
      </c>
      <c r="B38" s="71" t="s">
        <v>200</v>
      </c>
    </row>
    <row r="39" spans="1:8" ht="15.75" thickBot="1">
      <c r="A39" s="74" t="s">
        <v>181</v>
      </c>
      <c r="B39" s="71" t="s">
        <v>201</v>
      </c>
    </row>
    <row r="40" spans="1:8" ht="15.75" thickBot="1">
      <c r="A40" s="74" t="s">
        <v>202</v>
      </c>
      <c r="B40" s="71" t="s">
        <v>203</v>
      </c>
    </row>
    <row r="41" spans="1:8" ht="15.75" thickBot="1">
      <c r="A41" s="74" t="s">
        <v>183</v>
      </c>
      <c r="B41" s="71" t="s">
        <v>204</v>
      </c>
    </row>
    <row r="42" spans="1:8" ht="15.75" thickBot="1">
      <c r="A42" s="74" t="s">
        <v>185</v>
      </c>
      <c r="B42" s="71" t="s">
        <v>205</v>
      </c>
    </row>
    <row r="43" spans="1:8" ht="15.75" thickBot="1">
      <c r="A43" s="74" t="s">
        <v>206</v>
      </c>
      <c r="B43" s="71" t="s">
        <v>207</v>
      </c>
    </row>
    <row r="44" spans="1:8" ht="15">
      <c r="A44" s="81" t="s">
        <v>208</v>
      </c>
      <c r="B44" s="305" t="s">
        <v>210</v>
      </c>
    </row>
    <row r="45" spans="1:8" ht="30.75" thickBot="1">
      <c r="A45" s="74" t="s">
        <v>209</v>
      </c>
      <c r="B45" s="306"/>
    </row>
    <row r="47" spans="1:8" ht="15" thickBot="1"/>
    <row r="48" spans="1:8" ht="15" thickBot="1">
      <c r="A48" s="319" t="s">
        <v>159</v>
      </c>
      <c r="B48" s="320"/>
      <c r="C48" s="323" t="s">
        <v>211</v>
      </c>
      <c r="D48" s="324"/>
      <c r="E48" s="324"/>
      <c r="F48" s="324"/>
      <c r="G48" s="325"/>
      <c r="H48" s="87"/>
    </row>
    <row r="49" spans="1:8" ht="15" thickBot="1">
      <c r="A49" s="321"/>
      <c r="B49" s="322"/>
      <c r="C49" s="326" t="s">
        <v>212</v>
      </c>
      <c r="D49" s="327"/>
      <c r="E49" s="82" t="s">
        <v>213</v>
      </c>
      <c r="F49" s="328" t="s">
        <v>214</v>
      </c>
      <c r="G49" s="329"/>
    </row>
    <row r="50" spans="1:8" ht="15" thickBot="1">
      <c r="A50" s="88" t="s">
        <v>215</v>
      </c>
      <c r="B50" s="83" t="s">
        <v>216</v>
      </c>
      <c r="C50" s="83" t="s">
        <v>217</v>
      </c>
      <c r="D50" s="84" t="s">
        <v>216</v>
      </c>
      <c r="E50" s="84" t="s">
        <v>217</v>
      </c>
      <c r="F50" s="82" t="s">
        <v>217</v>
      </c>
      <c r="G50" s="85" t="s">
        <v>216</v>
      </c>
      <c r="H50" s="85" t="s">
        <v>217</v>
      </c>
    </row>
    <row r="51" spans="1:8" ht="28.5" customHeight="1" thickBot="1">
      <c r="A51" s="89" t="s">
        <v>218</v>
      </c>
      <c r="B51" s="309" t="s">
        <v>219</v>
      </c>
      <c r="C51" s="311"/>
      <c r="D51" s="309" t="s">
        <v>220</v>
      </c>
      <c r="E51" s="310"/>
      <c r="F51" s="310"/>
      <c r="G51" s="310"/>
      <c r="H51" s="311"/>
    </row>
    <row r="52" spans="1:8" ht="43.5" thickBot="1">
      <c r="A52" s="89" t="s">
        <v>221</v>
      </c>
      <c r="B52" s="309" t="s">
        <v>222</v>
      </c>
      <c r="C52" s="311"/>
      <c r="D52" s="86" t="s">
        <v>223</v>
      </c>
      <c r="E52" s="86" t="s">
        <v>224</v>
      </c>
      <c r="F52" s="86" t="s">
        <v>224</v>
      </c>
      <c r="G52" s="86" t="s">
        <v>223</v>
      </c>
      <c r="H52" s="86" t="s">
        <v>224</v>
      </c>
    </row>
    <row r="53" spans="1:8" ht="15" thickBot="1">
      <c r="A53" s="89" t="s">
        <v>225</v>
      </c>
      <c r="B53" s="309" t="s">
        <v>226</v>
      </c>
      <c r="C53" s="311"/>
      <c r="D53" s="309" t="s">
        <v>212</v>
      </c>
      <c r="E53" s="311"/>
      <c r="F53" s="86" t="s">
        <v>227</v>
      </c>
      <c r="G53" s="309" t="s">
        <v>228</v>
      </c>
      <c r="H53" s="311"/>
    </row>
    <row r="54" spans="1:8" ht="15" thickBot="1">
      <c r="A54" s="89" t="s">
        <v>165</v>
      </c>
      <c r="B54" s="309" t="s">
        <v>229</v>
      </c>
      <c r="C54" s="310"/>
      <c r="D54" s="310"/>
      <c r="E54" s="310"/>
      <c r="F54" s="311"/>
      <c r="G54" s="309" t="s">
        <v>230</v>
      </c>
      <c r="H54" s="311"/>
    </row>
    <row r="55" spans="1:8" ht="42.75">
      <c r="A55" s="144" t="s">
        <v>1020</v>
      </c>
      <c r="B55" s="80" t="s">
        <v>232</v>
      </c>
      <c r="C55" s="305" t="s">
        <v>235</v>
      </c>
      <c r="D55" s="80" t="s">
        <v>232</v>
      </c>
      <c r="E55" s="305" t="s">
        <v>235</v>
      </c>
      <c r="F55" s="305" t="s">
        <v>235</v>
      </c>
      <c r="G55" s="80" t="s">
        <v>238</v>
      </c>
      <c r="H55" s="305" t="s">
        <v>235</v>
      </c>
    </row>
    <row r="56" spans="1:8" ht="42.75">
      <c r="A56" s="90" t="s">
        <v>231</v>
      </c>
      <c r="B56" s="91" t="s">
        <v>1022</v>
      </c>
      <c r="C56" s="312"/>
      <c r="D56" s="80" t="s">
        <v>236</v>
      </c>
      <c r="E56" s="312"/>
      <c r="F56" s="312"/>
      <c r="G56" s="80" t="s">
        <v>239</v>
      </c>
      <c r="H56" s="312"/>
    </row>
    <row r="57" spans="1:8" ht="42.75">
      <c r="A57" s="90"/>
      <c r="B57" s="80" t="s">
        <v>233</v>
      </c>
      <c r="C57" s="312"/>
      <c r="D57" s="80" t="s">
        <v>233</v>
      </c>
      <c r="E57" s="312"/>
      <c r="F57" s="312"/>
      <c r="G57" s="80" t="s">
        <v>240</v>
      </c>
      <c r="H57" s="312"/>
    </row>
    <row r="58" spans="1:8" ht="15" thickBot="1">
      <c r="A58" s="89"/>
      <c r="B58" s="86" t="s">
        <v>234</v>
      </c>
      <c r="C58" s="306"/>
      <c r="D58" s="86" t="s">
        <v>237</v>
      </c>
      <c r="E58" s="306"/>
      <c r="F58" s="306"/>
      <c r="G58" s="86"/>
      <c r="H58" s="306"/>
    </row>
    <row r="59" spans="1:8" ht="42.75">
      <c r="A59" s="144" t="s">
        <v>1021</v>
      </c>
      <c r="B59" s="305" t="s">
        <v>235</v>
      </c>
      <c r="C59" s="313">
        <v>1.0999999999999999E-2</v>
      </c>
      <c r="D59" s="305" t="s">
        <v>235</v>
      </c>
      <c r="E59" s="316">
        <v>1.0999999999999999E-2</v>
      </c>
      <c r="F59" s="316">
        <v>3.9E-2</v>
      </c>
      <c r="G59" s="305" t="s">
        <v>235</v>
      </c>
      <c r="H59" s="80" t="s">
        <v>238</v>
      </c>
    </row>
    <row r="60" spans="1:8" ht="42.75">
      <c r="A60" s="90" t="s">
        <v>231</v>
      </c>
      <c r="B60" s="312"/>
      <c r="C60" s="314"/>
      <c r="D60" s="312"/>
      <c r="E60" s="317"/>
      <c r="F60" s="317"/>
      <c r="G60" s="312"/>
      <c r="H60" s="80" t="s">
        <v>239</v>
      </c>
    </row>
    <row r="61" spans="1:8" ht="43.5" thickBot="1">
      <c r="A61" s="89"/>
      <c r="B61" s="306"/>
      <c r="C61" s="315"/>
      <c r="D61" s="306"/>
      <c r="E61" s="318"/>
      <c r="F61" s="318"/>
      <c r="G61" s="306"/>
      <c r="H61" s="86" t="s">
        <v>240</v>
      </c>
    </row>
    <row r="62" spans="1:8" ht="127.5" customHeight="1">
      <c r="A62" s="90" t="s">
        <v>242</v>
      </c>
      <c r="B62" s="305" t="s">
        <v>235</v>
      </c>
      <c r="C62" s="307" t="s">
        <v>244</v>
      </c>
      <c r="D62" s="305" t="s">
        <v>235</v>
      </c>
      <c r="E62" s="305" t="s">
        <v>235</v>
      </c>
      <c r="F62" s="305" t="s">
        <v>235</v>
      </c>
      <c r="G62" s="305" t="s">
        <v>235</v>
      </c>
      <c r="H62" s="305" t="s">
        <v>245</v>
      </c>
    </row>
    <row r="63" spans="1:8" ht="15" thickBot="1">
      <c r="A63" s="89" t="s">
        <v>243</v>
      </c>
      <c r="B63" s="306"/>
      <c r="C63" s="308"/>
      <c r="D63" s="306"/>
      <c r="E63" s="306"/>
      <c r="F63" s="306"/>
      <c r="G63" s="306"/>
      <c r="H63" s="306"/>
    </row>
    <row r="64" spans="1:8" ht="15" thickBot="1">
      <c r="A64" s="89" t="s">
        <v>246</v>
      </c>
      <c r="B64" s="309" t="s">
        <v>247</v>
      </c>
      <c r="C64" s="310"/>
      <c r="D64" s="310"/>
      <c r="E64" s="310"/>
      <c r="F64" s="310"/>
      <c r="G64" s="310"/>
      <c r="H64" s="311"/>
    </row>
    <row r="65" spans="1:8" ht="14.25" customHeight="1">
      <c r="A65" s="293" t="s">
        <v>248</v>
      </c>
      <c r="B65" s="296" t="s">
        <v>249</v>
      </c>
      <c r="C65" s="297"/>
      <c r="D65" s="297"/>
      <c r="E65" s="297"/>
      <c r="F65" s="297"/>
      <c r="G65" s="297"/>
      <c r="H65" s="298"/>
    </row>
    <row r="66" spans="1:8" ht="15" thickBot="1">
      <c r="A66" s="295"/>
      <c r="B66" s="302" t="s">
        <v>250</v>
      </c>
      <c r="C66" s="303"/>
      <c r="D66" s="303"/>
      <c r="E66" s="303"/>
      <c r="F66" s="303"/>
      <c r="G66" s="303"/>
      <c r="H66" s="304"/>
    </row>
    <row r="67" spans="1:8" ht="14.25" customHeight="1">
      <c r="A67" s="293" t="s">
        <v>251</v>
      </c>
      <c r="B67" s="296" t="s">
        <v>252</v>
      </c>
      <c r="C67" s="297"/>
      <c r="D67" s="297"/>
      <c r="E67" s="297"/>
      <c r="F67" s="297"/>
      <c r="G67" s="297"/>
      <c r="H67" s="298"/>
    </row>
    <row r="68" spans="1:8" ht="15" thickBot="1">
      <c r="A68" s="295"/>
      <c r="B68" s="302" t="s">
        <v>253</v>
      </c>
      <c r="C68" s="303"/>
      <c r="D68" s="303"/>
      <c r="E68" s="303"/>
      <c r="F68" s="303"/>
      <c r="G68" s="303"/>
      <c r="H68" s="304"/>
    </row>
    <row r="69" spans="1:8" ht="28.5" customHeight="1">
      <c r="A69" s="293" t="s">
        <v>254</v>
      </c>
      <c r="B69" s="296" t="s">
        <v>255</v>
      </c>
      <c r="C69" s="297"/>
      <c r="D69" s="298"/>
      <c r="E69" s="296" t="s">
        <v>256</v>
      </c>
      <c r="F69" s="297"/>
      <c r="G69" s="297"/>
      <c r="H69" s="298"/>
    </row>
    <row r="70" spans="1:8" ht="28.5" customHeight="1">
      <c r="A70" s="294"/>
      <c r="B70" s="299"/>
      <c r="C70" s="300"/>
      <c r="D70" s="301"/>
      <c r="E70" s="299" t="s">
        <v>257</v>
      </c>
      <c r="F70" s="300"/>
      <c r="G70" s="300"/>
      <c r="H70" s="301"/>
    </row>
    <row r="71" spans="1:8" ht="28.5" customHeight="1" thickBot="1">
      <c r="A71" s="295"/>
      <c r="B71" s="302"/>
      <c r="C71" s="303"/>
      <c r="D71" s="304"/>
      <c r="E71" s="302" t="s">
        <v>258</v>
      </c>
      <c r="F71" s="303"/>
      <c r="G71" s="303"/>
      <c r="H71" s="304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J599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07" t="s">
        <v>342</v>
      </c>
      <c r="B1" s="107" t="s">
        <v>343</v>
      </c>
      <c r="C1" s="107" t="s">
        <v>344</v>
      </c>
      <c r="D1" s="107" t="s">
        <v>345</v>
      </c>
      <c r="E1" s="107" t="s">
        <v>346</v>
      </c>
      <c r="F1" s="107" t="s">
        <v>347</v>
      </c>
      <c r="G1" s="107" t="s">
        <v>348</v>
      </c>
      <c r="H1" s="107" t="s">
        <v>349</v>
      </c>
      <c r="I1" s="107" t="s">
        <v>350</v>
      </c>
    </row>
    <row r="2" spans="1:10">
      <c r="A2" s="107" t="s">
        <v>381</v>
      </c>
      <c r="B2" s="107" t="s">
        <v>351</v>
      </c>
      <c r="C2" s="107" t="s">
        <v>356</v>
      </c>
      <c r="D2" s="107" t="s">
        <v>353</v>
      </c>
      <c r="E2" s="107">
        <v>2929</v>
      </c>
      <c r="F2" s="107" t="s">
        <v>382</v>
      </c>
      <c r="G2" s="107" t="s">
        <v>362</v>
      </c>
      <c r="H2" s="107" t="s">
        <v>355</v>
      </c>
      <c r="I2" s="107">
        <v>144</v>
      </c>
    </row>
    <row r="3" spans="1:10">
      <c r="A3" s="107" t="s">
        <v>381</v>
      </c>
      <c r="B3" s="107" t="s">
        <v>351</v>
      </c>
      <c r="C3" s="107" t="s">
        <v>363</v>
      </c>
      <c r="D3" s="107" t="s">
        <v>353</v>
      </c>
      <c r="E3">
        <v>3031</v>
      </c>
      <c r="F3" s="107" t="s">
        <v>383</v>
      </c>
      <c r="G3" s="107" t="s">
        <v>354</v>
      </c>
      <c r="H3" s="107" t="s">
        <v>360</v>
      </c>
      <c r="I3">
        <v>150</v>
      </c>
    </row>
    <row r="4" spans="1:10">
      <c r="A4" s="107" t="s">
        <v>381</v>
      </c>
      <c r="B4" s="107" t="s">
        <v>351</v>
      </c>
      <c r="C4" s="107" t="s">
        <v>356</v>
      </c>
      <c r="D4" s="107" t="s">
        <v>353</v>
      </c>
      <c r="E4">
        <v>6778</v>
      </c>
      <c r="F4" s="107" t="s">
        <v>384</v>
      </c>
      <c r="G4" s="107" t="s">
        <v>362</v>
      </c>
      <c r="H4" s="107" t="s">
        <v>379</v>
      </c>
      <c r="I4">
        <v>149</v>
      </c>
    </row>
    <row r="5" spans="1:10">
      <c r="A5" s="107" t="s">
        <v>381</v>
      </c>
      <c r="B5" s="107" t="s">
        <v>351</v>
      </c>
      <c r="C5" s="107" t="s">
        <v>352</v>
      </c>
      <c r="D5" s="107" t="s">
        <v>353</v>
      </c>
      <c r="E5">
        <v>9632</v>
      </c>
      <c r="F5" s="107" t="s">
        <v>385</v>
      </c>
      <c r="G5" s="107" t="s">
        <v>354</v>
      </c>
      <c r="H5" s="107" t="s">
        <v>359</v>
      </c>
      <c r="I5">
        <v>213</v>
      </c>
    </row>
    <row r="6" spans="1:10">
      <c r="A6" s="107" t="s">
        <v>386</v>
      </c>
      <c r="B6" s="107" t="s">
        <v>574</v>
      </c>
      <c r="C6" s="107" t="s">
        <v>356</v>
      </c>
      <c r="D6" s="107" t="s">
        <v>353</v>
      </c>
      <c r="E6">
        <v>3662</v>
      </c>
      <c r="F6" s="107" t="s">
        <v>394</v>
      </c>
      <c r="G6" s="107" t="s">
        <v>354</v>
      </c>
      <c r="H6" s="107" t="s">
        <v>365</v>
      </c>
      <c r="I6">
        <v>224</v>
      </c>
    </row>
    <row r="7" spans="1:10">
      <c r="A7" s="107" t="s">
        <v>386</v>
      </c>
      <c r="B7" s="107" t="s">
        <v>351</v>
      </c>
      <c r="C7" s="107" t="s">
        <v>352</v>
      </c>
      <c r="D7" s="107" t="s">
        <v>353</v>
      </c>
      <c r="E7">
        <v>1928</v>
      </c>
      <c r="F7" s="107" t="s">
        <v>387</v>
      </c>
      <c r="G7" s="107" t="s">
        <v>354</v>
      </c>
      <c r="H7" s="107" t="s">
        <v>388</v>
      </c>
      <c r="I7" s="107" t="s">
        <v>389</v>
      </c>
      <c r="J7" s="107" t="s">
        <v>1030</v>
      </c>
    </row>
    <row r="8" spans="1:10">
      <c r="A8" s="107" t="s">
        <v>386</v>
      </c>
      <c r="B8" s="107" t="s">
        <v>351</v>
      </c>
      <c r="C8" s="107" t="s">
        <v>356</v>
      </c>
      <c r="D8" s="107" t="s">
        <v>353</v>
      </c>
      <c r="E8">
        <v>2353</v>
      </c>
      <c r="F8" s="107" t="s">
        <v>390</v>
      </c>
      <c r="G8" s="107" t="s">
        <v>354</v>
      </c>
      <c r="H8" s="107" t="s">
        <v>380</v>
      </c>
      <c r="I8" s="107">
        <v>585</v>
      </c>
      <c r="J8" s="107"/>
    </row>
    <row r="9" spans="1:10">
      <c r="A9" s="107" t="s">
        <v>386</v>
      </c>
      <c r="B9" s="107" t="s">
        <v>351</v>
      </c>
      <c r="C9" s="107" t="s">
        <v>361</v>
      </c>
      <c r="D9" s="107" t="s">
        <v>353</v>
      </c>
      <c r="E9">
        <v>2373</v>
      </c>
      <c r="F9" s="107" t="s">
        <v>391</v>
      </c>
      <c r="G9" s="107" t="s">
        <v>358</v>
      </c>
      <c r="H9" s="107" t="s">
        <v>359</v>
      </c>
      <c r="I9">
        <v>87</v>
      </c>
    </row>
    <row r="10" spans="1:10">
      <c r="A10" s="107" t="s">
        <v>386</v>
      </c>
      <c r="B10" s="107" t="s">
        <v>351</v>
      </c>
      <c r="C10" s="107" t="s">
        <v>356</v>
      </c>
      <c r="D10" s="107" t="s">
        <v>357</v>
      </c>
      <c r="E10">
        <v>3193</v>
      </c>
      <c r="F10" s="107" t="s">
        <v>392</v>
      </c>
      <c r="G10" s="107" t="s">
        <v>354</v>
      </c>
      <c r="H10" s="107" t="s">
        <v>364</v>
      </c>
      <c r="I10">
        <v>223</v>
      </c>
    </row>
    <row r="11" spans="1:10">
      <c r="A11" s="107" t="s">
        <v>386</v>
      </c>
      <c r="B11" s="107" t="s">
        <v>351</v>
      </c>
      <c r="C11" s="107" t="s">
        <v>352</v>
      </c>
      <c r="D11" s="107" t="s">
        <v>353</v>
      </c>
      <c r="E11">
        <v>3657</v>
      </c>
      <c r="F11" s="107" t="s">
        <v>393</v>
      </c>
      <c r="G11" s="107" t="s">
        <v>354</v>
      </c>
      <c r="H11" s="107" t="s">
        <v>365</v>
      </c>
      <c r="I11">
        <v>419</v>
      </c>
    </row>
    <row r="12" spans="1:10">
      <c r="A12" s="107" t="s">
        <v>386</v>
      </c>
      <c r="B12" s="107" t="s">
        <v>351</v>
      </c>
      <c r="C12" s="107" t="s">
        <v>361</v>
      </c>
      <c r="D12" s="107" t="s">
        <v>357</v>
      </c>
      <c r="E12">
        <v>3733</v>
      </c>
      <c r="F12" s="107" t="s">
        <v>395</v>
      </c>
      <c r="G12" s="107" t="s">
        <v>358</v>
      </c>
      <c r="H12" s="107" t="s">
        <v>365</v>
      </c>
      <c r="I12">
        <v>645</v>
      </c>
    </row>
    <row r="13" spans="1:10">
      <c r="A13" s="107" t="s">
        <v>386</v>
      </c>
      <c r="B13" s="107" t="s">
        <v>351</v>
      </c>
      <c r="C13" s="107" t="s">
        <v>356</v>
      </c>
      <c r="D13" s="107" t="s">
        <v>353</v>
      </c>
      <c r="E13">
        <v>3854</v>
      </c>
      <c r="F13" s="107" t="s">
        <v>396</v>
      </c>
      <c r="G13" s="107" t="s">
        <v>354</v>
      </c>
      <c r="H13" s="107" t="s">
        <v>365</v>
      </c>
      <c r="I13">
        <v>397</v>
      </c>
    </row>
    <row r="14" spans="1:10">
      <c r="A14" s="107" t="s">
        <v>386</v>
      </c>
      <c r="B14" s="107" t="s">
        <v>351</v>
      </c>
      <c r="C14" s="107" t="s">
        <v>363</v>
      </c>
      <c r="D14" s="107" t="s">
        <v>353</v>
      </c>
      <c r="E14">
        <v>3903</v>
      </c>
      <c r="F14" s="107" t="s">
        <v>397</v>
      </c>
      <c r="G14" s="107" t="s">
        <v>354</v>
      </c>
      <c r="H14" s="107" t="s">
        <v>365</v>
      </c>
      <c r="I14">
        <v>233</v>
      </c>
    </row>
    <row r="15" spans="1:10">
      <c r="A15" s="107" t="s">
        <v>386</v>
      </c>
      <c r="B15" s="107" t="s">
        <v>351</v>
      </c>
      <c r="C15" s="107" t="s">
        <v>352</v>
      </c>
      <c r="D15" s="107" t="s">
        <v>353</v>
      </c>
      <c r="E15">
        <v>4334</v>
      </c>
      <c r="F15" s="107" t="s">
        <v>398</v>
      </c>
      <c r="G15" s="107" t="s">
        <v>358</v>
      </c>
      <c r="H15" s="107" t="s">
        <v>365</v>
      </c>
      <c r="I15">
        <v>62</v>
      </c>
    </row>
    <row r="16" spans="1:10">
      <c r="A16" s="107" t="s">
        <v>386</v>
      </c>
      <c r="B16" s="107" t="s">
        <v>351</v>
      </c>
      <c r="C16" s="107" t="s">
        <v>363</v>
      </c>
      <c r="D16" s="107" t="s">
        <v>357</v>
      </c>
      <c r="E16">
        <v>4382</v>
      </c>
      <c r="F16" s="107" t="s">
        <v>399</v>
      </c>
      <c r="G16" s="107" t="s">
        <v>366</v>
      </c>
      <c r="H16" s="107" t="s">
        <v>365</v>
      </c>
      <c r="I16" s="107">
        <v>844</v>
      </c>
      <c r="J16" s="107"/>
    </row>
    <row r="17" spans="1:10">
      <c r="A17" s="107" t="s">
        <v>386</v>
      </c>
      <c r="B17" s="107" t="s">
        <v>351</v>
      </c>
      <c r="C17" s="107" t="s">
        <v>356</v>
      </c>
      <c r="D17" s="107" t="s">
        <v>353</v>
      </c>
      <c r="E17">
        <v>6040</v>
      </c>
      <c r="F17" s="107" t="s">
        <v>400</v>
      </c>
      <c r="G17" s="107" t="s">
        <v>366</v>
      </c>
      <c r="H17" s="107" t="s">
        <v>359</v>
      </c>
      <c r="I17" s="107">
        <v>138</v>
      </c>
      <c r="J17" s="107"/>
    </row>
    <row r="18" spans="1:10">
      <c r="A18" s="107" t="s">
        <v>386</v>
      </c>
      <c r="B18" s="107" t="s">
        <v>351</v>
      </c>
      <c r="C18" s="107" t="s">
        <v>361</v>
      </c>
      <c r="D18" s="107" t="s">
        <v>353</v>
      </c>
      <c r="E18">
        <v>6309</v>
      </c>
      <c r="F18" s="107" t="s">
        <v>401</v>
      </c>
      <c r="G18" s="107" t="s">
        <v>354</v>
      </c>
      <c r="H18" s="107" t="s">
        <v>375</v>
      </c>
      <c r="I18">
        <v>238</v>
      </c>
    </row>
    <row r="19" spans="1:10">
      <c r="A19" s="107" t="s">
        <v>386</v>
      </c>
      <c r="B19" s="107" t="s">
        <v>351</v>
      </c>
      <c r="C19" s="107" t="s">
        <v>363</v>
      </c>
      <c r="D19" s="107" t="s">
        <v>353</v>
      </c>
      <c r="E19">
        <v>6656</v>
      </c>
      <c r="F19" s="107" t="s">
        <v>402</v>
      </c>
      <c r="G19" s="107" t="s">
        <v>362</v>
      </c>
      <c r="H19" s="107" t="s">
        <v>379</v>
      </c>
      <c r="I19">
        <v>49</v>
      </c>
    </row>
    <row r="20" spans="1:10">
      <c r="A20" s="107" t="s">
        <v>386</v>
      </c>
      <c r="B20" s="107" t="s">
        <v>351</v>
      </c>
      <c r="C20" s="107" t="s">
        <v>352</v>
      </c>
      <c r="D20" s="107" t="s">
        <v>353</v>
      </c>
      <c r="E20">
        <v>6898</v>
      </c>
      <c r="F20" s="107" t="s">
        <v>403</v>
      </c>
      <c r="G20" s="107" t="s">
        <v>358</v>
      </c>
      <c r="H20" s="107" t="s">
        <v>379</v>
      </c>
      <c r="I20">
        <v>14</v>
      </c>
    </row>
    <row r="21" spans="1:10">
      <c r="A21" s="107" t="s">
        <v>386</v>
      </c>
      <c r="B21" s="107" t="s">
        <v>351</v>
      </c>
      <c r="C21" s="107" t="s">
        <v>361</v>
      </c>
      <c r="D21" s="107" t="s">
        <v>357</v>
      </c>
      <c r="E21">
        <v>7265</v>
      </c>
      <c r="F21" s="107" t="s">
        <v>404</v>
      </c>
      <c r="G21" s="107" t="s">
        <v>358</v>
      </c>
      <c r="H21" s="107" t="s">
        <v>405</v>
      </c>
      <c r="I21" s="107">
        <v>32</v>
      </c>
      <c r="J21" s="107"/>
    </row>
    <row r="22" spans="1:10">
      <c r="A22" s="107" t="s">
        <v>386</v>
      </c>
      <c r="B22" s="107" t="s">
        <v>351</v>
      </c>
      <c r="C22" s="107" t="s">
        <v>361</v>
      </c>
      <c r="D22" s="107" t="s">
        <v>353</v>
      </c>
      <c r="E22">
        <v>7640</v>
      </c>
      <c r="F22" s="107" t="s">
        <v>406</v>
      </c>
      <c r="G22" s="107" t="s">
        <v>354</v>
      </c>
      <c r="H22" s="107" t="s">
        <v>364</v>
      </c>
      <c r="I22" s="107">
        <v>43</v>
      </c>
      <c r="J22" s="107"/>
    </row>
    <row r="23" spans="1:10">
      <c r="A23" s="107" t="s">
        <v>386</v>
      </c>
      <c r="B23" s="107" t="s">
        <v>351</v>
      </c>
      <c r="C23" s="107" t="s">
        <v>352</v>
      </c>
      <c r="D23" s="107" t="s">
        <v>357</v>
      </c>
      <c r="E23">
        <v>7878</v>
      </c>
      <c r="F23" s="107" t="s">
        <v>407</v>
      </c>
      <c r="G23" s="107" t="s">
        <v>358</v>
      </c>
      <c r="H23" s="107" t="s">
        <v>376</v>
      </c>
      <c r="I23">
        <v>10</v>
      </c>
    </row>
    <row r="24" spans="1:10">
      <c r="A24" s="107" t="s">
        <v>386</v>
      </c>
      <c r="B24" s="107" t="s">
        <v>351</v>
      </c>
      <c r="C24" s="107" t="s">
        <v>361</v>
      </c>
      <c r="D24" s="107" t="s">
        <v>353</v>
      </c>
      <c r="E24">
        <v>9678</v>
      </c>
      <c r="F24" s="107" t="s">
        <v>408</v>
      </c>
      <c r="G24" s="107" t="s">
        <v>354</v>
      </c>
      <c r="H24" s="107" t="s">
        <v>359</v>
      </c>
      <c r="I24" s="107" t="s">
        <v>409</v>
      </c>
      <c r="J24" s="107" t="s">
        <v>1011</v>
      </c>
    </row>
    <row r="25" spans="1:10">
      <c r="A25" s="107" t="s">
        <v>386</v>
      </c>
      <c r="B25" s="107" t="s">
        <v>351</v>
      </c>
      <c r="C25" s="107" t="s">
        <v>352</v>
      </c>
      <c r="D25" s="107" t="s">
        <v>357</v>
      </c>
      <c r="E25">
        <v>9734</v>
      </c>
      <c r="F25" s="107" t="s">
        <v>410</v>
      </c>
      <c r="G25" s="107" t="s">
        <v>358</v>
      </c>
      <c r="H25" s="107" t="s">
        <v>359</v>
      </c>
      <c r="I25" s="107">
        <v>30</v>
      </c>
      <c r="J25" s="107"/>
    </row>
    <row r="26" spans="1:10">
      <c r="A26" s="107" t="s">
        <v>386</v>
      </c>
      <c r="B26" s="107" t="s">
        <v>351</v>
      </c>
      <c r="C26" s="107" t="s">
        <v>352</v>
      </c>
      <c r="D26" s="107" t="s">
        <v>353</v>
      </c>
      <c r="E26">
        <v>9743</v>
      </c>
      <c r="F26" s="107" t="s">
        <v>411</v>
      </c>
      <c r="G26" s="107" t="s">
        <v>354</v>
      </c>
      <c r="H26" s="107" t="s">
        <v>359</v>
      </c>
      <c r="I26">
        <v>616</v>
      </c>
    </row>
    <row r="27" spans="1:10">
      <c r="A27" s="107" t="s">
        <v>412</v>
      </c>
      <c r="B27" s="107" t="s">
        <v>413</v>
      </c>
      <c r="C27" s="107" t="s">
        <v>352</v>
      </c>
      <c r="D27" s="107" t="s">
        <v>357</v>
      </c>
      <c r="E27">
        <v>2163</v>
      </c>
      <c r="F27" s="107" t="s">
        <v>414</v>
      </c>
      <c r="G27" s="107" t="s">
        <v>354</v>
      </c>
      <c r="H27" s="107" t="s">
        <v>359</v>
      </c>
      <c r="I27">
        <v>82</v>
      </c>
    </row>
    <row r="28" spans="1:10">
      <c r="A28" s="107" t="s">
        <v>412</v>
      </c>
      <c r="B28" s="107" t="s">
        <v>351</v>
      </c>
      <c r="C28" s="107" t="s">
        <v>361</v>
      </c>
      <c r="D28" s="107" t="s">
        <v>357</v>
      </c>
      <c r="E28">
        <v>2301</v>
      </c>
      <c r="F28" s="107" t="s">
        <v>415</v>
      </c>
      <c r="G28" s="107" t="s">
        <v>354</v>
      </c>
      <c r="H28" s="107" t="s">
        <v>359</v>
      </c>
      <c r="I28">
        <v>248</v>
      </c>
    </row>
    <row r="29" spans="1:10">
      <c r="A29" s="107" t="s">
        <v>412</v>
      </c>
      <c r="B29" s="107" t="s">
        <v>351</v>
      </c>
      <c r="C29" s="107" t="s">
        <v>352</v>
      </c>
      <c r="D29" s="107" t="s">
        <v>353</v>
      </c>
      <c r="E29">
        <v>3071</v>
      </c>
      <c r="F29" s="107" t="s">
        <v>416</v>
      </c>
      <c r="G29" s="107" t="s">
        <v>362</v>
      </c>
      <c r="H29" s="107" t="s">
        <v>364</v>
      </c>
      <c r="I29">
        <v>25</v>
      </c>
    </row>
    <row r="30" spans="1:10">
      <c r="A30" s="107" t="s">
        <v>412</v>
      </c>
      <c r="B30" s="107" t="s">
        <v>351</v>
      </c>
      <c r="C30" s="107" t="s">
        <v>363</v>
      </c>
      <c r="D30" s="107" t="s">
        <v>353</v>
      </c>
      <c r="E30">
        <v>3180</v>
      </c>
      <c r="F30" s="107" t="s">
        <v>417</v>
      </c>
      <c r="G30" s="107" t="s">
        <v>354</v>
      </c>
      <c r="H30" s="107" t="s">
        <v>360</v>
      </c>
      <c r="I30">
        <v>139</v>
      </c>
    </row>
    <row r="31" spans="1:10">
      <c r="A31" s="107" t="s">
        <v>412</v>
      </c>
      <c r="B31" s="107" t="s">
        <v>351</v>
      </c>
      <c r="C31" s="107" t="s">
        <v>361</v>
      </c>
      <c r="D31" s="107" t="s">
        <v>353</v>
      </c>
      <c r="E31">
        <v>3491</v>
      </c>
      <c r="F31" s="107" t="s">
        <v>418</v>
      </c>
      <c r="G31" s="107" t="s">
        <v>366</v>
      </c>
      <c r="H31" s="107" t="s">
        <v>380</v>
      </c>
      <c r="I31">
        <v>397</v>
      </c>
    </row>
    <row r="32" spans="1:10">
      <c r="A32" s="107" t="s">
        <v>412</v>
      </c>
      <c r="B32" s="107" t="s">
        <v>351</v>
      </c>
      <c r="C32" s="107" t="s">
        <v>363</v>
      </c>
      <c r="D32" s="107" t="s">
        <v>353</v>
      </c>
      <c r="E32">
        <v>3524</v>
      </c>
      <c r="F32" s="107" t="s">
        <v>419</v>
      </c>
      <c r="G32" s="107" t="s">
        <v>354</v>
      </c>
      <c r="H32" s="107" t="s">
        <v>420</v>
      </c>
      <c r="I32">
        <v>43</v>
      </c>
    </row>
    <row r="33" spans="1:10">
      <c r="A33" s="107" t="s">
        <v>412</v>
      </c>
      <c r="B33" s="107" t="s">
        <v>351</v>
      </c>
      <c r="C33" s="107" t="s">
        <v>352</v>
      </c>
      <c r="D33" s="107" t="s">
        <v>353</v>
      </c>
      <c r="E33">
        <v>3955</v>
      </c>
      <c r="F33" s="107" t="s">
        <v>421</v>
      </c>
      <c r="G33" s="107" t="s">
        <v>362</v>
      </c>
      <c r="H33" s="107" t="s">
        <v>422</v>
      </c>
      <c r="I33" s="107">
        <v>63</v>
      </c>
      <c r="J33" s="107"/>
    </row>
    <row r="34" spans="1:10">
      <c r="A34" s="107" t="s">
        <v>412</v>
      </c>
      <c r="B34" s="107" t="s">
        <v>351</v>
      </c>
      <c r="C34" s="107" t="s">
        <v>352</v>
      </c>
      <c r="D34" s="107" t="s">
        <v>353</v>
      </c>
      <c r="E34">
        <v>4238</v>
      </c>
      <c r="F34" s="107" t="s">
        <v>423</v>
      </c>
      <c r="G34" s="107" t="s">
        <v>354</v>
      </c>
      <c r="H34" s="107" t="s">
        <v>367</v>
      </c>
      <c r="I34">
        <v>136</v>
      </c>
    </row>
    <row r="35" spans="1:10">
      <c r="A35" s="107" t="s">
        <v>412</v>
      </c>
      <c r="B35" s="107" t="s">
        <v>351</v>
      </c>
      <c r="C35" s="107" t="s">
        <v>363</v>
      </c>
      <c r="D35" s="107" t="s">
        <v>353</v>
      </c>
      <c r="E35">
        <v>6065</v>
      </c>
      <c r="F35" s="107" t="s">
        <v>424</v>
      </c>
      <c r="G35" s="107" t="s">
        <v>354</v>
      </c>
      <c r="H35" s="107" t="s">
        <v>359</v>
      </c>
      <c r="I35">
        <v>93</v>
      </c>
    </row>
    <row r="36" spans="1:10">
      <c r="A36" s="107" t="s">
        <v>412</v>
      </c>
      <c r="B36" s="107" t="s">
        <v>351</v>
      </c>
      <c r="C36" s="107" t="s">
        <v>352</v>
      </c>
      <c r="D36" s="107" t="s">
        <v>353</v>
      </c>
      <c r="E36">
        <v>7196</v>
      </c>
      <c r="F36" s="107" t="s">
        <v>425</v>
      </c>
      <c r="G36" s="107" t="s">
        <v>354</v>
      </c>
      <c r="H36" s="107" t="s">
        <v>426</v>
      </c>
      <c r="I36">
        <v>137</v>
      </c>
    </row>
    <row r="37" spans="1:10">
      <c r="A37" s="107" t="s">
        <v>412</v>
      </c>
      <c r="B37" s="107" t="s">
        <v>351</v>
      </c>
      <c r="C37" s="107" t="s">
        <v>361</v>
      </c>
      <c r="D37" s="107" t="s">
        <v>357</v>
      </c>
      <c r="E37">
        <v>7804</v>
      </c>
      <c r="F37" s="107" t="s">
        <v>427</v>
      </c>
      <c r="G37" s="107" t="s">
        <v>366</v>
      </c>
      <c r="H37" s="107" t="s">
        <v>376</v>
      </c>
      <c r="I37">
        <v>42</v>
      </c>
    </row>
    <row r="38" spans="1:10">
      <c r="A38" s="107" t="s">
        <v>412</v>
      </c>
      <c r="B38" s="107" t="s">
        <v>351</v>
      </c>
      <c r="C38" s="107" t="s">
        <v>361</v>
      </c>
      <c r="D38" s="107" t="s">
        <v>353</v>
      </c>
      <c r="E38">
        <v>7856</v>
      </c>
      <c r="F38" s="107" t="s">
        <v>428</v>
      </c>
      <c r="G38" s="107" t="s">
        <v>354</v>
      </c>
      <c r="H38" s="107" t="s">
        <v>376</v>
      </c>
      <c r="I38">
        <v>243</v>
      </c>
    </row>
    <row r="39" spans="1:10">
      <c r="A39" s="107" t="s">
        <v>412</v>
      </c>
      <c r="B39" s="107" t="s">
        <v>351</v>
      </c>
      <c r="C39" s="107" t="s">
        <v>361</v>
      </c>
      <c r="D39" s="107" t="s">
        <v>353</v>
      </c>
      <c r="E39">
        <v>9824</v>
      </c>
      <c r="F39" s="107" t="s">
        <v>429</v>
      </c>
      <c r="G39" s="107" t="s">
        <v>354</v>
      </c>
      <c r="H39" s="107" t="s">
        <v>360</v>
      </c>
      <c r="I39">
        <v>310</v>
      </c>
    </row>
    <row r="40" spans="1:10">
      <c r="A40" s="107" t="s">
        <v>430</v>
      </c>
      <c r="B40" s="107" t="s">
        <v>351</v>
      </c>
      <c r="C40" s="107" t="s">
        <v>352</v>
      </c>
      <c r="D40" s="107" t="s">
        <v>353</v>
      </c>
      <c r="E40">
        <v>1433</v>
      </c>
      <c r="F40" s="107" t="s">
        <v>431</v>
      </c>
      <c r="G40" s="107" t="s">
        <v>354</v>
      </c>
      <c r="H40" s="107" t="s">
        <v>388</v>
      </c>
      <c r="I40">
        <v>106</v>
      </c>
    </row>
    <row r="41" spans="1:10">
      <c r="A41" s="107" t="s">
        <v>430</v>
      </c>
      <c r="B41" s="107" t="s">
        <v>351</v>
      </c>
      <c r="C41" s="107" t="s">
        <v>356</v>
      </c>
      <c r="D41" s="107" t="s">
        <v>353</v>
      </c>
      <c r="E41">
        <v>1844</v>
      </c>
      <c r="F41" s="107" t="s">
        <v>432</v>
      </c>
      <c r="G41" s="107" t="s">
        <v>362</v>
      </c>
      <c r="H41" s="107" t="s">
        <v>388</v>
      </c>
      <c r="I41">
        <v>32</v>
      </c>
    </row>
    <row r="42" spans="1:10">
      <c r="A42" s="107" t="s">
        <v>430</v>
      </c>
      <c r="B42" s="107" t="s">
        <v>351</v>
      </c>
      <c r="C42" s="107" t="s">
        <v>363</v>
      </c>
      <c r="D42" s="107" t="s">
        <v>357</v>
      </c>
      <c r="E42">
        <v>2438</v>
      </c>
      <c r="F42" s="107" t="s">
        <v>433</v>
      </c>
      <c r="G42" s="107" t="s">
        <v>366</v>
      </c>
      <c r="H42" s="107" t="s">
        <v>359</v>
      </c>
      <c r="I42">
        <v>270</v>
      </c>
    </row>
    <row r="43" spans="1:10">
      <c r="A43" s="107" t="s">
        <v>430</v>
      </c>
      <c r="B43" s="107" t="s">
        <v>351</v>
      </c>
      <c r="C43" s="107" t="s">
        <v>363</v>
      </c>
      <c r="D43" s="107" t="s">
        <v>353</v>
      </c>
      <c r="E43">
        <v>2751</v>
      </c>
      <c r="F43" s="107" t="s">
        <v>434</v>
      </c>
      <c r="G43" s="107" t="s">
        <v>358</v>
      </c>
      <c r="H43" s="107" t="s">
        <v>360</v>
      </c>
      <c r="I43">
        <v>317</v>
      </c>
    </row>
    <row r="44" spans="1:10">
      <c r="A44" s="107" t="s">
        <v>430</v>
      </c>
      <c r="B44" s="107" t="s">
        <v>351</v>
      </c>
      <c r="C44" s="107" t="s">
        <v>363</v>
      </c>
      <c r="D44" s="107" t="s">
        <v>353</v>
      </c>
      <c r="E44">
        <v>2923</v>
      </c>
      <c r="F44" s="107" t="s">
        <v>435</v>
      </c>
      <c r="G44" s="107" t="s">
        <v>362</v>
      </c>
      <c r="H44" s="107" t="s">
        <v>355</v>
      </c>
      <c r="I44">
        <v>183</v>
      </c>
    </row>
    <row r="45" spans="1:10">
      <c r="A45" s="107" t="s">
        <v>430</v>
      </c>
      <c r="B45" s="107" t="s">
        <v>351</v>
      </c>
      <c r="C45" s="107" t="s">
        <v>352</v>
      </c>
      <c r="D45" s="107" t="s">
        <v>353</v>
      </c>
      <c r="E45">
        <v>3070</v>
      </c>
      <c r="F45" s="107" t="s">
        <v>436</v>
      </c>
      <c r="G45" s="107" t="s">
        <v>358</v>
      </c>
      <c r="H45" s="107" t="s">
        <v>360</v>
      </c>
      <c r="I45">
        <v>7</v>
      </c>
    </row>
    <row r="46" spans="1:10">
      <c r="A46" s="107" t="s">
        <v>430</v>
      </c>
      <c r="B46" s="107" t="s">
        <v>351</v>
      </c>
      <c r="C46" s="107" t="s">
        <v>361</v>
      </c>
      <c r="D46" s="107" t="s">
        <v>353</v>
      </c>
      <c r="E46">
        <v>3248</v>
      </c>
      <c r="F46" s="107" t="s">
        <v>437</v>
      </c>
      <c r="G46" s="107" t="s">
        <v>362</v>
      </c>
      <c r="H46" s="107" t="s">
        <v>380</v>
      </c>
      <c r="I46">
        <v>22</v>
      </c>
    </row>
    <row r="47" spans="1:10">
      <c r="A47" s="107" t="s">
        <v>430</v>
      </c>
      <c r="B47" s="107" t="s">
        <v>351</v>
      </c>
      <c r="C47" s="107" t="s">
        <v>352</v>
      </c>
      <c r="D47" s="107" t="s">
        <v>357</v>
      </c>
      <c r="E47">
        <v>3399</v>
      </c>
      <c r="F47" s="107" t="s">
        <v>438</v>
      </c>
      <c r="G47" s="107" t="s">
        <v>358</v>
      </c>
      <c r="H47" s="107" t="s">
        <v>364</v>
      </c>
      <c r="I47">
        <v>47</v>
      </c>
    </row>
    <row r="48" spans="1:10">
      <c r="A48" s="107" t="s">
        <v>430</v>
      </c>
      <c r="B48" s="107" t="s">
        <v>351</v>
      </c>
      <c r="C48" s="107" t="s">
        <v>361</v>
      </c>
      <c r="D48" s="107" t="s">
        <v>353</v>
      </c>
      <c r="E48">
        <v>3475</v>
      </c>
      <c r="F48" s="107" t="s">
        <v>439</v>
      </c>
      <c r="G48" s="107" t="s">
        <v>354</v>
      </c>
      <c r="H48" s="107" t="s">
        <v>380</v>
      </c>
      <c r="I48">
        <v>137</v>
      </c>
    </row>
    <row r="49" spans="1:10">
      <c r="A49" s="107" t="s">
        <v>430</v>
      </c>
      <c r="B49" s="107" t="s">
        <v>351</v>
      </c>
      <c r="C49" s="107" t="s">
        <v>361</v>
      </c>
      <c r="D49" s="107" t="s">
        <v>357</v>
      </c>
      <c r="E49">
        <v>3476</v>
      </c>
      <c r="F49" s="107" t="s">
        <v>440</v>
      </c>
      <c r="G49" s="107" t="s">
        <v>441</v>
      </c>
      <c r="H49" s="107" t="s">
        <v>442</v>
      </c>
      <c r="I49">
        <v>951</v>
      </c>
    </row>
    <row r="50" spans="1:10">
      <c r="A50" s="107" t="s">
        <v>430</v>
      </c>
      <c r="B50" s="107" t="s">
        <v>351</v>
      </c>
      <c r="C50" s="107" t="s">
        <v>356</v>
      </c>
      <c r="D50" s="107" t="s">
        <v>353</v>
      </c>
      <c r="E50">
        <v>3988</v>
      </c>
      <c r="F50" s="107" t="s">
        <v>443</v>
      </c>
      <c r="G50" s="107" t="s">
        <v>358</v>
      </c>
      <c r="H50" s="107" t="s">
        <v>365</v>
      </c>
      <c r="I50" s="107">
        <v>29</v>
      </c>
      <c r="J50" s="107"/>
    </row>
    <row r="51" spans="1:10">
      <c r="A51" s="107" t="s">
        <v>430</v>
      </c>
      <c r="B51" s="107" t="s">
        <v>351</v>
      </c>
      <c r="C51" s="107" t="s">
        <v>361</v>
      </c>
      <c r="D51" s="107" t="s">
        <v>357</v>
      </c>
      <c r="E51">
        <v>4441</v>
      </c>
      <c r="F51" s="107" t="s">
        <v>444</v>
      </c>
      <c r="G51" s="107" t="s">
        <v>366</v>
      </c>
      <c r="H51" s="107" t="s">
        <v>365</v>
      </c>
      <c r="I51" s="107">
        <v>249</v>
      </c>
      <c r="J51" s="107"/>
    </row>
    <row r="52" spans="1:10">
      <c r="A52" s="107" t="s">
        <v>430</v>
      </c>
      <c r="B52" s="107" t="s">
        <v>351</v>
      </c>
      <c r="C52" s="107" t="s">
        <v>356</v>
      </c>
      <c r="D52" s="107" t="s">
        <v>357</v>
      </c>
      <c r="E52">
        <v>6387</v>
      </c>
      <c r="F52" s="107" t="s">
        <v>445</v>
      </c>
      <c r="G52" s="107" t="s">
        <v>354</v>
      </c>
      <c r="H52" s="107" t="s">
        <v>375</v>
      </c>
      <c r="I52">
        <v>96</v>
      </c>
    </row>
    <row r="53" spans="1:10">
      <c r="A53" s="107" t="s">
        <v>430</v>
      </c>
      <c r="B53" s="107" t="s">
        <v>351</v>
      </c>
      <c r="C53" s="107" t="s">
        <v>352</v>
      </c>
      <c r="D53" s="107" t="s">
        <v>353</v>
      </c>
      <c r="E53">
        <v>6696</v>
      </c>
      <c r="F53" s="107" t="s">
        <v>446</v>
      </c>
      <c r="G53" s="107" t="s">
        <v>366</v>
      </c>
      <c r="H53" s="107" t="s">
        <v>379</v>
      </c>
      <c r="I53">
        <v>40</v>
      </c>
    </row>
    <row r="54" spans="1:10">
      <c r="A54" s="107" t="s">
        <v>430</v>
      </c>
      <c r="B54" s="107" t="s">
        <v>351</v>
      </c>
      <c r="C54" s="107" t="s">
        <v>363</v>
      </c>
      <c r="D54" s="107" t="s">
        <v>357</v>
      </c>
      <c r="E54">
        <v>7901</v>
      </c>
      <c r="F54" s="107" t="s">
        <v>447</v>
      </c>
      <c r="G54" s="107" t="s">
        <v>358</v>
      </c>
      <c r="H54" s="107" t="s">
        <v>376</v>
      </c>
      <c r="I54">
        <v>9</v>
      </c>
    </row>
    <row r="55" spans="1:10">
      <c r="A55" s="107" t="s">
        <v>430</v>
      </c>
      <c r="B55" s="107" t="s">
        <v>351</v>
      </c>
      <c r="C55" s="107" t="s">
        <v>352</v>
      </c>
      <c r="D55" s="107" t="s">
        <v>353</v>
      </c>
      <c r="E55">
        <v>8142</v>
      </c>
      <c r="F55" s="107" t="s">
        <v>448</v>
      </c>
      <c r="G55" s="107" t="s">
        <v>354</v>
      </c>
      <c r="H55" s="107" t="s">
        <v>360</v>
      </c>
      <c r="I55">
        <v>206</v>
      </c>
    </row>
    <row r="56" spans="1:10">
      <c r="A56" s="107" t="s">
        <v>430</v>
      </c>
      <c r="B56" s="107" t="s">
        <v>351</v>
      </c>
      <c r="C56" s="107" t="s">
        <v>356</v>
      </c>
      <c r="D56" s="107" t="s">
        <v>357</v>
      </c>
      <c r="E56">
        <v>9262</v>
      </c>
      <c r="F56" s="107" t="s">
        <v>449</v>
      </c>
      <c r="G56" s="107" t="s">
        <v>366</v>
      </c>
      <c r="H56" s="107" t="s">
        <v>364</v>
      </c>
      <c r="I56">
        <v>323</v>
      </c>
    </row>
    <row r="57" spans="1:10">
      <c r="A57" s="107" t="s">
        <v>430</v>
      </c>
      <c r="B57" s="107" t="s">
        <v>351</v>
      </c>
      <c r="C57" s="107" t="s">
        <v>352</v>
      </c>
      <c r="D57" s="107" t="s">
        <v>357</v>
      </c>
      <c r="E57">
        <v>9636</v>
      </c>
      <c r="F57" s="107" t="s">
        <v>450</v>
      </c>
      <c r="G57" s="107" t="s">
        <v>362</v>
      </c>
      <c r="H57" s="107" t="s">
        <v>359</v>
      </c>
      <c r="I57">
        <v>97</v>
      </c>
    </row>
    <row r="58" spans="1:10">
      <c r="A58" s="107" t="s">
        <v>430</v>
      </c>
      <c r="B58" s="107" t="s">
        <v>351</v>
      </c>
      <c r="C58" s="107" t="s">
        <v>352</v>
      </c>
      <c r="D58" s="107" t="s">
        <v>353</v>
      </c>
      <c r="E58">
        <v>9692</v>
      </c>
      <c r="F58" s="107" t="s">
        <v>451</v>
      </c>
      <c r="G58" s="107" t="s">
        <v>354</v>
      </c>
      <c r="H58" s="107" t="s">
        <v>365</v>
      </c>
      <c r="I58">
        <v>859</v>
      </c>
    </row>
    <row r="59" spans="1:10">
      <c r="A59" s="107" t="s">
        <v>452</v>
      </c>
      <c r="B59" s="107" t="s">
        <v>351</v>
      </c>
      <c r="C59" s="107" t="s">
        <v>352</v>
      </c>
      <c r="D59" s="107" t="s">
        <v>357</v>
      </c>
      <c r="E59">
        <v>1758</v>
      </c>
      <c r="F59" s="107" t="s">
        <v>453</v>
      </c>
      <c r="G59" s="107" t="s">
        <v>358</v>
      </c>
      <c r="H59" s="107" t="s">
        <v>388</v>
      </c>
      <c r="I59">
        <v>44</v>
      </c>
    </row>
    <row r="60" spans="1:10">
      <c r="A60" s="107" t="s">
        <v>452</v>
      </c>
      <c r="B60" s="107" t="s">
        <v>351</v>
      </c>
      <c r="C60" s="107" t="s">
        <v>363</v>
      </c>
      <c r="D60" s="107" t="s">
        <v>353</v>
      </c>
      <c r="E60">
        <v>3134</v>
      </c>
      <c r="F60" s="107" t="s">
        <v>454</v>
      </c>
      <c r="G60" s="107" t="s">
        <v>354</v>
      </c>
      <c r="H60" s="107" t="s">
        <v>364</v>
      </c>
      <c r="I60">
        <v>215</v>
      </c>
    </row>
    <row r="61" spans="1:10">
      <c r="A61" s="107" t="s">
        <v>452</v>
      </c>
      <c r="B61" s="107" t="s">
        <v>351</v>
      </c>
      <c r="C61" s="107" t="s">
        <v>363</v>
      </c>
      <c r="D61" s="107" t="s">
        <v>353</v>
      </c>
      <c r="E61">
        <v>3161</v>
      </c>
      <c r="F61" s="107" t="s">
        <v>455</v>
      </c>
      <c r="G61" s="107" t="s">
        <v>362</v>
      </c>
      <c r="H61" s="107" t="s">
        <v>360</v>
      </c>
      <c r="I61">
        <v>36</v>
      </c>
    </row>
    <row r="62" spans="1:10">
      <c r="A62" s="107" t="s">
        <v>452</v>
      </c>
      <c r="B62" s="107" t="s">
        <v>351</v>
      </c>
      <c r="C62" s="107" t="s">
        <v>352</v>
      </c>
      <c r="D62" s="107" t="s">
        <v>353</v>
      </c>
      <c r="E62">
        <v>3320</v>
      </c>
      <c r="F62" s="107" t="s">
        <v>456</v>
      </c>
      <c r="G62" s="107" t="s">
        <v>362</v>
      </c>
      <c r="H62" s="107" t="s">
        <v>360</v>
      </c>
      <c r="I62">
        <v>57</v>
      </c>
    </row>
    <row r="63" spans="1:10">
      <c r="A63" s="107" t="s">
        <v>452</v>
      </c>
      <c r="B63" s="107" t="s">
        <v>351</v>
      </c>
      <c r="C63" s="107" t="s">
        <v>363</v>
      </c>
      <c r="D63" s="107" t="s">
        <v>353</v>
      </c>
      <c r="E63">
        <v>3444</v>
      </c>
      <c r="F63" s="107" t="s">
        <v>457</v>
      </c>
      <c r="G63" s="107" t="s">
        <v>358</v>
      </c>
      <c r="H63" s="107" t="s">
        <v>369</v>
      </c>
      <c r="I63">
        <v>96</v>
      </c>
    </row>
    <row r="64" spans="1:10">
      <c r="A64" s="107" t="s">
        <v>452</v>
      </c>
      <c r="B64" s="107" t="s">
        <v>351</v>
      </c>
      <c r="C64" s="107" t="s">
        <v>356</v>
      </c>
      <c r="D64" s="107" t="s">
        <v>353</v>
      </c>
      <c r="E64">
        <v>3458</v>
      </c>
      <c r="F64" s="107" t="s">
        <v>458</v>
      </c>
      <c r="G64" s="107" t="s">
        <v>354</v>
      </c>
      <c r="H64" s="107" t="s">
        <v>380</v>
      </c>
      <c r="I64">
        <v>278</v>
      </c>
    </row>
    <row r="65" spans="1:10">
      <c r="A65" s="107" t="s">
        <v>452</v>
      </c>
      <c r="B65" s="107" t="s">
        <v>351</v>
      </c>
      <c r="C65" s="107" t="s">
        <v>356</v>
      </c>
      <c r="D65" s="107" t="s">
        <v>353</v>
      </c>
      <c r="E65">
        <v>3539</v>
      </c>
      <c r="F65" s="107" t="s">
        <v>459</v>
      </c>
      <c r="G65" s="107" t="s">
        <v>354</v>
      </c>
      <c r="H65" s="107" t="s">
        <v>364</v>
      </c>
      <c r="I65">
        <v>580</v>
      </c>
    </row>
    <row r="66" spans="1:10">
      <c r="A66" s="107" t="s">
        <v>452</v>
      </c>
      <c r="B66" s="107" t="s">
        <v>351</v>
      </c>
      <c r="C66" s="107" t="s">
        <v>352</v>
      </c>
      <c r="D66" s="107" t="s">
        <v>357</v>
      </c>
      <c r="E66">
        <v>3565</v>
      </c>
      <c r="F66" s="107" t="s">
        <v>460</v>
      </c>
      <c r="G66" s="107" t="s">
        <v>354</v>
      </c>
      <c r="H66" s="107" t="s">
        <v>360</v>
      </c>
      <c r="I66">
        <v>131</v>
      </c>
    </row>
    <row r="67" spans="1:10">
      <c r="A67" s="107" t="s">
        <v>452</v>
      </c>
      <c r="B67" s="107" t="s">
        <v>351</v>
      </c>
      <c r="C67" s="107" t="s">
        <v>363</v>
      </c>
      <c r="D67" s="107" t="s">
        <v>357</v>
      </c>
      <c r="E67">
        <v>4026</v>
      </c>
      <c r="F67" s="107" t="s">
        <v>461</v>
      </c>
      <c r="G67" s="107" t="s">
        <v>362</v>
      </c>
      <c r="H67" s="107" t="s">
        <v>462</v>
      </c>
      <c r="I67">
        <v>78</v>
      </c>
    </row>
    <row r="68" spans="1:10">
      <c r="A68" s="107" t="s">
        <v>452</v>
      </c>
      <c r="B68" s="107" t="s">
        <v>351</v>
      </c>
      <c r="C68" s="107" t="s">
        <v>352</v>
      </c>
      <c r="D68" s="107" t="s">
        <v>357</v>
      </c>
      <c r="E68">
        <v>7064</v>
      </c>
      <c r="F68" s="107" t="s">
        <v>463</v>
      </c>
      <c r="G68" s="107" t="s">
        <v>366</v>
      </c>
      <c r="H68" s="107" t="s">
        <v>359</v>
      </c>
      <c r="I68">
        <v>37</v>
      </c>
    </row>
    <row r="69" spans="1:10">
      <c r="A69" s="107" t="s">
        <v>464</v>
      </c>
      <c r="B69" s="107" t="s">
        <v>351</v>
      </c>
      <c r="C69" s="107" t="s">
        <v>361</v>
      </c>
      <c r="D69" s="107" t="s">
        <v>353</v>
      </c>
      <c r="E69">
        <v>2695</v>
      </c>
      <c r="F69" s="107" t="s">
        <v>465</v>
      </c>
      <c r="G69" s="107" t="s">
        <v>354</v>
      </c>
      <c r="H69" s="107" t="s">
        <v>364</v>
      </c>
      <c r="I69" s="107" t="s">
        <v>409</v>
      </c>
      <c r="J69" s="107" t="s">
        <v>1031</v>
      </c>
    </row>
    <row r="70" spans="1:10">
      <c r="A70" s="107" t="s">
        <v>464</v>
      </c>
      <c r="B70" s="107" t="s">
        <v>351</v>
      </c>
      <c r="C70" s="107" t="s">
        <v>363</v>
      </c>
      <c r="D70" s="107" t="s">
        <v>357</v>
      </c>
      <c r="E70">
        <v>3075</v>
      </c>
      <c r="F70" s="107" t="s">
        <v>466</v>
      </c>
      <c r="G70" s="107" t="s">
        <v>358</v>
      </c>
      <c r="H70" s="107" t="s">
        <v>364</v>
      </c>
      <c r="I70" s="107">
        <v>184</v>
      </c>
      <c r="J70" s="107"/>
    </row>
    <row r="71" spans="1:10">
      <c r="A71" s="107" t="s">
        <v>464</v>
      </c>
      <c r="B71" s="107" t="s">
        <v>351</v>
      </c>
      <c r="C71" s="107" t="s">
        <v>352</v>
      </c>
      <c r="D71" s="107" t="s">
        <v>353</v>
      </c>
      <c r="E71">
        <v>3169</v>
      </c>
      <c r="F71" s="107" t="s">
        <v>467</v>
      </c>
      <c r="G71" s="107" t="s">
        <v>354</v>
      </c>
      <c r="H71" s="107" t="s">
        <v>364</v>
      </c>
      <c r="I71">
        <v>60</v>
      </c>
    </row>
    <row r="72" spans="1:10">
      <c r="A72" s="107" t="s">
        <v>464</v>
      </c>
      <c r="B72" s="107" t="s">
        <v>351</v>
      </c>
      <c r="C72" s="107" t="s">
        <v>363</v>
      </c>
      <c r="D72" s="107" t="s">
        <v>353</v>
      </c>
      <c r="E72">
        <v>3361</v>
      </c>
      <c r="F72" s="107" t="s">
        <v>468</v>
      </c>
      <c r="G72" s="107" t="s">
        <v>354</v>
      </c>
      <c r="H72" s="107" t="s">
        <v>364</v>
      </c>
      <c r="I72">
        <v>158</v>
      </c>
    </row>
    <row r="73" spans="1:10">
      <c r="A73" s="107" t="s">
        <v>464</v>
      </c>
      <c r="B73" s="107" t="s">
        <v>351</v>
      </c>
      <c r="C73" s="107" t="s">
        <v>356</v>
      </c>
      <c r="D73" s="107" t="s">
        <v>353</v>
      </c>
      <c r="E73">
        <v>3418</v>
      </c>
      <c r="F73" s="107" t="s">
        <v>469</v>
      </c>
      <c r="G73" s="107" t="s">
        <v>366</v>
      </c>
      <c r="H73" s="107" t="s">
        <v>364</v>
      </c>
      <c r="I73">
        <v>109</v>
      </c>
    </row>
    <row r="74" spans="1:10">
      <c r="A74" s="107" t="s">
        <v>464</v>
      </c>
      <c r="B74" s="107" t="s">
        <v>351</v>
      </c>
      <c r="C74" s="107" t="s">
        <v>363</v>
      </c>
      <c r="D74" s="107" t="s">
        <v>353</v>
      </c>
      <c r="E74">
        <v>3549</v>
      </c>
      <c r="F74" s="107" t="s">
        <v>470</v>
      </c>
      <c r="G74" s="107" t="s">
        <v>354</v>
      </c>
      <c r="H74" s="107" t="s">
        <v>364</v>
      </c>
      <c r="I74" s="107" t="s">
        <v>377</v>
      </c>
      <c r="J74" s="107" t="s">
        <v>1032</v>
      </c>
    </row>
    <row r="75" spans="1:10">
      <c r="A75" s="107" t="s">
        <v>464</v>
      </c>
      <c r="B75" s="107" t="s">
        <v>351</v>
      </c>
      <c r="C75" s="107" t="s">
        <v>361</v>
      </c>
      <c r="D75" s="107" t="s">
        <v>353</v>
      </c>
      <c r="E75">
        <v>3974</v>
      </c>
      <c r="F75" s="107" t="s">
        <v>471</v>
      </c>
      <c r="G75" s="107" t="s">
        <v>358</v>
      </c>
      <c r="H75" s="107" t="s">
        <v>365</v>
      </c>
      <c r="I75" s="107">
        <v>24</v>
      </c>
      <c r="J75" s="107"/>
    </row>
    <row r="76" spans="1:10">
      <c r="A76" s="107" t="s">
        <v>464</v>
      </c>
      <c r="B76" s="107" t="s">
        <v>351</v>
      </c>
      <c r="C76" s="107" t="s">
        <v>361</v>
      </c>
      <c r="D76" s="107" t="s">
        <v>353</v>
      </c>
      <c r="E76">
        <v>3976</v>
      </c>
      <c r="F76" s="107" t="s">
        <v>472</v>
      </c>
      <c r="G76" s="107" t="s">
        <v>366</v>
      </c>
      <c r="H76" s="107" t="s">
        <v>365</v>
      </c>
      <c r="I76">
        <v>20</v>
      </c>
    </row>
    <row r="77" spans="1:10">
      <c r="A77" s="107" t="s">
        <v>464</v>
      </c>
      <c r="B77" s="107" t="s">
        <v>351</v>
      </c>
      <c r="C77" s="107" t="s">
        <v>356</v>
      </c>
      <c r="D77" s="107" t="s">
        <v>357</v>
      </c>
      <c r="E77">
        <v>4384</v>
      </c>
      <c r="F77" s="107" t="s">
        <v>473</v>
      </c>
      <c r="G77" s="107" t="s">
        <v>354</v>
      </c>
      <c r="H77" s="107" t="s">
        <v>365</v>
      </c>
      <c r="I77">
        <v>989</v>
      </c>
    </row>
    <row r="78" spans="1:10">
      <c r="A78" s="107" t="s">
        <v>464</v>
      </c>
      <c r="B78" s="107" t="s">
        <v>351</v>
      </c>
      <c r="C78" s="107" t="s">
        <v>356</v>
      </c>
      <c r="D78" s="107" t="s">
        <v>353</v>
      </c>
      <c r="E78">
        <v>4422</v>
      </c>
      <c r="F78" s="107" t="s">
        <v>474</v>
      </c>
      <c r="G78" s="107" t="s">
        <v>366</v>
      </c>
      <c r="H78" s="107" t="s">
        <v>365</v>
      </c>
      <c r="I78">
        <v>64</v>
      </c>
    </row>
    <row r="79" spans="1:10">
      <c r="A79" s="107" t="s">
        <v>464</v>
      </c>
      <c r="B79" s="107" t="s">
        <v>351</v>
      </c>
      <c r="C79" s="107" t="s">
        <v>361</v>
      </c>
      <c r="D79" s="107" t="s">
        <v>357</v>
      </c>
      <c r="E79">
        <v>4880</v>
      </c>
      <c r="F79" s="107" t="s">
        <v>475</v>
      </c>
      <c r="G79" s="107" t="s">
        <v>366</v>
      </c>
      <c r="H79" s="107" t="s">
        <v>476</v>
      </c>
      <c r="I79">
        <v>230</v>
      </c>
    </row>
    <row r="80" spans="1:10">
      <c r="A80" s="107" t="s">
        <v>464</v>
      </c>
      <c r="B80" s="107" t="s">
        <v>351</v>
      </c>
      <c r="C80" s="107" t="s">
        <v>361</v>
      </c>
      <c r="D80" s="107" t="s">
        <v>353</v>
      </c>
      <c r="E80">
        <v>5218</v>
      </c>
      <c r="F80" s="107" t="s">
        <v>477</v>
      </c>
      <c r="G80" s="107" t="s">
        <v>354</v>
      </c>
      <c r="H80" s="107" t="s">
        <v>462</v>
      </c>
      <c r="I80">
        <v>371</v>
      </c>
    </row>
    <row r="81" spans="1:10">
      <c r="A81" s="107" t="s">
        <v>464</v>
      </c>
      <c r="B81" s="107" t="s">
        <v>351</v>
      </c>
      <c r="C81" s="107" t="s">
        <v>356</v>
      </c>
      <c r="D81" s="107" t="s">
        <v>357</v>
      </c>
      <c r="E81">
        <v>6037</v>
      </c>
      <c r="F81" s="107" t="s">
        <v>478</v>
      </c>
      <c r="G81" s="107" t="s">
        <v>354</v>
      </c>
      <c r="H81" s="107" t="s">
        <v>359</v>
      </c>
      <c r="I81">
        <v>73</v>
      </c>
    </row>
    <row r="82" spans="1:10">
      <c r="A82" s="107" t="s">
        <v>464</v>
      </c>
      <c r="B82" s="107" t="s">
        <v>351</v>
      </c>
      <c r="C82" s="107" t="s">
        <v>352</v>
      </c>
      <c r="D82" s="107" t="s">
        <v>353</v>
      </c>
      <c r="E82">
        <v>6184</v>
      </c>
      <c r="F82" s="107" t="s">
        <v>479</v>
      </c>
      <c r="G82" s="107" t="s">
        <v>354</v>
      </c>
      <c r="H82" s="107" t="s">
        <v>359</v>
      </c>
      <c r="I82">
        <v>793</v>
      </c>
    </row>
    <row r="83" spans="1:10">
      <c r="A83" s="107" t="s">
        <v>464</v>
      </c>
      <c r="B83" s="107" t="s">
        <v>351</v>
      </c>
      <c r="C83" s="107" t="s">
        <v>352</v>
      </c>
      <c r="D83" s="107" t="s">
        <v>353</v>
      </c>
      <c r="E83">
        <v>6336</v>
      </c>
      <c r="F83" s="107" t="s">
        <v>480</v>
      </c>
      <c r="G83" s="107" t="s">
        <v>362</v>
      </c>
      <c r="H83" s="107" t="s">
        <v>375</v>
      </c>
      <c r="I83">
        <v>65</v>
      </c>
    </row>
    <row r="84" spans="1:10">
      <c r="A84" s="107" t="s">
        <v>464</v>
      </c>
      <c r="B84" s="107" t="s">
        <v>351</v>
      </c>
      <c r="C84" s="107" t="s">
        <v>356</v>
      </c>
      <c r="D84" s="107" t="s">
        <v>353</v>
      </c>
      <c r="E84">
        <v>6535</v>
      </c>
      <c r="F84" s="107" t="s">
        <v>481</v>
      </c>
      <c r="G84" s="107" t="s">
        <v>354</v>
      </c>
      <c r="H84" s="107" t="s">
        <v>359</v>
      </c>
      <c r="I84">
        <v>173</v>
      </c>
    </row>
    <row r="85" spans="1:10">
      <c r="A85" s="107" t="s">
        <v>464</v>
      </c>
      <c r="B85" s="107" t="s">
        <v>351</v>
      </c>
      <c r="C85" s="107" t="s">
        <v>352</v>
      </c>
      <c r="D85" s="107" t="s">
        <v>353</v>
      </c>
      <c r="E85">
        <v>6966</v>
      </c>
      <c r="F85" s="107" t="s">
        <v>482</v>
      </c>
      <c r="G85" s="107" t="s">
        <v>354</v>
      </c>
      <c r="H85" s="107" t="s">
        <v>379</v>
      </c>
      <c r="I85">
        <v>814</v>
      </c>
    </row>
    <row r="86" spans="1:10">
      <c r="A86" s="107" t="s">
        <v>464</v>
      </c>
      <c r="B86" s="107" t="s">
        <v>351</v>
      </c>
      <c r="C86" s="107" t="s">
        <v>363</v>
      </c>
      <c r="D86" s="107" t="s">
        <v>353</v>
      </c>
      <c r="E86">
        <v>7050</v>
      </c>
      <c r="F86" s="107" t="s">
        <v>483</v>
      </c>
      <c r="G86" s="107" t="s">
        <v>366</v>
      </c>
      <c r="H86" s="107" t="s">
        <v>359</v>
      </c>
      <c r="I86">
        <v>106</v>
      </c>
    </row>
    <row r="87" spans="1:10">
      <c r="A87" s="107" t="s">
        <v>464</v>
      </c>
      <c r="B87" s="107" t="s">
        <v>351</v>
      </c>
      <c r="C87" s="107" t="s">
        <v>352</v>
      </c>
      <c r="D87" s="107" t="s">
        <v>353</v>
      </c>
      <c r="E87">
        <v>7614</v>
      </c>
      <c r="F87" s="107" t="s">
        <v>484</v>
      </c>
      <c r="G87" s="107" t="s">
        <v>358</v>
      </c>
      <c r="H87" s="107" t="s">
        <v>364</v>
      </c>
      <c r="I87">
        <v>87</v>
      </c>
    </row>
    <row r="88" spans="1:10">
      <c r="A88" s="107" t="s">
        <v>464</v>
      </c>
      <c r="B88" s="107" t="s">
        <v>351</v>
      </c>
      <c r="C88" s="107" t="s">
        <v>363</v>
      </c>
      <c r="D88" s="107" t="s">
        <v>353</v>
      </c>
      <c r="E88">
        <v>7623</v>
      </c>
      <c r="F88" s="107" t="s">
        <v>485</v>
      </c>
      <c r="G88" s="107" t="s">
        <v>358</v>
      </c>
      <c r="H88" s="107" t="s">
        <v>364</v>
      </c>
      <c r="I88">
        <v>11</v>
      </c>
    </row>
    <row r="89" spans="1:10">
      <c r="A89" s="107" t="s">
        <v>464</v>
      </c>
      <c r="B89" s="107" t="s">
        <v>351</v>
      </c>
      <c r="C89" s="107" t="s">
        <v>361</v>
      </c>
      <c r="D89" s="107" t="s">
        <v>353</v>
      </c>
      <c r="E89">
        <v>8077</v>
      </c>
      <c r="F89" s="107" t="s">
        <v>486</v>
      </c>
      <c r="G89" s="107" t="s">
        <v>354</v>
      </c>
      <c r="H89" s="107" t="s">
        <v>360</v>
      </c>
      <c r="I89">
        <v>83</v>
      </c>
    </row>
    <row r="90" spans="1:10">
      <c r="A90" s="107" t="s">
        <v>464</v>
      </c>
      <c r="B90" s="107" t="s">
        <v>351</v>
      </c>
      <c r="C90" s="107" t="s">
        <v>361</v>
      </c>
      <c r="D90" s="107" t="s">
        <v>357</v>
      </c>
      <c r="E90">
        <v>8894</v>
      </c>
      <c r="F90" s="107" t="s">
        <v>487</v>
      </c>
      <c r="G90" s="107" t="s">
        <v>362</v>
      </c>
      <c r="H90" s="107" t="s">
        <v>380</v>
      </c>
      <c r="I90">
        <v>85</v>
      </c>
    </row>
    <row r="91" spans="1:10">
      <c r="A91" s="107" t="s">
        <v>464</v>
      </c>
      <c r="B91" s="107" t="s">
        <v>351</v>
      </c>
      <c r="C91" s="107" t="s">
        <v>363</v>
      </c>
      <c r="D91" s="107" t="s">
        <v>357</v>
      </c>
      <c r="E91">
        <v>9425</v>
      </c>
      <c r="F91" s="107" t="s">
        <v>488</v>
      </c>
      <c r="G91" s="107" t="s">
        <v>358</v>
      </c>
      <c r="H91" s="107" t="s">
        <v>365</v>
      </c>
      <c r="I91">
        <v>18</v>
      </c>
    </row>
    <row r="92" spans="1:10">
      <c r="A92" s="107" t="s">
        <v>464</v>
      </c>
      <c r="B92" s="107" t="s">
        <v>351</v>
      </c>
      <c r="C92" s="107" t="s">
        <v>361</v>
      </c>
      <c r="D92" s="107" t="s">
        <v>353</v>
      </c>
      <c r="E92">
        <v>9603</v>
      </c>
      <c r="F92" s="107" t="s">
        <v>489</v>
      </c>
      <c r="G92" s="107" t="s">
        <v>354</v>
      </c>
      <c r="H92" s="107" t="s">
        <v>359</v>
      </c>
      <c r="I92" s="107" t="s">
        <v>377</v>
      </c>
      <c r="J92" s="107" t="s">
        <v>1033</v>
      </c>
    </row>
    <row r="93" spans="1:10">
      <c r="A93" s="107" t="s">
        <v>464</v>
      </c>
      <c r="B93" s="107" t="s">
        <v>351</v>
      </c>
      <c r="C93" s="107" t="s">
        <v>352</v>
      </c>
      <c r="D93" s="107" t="s">
        <v>353</v>
      </c>
      <c r="E93">
        <v>9681</v>
      </c>
      <c r="F93" s="107" t="s">
        <v>490</v>
      </c>
      <c r="G93" s="107" t="s">
        <v>354</v>
      </c>
      <c r="H93" s="107" t="s">
        <v>359</v>
      </c>
      <c r="I93" s="107">
        <v>980</v>
      </c>
      <c r="J93" s="107"/>
    </row>
    <row r="94" spans="1:10">
      <c r="A94" s="107" t="s">
        <v>491</v>
      </c>
      <c r="B94" s="107" t="s">
        <v>378</v>
      </c>
      <c r="C94" s="107" t="s">
        <v>352</v>
      </c>
      <c r="D94" s="107" t="s">
        <v>357</v>
      </c>
      <c r="E94">
        <v>4380</v>
      </c>
      <c r="F94" s="107" t="s">
        <v>492</v>
      </c>
      <c r="G94" s="107" t="s">
        <v>366</v>
      </c>
      <c r="H94" s="107" t="s">
        <v>365</v>
      </c>
      <c r="I94">
        <v>40</v>
      </c>
    </row>
    <row r="95" spans="1:10">
      <c r="A95" s="107" t="s">
        <v>491</v>
      </c>
      <c r="B95" s="107" t="s">
        <v>351</v>
      </c>
      <c r="C95" s="107" t="s">
        <v>361</v>
      </c>
      <c r="D95" s="107" t="s">
        <v>353</v>
      </c>
      <c r="E95">
        <v>1383</v>
      </c>
      <c r="F95" s="107" t="s">
        <v>493</v>
      </c>
      <c r="G95" s="107" t="s">
        <v>358</v>
      </c>
      <c r="H95" s="107" t="s">
        <v>494</v>
      </c>
      <c r="I95" s="107">
        <v>31</v>
      </c>
      <c r="J95" s="107"/>
    </row>
    <row r="96" spans="1:10">
      <c r="A96" s="107" t="s">
        <v>491</v>
      </c>
      <c r="B96" s="107" t="s">
        <v>351</v>
      </c>
      <c r="C96" s="107" t="s">
        <v>363</v>
      </c>
      <c r="D96" s="107" t="s">
        <v>357</v>
      </c>
      <c r="E96">
        <v>1436</v>
      </c>
      <c r="F96" s="107" t="s">
        <v>495</v>
      </c>
      <c r="G96" s="107" t="s">
        <v>366</v>
      </c>
      <c r="H96" s="107" t="s">
        <v>388</v>
      </c>
      <c r="I96">
        <v>24</v>
      </c>
    </row>
    <row r="97" spans="1:10">
      <c r="A97" s="107" t="s">
        <v>491</v>
      </c>
      <c r="B97" s="107" t="s">
        <v>351</v>
      </c>
      <c r="C97" s="107" t="s">
        <v>361</v>
      </c>
      <c r="D97" s="107" t="s">
        <v>353</v>
      </c>
      <c r="E97">
        <v>1840</v>
      </c>
      <c r="F97" s="107" t="s">
        <v>496</v>
      </c>
      <c r="G97" s="107" t="s">
        <v>362</v>
      </c>
      <c r="H97" s="107" t="s">
        <v>388</v>
      </c>
      <c r="I97">
        <v>63</v>
      </c>
    </row>
    <row r="98" spans="1:10">
      <c r="A98" s="107" t="s">
        <v>491</v>
      </c>
      <c r="B98" s="107" t="s">
        <v>351</v>
      </c>
      <c r="C98" s="107" t="s">
        <v>361</v>
      </c>
      <c r="D98" s="107" t="s">
        <v>353</v>
      </c>
      <c r="E98">
        <v>1873</v>
      </c>
      <c r="F98" s="107" t="s">
        <v>497</v>
      </c>
      <c r="G98" s="107" t="s">
        <v>354</v>
      </c>
      <c r="H98" s="107" t="s">
        <v>388</v>
      </c>
      <c r="I98">
        <v>222</v>
      </c>
    </row>
    <row r="99" spans="1:10">
      <c r="A99" s="107" t="s">
        <v>491</v>
      </c>
      <c r="B99" s="107" t="s">
        <v>351</v>
      </c>
      <c r="C99" s="107" t="s">
        <v>363</v>
      </c>
      <c r="D99" s="107" t="s">
        <v>353</v>
      </c>
      <c r="E99">
        <v>2159</v>
      </c>
      <c r="F99" s="107" t="s">
        <v>498</v>
      </c>
      <c r="G99" s="107" t="s">
        <v>362</v>
      </c>
      <c r="H99" s="107" t="s">
        <v>359</v>
      </c>
      <c r="I99">
        <v>82</v>
      </c>
    </row>
    <row r="100" spans="1:10">
      <c r="A100" s="107" t="s">
        <v>491</v>
      </c>
      <c r="B100" s="107" t="s">
        <v>351</v>
      </c>
      <c r="C100" s="107" t="s">
        <v>361</v>
      </c>
      <c r="D100" s="107" t="s">
        <v>353</v>
      </c>
      <c r="E100">
        <v>2198</v>
      </c>
      <c r="F100" s="107" t="s">
        <v>499</v>
      </c>
      <c r="G100" s="107" t="s">
        <v>354</v>
      </c>
      <c r="H100" s="107" t="s">
        <v>359</v>
      </c>
      <c r="I100" s="107">
        <v>215</v>
      </c>
      <c r="J100" s="107"/>
    </row>
    <row r="101" spans="1:10">
      <c r="A101" s="107" t="s">
        <v>491</v>
      </c>
      <c r="B101" s="107" t="s">
        <v>351</v>
      </c>
      <c r="C101" s="107" t="s">
        <v>361</v>
      </c>
      <c r="D101" s="107" t="s">
        <v>357</v>
      </c>
      <c r="E101">
        <v>2345</v>
      </c>
      <c r="F101" s="107" t="s">
        <v>500</v>
      </c>
      <c r="G101" s="107" t="s">
        <v>362</v>
      </c>
      <c r="H101" s="107" t="s">
        <v>365</v>
      </c>
      <c r="I101" s="107">
        <v>35</v>
      </c>
      <c r="J101" s="107"/>
    </row>
    <row r="102" spans="1:10">
      <c r="A102" s="107" t="s">
        <v>491</v>
      </c>
      <c r="B102" s="107" t="s">
        <v>351</v>
      </c>
      <c r="C102" s="107" t="s">
        <v>356</v>
      </c>
      <c r="D102" s="107" t="s">
        <v>357</v>
      </c>
      <c r="E102">
        <v>2424</v>
      </c>
      <c r="F102" s="107" t="s">
        <v>501</v>
      </c>
      <c r="G102" s="107" t="s">
        <v>354</v>
      </c>
      <c r="H102" s="107" t="s">
        <v>359</v>
      </c>
      <c r="I102">
        <v>43</v>
      </c>
    </row>
    <row r="103" spans="1:10">
      <c r="A103" s="107" t="s">
        <v>491</v>
      </c>
      <c r="B103" s="107" t="s">
        <v>351</v>
      </c>
      <c r="C103" s="107" t="s">
        <v>352</v>
      </c>
      <c r="D103" s="107" t="s">
        <v>353</v>
      </c>
      <c r="E103">
        <v>2776</v>
      </c>
      <c r="F103" s="107" t="s">
        <v>502</v>
      </c>
      <c r="G103" s="107" t="s">
        <v>358</v>
      </c>
      <c r="H103" s="107" t="s">
        <v>360</v>
      </c>
      <c r="I103" s="107">
        <v>20</v>
      </c>
      <c r="J103" s="107"/>
    </row>
    <row r="104" spans="1:10">
      <c r="A104" s="107" t="s">
        <v>491</v>
      </c>
      <c r="B104" s="107" t="s">
        <v>351</v>
      </c>
      <c r="C104" s="107" t="s">
        <v>356</v>
      </c>
      <c r="D104" s="107" t="s">
        <v>357</v>
      </c>
      <c r="E104">
        <v>2978</v>
      </c>
      <c r="F104" s="107" t="s">
        <v>503</v>
      </c>
      <c r="G104" s="107" t="s">
        <v>366</v>
      </c>
      <c r="H104" s="107" t="s">
        <v>380</v>
      </c>
      <c r="I104" s="107">
        <v>159</v>
      </c>
      <c r="J104" s="107"/>
    </row>
    <row r="105" spans="1:10">
      <c r="A105" s="107" t="s">
        <v>491</v>
      </c>
      <c r="B105" s="107" t="s">
        <v>351</v>
      </c>
      <c r="C105" s="107" t="s">
        <v>361</v>
      </c>
      <c r="D105" s="107" t="s">
        <v>353</v>
      </c>
      <c r="E105">
        <v>3038</v>
      </c>
      <c r="F105" s="107" t="s">
        <v>504</v>
      </c>
      <c r="G105" s="107" t="s">
        <v>354</v>
      </c>
      <c r="H105" s="107" t="s">
        <v>360</v>
      </c>
      <c r="I105" s="107" t="s">
        <v>505</v>
      </c>
      <c r="J105" s="107" t="s">
        <v>1034</v>
      </c>
    </row>
    <row r="106" spans="1:10">
      <c r="A106" s="107" t="s">
        <v>491</v>
      </c>
      <c r="B106" s="107" t="s">
        <v>351</v>
      </c>
      <c r="C106" s="107" t="s">
        <v>352</v>
      </c>
      <c r="D106" s="107" t="s">
        <v>353</v>
      </c>
      <c r="E106">
        <v>3159</v>
      </c>
      <c r="F106" s="107" t="s">
        <v>506</v>
      </c>
      <c r="G106" s="107" t="s">
        <v>354</v>
      </c>
      <c r="H106" s="107" t="s">
        <v>364</v>
      </c>
      <c r="I106" s="107">
        <v>348</v>
      </c>
      <c r="J106" s="107"/>
    </row>
    <row r="107" spans="1:10">
      <c r="A107" s="107" t="s">
        <v>491</v>
      </c>
      <c r="B107" s="107" t="s">
        <v>351</v>
      </c>
      <c r="C107" s="107" t="s">
        <v>361</v>
      </c>
      <c r="D107" s="107" t="s">
        <v>353</v>
      </c>
      <c r="E107">
        <v>3195</v>
      </c>
      <c r="F107" s="107" t="s">
        <v>507</v>
      </c>
      <c r="G107" s="107" t="s">
        <v>366</v>
      </c>
      <c r="H107" s="107" t="s">
        <v>364</v>
      </c>
      <c r="I107">
        <v>47</v>
      </c>
    </row>
    <row r="108" spans="1:10">
      <c r="A108" s="107" t="s">
        <v>491</v>
      </c>
      <c r="B108" s="107" t="s">
        <v>351</v>
      </c>
      <c r="C108" s="107" t="s">
        <v>361</v>
      </c>
      <c r="D108" s="107" t="s">
        <v>357</v>
      </c>
      <c r="E108">
        <v>3309</v>
      </c>
      <c r="F108" s="107" t="s">
        <v>508</v>
      </c>
      <c r="G108" s="107" t="s">
        <v>441</v>
      </c>
      <c r="H108" s="107" t="s">
        <v>442</v>
      </c>
      <c r="I108" s="107" t="s">
        <v>505</v>
      </c>
      <c r="J108" s="107" t="s">
        <v>1035</v>
      </c>
    </row>
    <row r="109" spans="1:10">
      <c r="A109" s="107" t="s">
        <v>491</v>
      </c>
      <c r="B109" s="107" t="s">
        <v>351</v>
      </c>
      <c r="C109" s="107" t="s">
        <v>356</v>
      </c>
      <c r="D109" s="107" t="s">
        <v>353</v>
      </c>
      <c r="E109">
        <v>3421</v>
      </c>
      <c r="F109" s="107" t="s">
        <v>509</v>
      </c>
      <c r="G109" s="107" t="s">
        <v>354</v>
      </c>
      <c r="H109" s="107" t="s">
        <v>369</v>
      </c>
      <c r="I109" s="107">
        <v>260</v>
      </c>
      <c r="J109" s="107"/>
    </row>
    <row r="110" spans="1:10">
      <c r="A110" s="107" t="s">
        <v>491</v>
      </c>
      <c r="B110" s="107" t="s">
        <v>351</v>
      </c>
      <c r="C110" s="107" t="s">
        <v>361</v>
      </c>
      <c r="D110" s="107" t="s">
        <v>353</v>
      </c>
      <c r="E110">
        <v>3480</v>
      </c>
      <c r="F110" s="107" t="s">
        <v>510</v>
      </c>
      <c r="G110" s="107" t="s">
        <v>354</v>
      </c>
      <c r="H110" s="107" t="s">
        <v>380</v>
      </c>
      <c r="I110">
        <v>229</v>
      </c>
    </row>
    <row r="111" spans="1:10">
      <c r="A111" s="107" t="s">
        <v>491</v>
      </c>
      <c r="B111" s="107" t="s">
        <v>351</v>
      </c>
      <c r="C111" s="107" t="s">
        <v>356</v>
      </c>
      <c r="D111" s="107" t="s">
        <v>357</v>
      </c>
      <c r="E111">
        <v>3497</v>
      </c>
      <c r="F111" s="107" t="s">
        <v>511</v>
      </c>
      <c r="G111" s="107" t="s">
        <v>366</v>
      </c>
      <c r="H111" s="107" t="s">
        <v>380</v>
      </c>
      <c r="I111">
        <v>37</v>
      </c>
    </row>
    <row r="112" spans="1:10">
      <c r="A112" s="107" t="s">
        <v>491</v>
      </c>
      <c r="B112" s="107" t="s">
        <v>351</v>
      </c>
      <c r="C112" s="107" t="s">
        <v>361</v>
      </c>
      <c r="D112" s="107" t="s">
        <v>353</v>
      </c>
      <c r="E112">
        <v>3653</v>
      </c>
      <c r="F112" s="107" t="s">
        <v>512</v>
      </c>
      <c r="G112" s="107" t="s">
        <v>366</v>
      </c>
      <c r="H112" s="107" t="s">
        <v>365</v>
      </c>
      <c r="I112">
        <v>165</v>
      </c>
    </row>
    <row r="113" spans="1:10">
      <c r="A113" s="107" t="s">
        <v>491</v>
      </c>
      <c r="B113" s="107" t="s">
        <v>351</v>
      </c>
      <c r="C113" s="107" t="s">
        <v>352</v>
      </c>
      <c r="D113" s="107" t="s">
        <v>357</v>
      </c>
      <c r="E113">
        <v>3665</v>
      </c>
      <c r="F113" s="107" t="s">
        <v>513</v>
      </c>
      <c r="G113" s="107" t="s">
        <v>354</v>
      </c>
      <c r="H113" s="107" t="s">
        <v>365</v>
      </c>
      <c r="I113">
        <v>442</v>
      </c>
    </row>
    <row r="114" spans="1:10">
      <c r="A114" s="107" t="s">
        <v>491</v>
      </c>
      <c r="B114" s="107" t="s">
        <v>351</v>
      </c>
      <c r="C114" s="107" t="s">
        <v>363</v>
      </c>
      <c r="D114" s="107" t="s">
        <v>353</v>
      </c>
      <c r="E114">
        <v>3843</v>
      </c>
      <c r="F114" s="107" t="s">
        <v>514</v>
      </c>
      <c r="G114" s="107" t="s">
        <v>354</v>
      </c>
      <c r="H114" s="107" t="s">
        <v>365</v>
      </c>
      <c r="I114">
        <v>215</v>
      </c>
    </row>
    <row r="115" spans="1:10">
      <c r="A115" s="107" t="s">
        <v>491</v>
      </c>
      <c r="B115" s="107" t="s">
        <v>351</v>
      </c>
      <c r="C115" s="107" t="s">
        <v>352</v>
      </c>
      <c r="D115" s="107" t="s">
        <v>357</v>
      </c>
      <c r="E115">
        <v>3921</v>
      </c>
      <c r="F115" s="107" t="s">
        <v>515</v>
      </c>
      <c r="G115" s="107" t="s">
        <v>354</v>
      </c>
      <c r="H115" s="107" t="s">
        <v>365</v>
      </c>
      <c r="I115">
        <v>154</v>
      </c>
    </row>
    <row r="116" spans="1:10">
      <c r="A116" s="107" t="s">
        <v>491</v>
      </c>
      <c r="B116" s="107" t="s">
        <v>351</v>
      </c>
      <c r="C116" s="107" t="s">
        <v>352</v>
      </c>
      <c r="D116" s="107" t="s">
        <v>353</v>
      </c>
      <c r="E116">
        <v>3931</v>
      </c>
      <c r="F116" s="107" t="s">
        <v>516</v>
      </c>
      <c r="G116" s="107" t="s">
        <v>366</v>
      </c>
      <c r="H116" s="107" t="s">
        <v>365</v>
      </c>
      <c r="I116">
        <v>23</v>
      </c>
    </row>
    <row r="117" spans="1:10">
      <c r="A117" s="107" t="s">
        <v>491</v>
      </c>
      <c r="B117" s="107" t="s">
        <v>351</v>
      </c>
      <c r="C117" s="107" t="s">
        <v>352</v>
      </c>
      <c r="D117" s="107" t="s">
        <v>353</v>
      </c>
      <c r="E117">
        <v>3995</v>
      </c>
      <c r="F117" s="107" t="s">
        <v>517</v>
      </c>
      <c r="G117" s="107" t="s">
        <v>366</v>
      </c>
      <c r="H117" s="107" t="s">
        <v>365</v>
      </c>
      <c r="I117">
        <v>76</v>
      </c>
    </row>
    <row r="118" spans="1:10">
      <c r="A118" s="107" t="s">
        <v>491</v>
      </c>
      <c r="B118" s="107" t="s">
        <v>351</v>
      </c>
      <c r="C118" s="107" t="s">
        <v>352</v>
      </c>
      <c r="D118" s="107" t="s">
        <v>353</v>
      </c>
      <c r="E118">
        <v>4287</v>
      </c>
      <c r="F118" s="107" t="s">
        <v>518</v>
      </c>
      <c r="G118" s="107" t="s">
        <v>358</v>
      </c>
      <c r="H118" s="107" t="s">
        <v>365</v>
      </c>
      <c r="I118" s="107">
        <v>66</v>
      </c>
      <c r="J118" s="107"/>
    </row>
    <row r="119" spans="1:10">
      <c r="A119" s="107" t="s">
        <v>491</v>
      </c>
      <c r="B119" s="107" t="s">
        <v>351</v>
      </c>
      <c r="C119" s="107" t="s">
        <v>363</v>
      </c>
      <c r="D119" s="107" t="s">
        <v>357</v>
      </c>
      <c r="E119">
        <v>4431</v>
      </c>
      <c r="F119" s="107" t="s">
        <v>519</v>
      </c>
      <c r="G119" s="107" t="s">
        <v>366</v>
      </c>
      <c r="H119" s="107" t="s">
        <v>365</v>
      </c>
      <c r="I119" s="107">
        <v>287</v>
      </c>
      <c r="J119" s="107"/>
    </row>
    <row r="120" spans="1:10">
      <c r="A120" s="107" t="s">
        <v>491</v>
      </c>
      <c r="B120" s="107" t="s">
        <v>351</v>
      </c>
      <c r="C120" s="107" t="s">
        <v>352</v>
      </c>
      <c r="D120" s="107" t="s">
        <v>353</v>
      </c>
      <c r="E120">
        <v>4592</v>
      </c>
      <c r="F120" s="107" t="s">
        <v>520</v>
      </c>
      <c r="G120" s="107" t="s">
        <v>366</v>
      </c>
      <c r="H120" s="107" t="s">
        <v>476</v>
      </c>
      <c r="I120" s="107" t="s">
        <v>377</v>
      </c>
      <c r="J120" s="107" t="s">
        <v>1036</v>
      </c>
    </row>
    <row r="121" spans="1:10">
      <c r="A121" s="107" t="s">
        <v>491</v>
      </c>
      <c r="B121" s="107" t="s">
        <v>351</v>
      </c>
      <c r="C121" s="107" t="s">
        <v>356</v>
      </c>
      <c r="D121" s="107" t="s">
        <v>357</v>
      </c>
      <c r="E121">
        <v>4599</v>
      </c>
      <c r="F121" s="107" t="s">
        <v>521</v>
      </c>
      <c r="G121" s="107" t="s">
        <v>366</v>
      </c>
      <c r="H121" s="107" t="s">
        <v>476</v>
      </c>
      <c r="I121" s="107">
        <v>483</v>
      </c>
      <c r="J121" s="107"/>
    </row>
    <row r="122" spans="1:10">
      <c r="A122" s="107" t="s">
        <v>491</v>
      </c>
      <c r="B122" s="107" t="s">
        <v>351</v>
      </c>
      <c r="C122" s="107" t="s">
        <v>361</v>
      </c>
      <c r="D122" s="107" t="s">
        <v>353</v>
      </c>
      <c r="E122">
        <v>4627</v>
      </c>
      <c r="F122" s="107" t="s">
        <v>522</v>
      </c>
      <c r="G122" s="107" t="s">
        <v>358</v>
      </c>
      <c r="H122" s="107" t="s">
        <v>367</v>
      </c>
      <c r="I122">
        <v>99</v>
      </c>
    </row>
    <row r="123" spans="1:10">
      <c r="A123" s="107" t="s">
        <v>491</v>
      </c>
      <c r="B123" s="107" t="s">
        <v>351</v>
      </c>
      <c r="C123" s="107" t="s">
        <v>361</v>
      </c>
      <c r="D123" s="107" t="s">
        <v>353</v>
      </c>
      <c r="E123">
        <v>4996</v>
      </c>
      <c r="F123" s="107" t="s">
        <v>523</v>
      </c>
      <c r="G123" s="107" t="s">
        <v>354</v>
      </c>
      <c r="H123" s="107" t="s">
        <v>367</v>
      </c>
      <c r="I123" s="107" t="s">
        <v>409</v>
      </c>
      <c r="J123" s="107" t="s">
        <v>1037</v>
      </c>
    </row>
    <row r="124" spans="1:10">
      <c r="A124" s="107" t="s">
        <v>491</v>
      </c>
      <c r="B124" s="107" t="s">
        <v>351</v>
      </c>
      <c r="C124" s="107" t="s">
        <v>361</v>
      </c>
      <c r="D124" s="107" t="s">
        <v>357</v>
      </c>
      <c r="E124">
        <v>6049</v>
      </c>
      <c r="F124" s="107" t="s">
        <v>524</v>
      </c>
      <c r="G124" s="107" t="s">
        <v>366</v>
      </c>
      <c r="H124" s="107" t="s">
        <v>359</v>
      </c>
      <c r="I124" s="107">
        <v>418</v>
      </c>
      <c r="J124" s="107"/>
    </row>
    <row r="125" spans="1:10">
      <c r="A125" s="107" t="s">
        <v>491</v>
      </c>
      <c r="B125" s="107" t="s">
        <v>351</v>
      </c>
      <c r="C125" s="107" t="s">
        <v>356</v>
      </c>
      <c r="D125" s="107" t="s">
        <v>353</v>
      </c>
      <c r="E125">
        <v>6091</v>
      </c>
      <c r="F125" s="107" t="s">
        <v>525</v>
      </c>
      <c r="G125" s="107" t="s">
        <v>362</v>
      </c>
      <c r="H125" s="107" t="s">
        <v>359</v>
      </c>
      <c r="I125">
        <v>74</v>
      </c>
    </row>
    <row r="126" spans="1:10">
      <c r="A126" s="107" t="s">
        <v>491</v>
      </c>
      <c r="B126" s="107" t="s">
        <v>351</v>
      </c>
      <c r="C126" s="107" t="s">
        <v>363</v>
      </c>
      <c r="D126" s="107" t="s">
        <v>353</v>
      </c>
      <c r="E126">
        <v>6192</v>
      </c>
      <c r="F126" s="107" t="s">
        <v>526</v>
      </c>
      <c r="G126" s="107" t="s">
        <v>366</v>
      </c>
      <c r="H126" s="107" t="s">
        <v>359</v>
      </c>
      <c r="I126">
        <v>80</v>
      </c>
    </row>
    <row r="127" spans="1:10">
      <c r="A127" s="107" t="s">
        <v>491</v>
      </c>
      <c r="B127" s="107" t="s">
        <v>351</v>
      </c>
      <c r="C127" s="107" t="s">
        <v>356</v>
      </c>
      <c r="D127" s="107" t="s">
        <v>353</v>
      </c>
      <c r="E127">
        <v>6577</v>
      </c>
      <c r="F127" s="107" t="s">
        <v>527</v>
      </c>
      <c r="G127" s="107" t="s">
        <v>366</v>
      </c>
      <c r="H127" s="107" t="s">
        <v>359</v>
      </c>
      <c r="I127">
        <v>42</v>
      </c>
    </row>
    <row r="128" spans="1:10">
      <c r="A128" s="107" t="s">
        <v>491</v>
      </c>
      <c r="B128" s="107" t="s">
        <v>351</v>
      </c>
      <c r="C128" s="107" t="s">
        <v>363</v>
      </c>
      <c r="D128" s="107" t="s">
        <v>353</v>
      </c>
      <c r="E128">
        <v>6630</v>
      </c>
      <c r="F128" s="107" t="s">
        <v>528</v>
      </c>
      <c r="G128" s="107" t="s">
        <v>354</v>
      </c>
      <c r="H128" s="107" t="s">
        <v>379</v>
      </c>
      <c r="I128">
        <v>403</v>
      </c>
    </row>
    <row r="129" spans="1:10">
      <c r="A129" s="107" t="s">
        <v>491</v>
      </c>
      <c r="B129" s="107" t="s">
        <v>351</v>
      </c>
      <c r="C129" s="107" t="s">
        <v>356</v>
      </c>
      <c r="D129" s="107" t="s">
        <v>353</v>
      </c>
      <c r="E129">
        <v>6721</v>
      </c>
      <c r="F129" s="107" t="s">
        <v>529</v>
      </c>
      <c r="G129" s="107" t="s">
        <v>362</v>
      </c>
      <c r="H129" s="107" t="s">
        <v>379</v>
      </c>
      <c r="I129">
        <v>81</v>
      </c>
    </row>
    <row r="130" spans="1:10">
      <c r="A130" s="107" t="s">
        <v>491</v>
      </c>
      <c r="B130" s="107" t="s">
        <v>351</v>
      </c>
      <c r="C130" s="107" t="s">
        <v>361</v>
      </c>
      <c r="D130" s="107" t="s">
        <v>353</v>
      </c>
      <c r="E130">
        <v>7033</v>
      </c>
      <c r="F130" s="107" t="s">
        <v>530</v>
      </c>
      <c r="G130" s="107" t="s">
        <v>354</v>
      </c>
      <c r="H130" s="107" t="s">
        <v>359</v>
      </c>
      <c r="I130">
        <v>121</v>
      </c>
    </row>
    <row r="131" spans="1:10">
      <c r="A131" s="107" t="s">
        <v>491</v>
      </c>
      <c r="B131" s="107" t="s">
        <v>351</v>
      </c>
      <c r="C131" s="107" t="s">
        <v>352</v>
      </c>
      <c r="D131" s="107" t="s">
        <v>353</v>
      </c>
      <c r="E131">
        <v>7073</v>
      </c>
      <c r="F131" s="107" t="s">
        <v>531</v>
      </c>
      <c r="G131" s="107" t="s">
        <v>366</v>
      </c>
      <c r="H131" s="107" t="s">
        <v>359</v>
      </c>
      <c r="I131" s="107">
        <v>83</v>
      </c>
      <c r="J131" s="107"/>
    </row>
    <row r="132" spans="1:10">
      <c r="A132" s="107" t="s">
        <v>491</v>
      </c>
      <c r="B132" s="107" t="s">
        <v>351</v>
      </c>
      <c r="C132" s="107" t="s">
        <v>361</v>
      </c>
      <c r="D132" s="107" t="s">
        <v>353</v>
      </c>
      <c r="E132">
        <v>7279</v>
      </c>
      <c r="F132" s="107" t="s">
        <v>532</v>
      </c>
      <c r="G132" s="107" t="s">
        <v>362</v>
      </c>
      <c r="H132" s="107" t="s">
        <v>405</v>
      </c>
      <c r="I132" s="107">
        <v>709</v>
      </c>
      <c r="J132" s="107"/>
    </row>
    <row r="133" spans="1:10">
      <c r="A133" s="107" t="s">
        <v>491</v>
      </c>
      <c r="B133" s="107" t="s">
        <v>351</v>
      </c>
      <c r="C133" s="107" t="s">
        <v>363</v>
      </c>
      <c r="D133" s="107" t="s">
        <v>353</v>
      </c>
      <c r="E133">
        <v>7604</v>
      </c>
      <c r="F133" s="107" t="s">
        <v>533</v>
      </c>
      <c r="G133" s="107" t="s">
        <v>362</v>
      </c>
      <c r="H133" s="107" t="s">
        <v>364</v>
      </c>
      <c r="I133">
        <v>206</v>
      </c>
    </row>
    <row r="134" spans="1:10">
      <c r="A134" s="107" t="s">
        <v>491</v>
      </c>
      <c r="B134" s="107" t="s">
        <v>351</v>
      </c>
      <c r="C134" s="107" t="s">
        <v>361</v>
      </c>
      <c r="D134" s="107" t="s">
        <v>357</v>
      </c>
      <c r="E134">
        <v>7605</v>
      </c>
      <c r="F134" s="107" t="s">
        <v>534</v>
      </c>
      <c r="G134" s="107" t="s">
        <v>354</v>
      </c>
      <c r="H134" s="107" t="s">
        <v>364</v>
      </c>
      <c r="I134" s="107">
        <v>250</v>
      </c>
      <c r="J134" s="107"/>
    </row>
    <row r="135" spans="1:10">
      <c r="A135" s="107" t="s">
        <v>491</v>
      </c>
      <c r="B135" s="107" t="s">
        <v>351</v>
      </c>
      <c r="C135" s="107" t="s">
        <v>356</v>
      </c>
      <c r="D135" s="107" t="s">
        <v>357</v>
      </c>
      <c r="E135">
        <v>7682</v>
      </c>
      <c r="F135" s="107" t="s">
        <v>535</v>
      </c>
      <c r="G135" s="107" t="s">
        <v>358</v>
      </c>
      <c r="H135" s="107" t="s">
        <v>364</v>
      </c>
      <c r="I135" s="107">
        <v>26</v>
      </c>
      <c r="J135" s="107"/>
    </row>
    <row r="136" spans="1:10">
      <c r="A136" s="107" t="s">
        <v>491</v>
      </c>
      <c r="B136" s="107" t="s">
        <v>351</v>
      </c>
      <c r="C136" s="107" t="s">
        <v>352</v>
      </c>
      <c r="D136" s="107" t="s">
        <v>353</v>
      </c>
      <c r="E136">
        <v>7683</v>
      </c>
      <c r="F136" s="107" t="s">
        <v>536</v>
      </c>
      <c r="G136" s="107" t="s">
        <v>366</v>
      </c>
      <c r="H136" s="107" t="s">
        <v>364</v>
      </c>
      <c r="I136">
        <v>210</v>
      </c>
    </row>
    <row r="137" spans="1:10">
      <c r="A137" s="107" t="s">
        <v>491</v>
      </c>
      <c r="B137" s="107" t="s">
        <v>351</v>
      </c>
      <c r="C137" s="107" t="s">
        <v>356</v>
      </c>
      <c r="D137" s="107" t="s">
        <v>353</v>
      </c>
      <c r="E137">
        <v>7803</v>
      </c>
      <c r="F137" s="107" t="s">
        <v>537</v>
      </c>
      <c r="G137" s="107" t="s">
        <v>366</v>
      </c>
      <c r="H137" s="107" t="s">
        <v>376</v>
      </c>
      <c r="I137">
        <v>652</v>
      </c>
    </row>
    <row r="138" spans="1:10">
      <c r="A138" s="107" t="s">
        <v>491</v>
      </c>
      <c r="B138" s="107" t="s">
        <v>351</v>
      </c>
      <c r="C138" s="107" t="s">
        <v>361</v>
      </c>
      <c r="D138" s="107" t="s">
        <v>357</v>
      </c>
      <c r="E138">
        <v>7805</v>
      </c>
      <c r="F138" s="107" t="s">
        <v>538</v>
      </c>
      <c r="G138" s="107" t="s">
        <v>358</v>
      </c>
      <c r="H138" s="107" t="s">
        <v>376</v>
      </c>
      <c r="I138">
        <v>32</v>
      </c>
    </row>
    <row r="139" spans="1:10">
      <c r="A139" s="107" t="s">
        <v>491</v>
      </c>
      <c r="B139" s="107" t="s">
        <v>351</v>
      </c>
      <c r="C139" s="107" t="s">
        <v>356</v>
      </c>
      <c r="D139" s="107" t="s">
        <v>353</v>
      </c>
      <c r="E139">
        <v>7810</v>
      </c>
      <c r="F139" s="107" t="s">
        <v>539</v>
      </c>
      <c r="G139" s="107" t="s">
        <v>358</v>
      </c>
      <c r="H139" s="107" t="s">
        <v>376</v>
      </c>
      <c r="I139">
        <v>63</v>
      </c>
    </row>
    <row r="140" spans="1:10">
      <c r="A140" s="107" t="s">
        <v>491</v>
      </c>
      <c r="B140" s="107" t="s">
        <v>351</v>
      </c>
      <c r="C140" s="107" t="s">
        <v>361</v>
      </c>
      <c r="D140" s="107" t="s">
        <v>357</v>
      </c>
      <c r="E140">
        <v>7827</v>
      </c>
      <c r="F140" s="107" t="s">
        <v>540</v>
      </c>
      <c r="G140" s="107" t="s">
        <v>358</v>
      </c>
      <c r="H140" s="107" t="s">
        <v>376</v>
      </c>
      <c r="I140">
        <v>14</v>
      </c>
    </row>
    <row r="141" spans="1:10">
      <c r="A141" s="107" t="s">
        <v>491</v>
      </c>
      <c r="B141" s="107" t="s">
        <v>351</v>
      </c>
      <c r="C141" s="107" t="s">
        <v>356</v>
      </c>
      <c r="D141" s="107" t="s">
        <v>353</v>
      </c>
      <c r="E141">
        <v>7850</v>
      </c>
      <c r="F141" s="107" t="s">
        <v>541</v>
      </c>
      <c r="G141" s="107" t="s">
        <v>358</v>
      </c>
      <c r="H141" s="107" t="s">
        <v>376</v>
      </c>
      <c r="I141">
        <v>22</v>
      </c>
    </row>
    <row r="142" spans="1:10">
      <c r="A142" s="107" t="s">
        <v>491</v>
      </c>
      <c r="B142" s="107" t="s">
        <v>351</v>
      </c>
      <c r="C142" s="107" t="s">
        <v>363</v>
      </c>
      <c r="D142" s="107" t="s">
        <v>353</v>
      </c>
      <c r="E142">
        <v>7899</v>
      </c>
      <c r="F142" s="107" t="s">
        <v>542</v>
      </c>
      <c r="G142" s="107" t="s">
        <v>358</v>
      </c>
      <c r="H142" s="107" t="s">
        <v>367</v>
      </c>
      <c r="I142">
        <v>19</v>
      </c>
    </row>
    <row r="143" spans="1:10">
      <c r="A143" s="107" t="s">
        <v>491</v>
      </c>
      <c r="B143" s="107" t="s">
        <v>351</v>
      </c>
      <c r="C143" s="107" t="s">
        <v>361</v>
      </c>
      <c r="D143" s="107" t="s">
        <v>353</v>
      </c>
      <c r="E143">
        <v>7983</v>
      </c>
      <c r="F143" s="107" t="s">
        <v>543</v>
      </c>
      <c r="G143" s="107" t="s">
        <v>362</v>
      </c>
      <c r="H143" s="107" t="s">
        <v>376</v>
      </c>
      <c r="I143">
        <v>63</v>
      </c>
    </row>
    <row r="144" spans="1:10">
      <c r="A144" s="107" t="s">
        <v>491</v>
      </c>
      <c r="B144" s="107" t="s">
        <v>351</v>
      </c>
      <c r="C144" s="107" t="s">
        <v>352</v>
      </c>
      <c r="D144" s="107" t="s">
        <v>353</v>
      </c>
      <c r="E144">
        <v>8013</v>
      </c>
      <c r="F144" s="107" t="s">
        <v>544</v>
      </c>
      <c r="G144" s="107" t="s">
        <v>354</v>
      </c>
      <c r="H144" s="107" t="s">
        <v>420</v>
      </c>
      <c r="I144">
        <v>36</v>
      </c>
    </row>
    <row r="145" spans="1:10">
      <c r="A145" s="107" t="s">
        <v>491</v>
      </c>
      <c r="B145" s="107" t="s">
        <v>351</v>
      </c>
      <c r="C145" s="107" t="s">
        <v>361</v>
      </c>
      <c r="D145" s="107" t="s">
        <v>353</v>
      </c>
      <c r="E145">
        <v>8079</v>
      </c>
      <c r="F145" s="107" t="s">
        <v>545</v>
      </c>
      <c r="G145" s="107" t="s">
        <v>354</v>
      </c>
      <c r="H145" s="107" t="s">
        <v>360</v>
      </c>
      <c r="I145">
        <v>581</v>
      </c>
    </row>
    <row r="146" spans="1:10">
      <c r="A146" s="107" t="s">
        <v>491</v>
      </c>
      <c r="B146" s="107" t="s">
        <v>351</v>
      </c>
      <c r="C146" s="107" t="s">
        <v>361</v>
      </c>
      <c r="D146" s="107" t="s">
        <v>353</v>
      </c>
      <c r="E146">
        <v>8917</v>
      </c>
      <c r="F146" s="107" t="s">
        <v>546</v>
      </c>
      <c r="G146" s="107" t="s">
        <v>354</v>
      </c>
      <c r="H146" s="107" t="s">
        <v>380</v>
      </c>
      <c r="I146" s="107">
        <v>221</v>
      </c>
      <c r="J146" s="107"/>
    </row>
    <row r="147" spans="1:10">
      <c r="A147" s="107" t="s">
        <v>491</v>
      </c>
      <c r="B147" s="107" t="s">
        <v>351</v>
      </c>
      <c r="C147" s="107" t="s">
        <v>356</v>
      </c>
      <c r="D147" s="107" t="s">
        <v>353</v>
      </c>
      <c r="E147">
        <v>8925</v>
      </c>
      <c r="F147" s="107" t="s">
        <v>547</v>
      </c>
      <c r="G147" s="107" t="s">
        <v>362</v>
      </c>
      <c r="H147" s="107" t="s">
        <v>380</v>
      </c>
      <c r="I147" s="107">
        <v>202</v>
      </c>
      <c r="J147" s="107"/>
    </row>
    <row r="148" spans="1:10">
      <c r="A148" s="107" t="s">
        <v>491</v>
      </c>
      <c r="B148" s="107" t="s">
        <v>351</v>
      </c>
      <c r="C148" s="107" t="s">
        <v>356</v>
      </c>
      <c r="D148" s="107" t="s">
        <v>353</v>
      </c>
      <c r="E148">
        <v>8927</v>
      </c>
      <c r="F148" s="107" t="s">
        <v>548</v>
      </c>
      <c r="G148" s="107" t="s">
        <v>358</v>
      </c>
      <c r="H148" s="107" t="s">
        <v>380</v>
      </c>
      <c r="I148">
        <v>66</v>
      </c>
    </row>
    <row r="149" spans="1:10">
      <c r="A149" s="107" t="s">
        <v>491</v>
      </c>
      <c r="B149" s="107" t="s">
        <v>351</v>
      </c>
      <c r="C149" s="107" t="s">
        <v>361</v>
      </c>
      <c r="D149" s="107" t="s">
        <v>357</v>
      </c>
      <c r="E149">
        <v>8975</v>
      </c>
      <c r="F149" s="107" t="s">
        <v>549</v>
      </c>
      <c r="G149" s="107" t="s">
        <v>441</v>
      </c>
      <c r="H149" s="107" t="s">
        <v>442</v>
      </c>
      <c r="I149" s="107" t="s">
        <v>409</v>
      </c>
      <c r="J149" s="107" t="s">
        <v>964</v>
      </c>
    </row>
    <row r="150" spans="1:10">
      <c r="A150" s="107" t="s">
        <v>491</v>
      </c>
      <c r="B150" s="107" t="s">
        <v>351</v>
      </c>
      <c r="C150" s="107" t="s">
        <v>361</v>
      </c>
      <c r="D150" s="107" t="s">
        <v>357</v>
      </c>
      <c r="E150">
        <v>8979</v>
      </c>
      <c r="F150" s="107" t="s">
        <v>550</v>
      </c>
      <c r="G150" s="107" t="s">
        <v>441</v>
      </c>
      <c r="H150" s="107" t="s">
        <v>442</v>
      </c>
      <c r="I150" s="107">
        <v>511</v>
      </c>
      <c r="J150" s="107"/>
    </row>
    <row r="151" spans="1:10">
      <c r="A151" s="107" t="s">
        <v>491</v>
      </c>
      <c r="B151" s="107" t="s">
        <v>351</v>
      </c>
      <c r="C151" s="107" t="s">
        <v>361</v>
      </c>
      <c r="D151" s="107" t="s">
        <v>353</v>
      </c>
      <c r="E151">
        <v>9279</v>
      </c>
      <c r="F151" s="107" t="s">
        <v>551</v>
      </c>
      <c r="G151" s="107" t="s">
        <v>366</v>
      </c>
      <c r="H151" s="107" t="s">
        <v>364</v>
      </c>
      <c r="I151">
        <v>232</v>
      </c>
    </row>
    <row r="152" spans="1:10">
      <c r="A152" s="107" t="s">
        <v>491</v>
      </c>
      <c r="B152" s="107" t="s">
        <v>351</v>
      </c>
      <c r="C152" s="107" t="s">
        <v>352</v>
      </c>
      <c r="D152" s="107" t="s">
        <v>353</v>
      </c>
      <c r="E152">
        <v>9637</v>
      </c>
      <c r="F152" s="107" t="s">
        <v>552</v>
      </c>
      <c r="G152" s="107" t="s">
        <v>362</v>
      </c>
      <c r="H152" s="107" t="s">
        <v>359</v>
      </c>
      <c r="I152">
        <v>113</v>
      </c>
    </row>
    <row r="153" spans="1:10">
      <c r="A153" s="107" t="s">
        <v>553</v>
      </c>
      <c r="B153" s="107" t="s">
        <v>413</v>
      </c>
      <c r="C153" s="107" t="s">
        <v>361</v>
      </c>
      <c r="D153" s="107" t="s">
        <v>357</v>
      </c>
      <c r="E153">
        <v>7034</v>
      </c>
      <c r="F153" s="107" t="s">
        <v>554</v>
      </c>
      <c r="G153" s="107" t="s">
        <v>366</v>
      </c>
      <c r="H153" s="107" t="s">
        <v>359</v>
      </c>
      <c r="I153">
        <v>448</v>
      </c>
    </row>
    <row r="154" spans="1:10">
      <c r="A154" s="107" t="s">
        <v>553</v>
      </c>
      <c r="B154" s="107" t="s">
        <v>351</v>
      </c>
      <c r="C154" s="107" t="s">
        <v>361</v>
      </c>
      <c r="D154" s="107" t="s">
        <v>357</v>
      </c>
      <c r="E154">
        <v>3287</v>
      </c>
      <c r="F154" s="107" t="s">
        <v>555</v>
      </c>
      <c r="G154" s="107" t="s">
        <v>441</v>
      </c>
      <c r="H154" s="107" t="s">
        <v>442</v>
      </c>
      <c r="I154" s="107" t="s">
        <v>409</v>
      </c>
      <c r="J154" s="107" t="s">
        <v>1036</v>
      </c>
    </row>
    <row r="155" spans="1:10">
      <c r="A155" s="107" t="s">
        <v>553</v>
      </c>
      <c r="B155" s="107" t="s">
        <v>351</v>
      </c>
      <c r="C155" s="107" t="s">
        <v>361</v>
      </c>
      <c r="D155" s="107" t="s">
        <v>357</v>
      </c>
      <c r="E155">
        <v>3298</v>
      </c>
      <c r="F155" s="107" t="s">
        <v>556</v>
      </c>
      <c r="G155" s="107" t="s">
        <v>441</v>
      </c>
      <c r="H155" s="107" t="s">
        <v>442</v>
      </c>
      <c r="I155" s="107" t="s">
        <v>409</v>
      </c>
      <c r="J155" s="107" t="s">
        <v>1038</v>
      </c>
    </row>
    <row r="156" spans="1:10">
      <c r="A156" s="107" t="s">
        <v>553</v>
      </c>
      <c r="B156" s="107" t="s">
        <v>351</v>
      </c>
      <c r="C156" s="107" t="s">
        <v>361</v>
      </c>
      <c r="D156" s="107" t="s">
        <v>357</v>
      </c>
      <c r="E156">
        <v>3451</v>
      </c>
      <c r="F156" s="107" t="s">
        <v>557</v>
      </c>
      <c r="G156" s="107" t="s">
        <v>441</v>
      </c>
      <c r="H156" s="107" t="s">
        <v>442</v>
      </c>
      <c r="I156" s="107">
        <v>444</v>
      </c>
      <c r="J156" s="107"/>
    </row>
    <row r="157" spans="1:10">
      <c r="A157" s="107" t="s">
        <v>553</v>
      </c>
      <c r="B157" s="107" t="s">
        <v>351</v>
      </c>
      <c r="C157" s="107" t="s">
        <v>361</v>
      </c>
      <c r="D157" s="107" t="s">
        <v>353</v>
      </c>
      <c r="E157">
        <v>3804</v>
      </c>
      <c r="F157" s="107" t="s">
        <v>558</v>
      </c>
      <c r="G157" s="107" t="s">
        <v>358</v>
      </c>
      <c r="H157" s="107" t="s">
        <v>365</v>
      </c>
      <c r="I157">
        <v>54</v>
      </c>
    </row>
    <row r="158" spans="1:10">
      <c r="A158" s="107" t="s">
        <v>553</v>
      </c>
      <c r="B158" s="107" t="s">
        <v>351</v>
      </c>
      <c r="C158" s="107" t="s">
        <v>361</v>
      </c>
      <c r="D158" s="107" t="s">
        <v>353</v>
      </c>
      <c r="E158">
        <v>4666</v>
      </c>
      <c r="F158" s="107" t="s">
        <v>559</v>
      </c>
      <c r="G158" s="107" t="s">
        <v>354</v>
      </c>
      <c r="H158" s="107" t="s">
        <v>380</v>
      </c>
      <c r="I158" s="107" t="s">
        <v>594</v>
      </c>
      <c r="J158" s="107" t="s">
        <v>1039</v>
      </c>
    </row>
    <row r="159" spans="1:10">
      <c r="A159" s="107" t="s">
        <v>553</v>
      </c>
      <c r="B159" s="107" t="s">
        <v>351</v>
      </c>
      <c r="C159" s="107" t="s">
        <v>361</v>
      </c>
      <c r="D159" s="107" t="s">
        <v>353</v>
      </c>
      <c r="E159">
        <v>7831</v>
      </c>
      <c r="F159" s="107" t="s">
        <v>560</v>
      </c>
      <c r="G159" s="107" t="s">
        <v>362</v>
      </c>
      <c r="H159" s="107" t="s">
        <v>376</v>
      </c>
      <c r="I159" s="107">
        <v>38</v>
      </c>
      <c r="J159" s="107"/>
    </row>
    <row r="160" spans="1:10">
      <c r="A160" s="107" t="s">
        <v>561</v>
      </c>
      <c r="B160" s="107" t="s">
        <v>351</v>
      </c>
      <c r="C160" s="107" t="s">
        <v>363</v>
      </c>
      <c r="D160" s="107" t="s">
        <v>353</v>
      </c>
      <c r="E160">
        <v>2678</v>
      </c>
      <c r="F160" s="107" t="s">
        <v>562</v>
      </c>
      <c r="G160" s="107" t="s">
        <v>354</v>
      </c>
      <c r="H160" s="107" t="s">
        <v>364</v>
      </c>
      <c r="I160" s="107" t="s">
        <v>409</v>
      </c>
      <c r="J160" s="107" t="s">
        <v>1005</v>
      </c>
    </row>
    <row r="161" spans="1:10">
      <c r="A161" s="107" t="s">
        <v>561</v>
      </c>
      <c r="B161" s="107" t="s">
        <v>351</v>
      </c>
      <c r="C161" s="107" t="s">
        <v>363</v>
      </c>
      <c r="D161" s="107" t="s">
        <v>353</v>
      </c>
      <c r="E161">
        <v>3391</v>
      </c>
      <c r="F161" s="107" t="s">
        <v>563</v>
      </c>
      <c r="G161" s="107" t="s">
        <v>354</v>
      </c>
      <c r="H161" s="107" t="s">
        <v>364</v>
      </c>
      <c r="I161" s="107" t="s">
        <v>564</v>
      </c>
      <c r="J161" s="107" t="s">
        <v>965</v>
      </c>
    </row>
    <row r="162" spans="1:10">
      <c r="A162" s="107" t="s">
        <v>561</v>
      </c>
      <c r="B162" s="107" t="s">
        <v>351</v>
      </c>
      <c r="C162" s="107" t="s">
        <v>361</v>
      </c>
      <c r="D162" s="107" t="s">
        <v>357</v>
      </c>
      <c r="E162">
        <v>8956</v>
      </c>
      <c r="F162" s="107" t="s">
        <v>565</v>
      </c>
      <c r="G162" s="107" t="s">
        <v>441</v>
      </c>
      <c r="H162" s="107" t="s">
        <v>442</v>
      </c>
      <c r="I162" s="107" t="s">
        <v>377</v>
      </c>
      <c r="J162" s="107" t="s">
        <v>1040</v>
      </c>
    </row>
    <row r="163" spans="1:10">
      <c r="A163" s="107" t="s">
        <v>566</v>
      </c>
      <c r="B163" s="107" t="s">
        <v>351</v>
      </c>
      <c r="C163" s="107" t="s">
        <v>361</v>
      </c>
      <c r="D163" s="107" t="s">
        <v>353</v>
      </c>
      <c r="E163">
        <v>2315</v>
      </c>
      <c r="F163" s="107" t="s">
        <v>567</v>
      </c>
      <c r="G163" s="107" t="s">
        <v>358</v>
      </c>
      <c r="H163" s="107" t="s">
        <v>365</v>
      </c>
      <c r="I163" s="107">
        <v>97</v>
      </c>
      <c r="J163" s="107"/>
    </row>
    <row r="164" spans="1:10">
      <c r="A164" s="107" t="s">
        <v>568</v>
      </c>
      <c r="B164" s="107" t="s">
        <v>351</v>
      </c>
      <c r="C164" s="107" t="s">
        <v>361</v>
      </c>
      <c r="D164" s="107" t="s">
        <v>357</v>
      </c>
      <c r="E164">
        <v>3308</v>
      </c>
      <c r="F164" s="107" t="s">
        <v>569</v>
      </c>
      <c r="G164" s="107" t="s">
        <v>441</v>
      </c>
      <c r="H164" s="107" t="s">
        <v>442</v>
      </c>
      <c r="I164">
        <v>160</v>
      </c>
    </row>
    <row r="165" spans="1:10">
      <c r="A165" s="107" t="s">
        <v>1041</v>
      </c>
      <c r="B165" s="107" t="s">
        <v>351</v>
      </c>
      <c r="C165" s="107" t="s">
        <v>352</v>
      </c>
      <c r="D165" s="107" t="s">
        <v>353</v>
      </c>
      <c r="E165">
        <v>8227</v>
      </c>
      <c r="F165" s="107" t="s">
        <v>943</v>
      </c>
      <c r="G165" s="107" t="s">
        <v>354</v>
      </c>
      <c r="H165" s="107" t="s">
        <v>364</v>
      </c>
      <c r="I165" s="107" t="s">
        <v>594</v>
      </c>
      <c r="J165" s="107" t="s">
        <v>1042</v>
      </c>
    </row>
    <row r="166" spans="1:10">
      <c r="A166" s="107" t="s">
        <v>570</v>
      </c>
      <c r="B166" s="107" t="s">
        <v>378</v>
      </c>
      <c r="C166" s="107" t="s">
        <v>361</v>
      </c>
      <c r="D166" s="107" t="s">
        <v>353</v>
      </c>
      <c r="E166">
        <v>7965</v>
      </c>
      <c r="F166" s="107" t="s">
        <v>966</v>
      </c>
      <c r="G166" s="107" t="s">
        <v>354</v>
      </c>
      <c r="H166" s="107" t="s">
        <v>379</v>
      </c>
      <c r="I166" s="107" t="s">
        <v>409</v>
      </c>
      <c r="J166" s="107" t="s">
        <v>1043</v>
      </c>
    </row>
    <row r="167" spans="1:10">
      <c r="A167" s="107" t="s">
        <v>570</v>
      </c>
      <c r="B167" s="107" t="s">
        <v>351</v>
      </c>
      <c r="C167" s="107" t="s">
        <v>356</v>
      </c>
      <c r="D167" s="107" t="s">
        <v>353</v>
      </c>
      <c r="E167">
        <v>3035</v>
      </c>
      <c r="F167" s="107" t="s">
        <v>571</v>
      </c>
      <c r="G167" s="107" t="s">
        <v>358</v>
      </c>
      <c r="H167" s="107" t="s">
        <v>360</v>
      </c>
      <c r="I167" s="107">
        <v>21</v>
      </c>
      <c r="J167" s="107"/>
    </row>
    <row r="168" spans="1:10">
      <c r="A168" s="107" t="s">
        <v>570</v>
      </c>
      <c r="B168" s="107" t="s">
        <v>351</v>
      </c>
      <c r="C168" s="107" t="s">
        <v>352</v>
      </c>
      <c r="D168" s="107" t="s">
        <v>353</v>
      </c>
      <c r="E168">
        <v>7624</v>
      </c>
      <c r="F168" s="107" t="s">
        <v>572</v>
      </c>
      <c r="G168" s="107" t="s">
        <v>358</v>
      </c>
      <c r="H168" s="107" t="s">
        <v>360</v>
      </c>
      <c r="I168">
        <v>119</v>
      </c>
    </row>
    <row r="169" spans="1:10">
      <c r="A169" s="107" t="s">
        <v>573</v>
      </c>
      <c r="B169" s="107" t="s">
        <v>574</v>
      </c>
      <c r="C169" s="107" t="s">
        <v>361</v>
      </c>
      <c r="D169" s="107" t="s">
        <v>353</v>
      </c>
      <c r="E169">
        <v>6664</v>
      </c>
      <c r="F169" s="107" t="s">
        <v>575</v>
      </c>
      <c r="G169" s="107" t="s">
        <v>358</v>
      </c>
      <c r="H169" s="107" t="s">
        <v>379</v>
      </c>
      <c r="I169">
        <v>43</v>
      </c>
    </row>
    <row r="170" spans="1:10">
      <c r="A170" s="107" t="s">
        <v>573</v>
      </c>
      <c r="B170" s="107" t="s">
        <v>574</v>
      </c>
      <c r="C170" s="107" t="s">
        <v>352</v>
      </c>
      <c r="D170" s="107" t="s">
        <v>357</v>
      </c>
      <c r="E170">
        <v>7611</v>
      </c>
      <c r="F170" s="107" t="s">
        <v>576</v>
      </c>
      <c r="G170" s="107" t="s">
        <v>354</v>
      </c>
      <c r="H170" s="107" t="s">
        <v>364</v>
      </c>
      <c r="I170">
        <v>832</v>
      </c>
    </row>
    <row r="171" spans="1:10">
      <c r="A171" s="107" t="s">
        <v>573</v>
      </c>
      <c r="B171" s="107" t="s">
        <v>351</v>
      </c>
      <c r="C171" s="107" t="s">
        <v>352</v>
      </c>
      <c r="D171" s="107" t="s">
        <v>353</v>
      </c>
      <c r="E171">
        <v>6279</v>
      </c>
      <c r="F171" s="107" t="s">
        <v>577</v>
      </c>
      <c r="G171" s="107" t="s">
        <v>362</v>
      </c>
      <c r="H171" s="107" t="s">
        <v>375</v>
      </c>
      <c r="I171">
        <v>280</v>
      </c>
    </row>
    <row r="172" spans="1:10">
      <c r="A172" s="107" t="s">
        <v>573</v>
      </c>
      <c r="B172" s="107" t="s">
        <v>351</v>
      </c>
      <c r="C172" s="107" t="s">
        <v>363</v>
      </c>
      <c r="D172" s="107" t="s">
        <v>357</v>
      </c>
      <c r="E172">
        <v>7068</v>
      </c>
      <c r="F172" s="107" t="s">
        <v>578</v>
      </c>
      <c r="G172" s="107" t="s">
        <v>366</v>
      </c>
      <c r="H172" s="107" t="s">
        <v>359</v>
      </c>
      <c r="I172">
        <v>121</v>
      </c>
    </row>
    <row r="173" spans="1:10">
      <c r="A173" s="107" t="s">
        <v>573</v>
      </c>
      <c r="B173" s="107" t="s">
        <v>351</v>
      </c>
      <c r="C173" s="107" t="s">
        <v>363</v>
      </c>
      <c r="D173" s="107" t="s">
        <v>353</v>
      </c>
      <c r="E173">
        <v>7921</v>
      </c>
      <c r="F173" s="107" t="s">
        <v>1044</v>
      </c>
      <c r="G173" s="107" t="s">
        <v>354</v>
      </c>
      <c r="H173" s="107" t="s">
        <v>376</v>
      </c>
      <c r="I173">
        <v>217</v>
      </c>
    </row>
    <row r="174" spans="1:10">
      <c r="A174" s="107" t="s">
        <v>573</v>
      </c>
      <c r="B174" s="107" t="s">
        <v>351</v>
      </c>
      <c r="C174" s="107" t="s">
        <v>352</v>
      </c>
      <c r="D174" s="107" t="s">
        <v>353</v>
      </c>
      <c r="E174">
        <v>9982</v>
      </c>
      <c r="F174" s="107" t="s">
        <v>579</v>
      </c>
      <c r="G174" s="107" t="s">
        <v>354</v>
      </c>
      <c r="H174" s="107" t="s">
        <v>360</v>
      </c>
      <c r="I174">
        <v>184</v>
      </c>
    </row>
    <row r="175" spans="1:10">
      <c r="A175" s="107" t="s">
        <v>580</v>
      </c>
      <c r="B175" s="107" t="s">
        <v>351</v>
      </c>
      <c r="C175" s="107" t="s">
        <v>352</v>
      </c>
      <c r="D175" s="107" t="s">
        <v>353</v>
      </c>
      <c r="E175">
        <v>2186</v>
      </c>
      <c r="F175" s="107" t="s">
        <v>581</v>
      </c>
      <c r="G175" s="107" t="s">
        <v>358</v>
      </c>
      <c r="H175" s="107" t="s">
        <v>359</v>
      </c>
      <c r="I175" s="107">
        <v>95</v>
      </c>
      <c r="J175" s="107"/>
    </row>
    <row r="176" spans="1:10">
      <c r="A176" s="107" t="s">
        <v>580</v>
      </c>
      <c r="B176" s="107" t="s">
        <v>351</v>
      </c>
      <c r="C176" s="107" t="s">
        <v>352</v>
      </c>
      <c r="D176" s="107" t="s">
        <v>353</v>
      </c>
      <c r="E176">
        <v>2685</v>
      </c>
      <c r="F176" s="107" t="s">
        <v>582</v>
      </c>
      <c r="G176" s="107" t="s">
        <v>354</v>
      </c>
      <c r="H176" s="107" t="s">
        <v>364</v>
      </c>
      <c r="I176" s="107" t="s">
        <v>409</v>
      </c>
      <c r="J176" s="107" t="s">
        <v>1045</v>
      </c>
    </row>
    <row r="177" spans="1:10">
      <c r="A177" s="107" t="s">
        <v>580</v>
      </c>
      <c r="B177" s="107" t="s">
        <v>351</v>
      </c>
      <c r="C177" s="107" t="s">
        <v>352</v>
      </c>
      <c r="D177" s="107" t="s">
        <v>353</v>
      </c>
      <c r="E177">
        <v>3919</v>
      </c>
      <c r="F177" s="107" t="s">
        <v>583</v>
      </c>
      <c r="G177" s="107" t="s">
        <v>354</v>
      </c>
      <c r="H177" s="107" t="s">
        <v>365</v>
      </c>
      <c r="I177" s="107">
        <v>149</v>
      </c>
      <c r="J177" s="107"/>
    </row>
    <row r="178" spans="1:10">
      <c r="A178" s="107" t="s">
        <v>580</v>
      </c>
      <c r="B178" s="107" t="s">
        <v>351</v>
      </c>
      <c r="C178" s="107" t="s">
        <v>356</v>
      </c>
      <c r="D178" s="107" t="s">
        <v>353</v>
      </c>
      <c r="E178">
        <v>7514</v>
      </c>
      <c r="F178" s="107" t="s">
        <v>968</v>
      </c>
      <c r="G178" s="107" t="s">
        <v>354</v>
      </c>
      <c r="H178" s="107" t="s">
        <v>364</v>
      </c>
      <c r="I178">
        <v>103</v>
      </c>
    </row>
    <row r="179" spans="1:10">
      <c r="A179" s="107" t="s">
        <v>580</v>
      </c>
      <c r="B179" s="107" t="s">
        <v>351</v>
      </c>
      <c r="C179" s="107" t="s">
        <v>363</v>
      </c>
      <c r="D179" s="107" t="s">
        <v>353</v>
      </c>
      <c r="E179">
        <v>9651</v>
      </c>
      <c r="F179" s="107" t="s">
        <v>584</v>
      </c>
      <c r="G179" s="107" t="s">
        <v>358</v>
      </c>
      <c r="H179" s="107" t="s">
        <v>365</v>
      </c>
      <c r="I179">
        <v>92</v>
      </c>
    </row>
    <row r="180" spans="1:10">
      <c r="A180" s="107" t="s">
        <v>585</v>
      </c>
      <c r="B180" s="107" t="s">
        <v>351</v>
      </c>
      <c r="C180" s="107" t="s">
        <v>352</v>
      </c>
      <c r="D180" s="107" t="s">
        <v>353</v>
      </c>
      <c r="E180">
        <v>1712</v>
      </c>
      <c r="F180" s="107" t="s">
        <v>586</v>
      </c>
      <c r="G180" s="107" t="s">
        <v>354</v>
      </c>
      <c r="H180" s="107" t="s">
        <v>388</v>
      </c>
      <c r="I180" s="107">
        <v>168</v>
      </c>
      <c r="J180" s="107"/>
    </row>
    <row r="181" spans="1:10">
      <c r="A181" s="107" t="s">
        <v>585</v>
      </c>
      <c r="B181" s="107" t="s">
        <v>351</v>
      </c>
      <c r="C181" s="107" t="s">
        <v>352</v>
      </c>
      <c r="D181" s="107" t="s">
        <v>353</v>
      </c>
      <c r="E181">
        <v>9793</v>
      </c>
      <c r="F181" s="107" t="s">
        <v>587</v>
      </c>
      <c r="G181" s="107" t="s">
        <v>354</v>
      </c>
      <c r="H181" s="107" t="s">
        <v>359</v>
      </c>
      <c r="I181" s="107" t="s">
        <v>409</v>
      </c>
      <c r="J181" s="107" t="s">
        <v>1046</v>
      </c>
    </row>
    <row r="182" spans="1:10">
      <c r="A182" s="107" t="s">
        <v>588</v>
      </c>
      <c r="B182" s="107" t="s">
        <v>351</v>
      </c>
      <c r="C182" s="107" t="s">
        <v>363</v>
      </c>
      <c r="D182" s="107" t="s">
        <v>353</v>
      </c>
      <c r="E182">
        <v>2792</v>
      </c>
      <c r="F182" s="107" t="s">
        <v>589</v>
      </c>
      <c r="G182" s="107" t="s">
        <v>354</v>
      </c>
      <c r="H182" s="107" t="s">
        <v>364</v>
      </c>
      <c r="I182" s="107">
        <v>395</v>
      </c>
      <c r="J182" s="107"/>
    </row>
    <row r="183" spans="1:10">
      <c r="A183" s="107" t="s">
        <v>590</v>
      </c>
      <c r="B183" s="107" t="s">
        <v>351</v>
      </c>
      <c r="C183" s="107" t="s">
        <v>352</v>
      </c>
      <c r="D183" s="107" t="s">
        <v>353</v>
      </c>
      <c r="E183">
        <v>4714</v>
      </c>
      <c r="F183" s="107" t="s">
        <v>591</v>
      </c>
      <c r="G183" s="107" t="s">
        <v>354</v>
      </c>
      <c r="H183" s="107" t="s">
        <v>359</v>
      </c>
      <c r="I183">
        <v>636</v>
      </c>
    </row>
    <row r="184" spans="1:10">
      <c r="A184" s="107" t="s">
        <v>592</v>
      </c>
      <c r="B184" s="107" t="s">
        <v>351</v>
      </c>
      <c r="C184" s="107" t="s">
        <v>361</v>
      </c>
      <c r="D184" s="107" t="s">
        <v>353</v>
      </c>
      <c r="E184">
        <v>2809</v>
      </c>
      <c r="F184" s="107" t="s">
        <v>593</v>
      </c>
      <c r="G184" s="107" t="s">
        <v>354</v>
      </c>
      <c r="H184" s="107" t="s">
        <v>355</v>
      </c>
      <c r="I184" s="107" t="s">
        <v>594</v>
      </c>
      <c r="J184" s="107" t="s">
        <v>1047</v>
      </c>
    </row>
    <row r="185" spans="1:10">
      <c r="A185" s="107" t="s">
        <v>592</v>
      </c>
      <c r="B185" s="107" t="s">
        <v>351</v>
      </c>
      <c r="C185" s="107" t="s">
        <v>356</v>
      </c>
      <c r="D185" s="107" t="s">
        <v>353</v>
      </c>
      <c r="E185">
        <v>2927</v>
      </c>
      <c r="F185" s="107" t="s">
        <v>595</v>
      </c>
      <c r="G185" s="107" t="s">
        <v>358</v>
      </c>
      <c r="H185" s="107" t="s">
        <v>355</v>
      </c>
      <c r="I185" s="107">
        <v>94</v>
      </c>
      <c r="J185" s="107"/>
    </row>
    <row r="186" spans="1:10">
      <c r="A186" s="107" t="s">
        <v>592</v>
      </c>
      <c r="B186" s="107" t="s">
        <v>351</v>
      </c>
      <c r="C186" s="107" t="s">
        <v>352</v>
      </c>
      <c r="D186" s="107" t="s">
        <v>353</v>
      </c>
      <c r="E186">
        <v>3396</v>
      </c>
      <c r="F186" s="107" t="s">
        <v>596</v>
      </c>
      <c r="G186" s="107" t="s">
        <v>354</v>
      </c>
      <c r="H186" s="107" t="s">
        <v>364</v>
      </c>
      <c r="I186" s="107">
        <v>103</v>
      </c>
      <c r="J186" s="107"/>
    </row>
    <row r="187" spans="1:10">
      <c r="A187" s="107" t="s">
        <v>592</v>
      </c>
      <c r="B187" s="107" t="s">
        <v>351</v>
      </c>
      <c r="C187" s="107" t="s">
        <v>363</v>
      </c>
      <c r="D187" s="107" t="s">
        <v>353</v>
      </c>
      <c r="E187">
        <v>8908</v>
      </c>
      <c r="F187" s="107" t="s">
        <v>597</v>
      </c>
      <c r="G187" s="107" t="s">
        <v>354</v>
      </c>
      <c r="H187" s="107" t="s">
        <v>380</v>
      </c>
      <c r="I187" s="107">
        <v>151</v>
      </c>
      <c r="J187" s="107"/>
    </row>
    <row r="188" spans="1:10">
      <c r="A188" s="107" t="s">
        <v>592</v>
      </c>
      <c r="B188" s="107" t="s">
        <v>351</v>
      </c>
      <c r="C188" s="107" t="s">
        <v>356</v>
      </c>
      <c r="D188" s="107" t="s">
        <v>353</v>
      </c>
      <c r="E188">
        <v>9983</v>
      </c>
      <c r="F188" s="107" t="s">
        <v>598</v>
      </c>
      <c r="G188" s="107" t="s">
        <v>354</v>
      </c>
      <c r="H188" s="107" t="s">
        <v>364</v>
      </c>
      <c r="I188" s="107" t="s">
        <v>1048</v>
      </c>
      <c r="J188" s="107" t="s">
        <v>1049</v>
      </c>
    </row>
    <row r="189" spans="1:10">
      <c r="A189" s="107" t="s">
        <v>599</v>
      </c>
      <c r="B189" s="107" t="s">
        <v>574</v>
      </c>
      <c r="C189" s="107" t="s">
        <v>352</v>
      </c>
      <c r="D189" s="107" t="s">
        <v>353</v>
      </c>
      <c r="E189">
        <v>3093</v>
      </c>
      <c r="F189" s="107" t="s">
        <v>1050</v>
      </c>
      <c r="G189" s="107" t="s">
        <v>354</v>
      </c>
      <c r="H189" s="107" t="s">
        <v>364</v>
      </c>
      <c r="I189" s="107">
        <v>131</v>
      </c>
      <c r="J189" s="107"/>
    </row>
    <row r="190" spans="1:10">
      <c r="A190" s="107" t="s">
        <v>599</v>
      </c>
      <c r="B190" s="107" t="s">
        <v>574</v>
      </c>
      <c r="C190" s="107" t="s">
        <v>363</v>
      </c>
      <c r="D190" s="107" t="s">
        <v>353</v>
      </c>
      <c r="E190">
        <v>6567</v>
      </c>
      <c r="F190" s="107" t="s">
        <v>600</v>
      </c>
      <c r="G190" s="107" t="s">
        <v>366</v>
      </c>
      <c r="H190" s="107" t="s">
        <v>359</v>
      </c>
      <c r="I190">
        <v>22</v>
      </c>
    </row>
    <row r="191" spans="1:10">
      <c r="A191" s="107" t="s">
        <v>599</v>
      </c>
      <c r="B191" s="107" t="s">
        <v>351</v>
      </c>
      <c r="C191" s="107" t="s">
        <v>352</v>
      </c>
      <c r="D191" s="107" t="s">
        <v>353</v>
      </c>
      <c r="E191">
        <v>2337</v>
      </c>
      <c r="F191" s="107" t="s">
        <v>1051</v>
      </c>
      <c r="G191" s="107" t="s">
        <v>354</v>
      </c>
      <c r="H191" s="107" t="s">
        <v>380</v>
      </c>
      <c r="I191" s="107" t="s">
        <v>377</v>
      </c>
      <c r="J191" s="107" t="s">
        <v>1052</v>
      </c>
    </row>
    <row r="192" spans="1:10">
      <c r="A192" s="107" t="s">
        <v>599</v>
      </c>
      <c r="B192" s="107" t="s">
        <v>351</v>
      </c>
      <c r="C192" s="107" t="s">
        <v>352</v>
      </c>
      <c r="D192" s="107" t="s">
        <v>353</v>
      </c>
      <c r="E192">
        <v>2338</v>
      </c>
      <c r="F192" s="107" t="s">
        <v>601</v>
      </c>
      <c r="G192" s="107" t="s">
        <v>362</v>
      </c>
      <c r="H192" s="107" t="s">
        <v>365</v>
      </c>
      <c r="I192" s="107">
        <v>26</v>
      </c>
      <c r="J192" s="107"/>
    </row>
    <row r="193" spans="1:10">
      <c r="A193" s="107" t="s">
        <v>599</v>
      </c>
      <c r="B193" s="107" t="s">
        <v>351</v>
      </c>
      <c r="C193" s="107" t="s">
        <v>352</v>
      </c>
      <c r="D193" s="107" t="s">
        <v>353</v>
      </c>
      <c r="E193">
        <v>2651</v>
      </c>
      <c r="F193" s="107" t="s">
        <v>602</v>
      </c>
      <c r="G193" s="107" t="s">
        <v>354</v>
      </c>
      <c r="H193" s="107" t="s">
        <v>364</v>
      </c>
      <c r="I193" s="107" t="s">
        <v>564</v>
      </c>
      <c r="J193" s="107" t="s">
        <v>970</v>
      </c>
    </row>
    <row r="194" spans="1:10">
      <c r="A194" s="107" t="s">
        <v>599</v>
      </c>
      <c r="B194" s="107" t="s">
        <v>351</v>
      </c>
      <c r="C194" s="107" t="s">
        <v>352</v>
      </c>
      <c r="D194" s="107" t="s">
        <v>357</v>
      </c>
      <c r="E194">
        <v>2706</v>
      </c>
      <c r="F194" s="107" t="s">
        <v>603</v>
      </c>
      <c r="G194" s="107" t="s">
        <v>358</v>
      </c>
      <c r="H194" s="107" t="s">
        <v>376</v>
      </c>
      <c r="I194" s="107">
        <v>117</v>
      </c>
      <c r="J194" s="107"/>
    </row>
    <row r="195" spans="1:10">
      <c r="A195" s="107" t="s">
        <v>599</v>
      </c>
      <c r="B195" s="107" t="s">
        <v>351</v>
      </c>
      <c r="C195" s="107" t="s">
        <v>363</v>
      </c>
      <c r="D195" s="107" t="s">
        <v>353</v>
      </c>
      <c r="E195">
        <v>3349</v>
      </c>
      <c r="F195" s="107" t="s">
        <v>1053</v>
      </c>
      <c r="G195" s="107" t="s">
        <v>354</v>
      </c>
      <c r="H195" s="107" t="s">
        <v>364</v>
      </c>
      <c r="I195" s="107" t="s">
        <v>505</v>
      </c>
      <c r="J195" s="107" t="s">
        <v>1054</v>
      </c>
    </row>
    <row r="196" spans="1:10">
      <c r="A196" s="107" t="s">
        <v>599</v>
      </c>
      <c r="B196" s="107" t="s">
        <v>351</v>
      </c>
      <c r="C196" s="107" t="s">
        <v>352</v>
      </c>
      <c r="D196" s="107" t="s">
        <v>353</v>
      </c>
      <c r="E196">
        <v>3546</v>
      </c>
      <c r="F196" s="107" t="s">
        <v>604</v>
      </c>
      <c r="G196" s="107" t="s">
        <v>354</v>
      </c>
      <c r="H196" s="107" t="s">
        <v>364</v>
      </c>
      <c r="I196" s="107">
        <v>266</v>
      </c>
      <c r="J196" s="107"/>
    </row>
    <row r="197" spans="1:10">
      <c r="A197" s="107" t="s">
        <v>599</v>
      </c>
      <c r="B197" s="107" t="s">
        <v>351</v>
      </c>
      <c r="C197" s="107" t="s">
        <v>352</v>
      </c>
      <c r="D197" s="107" t="s">
        <v>353</v>
      </c>
      <c r="E197">
        <v>3922</v>
      </c>
      <c r="F197" s="107" t="s">
        <v>605</v>
      </c>
      <c r="G197" s="107" t="s">
        <v>354</v>
      </c>
      <c r="H197" s="107" t="s">
        <v>365</v>
      </c>
      <c r="I197">
        <v>157</v>
      </c>
    </row>
    <row r="198" spans="1:10">
      <c r="A198" s="107" t="s">
        <v>599</v>
      </c>
      <c r="B198" s="107" t="s">
        <v>351</v>
      </c>
      <c r="C198" s="107" t="s">
        <v>352</v>
      </c>
      <c r="D198" s="107" t="s">
        <v>353</v>
      </c>
      <c r="E198">
        <v>4530</v>
      </c>
      <c r="F198" s="107" t="s">
        <v>1055</v>
      </c>
      <c r="G198" s="107" t="s">
        <v>354</v>
      </c>
      <c r="H198" s="107" t="s">
        <v>476</v>
      </c>
      <c r="I198" s="107" t="s">
        <v>505</v>
      </c>
      <c r="J198" s="107" t="s">
        <v>1056</v>
      </c>
    </row>
    <row r="199" spans="1:10">
      <c r="A199" s="107" t="s">
        <v>599</v>
      </c>
      <c r="B199" s="107" t="s">
        <v>351</v>
      </c>
      <c r="C199" s="107" t="s">
        <v>363</v>
      </c>
      <c r="D199" s="107" t="s">
        <v>353</v>
      </c>
      <c r="E199">
        <v>4829</v>
      </c>
      <c r="F199" s="107" t="s">
        <v>606</v>
      </c>
      <c r="G199" s="107" t="s">
        <v>354</v>
      </c>
      <c r="H199" s="107" t="s">
        <v>365</v>
      </c>
      <c r="I199" s="107">
        <v>92</v>
      </c>
      <c r="J199" s="107"/>
    </row>
    <row r="200" spans="1:10">
      <c r="A200" s="107" t="s">
        <v>599</v>
      </c>
      <c r="B200" s="107" t="s">
        <v>351</v>
      </c>
      <c r="C200" s="107" t="s">
        <v>352</v>
      </c>
      <c r="D200" s="107" t="s">
        <v>353</v>
      </c>
      <c r="E200">
        <v>6058</v>
      </c>
      <c r="F200" s="107" t="s">
        <v>607</v>
      </c>
      <c r="G200" s="107" t="s">
        <v>354</v>
      </c>
      <c r="H200" s="107" t="s">
        <v>359</v>
      </c>
      <c r="I200">
        <v>551</v>
      </c>
    </row>
    <row r="201" spans="1:10">
      <c r="A201" s="107" t="s">
        <v>599</v>
      </c>
      <c r="B201" s="107" t="s">
        <v>351</v>
      </c>
      <c r="C201" s="107" t="s">
        <v>361</v>
      </c>
      <c r="D201" s="107" t="s">
        <v>353</v>
      </c>
      <c r="E201">
        <v>6492</v>
      </c>
      <c r="F201" s="107" t="s">
        <v>608</v>
      </c>
      <c r="G201" s="107" t="s">
        <v>362</v>
      </c>
      <c r="H201" s="107" t="s">
        <v>375</v>
      </c>
      <c r="I201" s="107">
        <v>35</v>
      </c>
      <c r="J201" s="107"/>
    </row>
    <row r="202" spans="1:10">
      <c r="A202" s="107" t="s">
        <v>599</v>
      </c>
      <c r="B202" s="107" t="s">
        <v>351</v>
      </c>
      <c r="C202" s="107" t="s">
        <v>352</v>
      </c>
      <c r="D202" s="107" t="s">
        <v>357</v>
      </c>
      <c r="E202">
        <v>6532</v>
      </c>
      <c r="F202" s="107" t="s">
        <v>609</v>
      </c>
      <c r="G202" s="107" t="s">
        <v>354</v>
      </c>
      <c r="H202" s="107" t="s">
        <v>359</v>
      </c>
      <c r="I202">
        <v>914</v>
      </c>
    </row>
    <row r="203" spans="1:10">
      <c r="A203" s="107" t="s">
        <v>599</v>
      </c>
      <c r="B203" s="107" t="s">
        <v>351</v>
      </c>
      <c r="C203" s="107" t="s">
        <v>363</v>
      </c>
      <c r="D203" s="107" t="s">
        <v>353</v>
      </c>
      <c r="E203">
        <v>7420</v>
      </c>
      <c r="F203" s="107" t="s">
        <v>1057</v>
      </c>
      <c r="G203" s="107" t="s">
        <v>354</v>
      </c>
      <c r="H203" s="107" t="s">
        <v>360</v>
      </c>
      <c r="I203">
        <v>165</v>
      </c>
    </row>
    <row r="204" spans="1:10">
      <c r="A204" s="107" t="s">
        <v>599</v>
      </c>
      <c r="B204" s="107" t="s">
        <v>351</v>
      </c>
      <c r="C204" s="107" t="s">
        <v>352</v>
      </c>
      <c r="D204" s="107" t="s">
        <v>353</v>
      </c>
      <c r="E204">
        <v>7453</v>
      </c>
      <c r="F204" s="107" t="s">
        <v>1058</v>
      </c>
      <c r="G204" s="107" t="s">
        <v>354</v>
      </c>
      <c r="H204" s="107" t="s">
        <v>364</v>
      </c>
      <c r="I204" s="107" t="s">
        <v>564</v>
      </c>
      <c r="J204" s="107" t="s">
        <v>1059</v>
      </c>
    </row>
    <row r="205" spans="1:10">
      <c r="A205" s="107" t="s">
        <v>599</v>
      </c>
      <c r="B205" s="107" t="s">
        <v>351</v>
      </c>
      <c r="C205" s="107" t="s">
        <v>363</v>
      </c>
      <c r="D205" s="107" t="s">
        <v>353</v>
      </c>
      <c r="E205">
        <v>7713</v>
      </c>
      <c r="F205" s="107" t="s">
        <v>1060</v>
      </c>
      <c r="G205" s="107" t="s">
        <v>358</v>
      </c>
      <c r="H205" s="107" t="s">
        <v>621</v>
      </c>
      <c r="I205" s="107">
        <v>139</v>
      </c>
      <c r="J205" s="107"/>
    </row>
    <row r="206" spans="1:10">
      <c r="A206" s="107" t="s">
        <v>599</v>
      </c>
      <c r="B206" s="107" t="s">
        <v>351</v>
      </c>
      <c r="C206" s="107" t="s">
        <v>361</v>
      </c>
      <c r="D206" s="107" t="s">
        <v>353</v>
      </c>
      <c r="E206">
        <v>8923</v>
      </c>
      <c r="F206" s="107" t="s">
        <v>610</v>
      </c>
      <c r="G206" s="107" t="s">
        <v>354</v>
      </c>
      <c r="H206" s="107" t="s">
        <v>380</v>
      </c>
      <c r="I206" s="107">
        <v>704</v>
      </c>
      <c r="J206" s="107"/>
    </row>
    <row r="207" spans="1:10">
      <c r="A207" s="107" t="s">
        <v>599</v>
      </c>
      <c r="B207" s="107" t="s">
        <v>351</v>
      </c>
      <c r="C207" s="107" t="s">
        <v>352</v>
      </c>
      <c r="D207" s="107" t="s">
        <v>353</v>
      </c>
      <c r="E207">
        <v>9381</v>
      </c>
      <c r="F207" s="107" t="s">
        <v>1061</v>
      </c>
      <c r="G207" s="107" t="s">
        <v>354</v>
      </c>
      <c r="H207" s="107" t="s">
        <v>871</v>
      </c>
      <c r="I207">
        <v>227</v>
      </c>
    </row>
    <row r="208" spans="1:10">
      <c r="A208" s="107" t="s">
        <v>611</v>
      </c>
      <c r="B208" s="107" t="s">
        <v>1062</v>
      </c>
      <c r="C208" s="107" t="s">
        <v>352</v>
      </c>
      <c r="D208" s="107" t="s">
        <v>357</v>
      </c>
      <c r="E208">
        <v>3415</v>
      </c>
      <c r="F208" s="107" t="s">
        <v>1063</v>
      </c>
      <c r="G208" s="107" t="s">
        <v>354</v>
      </c>
      <c r="H208" s="107" t="s">
        <v>364</v>
      </c>
      <c r="I208" s="107">
        <v>339</v>
      </c>
      <c r="J208" s="107"/>
    </row>
    <row r="209" spans="1:10">
      <c r="A209" s="107" t="s">
        <v>611</v>
      </c>
      <c r="B209" s="107" t="s">
        <v>351</v>
      </c>
      <c r="C209" s="107" t="s">
        <v>361</v>
      </c>
      <c r="D209" s="107" t="s">
        <v>353</v>
      </c>
      <c r="E209">
        <v>2471</v>
      </c>
      <c r="F209" s="107" t="s">
        <v>612</v>
      </c>
      <c r="G209" s="107" t="s">
        <v>354</v>
      </c>
      <c r="H209" s="107" t="s">
        <v>359</v>
      </c>
      <c r="I209" s="107">
        <v>576</v>
      </c>
      <c r="J209" s="107"/>
    </row>
    <row r="210" spans="1:10">
      <c r="A210" s="107" t="s">
        <v>611</v>
      </c>
      <c r="B210" s="107" t="s">
        <v>351</v>
      </c>
      <c r="C210" s="107" t="s">
        <v>352</v>
      </c>
      <c r="D210" s="107" t="s">
        <v>357</v>
      </c>
      <c r="E210">
        <v>2930</v>
      </c>
      <c r="F210" s="107" t="s">
        <v>613</v>
      </c>
      <c r="G210" s="107" t="s">
        <v>354</v>
      </c>
      <c r="H210" s="107" t="s">
        <v>355</v>
      </c>
      <c r="I210" s="107" t="s">
        <v>409</v>
      </c>
      <c r="J210" s="107" t="s">
        <v>1064</v>
      </c>
    </row>
    <row r="211" spans="1:10">
      <c r="A211" s="107" t="s">
        <v>611</v>
      </c>
      <c r="B211" s="107" t="s">
        <v>351</v>
      </c>
      <c r="C211" s="107" t="s">
        <v>352</v>
      </c>
      <c r="D211" s="107" t="s">
        <v>357</v>
      </c>
      <c r="E211">
        <v>3030</v>
      </c>
      <c r="F211" s="107" t="s">
        <v>614</v>
      </c>
      <c r="G211" s="107" t="s">
        <v>354</v>
      </c>
      <c r="H211" s="107" t="s">
        <v>364</v>
      </c>
      <c r="I211" s="107">
        <v>116</v>
      </c>
      <c r="J211" s="107"/>
    </row>
    <row r="212" spans="1:10">
      <c r="A212" s="107" t="s">
        <v>611</v>
      </c>
      <c r="B212" s="107" t="s">
        <v>351</v>
      </c>
      <c r="C212" s="107" t="s">
        <v>352</v>
      </c>
      <c r="D212" s="107" t="s">
        <v>353</v>
      </c>
      <c r="E212">
        <v>3479</v>
      </c>
      <c r="F212" s="107" t="s">
        <v>615</v>
      </c>
      <c r="G212" s="107" t="s">
        <v>366</v>
      </c>
      <c r="H212" s="107" t="s">
        <v>380</v>
      </c>
      <c r="I212" s="107" t="s">
        <v>409</v>
      </c>
      <c r="J212" s="107" t="s">
        <v>1065</v>
      </c>
    </row>
    <row r="213" spans="1:10">
      <c r="A213" s="107" t="s">
        <v>611</v>
      </c>
      <c r="B213" s="107" t="s">
        <v>351</v>
      </c>
      <c r="C213" s="107" t="s">
        <v>352</v>
      </c>
      <c r="D213" s="107" t="s">
        <v>353</v>
      </c>
      <c r="E213">
        <v>3562</v>
      </c>
      <c r="F213" s="107" t="s">
        <v>616</v>
      </c>
      <c r="G213" s="107" t="s">
        <v>358</v>
      </c>
      <c r="H213" s="107" t="s">
        <v>360</v>
      </c>
      <c r="I213" s="107">
        <v>38</v>
      </c>
      <c r="J213" s="107"/>
    </row>
    <row r="214" spans="1:10">
      <c r="A214" s="107" t="s">
        <v>611</v>
      </c>
      <c r="B214" s="107" t="s">
        <v>351</v>
      </c>
      <c r="C214" s="107" t="s">
        <v>352</v>
      </c>
      <c r="D214" s="107" t="s">
        <v>353</v>
      </c>
      <c r="E214">
        <v>3678</v>
      </c>
      <c r="F214" s="107" t="s">
        <v>617</v>
      </c>
      <c r="G214" s="107" t="s">
        <v>354</v>
      </c>
      <c r="H214" s="107" t="s">
        <v>365</v>
      </c>
      <c r="I214">
        <v>541</v>
      </c>
    </row>
    <row r="215" spans="1:10">
      <c r="A215" s="107" t="s">
        <v>611</v>
      </c>
      <c r="B215" s="107" t="s">
        <v>351</v>
      </c>
      <c r="C215" s="107" t="s">
        <v>356</v>
      </c>
      <c r="D215" s="107" t="s">
        <v>353</v>
      </c>
      <c r="E215">
        <v>4668</v>
      </c>
      <c r="F215" s="107" t="s">
        <v>618</v>
      </c>
      <c r="G215" s="107" t="s">
        <v>354</v>
      </c>
      <c r="H215" s="107" t="s">
        <v>359</v>
      </c>
      <c r="I215" s="107">
        <v>286</v>
      </c>
      <c r="J215" s="107"/>
    </row>
    <row r="216" spans="1:10">
      <c r="A216" s="107" t="s">
        <v>611</v>
      </c>
      <c r="B216" s="107" t="s">
        <v>351</v>
      </c>
      <c r="C216" s="107" t="s">
        <v>352</v>
      </c>
      <c r="D216" s="107" t="s">
        <v>353</v>
      </c>
      <c r="E216">
        <v>6814</v>
      </c>
      <c r="F216" s="107" t="s">
        <v>619</v>
      </c>
      <c r="G216" s="107" t="s">
        <v>354</v>
      </c>
      <c r="H216" s="107" t="s">
        <v>379</v>
      </c>
      <c r="I216" s="107">
        <v>420</v>
      </c>
      <c r="J216" s="107"/>
    </row>
    <row r="217" spans="1:10">
      <c r="A217" s="107" t="s">
        <v>611</v>
      </c>
      <c r="B217" s="107" t="s">
        <v>351</v>
      </c>
      <c r="C217" s="107" t="s">
        <v>352</v>
      </c>
      <c r="D217" s="107" t="s">
        <v>353</v>
      </c>
      <c r="E217">
        <v>7719</v>
      </c>
      <c r="F217" s="107" t="s">
        <v>620</v>
      </c>
      <c r="G217" s="107" t="s">
        <v>362</v>
      </c>
      <c r="H217" s="107" t="s">
        <v>621</v>
      </c>
      <c r="I217">
        <v>18</v>
      </c>
    </row>
    <row r="218" spans="1:10">
      <c r="A218" s="107" t="s">
        <v>611</v>
      </c>
      <c r="B218" s="107" t="s">
        <v>351</v>
      </c>
      <c r="C218" s="107" t="s">
        <v>352</v>
      </c>
      <c r="D218" s="107" t="s">
        <v>353</v>
      </c>
      <c r="E218">
        <v>9602</v>
      </c>
      <c r="F218" s="107" t="s">
        <v>622</v>
      </c>
      <c r="G218" s="107" t="s">
        <v>354</v>
      </c>
      <c r="H218" s="107" t="s">
        <v>365</v>
      </c>
      <c r="I218" s="107" t="s">
        <v>623</v>
      </c>
      <c r="J218" s="107" t="s">
        <v>1000</v>
      </c>
    </row>
    <row r="219" spans="1:10">
      <c r="A219" s="107" t="s">
        <v>611</v>
      </c>
      <c r="B219" s="107" t="s">
        <v>351</v>
      </c>
      <c r="C219" s="107" t="s">
        <v>352</v>
      </c>
      <c r="D219" s="107" t="s">
        <v>353</v>
      </c>
      <c r="E219">
        <v>9945</v>
      </c>
      <c r="F219" s="107" t="s">
        <v>1066</v>
      </c>
      <c r="G219" s="107" t="s">
        <v>354</v>
      </c>
      <c r="H219" s="107" t="s">
        <v>364</v>
      </c>
      <c r="I219" s="107">
        <v>854</v>
      </c>
      <c r="J219" s="107"/>
    </row>
    <row r="220" spans="1:10">
      <c r="A220" s="107" t="s">
        <v>624</v>
      </c>
      <c r="B220" s="107" t="s">
        <v>351</v>
      </c>
      <c r="C220" s="107" t="s">
        <v>361</v>
      </c>
      <c r="D220" s="107" t="s">
        <v>353</v>
      </c>
      <c r="E220">
        <v>3907</v>
      </c>
      <c r="F220" s="107" t="s">
        <v>625</v>
      </c>
      <c r="G220" s="107" t="s">
        <v>366</v>
      </c>
      <c r="H220" s="107" t="s">
        <v>365</v>
      </c>
      <c r="I220">
        <v>52</v>
      </c>
    </row>
    <row r="221" spans="1:10">
      <c r="A221" s="107" t="s">
        <v>624</v>
      </c>
      <c r="B221" s="107" t="s">
        <v>351</v>
      </c>
      <c r="C221" s="107" t="s">
        <v>352</v>
      </c>
      <c r="D221" s="107" t="s">
        <v>353</v>
      </c>
      <c r="E221">
        <v>6578</v>
      </c>
      <c r="F221" s="107" t="s">
        <v>626</v>
      </c>
      <c r="G221" s="107" t="s">
        <v>362</v>
      </c>
      <c r="H221" s="107" t="s">
        <v>359</v>
      </c>
      <c r="I221">
        <v>28</v>
      </c>
    </row>
    <row r="222" spans="1:10">
      <c r="A222" s="107" t="s">
        <v>624</v>
      </c>
      <c r="B222" s="107" t="s">
        <v>351</v>
      </c>
      <c r="C222" s="107" t="s">
        <v>352</v>
      </c>
      <c r="D222" s="107" t="s">
        <v>357</v>
      </c>
      <c r="E222">
        <v>7610</v>
      </c>
      <c r="F222" s="107" t="s">
        <v>627</v>
      </c>
      <c r="G222" s="107" t="s">
        <v>358</v>
      </c>
      <c r="H222" s="107" t="s">
        <v>364</v>
      </c>
      <c r="I222">
        <v>24</v>
      </c>
    </row>
    <row r="223" spans="1:10">
      <c r="A223" s="107" t="s">
        <v>628</v>
      </c>
      <c r="B223" s="107" t="s">
        <v>351</v>
      </c>
      <c r="C223" s="107" t="s">
        <v>361</v>
      </c>
      <c r="D223" s="107" t="s">
        <v>357</v>
      </c>
      <c r="E223">
        <v>3279</v>
      </c>
      <c r="F223" s="107" t="s">
        <v>629</v>
      </c>
      <c r="G223" s="107" t="s">
        <v>441</v>
      </c>
      <c r="H223" s="107" t="s">
        <v>442</v>
      </c>
      <c r="I223" s="107" t="s">
        <v>505</v>
      </c>
      <c r="J223" s="107" t="s">
        <v>1067</v>
      </c>
    </row>
    <row r="224" spans="1:10">
      <c r="A224" s="107" t="s">
        <v>628</v>
      </c>
      <c r="B224" s="107" t="s">
        <v>351</v>
      </c>
      <c r="C224" s="107" t="s">
        <v>361</v>
      </c>
      <c r="D224" s="107" t="s">
        <v>353</v>
      </c>
      <c r="E224">
        <v>6634</v>
      </c>
      <c r="F224" s="107" t="s">
        <v>630</v>
      </c>
      <c r="G224" s="107" t="s">
        <v>358</v>
      </c>
      <c r="H224" s="107" t="s">
        <v>379</v>
      </c>
      <c r="I224" s="107">
        <v>31</v>
      </c>
      <c r="J224" s="107"/>
    </row>
    <row r="225" spans="1:10">
      <c r="A225" s="107" t="s">
        <v>628</v>
      </c>
      <c r="B225" s="107" t="s">
        <v>351</v>
      </c>
      <c r="C225" s="107" t="s">
        <v>361</v>
      </c>
      <c r="D225" s="107" t="s">
        <v>357</v>
      </c>
      <c r="E225">
        <v>7501</v>
      </c>
      <c r="F225" s="107" t="s">
        <v>631</v>
      </c>
      <c r="G225" s="107" t="s">
        <v>358</v>
      </c>
      <c r="H225" s="107" t="s">
        <v>360</v>
      </c>
      <c r="I225">
        <v>19</v>
      </c>
    </row>
    <row r="226" spans="1:10">
      <c r="A226" s="107" t="s">
        <v>632</v>
      </c>
      <c r="B226" s="107" t="s">
        <v>351</v>
      </c>
      <c r="C226" s="107" t="s">
        <v>352</v>
      </c>
      <c r="D226" s="107" t="s">
        <v>353</v>
      </c>
      <c r="E226">
        <v>6146</v>
      </c>
      <c r="F226" s="107" t="s">
        <v>633</v>
      </c>
      <c r="G226" s="107" t="s">
        <v>354</v>
      </c>
      <c r="H226" s="107" t="s">
        <v>375</v>
      </c>
      <c r="I226" s="107" t="s">
        <v>623</v>
      </c>
      <c r="J226" s="107" t="s">
        <v>1068</v>
      </c>
    </row>
    <row r="227" spans="1:10">
      <c r="A227" s="107" t="s">
        <v>632</v>
      </c>
      <c r="B227" s="107" t="s">
        <v>351</v>
      </c>
      <c r="C227" s="107" t="s">
        <v>361</v>
      </c>
      <c r="D227" s="107" t="s">
        <v>357</v>
      </c>
      <c r="E227">
        <v>8977</v>
      </c>
      <c r="F227" s="107" t="s">
        <v>1069</v>
      </c>
      <c r="G227" s="107" t="s">
        <v>441</v>
      </c>
      <c r="H227" s="107" t="s">
        <v>442</v>
      </c>
      <c r="I227" s="107" t="s">
        <v>409</v>
      </c>
      <c r="J227" s="107" t="s">
        <v>1070</v>
      </c>
    </row>
    <row r="228" spans="1:10">
      <c r="A228" s="107" t="s">
        <v>634</v>
      </c>
      <c r="B228" s="107" t="s">
        <v>351</v>
      </c>
      <c r="C228" s="107" t="s">
        <v>352</v>
      </c>
      <c r="D228" s="107" t="s">
        <v>353</v>
      </c>
      <c r="E228">
        <v>9433</v>
      </c>
      <c r="F228" s="107" t="s">
        <v>635</v>
      </c>
      <c r="G228" s="107" t="s">
        <v>354</v>
      </c>
      <c r="H228" s="107" t="s">
        <v>365</v>
      </c>
      <c r="I228" s="107" t="s">
        <v>636</v>
      </c>
      <c r="J228" s="107" t="s">
        <v>1071</v>
      </c>
    </row>
    <row r="229" spans="1:10">
      <c r="A229" s="107" t="s">
        <v>637</v>
      </c>
      <c r="B229" s="107" t="s">
        <v>574</v>
      </c>
      <c r="C229" s="107" t="s">
        <v>352</v>
      </c>
      <c r="D229" s="107" t="s">
        <v>357</v>
      </c>
      <c r="E229">
        <v>4973</v>
      </c>
      <c r="F229" s="107" t="s">
        <v>638</v>
      </c>
      <c r="G229" s="107" t="s">
        <v>354</v>
      </c>
      <c r="H229" s="107" t="s">
        <v>367</v>
      </c>
      <c r="I229" s="107">
        <v>165</v>
      </c>
      <c r="J229" s="107"/>
    </row>
    <row r="230" spans="1:10">
      <c r="A230" s="107" t="s">
        <v>639</v>
      </c>
      <c r="B230" s="107" t="s">
        <v>351</v>
      </c>
      <c r="C230" s="107" t="s">
        <v>352</v>
      </c>
      <c r="D230" s="107" t="s">
        <v>353</v>
      </c>
      <c r="E230">
        <v>4462</v>
      </c>
      <c r="F230" s="107" t="s">
        <v>640</v>
      </c>
      <c r="G230" s="107" t="s">
        <v>354</v>
      </c>
      <c r="H230" s="107" t="s">
        <v>367</v>
      </c>
      <c r="I230">
        <v>155</v>
      </c>
    </row>
    <row r="231" spans="1:10">
      <c r="A231" s="107" t="s">
        <v>641</v>
      </c>
      <c r="B231" s="107" t="s">
        <v>351</v>
      </c>
      <c r="C231" s="107" t="s">
        <v>352</v>
      </c>
      <c r="D231" s="107" t="s">
        <v>353</v>
      </c>
      <c r="E231">
        <v>9039</v>
      </c>
      <c r="F231" s="107" t="s">
        <v>642</v>
      </c>
      <c r="G231" s="107" t="s">
        <v>354</v>
      </c>
      <c r="H231" s="107" t="s">
        <v>643</v>
      </c>
      <c r="I231" s="107" t="s">
        <v>409</v>
      </c>
      <c r="J231" s="107" t="s">
        <v>1072</v>
      </c>
    </row>
    <row r="232" spans="1:10">
      <c r="A232" s="107" t="s">
        <v>644</v>
      </c>
      <c r="B232" s="107" t="s">
        <v>1073</v>
      </c>
      <c r="C232" s="107" t="s">
        <v>352</v>
      </c>
      <c r="D232" s="107" t="s">
        <v>353</v>
      </c>
      <c r="E232">
        <v>6470</v>
      </c>
      <c r="F232" s="107" t="s">
        <v>1074</v>
      </c>
      <c r="G232" s="107" t="s">
        <v>354</v>
      </c>
      <c r="H232" s="107" t="s">
        <v>375</v>
      </c>
      <c r="I232" s="107">
        <v>249</v>
      </c>
      <c r="J232" s="107"/>
    </row>
    <row r="233" spans="1:10">
      <c r="A233" s="107" t="s">
        <v>644</v>
      </c>
      <c r="B233" s="107" t="s">
        <v>574</v>
      </c>
      <c r="C233" s="107" t="s">
        <v>352</v>
      </c>
      <c r="D233" s="107" t="s">
        <v>353</v>
      </c>
      <c r="E233">
        <v>2802</v>
      </c>
      <c r="F233" s="107" t="s">
        <v>1075</v>
      </c>
      <c r="G233" s="107" t="s">
        <v>354</v>
      </c>
      <c r="H233" s="107" t="s">
        <v>355</v>
      </c>
      <c r="I233" s="107" t="s">
        <v>646</v>
      </c>
      <c r="J233" s="107" t="s">
        <v>1076</v>
      </c>
    </row>
    <row r="234" spans="1:10">
      <c r="A234" s="107" t="s">
        <v>644</v>
      </c>
      <c r="B234" s="107" t="s">
        <v>351</v>
      </c>
      <c r="C234" s="107" t="s">
        <v>352</v>
      </c>
      <c r="D234" s="107" t="s">
        <v>353</v>
      </c>
      <c r="E234">
        <v>1878</v>
      </c>
      <c r="F234" s="107" t="s">
        <v>645</v>
      </c>
      <c r="G234" s="107" t="s">
        <v>354</v>
      </c>
      <c r="H234" s="107" t="s">
        <v>388</v>
      </c>
      <c r="I234" s="107" t="s">
        <v>646</v>
      </c>
      <c r="J234" s="107" t="s">
        <v>1004</v>
      </c>
    </row>
    <row r="235" spans="1:10">
      <c r="A235" s="107" t="s">
        <v>644</v>
      </c>
      <c r="B235" s="107" t="s">
        <v>351</v>
      </c>
      <c r="C235" s="107" t="s">
        <v>352</v>
      </c>
      <c r="D235" s="107" t="s">
        <v>353</v>
      </c>
      <c r="E235">
        <v>2127</v>
      </c>
      <c r="F235" s="107" t="s">
        <v>973</v>
      </c>
      <c r="G235" s="107" t="s">
        <v>354</v>
      </c>
      <c r="H235" s="107" t="s">
        <v>359</v>
      </c>
      <c r="I235" s="107" t="s">
        <v>564</v>
      </c>
      <c r="J235" s="107" t="s">
        <v>1077</v>
      </c>
    </row>
    <row r="236" spans="1:10">
      <c r="A236" s="107" t="s">
        <v>644</v>
      </c>
      <c r="B236" s="107" t="s">
        <v>351</v>
      </c>
      <c r="C236" s="107" t="s">
        <v>352</v>
      </c>
      <c r="D236" s="107" t="s">
        <v>353</v>
      </c>
      <c r="E236">
        <v>2412</v>
      </c>
      <c r="F236" s="107" t="s">
        <v>974</v>
      </c>
      <c r="G236" s="107" t="s">
        <v>354</v>
      </c>
      <c r="H236" s="107" t="s">
        <v>359</v>
      </c>
      <c r="I236" s="107" t="s">
        <v>594</v>
      </c>
      <c r="J236" s="107" t="s">
        <v>1078</v>
      </c>
    </row>
    <row r="237" spans="1:10">
      <c r="A237" s="107" t="s">
        <v>644</v>
      </c>
      <c r="B237" s="107" t="s">
        <v>351</v>
      </c>
      <c r="C237" s="107" t="s">
        <v>352</v>
      </c>
      <c r="D237" s="107" t="s">
        <v>353</v>
      </c>
      <c r="E237">
        <v>2737</v>
      </c>
      <c r="F237" s="107" t="s">
        <v>647</v>
      </c>
      <c r="G237" s="107" t="s">
        <v>354</v>
      </c>
      <c r="H237" s="107" t="s">
        <v>360</v>
      </c>
      <c r="I237" s="107">
        <v>193</v>
      </c>
      <c r="J237" s="107"/>
    </row>
    <row r="238" spans="1:10">
      <c r="A238" s="107" t="s">
        <v>644</v>
      </c>
      <c r="B238" s="107" t="s">
        <v>351</v>
      </c>
      <c r="C238" s="107" t="s">
        <v>361</v>
      </c>
      <c r="D238" s="107" t="s">
        <v>353</v>
      </c>
      <c r="E238">
        <v>3003</v>
      </c>
      <c r="F238" s="107" t="s">
        <v>1079</v>
      </c>
      <c r="G238" s="107" t="s">
        <v>354</v>
      </c>
      <c r="H238" s="107" t="s">
        <v>380</v>
      </c>
      <c r="I238" s="107" t="s">
        <v>623</v>
      </c>
      <c r="J238" s="107" t="s">
        <v>971</v>
      </c>
    </row>
    <row r="239" spans="1:10">
      <c r="A239" s="107" t="s">
        <v>644</v>
      </c>
      <c r="B239" s="107" t="s">
        <v>351</v>
      </c>
      <c r="C239" s="107" t="s">
        <v>352</v>
      </c>
      <c r="D239" s="107" t="s">
        <v>353</v>
      </c>
      <c r="E239">
        <v>3167</v>
      </c>
      <c r="F239" s="107" t="s">
        <v>1080</v>
      </c>
      <c r="G239" s="107" t="s">
        <v>354</v>
      </c>
      <c r="H239" s="107" t="s">
        <v>360</v>
      </c>
      <c r="I239" s="107" t="s">
        <v>409</v>
      </c>
      <c r="J239" s="107" t="s">
        <v>1081</v>
      </c>
    </row>
    <row r="240" spans="1:10">
      <c r="A240" s="107" t="s">
        <v>644</v>
      </c>
      <c r="B240" s="107" t="s">
        <v>351</v>
      </c>
      <c r="C240" s="107" t="s">
        <v>352</v>
      </c>
      <c r="D240" s="107" t="s">
        <v>353</v>
      </c>
      <c r="E240">
        <v>3388</v>
      </c>
      <c r="F240" s="107" t="s">
        <v>1082</v>
      </c>
      <c r="G240" s="107" t="s">
        <v>354</v>
      </c>
      <c r="H240" s="107" t="s">
        <v>360</v>
      </c>
      <c r="I240" s="107">
        <v>190</v>
      </c>
      <c r="J240" s="107"/>
    </row>
    <row r="241" spans="1:10">
      <c r="A241" s="107" t="s">
        <v>644</v>
      </c>
      <c r="B241" s="107" t="s">
        <v>351</v>
      </c>
      <c r="C241" s="107" t="s">
        <v>352</v>
      </c>
      <c r="D241" s="107" t="s">
        <v>353</v>
      </c>
      <c r="E241">
        <v>3640</v>
      </c>
      <c r="F241" s="107" t="s">
        <v>1083</v>
      </c>
      <c r="G241" s="107" t="s">
        <v>354</v>
      </c>
      <c r="H241" s="107" t="s">
        <v>365</v>
      </c>
      <c r="I241" s="107">
        <v>128</v>
      </c>
      <c r="J241" s="107"/>
    </row>
    <row r="242" spans="1:10">
      <c r="A242" s="107" t="s">
        <v>644</v>
      </c>
      <c r="B242" s="107" t="s">
        <v>351</v>
      </c>
      <c r="C242" s="107" t="s">
        <v>352</v>
      </c>
      <c r="D242" s="107" t="s">
        <v>353</v>
      </c>
      <c r="E242">
        <v>8771</v>
      </c>
      <c r="F242" s="107" t="s">
        <v>648</v>
      </c>
      <c r="G242" s="107" t="s">
        <v>354</v>
      </c>
      <c r="H242" s="107" t="s">
        <v>426</v>
      </c>
      <c r="I242" s="107">
        <v>601</v>
      </c>
      <c r="J242" s="107"/>
    </row>
    <row r="243" spans="1:10">
      <c r="A243" s="107" t="s">
        <v>644</v>
      </c>
      <c r="B243" s="107" t="s">
        <v>351</v>
      </c>
      <c r="C243" s="107" t="s">
        <v>352</v>
      </c>
      <c r="D243" s="107" t="s">
        <v>353</v>
      </c>
      <c r="E243">
        <v>9020</v>
      </c>
      <c r="F243" s="107" t="s">
        <v>1084</v>
      </c>
      <c r="G243" s="107" t="s">
        <v>354</v>
      </c>
      <c r="H243" s="107" t="s">
        <v>643</v>
      </c>
      <c r="I243" s="107" t="s">
        <v>1085</v>
      </c>
      <c r="J243" s="107" t="s">
        <v>1086</v>
      </c>
    </row>
    <row r="244" spans="1:10">
      <c r="A244" s="107" t="s">
        <v>644</v>
      </c>
      <c r="B244" s="107" t="s">
        <v>351</v>
      </c>
      <c r="C244" s="107" t="s">
        <v>352</v>
      </c>
      <c r="D244" s="107" t="s">
        <v>353</v>
      </c>
      <c r="E244">
        <v>9037</v>
      </c>
      <c r="F244" s="107" t="s">
        <v>649</v>
      </c>
      <c r="G244" s="107" t="s">
        <v>354</v>
      </c>
      <c r="H244" s="107" t="s">
        <v>643</v>
      </c>
      <c r="I244" s="107">
        <v>671</v>
      </c>
      <c r="J244" s="107"/>
    </row>
    <row r="245" spans="1:10">
      <c r="A245" s="107" t="s">
        <v>644</v>
      </c>
      <c r="B245" s="107" t="s">
        <v>351</v>
      </c>
      <c r="C245" s="107" t="s">
        <v>352</v>
      </c>
      <c r="D245" s="107" t="s">
        <v>353</v>
      </c>
      <c r="E245">
        <v>9995</v>
      </c>
      <c r="F245" s="107" t="s">
        <v>650</v>
      </c>
      <c r="G245" s="107" t="s">
        <v>354</v>
      </c>
      <c r="H245" s="107" t="s">
        <v>360</v>
      </c>
      <c r="I245" s="107">
        <v>119</v>
      </c>
      <c r="J245" s="107"/>
    </row>
    <row r="246" spans="1:10">
      <c r="A246" s="107" t="s">
        <v>651</v>
      </c>
      <c r="B246" s="107" t="s">
        <v>574</v>
      </c>
      <c r="C246" s="107" t="s">
        <v>352</v>
      </c>
      <c r="D246" s="107" t="s">
        <v>353</v>
      </c>
      <c r="E246">
        <v>3433</v>
      </c>
      <c r="F246" s="107" t="s">
        <v>1087</v>
      </c>
      <c r="G246" s="107" t="s">
        <v>354</v>
      </c>
      <c r="H246" s="107" t="s">
        <v>369</v>
      </c>
      <c r="I246" s="107">
        <v>684</v>
      </c>
      <c r="J246" s="107"/>
    </row>
    <row r="247" spans="1:10">
      <c r="A247" s="107" t="s">
        <v>651</v>
      </c>
      <c r="B247" s="107" t="s">
        <v>351</v>
      </c>
      <c r="C247" s="107" t="s">
        <v>352</v>
      </c>
      <c r="D247" s="107" t="s">
        <v>353</v>
      </c>
      <c r="E247">
        <v>2175</v>
      </c>
      <c r="F247" s="107" t="s">
        <v>975</v>
      </c>
      <c r="G247" s="107" t="s">
        <v>354</v>
      </c>
      <c r="H247" s="107" t="s">
        <v>359</v>
      </c>
      <c r="I247" s="107" t="s">
        <v>377</v>
      </c>
      <c r="J247" s="107" t="s">
        <v>1088</v>
      </c>
    </row>
    <row r="248" spans="1:10">
      <c r="A248" s="107" t="s">
        <v>651</v>
      </c>
      <c r="B248" s="107" t="s">
        <v>351</v>
      </c>
      <c r="C248" s="107" t="s">
        <v>352</v>
      </c>
      <c r="D248" s="107" t="s">
        <v>353</v>
      </c>
      <c r="E248">
        <v>2220</v>
      </c>
      <c r="F248" s="107" t="s">
        <v>976</v>
      </c>
      <c r="G248" s="107" t="s">
        <v>354</v>
      </c>
      <c r="H248" s="107" t="s">
        <v>355</v>
      </c>
      <c r="I248" s="107" t="s">
        <v>409</v>
      </c>
      <c r="J248" s="107" t="s">
        <v>1089</v>
      </c>
    </row>
    <row r="249" spans="1:10">
      <c r="A249" s="107" t="s">
        <v>651</v>
      </c>
      <c r="B249" s="107" t="s">
        <v>351</v>
      </c>
      <c r="C249" s="107" t="s">
        <v>352</v>
      </c>
      <c r="D249" s="107" t="s">
        <v>353</v>
      </c>
      <c r="E249">
        <v>2331</v>
      </c>
      <c r="F249" s="107" t="s">
        <v>977</v>
      </c>
      <c r="G249" s="107" t="s">
        <v>354</v>
      </c>
      <c r="H249" s="107" t="s">
        <v>359</v>
      </c>
      <c r="I249" s="107" t="s">
        <v>371</v>
      </c>
      <c r="J249" s="107" t="s">
        <v>1090</v>
      </c>
    </row>
    <row r="250" spans="1:10">
      <c r="A250" s="107" t="s">
        <v>651</v>
      </c>
      <c r="B250" s="107" t="s">
        <v>351</v>
      </c>
      <c r="C250" s="107" t="s">
        <v>352</v>
      </c>
      <c r="D250" s="107" t="s">
        <v>353</v>
      </c>
      <c r="E250">
        <v>2497</v>
      </c>
      <c r="F250" s="107" t="s">
        <v>1091</v>
      </c>
      <c r="G250" s="107" t="s">
        <v>366</v>
      </c>
      <c r="H250" s="107" t="s">
        <v>359</v>
      </c>
      <c r="I250" s="107">
        <v>347</v>
      </c>
      <c r="J250" s="107"/>
    </row>
    <row r="251" spans="1:10">
      <c r="A251" s="107" t="s">
        <v>651</v>
      </c>
      <c r="B251" s="107" t="s">
        <v>351</v>
      </c>
      <c r="C251" s="107" t="s">
        <v>352</v>
      </c>
      <c r="D251" s="107" t="s">
        <v>353</v>
      </c>
      <c r="E251">
        <v>2715</v>
      </c>
      <c r="F251" s="107" t="s">
        <v>652</v>
      </c>
      <c r="G251" s="107" t="s">
        <v>354</v>
      </c>
      <c r="H251" s="107" t="s">
        <v>360</v>
      </c>
      <c r="I251">
        <v>452</v>
      </c>
    </row>
    <row r="252" spans="1:10">
      <c r="A252" s="107" t="s">
        <v>651</v>
      </c>
      <c r="B252" s="107" t="s">
        <v>351</v>
      </c>
      <c r="C252" s="107" t="s">
        <v>352</v>
      </c>
      <c r="D252" s="107" t="s">
        <v>357</v>
      </c>
      <c r="E252">
        <v>2892</v>
      </c>
      <c r="F252" s="107" t="s">
        <v>653</v>
      </c>
      <c r="G252" s="107" t="s">
        <v>362</v>
      </c>
      <c r="H252" s="107" t="s">
        <v>355</v>
      </c>
      <c r="I252">
        <v>85</v>
      </c>
    </row>
    <row r="253" spans="1:10">
      <c r="A253" s="107" t="s">
        <v>651</v>
      </c>
      <c r="B253" s="107" t="s">
        <v>351</v>
      </c>
      <c r="C253" s="107" t="s">
        <v>352</v>
      </c>
      <c r="D253" s="107" t="s">
        <v>353</v>
      </c>
      <c r="E253">
        <v>3023</v>
      </c>
      <c r="F253" s="107" t="s">
        <v>654</v>
      </c>
      <c r="G253" s="107" t="s">
        <v>354</v>
      </c>
      <c r="H253" s="107" t="s">
        <v>360</v>
      </c>
      <c r="I253" s="107">
        <v>114</v>
      </c>
      <c r="J253" s="107"/>
    </row>
    <row r="254" spans="1:10">
      <c r="A254" s="107" t="s">
        <v>651</v>
      </c>
      <c r="B254" s="107" t="s">
        <v>351</v>
      </c>
      <c r="C254" s="107" t="s">
        <v>352</v>
      </c>
      <c r="D254" s="107" t="s">
        <v>353</v>
      </c>
      <c r="E254">
        <v>3092</v>
      </c>
      <c r="F254" s="107" t="s">
        <v>1092</v>
      </c>
      <c r="G254" s="107" t="s">
        <v>354</v>
      </c>
      <c r="H254" s="107" t="s">
        <v>364</v>
      </c>
      <c r="I254" s="107" t="s">
        <v>564</v>
      </c>
      <c r="J254" s="107" t="s">
        <v>1093</v>
      </c>
    </row>
    <row r="255" spans="1:10">
      <c r="A255" s="107" t="s">
        <v>651</v>
      </c>
      <c r="B255" s="107" t="s">
        <v>351</v>
      </c>
      <c r="C255" s="107" t="s">
        <v>352</v>
      </c>
      <c r="D255" s="107" t="s">
        <v>353</v>
      </c>
      <c r="E255">
        <v>3098</v>
      </c>
      <c r="F255" s="107" t="s">
        <v>1094</v>
      </c>
      <c r="G255" s="107" t="s">
        <v>354</v>
      </c>
      <c r="H255" s="107" t="s">
        <v>364</v>
      </c>
      <c r="I255" s="107" t="s">
        <v>409</v>
      </c>
      <c r="J255" s="107" t="s">
        <v>1095</v>
      </c>
    </row>
    <row r="256" spans="1:10">
      <c r="A256" s="107" t="s">
        <v>651</v>
      </c>
      <c r="B256" s="107" t="s">
        <v>351</v>
      </c>
      <c r="C256" s="107" t="s">
        <v>352</v>
      </c>
      <c r="D256" s="107" t="s">
        <v>357</v>
      </c>
      <c r="E256">
        <v>3137</v>
      </c>
      <c r="F256" s="107" t="s">
        <v>1096</v>
      </c>
      <c r="G256" s="107" t="s">
        <v>366</v>
      </c>
      <c r="H256" s="107" t="s">
        <v>364</v>
      </c>
      <c r="I256" s="107">
        <v>74</v>
      </c>
      <c r="J256" s="107"/>
    </row>
    <row r="257" spans="1:10">
      <c r="A257" s="107" t="s">
        <v>651</v>
      </c>
      <c r="B257" s="107" t="s">
        <v>351</v>
      </c>
      <c r="C257" s="107" t="s">
        <v>352</v>
      </c>
      <c r="D257" s="107" t="s">
        <v>353</v>
      </c>
      <c r="E257">
        <v>3513</v>
      </c>
      <c r="F257" s="107" t="s">
        <v>1097</v>
      </c>
      <c r="G257" s="107" t="s">
        <v>354</v>
      </c>
      <c r="H257" s="107" t="s">
        <v>420</v>
      </c>
      <c r="I257">
        <v>73</v>
      </c>
    </row>
    <row r="258" spans="1:10">
      <c r="A258" s="107" t="s">
        <v>651</v>
      </c>
      <c r="B258" s="107" t="s">
        <v>351</v>
      </c>
      <c r="C258" s="107" t="s">
        <v>352</v>
      </c>
      <c r="D258" s="107" t="s">
        <v>353</v>
      </c>
      <c r="E258">
        <v>3591</v>
      </c>
      <c r="F258" s="107" t="s">
        <v>1098</v>
      </c>
      <c r="G258" s="107" t="s">
        <v>354</v>
      </c>
      <c r="H258" s="107" t="s">
        <v>420</v>
      </c>
      <c r="I258" s="107" t="s">
        <v>377</v>
      </c>
      <c r="J258" s="107" t="s">
        <v>1099</v>
      </c>
    </row>
    <row r="259" spans="1:10">
      <c r="A259" s="107" t="s">
        <v>651</v>
      </c>
      <c r="B259" s="107" t="s">
        <v>351</v>
      </c>
      <c r="C259" s="107" t="s">
        <v>352</v>
      </c>
      <c r="D259" s="107" t="s">
        <v>353</v>
      </c>
      <c r="E259">
        <v>3666</v>
      </c>
      <c r="F259" s="107" t="s">
        <v>1100</v>
      </c>
      <c r="G259" s="107" t="s">
        <v>354</v>
      </c>
      <c r="H259" s="107" t="s">
        <v>365</v>
      </c>
      <c r="I259" s="107">
        <v>105</v>
      </c>
      <c r="J259" s="107"/>
    </row>
    <row r="260" spans="1:10">
      <c r="A260" s="107" t="s">
        <v>651</v>
      </c>
      <c r="B260" s="107" t="s">
        <v>351</v>
      </c>
      <c r="C260" s="107" t="s">
        <v>352</v>
      </c>
      <c r="D260" s="107" t="s">
        <v>353</v>
      </c>
      <c r="E260">
        <v>3762</v>
      </c>
      <c r="F260" s="107" t="s">
        <v>655</v>
      </c>
      <c r="G260" s="107" t="s">
        <v>354</v>
      </c>
      <c r="H260" s="107" t="s">
        <v>365</v>
      </c>
      <c r="I260" s="107">
        <v>530</v>
      </c>
      <c r="J260" s="107"/>
    </row>
    <row r="261" spans="1:10">
      <c r="A261" s="107" t="s">
        <v>651</v>
      </c>
      <c r="B261" s="107" t="s">
        <v>351</v>
      </c>
      <c r="C261" s="107" t="s">
        <v>352</v>
      </c>
      <c r="D261" s="107" t="s">
        <v>357</v>
      </c>
      <c r="E261">
        <v>3841</v>
      </c>
      <c r="F261" s="107" t="s">
        <v>656</v>
      </c>
      <c r="G261" s="107" t="s">
        <v>358</v>
      </c>
      <c r="H261" s="107" t="s">
        <v>365</v>
      </c>
      <c r="I261" s="107">
        <v>22</v>
      </c>
      <c r="J261" s="107"/>
    </row>
    <row r="262" spans="1:10">
      <c r="A262" s="107" t="s">
        <v>651</v>
      </c>
      <c r="B262" s="107" t="s">
        <v>351</v>
      </c>
      <c r="C262" s="107" t="s">
        <v>352</v>
      </c>
      <c r="D262" s="107" t="s">
        <v>353</v>
      </c>
      <c r="E262">
        <v>4310</v>
      </c>
      <c r="F262" s="107" t="s">
        <v>657</v>
      </c>
      <c r="G262" s="107" t="s">
        <v>354</v>
      </c>
      <c r="H262" s="107" t="s">
        <v>359</v>
      </c>
      <c r="I262" s="107">
        <v>173</v>
      </c>
      <c r="J262" s="107"/>
    </row>
    <row r="263" spans="1:10">
      <c r="A263" s="107" t="s">
        <v>651</v>
      </c>
      <c r="B263" s="107" t="s">
        <v>351</v>
      </c>
      <c r="C263" s="107" t="s">
        <v>352</v>
      </c>
      <c r="D263" s="107" t="s">
        <v>353</v>
      </c>
      <c r="E263">
        <v>4368</v>
      </c>
      <c r="F263" s="107" t="s">
        <v>658</v>
      </c>
      <c r="G263" s="107" t="s">
        <v>354</v>
      </c>
      <c r="H263" s="107" t="s">
        <v>367</v>
      </c>
      <c r="I263" s="107" t="s">
        <v>409</v>
      </c>
      <c r="J263" s="107" t="s">
        <v>1101</v>
      </c>
    </row>
    <row r="264" spans="1:10">
      <c r="A264" s="107" t="s">
        <v>651</v>
      </c>
      <c r="B264" s="107" t="s">
        <v>351</v>
      </c>
      <c r="C264" s="107" t="s">
        <v>352</v>
      </c>
      <c r="D264" s="107" t="s">
        <v>353</v>
      </c>
      <c r="E264">
        <v>4816</v>
      </c>
      <c r="F264" s="107" t="s">
        <v>1102</v>
      </c>
      <c r="G264" s="107" t="s">
        <v>358</v>
      </c>
      <c r="H264" s="107" t="s">
        <v>365</v>
      </c>
      <c r="I264" s="107" t="s">
        <v>377</v>
      </c>
      <c r="J264" s="107" t="s">
        <v>982</v>
      </c>
    </row>
    <row r="265" spans="1:10">
      <c r="A265" s="107" t="s">
        <v>651</v>
      </c>
      <c r="B265" s="107" t="s">
        <v>351</v>
      </c>
      <c r="C265" s="107" t="s">
        <v>352</v>
      </c>
      <c r="D265" s="107" t="s">
        <v>353</v>
      </c>
      <c r="E265">
        <v>5332</v>
      </c>
      <c r="F265" s="107" t="s">
        <v>1103</v>
      </c>
      <c r="G265" s="107" t="s">
        <v>354</v>
      </c>
      <c r="H265" s="107" t="s">
        <v>462</v>
      </c>
      <c r="I265" s="107" t="s">
        <v>623</v>
      </c>
      <c r="J265" s="107" t="s">
        <v>1007</v>
      </c>
    </row>
    <row r="266" spans="1:10">
      <c r="A266" s="107" t="s">
        <v>651</v>
      </c>
      <c r="B266" s="107" t="s">
        <v>351</v>
      </c>
      <c r="C266" s="107" t="s">
        <v>352</v>
      </c>
      <c r="D266" s="107" t="s">
        <v>353</v>
      </c>
      <c r="E266">
        <v>5727</v>
      </c>
      <c r="F266" s="107" t="s">
        <v>659</v>
      </c>
      <c r="G266" s="107" t="s">
        <v>354</v>
      </c>
      <c r="H266" s="107" t="s">
        <v>660</v>
      </c>
      <c r="I266" s="107">
        <v>682</v>
      </c>
      <c r="J266" s="107"/>
    </row>
    <row r="267" spans="1:10">
      <c r="A267" s="107" t="s">
        <v>651</v>
      </c>
      <c r="B267" s="107" t="s">
        <v>351</v>
      </c>
      <c r="C267" s="107" t="s">
        <v>363</v>
      </c>
      <c r="D267" s="107" t="s">
        <v>353</v>
      </c>
      <c r="E267">
        <v>6028</v>
      </c>
      <c r="F267" s="107" t="s">
        <v>978</v>
      </c>
      <c r="G267" s="107" t="s">
        <v>354</v>
      </c>
      <c r="H267" s="107" t="s">
        <v>359</v>
      </c>
      <c r="I267" s="107" t="s">
        <v>377</v>
      </c>
      <c r="J267" s="107" t="s">
        <v>1104</v>
      </c>
    </row>
    <row r="268" spans="1:10">
      <c r="A268" s="107" t="s">
        <v>651</v>
      </c>
      <c r="B268" s="107" t="s">
        <v>351</v>
      </c>
      <c r="C268" s="107" t="s">
        <v>352</v>
      </c>
      <c r="D268" s="107" t="s">
        <v>353</v>
      </c>
      <c r="E268">
        <v>6322</v>
      </c>
      <c r="F268" s="107" t="s">
        <v>661</v>
      </c>
      <c r="G268" s="107" t="s">
        <v>362</v>
      </c>
      <c r="H268" s="107" t="s">
        <v>375</v>
      </c>
      <c r="I268" s="107">
        <v>127</v>
      </c>
      <c r="J268" s="107"/>
    </row>
    <row r="269" spans="1:10">
      <c r="A269" s="107" t="s">
        <v>651</v>
      </c>
      <c r="B269" s="107" t="s">
        <v>351</v>
      </c>
      <c r="C269" s="107" t="s">
        <v>352</v>
      </c>
      <c r="D269" s="107" t="s">
        <v>353</v>
      </c>
      <c r="E269">
        <v>6659</v>
      </c>
      <c r="F269" s="107" t="s">
        <v>662</v>
      </c>
      <c r="G269" s="107" t="s">
        <v>358</v>
      </c>
      <c r="H269" s="107" t="s">
        <v>379</v>
      </c>
      <c r="I269">
        <v>18</v>
      </c>
    </row>
    <row r="270" spans="1:10">
      <c r="A270" s="107" t="s">
        <v>651</v>
      </c>
      <c r="B270" s="107" t="s">
        <v>351</v>
      </c>
      <c r="C270" s="107" t="s">
        <v>352</v>
      </c>
      <c r="D270" s="107" t="s">
        <v>353</v>
      </c>
      <c r="E270">
        <v>6925</v>
      </c>
      <c r="F270" s="107" t="s">
        <v>663</v>
      </c>
      <c r="G270" s="107" t="s">
        <v>354</v>
      </c>
      <c r="H270" s="107" t="s">
        <v>379</v>
      </c>
      <c r="I270" s="107" t="s">
        <v>377</v>
      </c>
      <c r="J270" s="107" t="s">
        <v>1105</v>
      </c>
    </row>
    <row r="271" spans="1:10">
      <c r="A271" s="107" t="s">
        <v>651</v>
      </c>
      <c r="B271" s="107" t="s">
        <v>351</v>
      </c>
      <c r="C271" s="107" t="s">
        <v>352</v>
      </c>
      <c r="D271" s="107" t="s">
        <v>353</v>
      </c>
      <c r="E271">
        <v>7282</v>
      </c>
      <c r="F271" s="107" t="s">
        <v>664</v>
      </c>
      <c r="G271" s="107" t="s">
        <v>354</v>
      </c>
      <c r="H271" s="107" t="s">
        <v>405</v>
      </c>
      <c r="I271" s="107" t="s">
        <v>594</v>
      </c>
      <c r="J271" s="107" t="s">
        <v>1106</v>
      </c>
    </row>
    <row r="272" spans="1:10">
      <c r="A272" s="107" t="s">
        <v>651</v>
      </c>
      <c r="B272" s="107" t="s">
        <v>351</v>
      </c>
      <c r="C272" s="107" t="s">
        <v>352</v>
      </c>
      <c r="D272" s="107" t="s">
        <v>353</v>
      </c>
      <c r="E272">
        <v>7510</v>
      </c>
      <c r="F272" s="107" t="s">
        <v>665</v>
      </c>
      <c r="G272" s="107" t="s">
        <v>354</v>
      </c>
      <c r="H272" s="107" t="s">
        <v>360</v>
      </c>
      <c r="I272" s="107">
        <v>212</v>
      </c>
      <c r="J272" s="107"/>
    </row>
    <row r="273" spans="1:10">
      <c r="A273" s="107" t="s">
        <v>651</v>
      </c>
      <c r="B273" s="107" t="s">
        <v>351</v>
      </c>
      <c r="C273" s="107" t="s">
        <v>352</v>
      </c>
      <c r="D273" s="107" t="s">
        <v>353</v>
      </c>
      <c r="E273">
        <v>7600</v>
      </c>
      <c r="F273" s="107" t="s">
        <v>666</v>
      </c>
      <c r="G273" s="107" t="s">
        <v>354</v>
      </c>
      <c r="H273" s="107" t="s">
        <v>621</v>
      </c>
      <c r="I273" s="107">
        <v>616</v>
      </c>
      <c r="J273" s="107"/>
    </row>
    <row r="274" spans="1:10">
      <c r="A274" s="107" t="s">
        <v>651</v>
      </c>
      <c r="B274" s="107" t="s">
        <v>351</v>
      </c>
      <c r="C274" s="107" t="s">
        <v>352</v>
      </c>
      <c r="D274" s="107" t="s">
        <v>353</v>
      </c>
      <c r="E274">
        <v>7838</v>
      </c>
      <c r="F274" s="107" t="s">
        <v>667</v>
      </c>
      <c r="G274" s="107" t="s">
        <v>354</v>
      </c>
      <c r="H274" s="107" t="s">
        <v>376</v>
      </c>
      <c r="I274">
        <v>79</v>
      </c>
    </row>
    <row r="275" spans="1:10">
      <c r="A275" s="107" t="s">
        <v>651</v>
      </c>
      <c r="B275" s="107" t="s">
        <v>351</v>
      </c>
      <c r="C275" s="107" t="s">
        <v>352</v>
      </c>
      <c r="D275" s="107" t="s">
        <v>353</v>
      </c>
      <c r="E275">
        <v>7925</v>
      </c>
      <c r="F275" s="107" t="s">
        <v>668</v>
      </c>
      <c r="G275" s="107" t="s">
        <v>354</v>
      </c>
      <c r="H275" s="107" t="s">
        <v>367</v>
      </c>
      <c r="I275" s="107">
        <v>187</v>
      </c>
      <c r="J275" s="107"/>
    </row>
    <row r="276" spans="1:10">
      <c r="A276" s="107" t="s">
        <v>651</v>
      </c>
      <c r="B276" s="107" t="s">
        <v>351</v>
      </c>
      <c r="C276" s="107" t="s">
        <v>352</v>
      </c>
      <c r="D276" s="107" t="s">
        <v>353</v>
      </c>
      <c r="E276">
        <v>8806</v>
      </c>
      <c r="F276" s="107" t="s">
        <v>669</v>
      </c>
      <c r="G276" s="107" t="s">
        <v>354</v>
      </c>
      <c r="H276" s="107" t="s">
        <v>380</v>
      </c>
      <c r="I276" s="107" t="s">
        <v>409</v>
      </c>
      <c r="J276" s="107" t="s">
        <v>767</v>
      </c>
    </row>
    <row r="277" spans="1:10">
      <c r="A277" s="107" t="s">
        <v>670</v>
      </c>
      <c r="B277" s="107" t="s">
        <v>351</v>
      </c>
      <c r="C277" s="107" t="s">
        <v>352</v>
      </c>
      <c r="D277" s="107" t="s">
        <v>357</v>
      </c>
      <c r="E277">
        <v>1379</v>
      </c>
      <c r="F277" s="107" t="s">
        <v>671</v>
      </c>
      <c r="G277" s="107" t="s">
        <v>354</v>
      </c>
      <c r="H277" s="107" t="s">
        <v>494</v>
      </c>
      <c r="I277" s="107">
        <v>664</v>
      </c>
      <c r="J277" s="107"/>
    </row>
    <row r="278" spans="1:10">
      <c r="A278" s="107" t="s">
        <v>670</v>
      </c>
      <c r="B278" s="107" t="s">
        <v>351</v>
      </c>
      <c r="C278" s="107" t="s">
        <v>352</v>
      </c>
      <c r="D278" s="107" t="s">
        <v>353</v>
      </c>
      <c r="E278">
        <v>2676</v>
      </c>
      <c r="F278" s="107" t="s">
        <v>1107</v>
      </c>
      <c r="G278" s="107" t="s">
        <v>354</v>
      </c>
      <c r="H278" s="107" t="s">
        <v>360</v>
      </c>
      <c r="I278">
        <v>111</v>
      </c>
    </row>
    <row r="279" spans="1:10">
      <c r="A279" s="107" t="s">
        <v>670</v>
      </c>
      <c r="B279" s="107" t="s">
        <v>351</v>
      </c>
      <c r="C279" s="107" t="s">
        <v>352</v>
      </c>
      <c r="D279" s="107" t="s">
        <v>353</v>
      </c>
      <c r="E279">
        <v>2907</v>
      </c>
      <c r="F279" s="107" t="s">
        <v>672</v>
      </c>
      <c r="G279" s="107" t="s">
        <v>362</v>
      </c>
      <c r="H279" s="107" t="s">
        <v>355</v>
      </c>
      <c r="I279">
        <v>63</v>
      </c>
    </row>
    <row r="280" spans="1:10">
      <c r="A280" s="107" t="s">
        <v>670</v>
      </c>
      <c r="B280" s="107" t="s">
        <v>351</v>
      </c>
      <c r="C280" s="107" t="s">
        <v>352</v>
      </c>
      <c r="D280" s="107" t="s">
        <v>353</v>
      </c>
      <c r="E280">
        <v>3024</v>
      </c>
      <c r="F280" s="107" t="s">
        <v>1108</v>
      </c>
      <c r="G280" s="107" t="s">
        <v>358</v>
      </c>
      <c r="H280" s="107" t="s">
        <v>360</v>
      </c>
      <c r="I280" s="107">
        <v>28</v>
      </c>
      <c r="J280" s="107"/>
    </row>
    <row r="281" spans="1:10">
      <c r="A281" s="107" t="s">
        <v>670</v>
      </c>
      <c r="B281" s="107" t="s">
        <v>351</v>
      </c>
      <c r="C281" s="107" t="s">
        <v>352</v>
      </c>
      <c r="D281" s="107" t="s">
        <v>357</v>
      </c>
      <c r="E281">
        <v>3484</v>
      </c>
      <c r="F281" s="107" t="s">
        <v>1109</v>
      </c>
      <c r="G281" s="107" t="s">
        <v>354</v>
      </c>
      <c r="H281" s="107" t="s">
        <v>380</v>
      </c>
      <c r="I281" s="107">
        <v>195</v>
      </c>
      <c r="J281" s="107"/>
    </row>
    <row r="282" spans="1:10">
      <c r="A282" s="107" t="s">
        <v>670</v>
      </c>
      <c r="B282" s="107" t="s">
        <v>351</v>
      </c>
      <c r="C282" s="107" t="s">
        <v>352</v>
      </c>
      <c r="D282" s="107" t="s">
        <v>353</v>
      </c>
      <c r="E282">
        <v>3612</v>
      </c>
      <c r="F282" s="107" t="s">
        <v>673</v>
      </c>
      <c r="G282" s="107" t="s">
        <v>354</v>
      </c>
      <c r="H282" s="107" t="s">
        <v>420</v>
      </c>
      <c r="I282">
        <v>960</v>
      </c>
    </row>
    <row r="283" spans="1:10">
      <c r="A283" s="107" t="s">
        <v>670</v>
      </c>
      <c r="B283" s="107" t="s">
        <v>351</v>
      </c>
      <c r="C283" s="107" t="s">
        <v>352</v>
      </c>
      <c r="D283" s="107" t="s">
        <v>353</v>
      </c>
      <c r="E283">
        <v>4521</v>
      </c>
      <c r="F283" s="107" t="s">
        <v>1110</v>
      </c>
      <c r="G283" s="107" t="s">
        <v>354</v>
      </c>
      <c r="H283" s="107" t="s">
        <v>476</v>
      </c>
      <c r="I283" s="107" t="s">
        <v>377</v>
      </c>
      <c r="J283" s="107" t="s">
        <v>1111</v>
      </c>
    </row>
    <row r="284" spans="1:10">
      <c r="A284" s="107" t="s">
        <v>670</v>
      </c>
      <c r="B284" s="107" t="s">
        <v>351</v>
      </c>
      <c r="C284" s="107" t="s">
        <v>363</v>
      </c>
      <c r="D284" s="107" t="s">
        <v>353</v>
      </c>
      <c r="E284">
        <v>6920</v>
      </c>
      <c r="F284" s="107" t="s">
        <v>980</v>
      </c>
      <c r="G284" s="107" t="s">
        <v>354</v>
      </c>
      <c r="H284" s="107" t="s">
        <v>379</v>
      </c>
      <c r="I284" s="107" t="s">
        <v>505</v>
      </c>
      <c r="J284" s="107" t="s">
        <v>1112</v>
      </c>
    </row>
    <row r="285" spans="1:10">
      <c r="A285" s="107" t="s">
        <v>670</v>
      </c>
      <c r="B285" s="107" t="s">
        <v>351</v>
      </c>
      <c r="C285" s="107" t="s">
        <v>352</v>
      </c>
      <c r="D285" s="107" t="s">
        <v>357</v>
      </c>
      <c r="E285">
        <v>7506</v>
      </c>
      <c r="F285" s="107" t="s">
        <v>674</v>
      </c>
      <c r="G285" s="107" t="s">
        <v>354</v>
      </c>
      <c r="H285" s="107" t="s">
        <v>364</v>
      </c>
      <c r="I285" s="107">
        <v>78</v>
      </c>
      <c r="J285" s="107"/>
    </row>
    <row r="286" spans="1:10">
      <c r="A286" s="107" t="s">
        <v>670</v>
      </c>
      <c r="B286" s="107" t="s">
        <v>351</v>
      </c>
      <c r="C286" s="107" t="s">
        <v>352</v>
      </c>
      <c r="D286" s="107" t="s">
        <v>353</v>
      </c>
      <c r="E286">
        <v>7859</v>
      </c>
      <c r="F286" s="107" t="s">
        <v>675</v>
      </c>
      <c r="G286" s="107" t="s">
        <v>362</v>
      </c>
      <c r="H286" s="107" t="s">
        <v>376</v>
      </c>
      <c r="I286">
        <v>25</v>
      </c>
    </row>
    <row r="287" spans="1:10">
      <c r="A287" s="107" t="s">
        <v>670</v>
      </c>
      <c r="B287" s="107" t="s">
        <v>351</v>
      </c>
      <c r="C287" s="107" t="s">
        <v>352</v>
      </c>
      <c r="D287" s="107" t="s">
        <v>353</v>
      </c>
      <c r="E287">
        <v>9008</v>
      </c>
      <c r="F287" s="107" t="s">
        <v>1113</v>
      </c>
      <c r="G287" s="107" t="s">
        <v>354</v>
      </c>
      <c r="H287" s="107" t="s">
        <v>643</v>
      </c>
      <c r="I287" s="107" t="s">
        <v>623</v>
      </c>
      <c r="J287" s="107" t="s">
        <v>1114</v>
      </c>
    </row>
    <row r="288" spans="1:10">
      <c r="A288" s="107" t="s">
        <v>676</v>
      </c>
      <c r="B288" s="107" t="s">
        <v>574</v>
      </c>
      <c r="C288" s="107" t="s">
        <v>352</v>
      </c>
      <c r="D288" s="107" t="s">
        <v>353</v>
      </c>
      <c r="E288">
        <v>2607</v>
      </c>
      <c r="F288" s="107" t="s">
        <v>1115</v>
      </c>
      <c r="G288" s="107" t="s">
        <v>354</v>
      </c>
      <c r="H288" s="107" t="s">
        <v>355</v>
      </c>
      <c r="I288" s="107" t="s">
        <v>377</v>
      </c>
      <c r="J288" s="107" t="s">
        <v>969</v>
      </c>
    </row>
    <row r="289" spans="1:10">
      <c r="A289" s="107" t="s">
        <v>676</v>
      </c>
      <c r="B289" s="107" t="s">
        <v>574</v>
      </c>
      <c r="C289" s="107" t="s">
        <v>352</v>
      </c>
      <c r="D289" s="107" t="s">
        <v>353</v>
      </c>
      <c r="E289">
        <v>4502</v>
      </c>
      <c r="F289" s="107" t="s">
        <v>677</v>
      </c>
      <c r="G289" s="107" t="s">
        <v>354</v>
      </c>
      <c r="H289" s="107" t="s">
        <v>476</v>
      </c>
      <c r="I289" s="107" t="s">
        <v>1116</v>
      </c>
      <c r="J289" s="107" t="s">
        <v>1117</v>
      </c>
    </row>
    <row r="290" spans="1:10">
      <c r="A290" s="107" t="s">
        <v>676</v>
      </c>
      <c r="B290" s="107" t="s">
        <v>351</v>
      </c>
      <c r="C290" s="107" t="s">
        <v>352</v>
      </c>
      <c r="D290" s="107" t="s">
        <v>353</v>
      </c>
      <c r="E290">
        <v>2117</v>
      </c>
      <c r="F290" s="107" t="s">
        <v>981</v>
      </c>
      <c r="G290" s="107" t="s">
        <v>354</v>
      </c>
      <c r="H290" s="107" t="s">
        <v>355</v>
      </c>
      <c r="I290" s="107">
        <v>458</v>
      </c>
      <c r="J290" s="107"/>
    </row>
    <row r="291" spans="1:10">
      <c r="A291" s="107" t="s">
        <v>676</v>
      </c>
      <c r="B291" s="107" t="s">
        <v>351</v>
      </c>
      <c r="C291" s="107" t="s">
        <v>361</v>
      </c>
      <c r="D291" s="107" t="s">
        <v>357</v>
      </c>
      <c r="E291">
        <v>2268</v>
      </c>
      <c r="F291" s="107" t="s">
        <v>678</v>
      </c>
      <c r="G291" s="107" t="s">
        <v>358</v>
      </c>
      <c r="H291" s="107" t="s">
        <v>355</v>
      </c>
      <c r="I291" s="107">
        <v>388</v>
      </c>
      <c r="J291" s="107"/>
    </row>
    <row r="292" spans="1:10">
      <c r="A292" s="107" t="s">
        <v>676</v>
      </c>
      <c r="B292" s="107" t="s">
        <v>351</v>
      </c>
      <c r="C292" s="107" t="s">
        <v>363</v>
      </c>
      <c r="D292" s="107" t="s">
        <v>357</v>
      </c>
      <c r="E292">
        <v>2428</v>
      </c>
      <c r="F292" s="107" t="s">
        <v>1118</v>
      </c>
      <c r="G292" s="107" t="s">
        <v>354</v>
      </c>
      <c r="H292" s="107" t="s">
        <v>359</v>
      </c>
      <c r="I292" s="107">
        <v>159</v>
      </c>
      <c r="J292" s="107"/>
    </row>
    <row r="293" spans="1:10">
      <c r="A293" s="107" t="s">
        <v>676</v>
      </c>
      <c r="B293" s="107" t="s">
        <v>351</v>
      </c>
      <c r="C293" s="107" t="s">
        <v>352</v>
      </c>
      <c r="D293" s="107" t="s">
        <v>353</v>
      </c>
      <c r="E293">
        <v>2871</v>
      </c>
      <c r="F293" s="107" t="s">
        <v>1119</v>
      </c>
      <c r="G293" s="107" t="s">
        <v>354</v>
      </c>
      <c r="H293" s="107" t="s">
        <v>355</v>
      </c>
      <c r="I293" s="107" t="s">
        <v>594</v>
      </c>
      <c r="J293" s="107" t="s">
        <v>1112</v>
      </c>
    </row>
    <row r="294" spans="1:10">
      <c r="A294" s="107" t="s">
        <v>676</v>
      </c>
      <c r="B294" s="107" t="s">
        <v>351</v>
      </c>
      <c r="C294" s="107" t="s">
        <v>352</v>
      </c>
      <c r="D294" s="107" t="s">
        <v>353</v>
      </c>
      <c r="E294">
        <v>6151</v>
      </c>
      <c r="F294" s="107" t="s">
        <v>679</v>
      </c>
      <c r="G294" s="107" t="s">
        <v>354</v>
      </c>
      <c r="H294" s="107" t="s">
        <v>375</v>
      </c>
      <c r="I294" s="107">
        <v>473</v>
      </c>
      <c r="J294" s="107"/>
    </row>
    <row r="295" spans="1:10">
      <c r="A295" s="107" t="s">
        <v>676</v>
      </c>
      <c r="B295" s="107" t="s">
        <v>351</v>
      </c>
      <c r="C295" s="107" t="s">
        <v>352</v>
      </c>
      <c r="D295" s="107" t="s">
        <v>353</v>
      </c>
      <c r="E295">
        <v>7419</v>
      </c>
      <c r="F295" s="107" t="s">
        <v>680</v>
      </c>
      <c r="G295" s="107" t="s">
        <v>354</v>
      </c>
      <c r="H295" s="107" t="s">
        <v>364</v>
      </c>
      <c r="I295" s="107" t="s">
        <v>409</v>
      </c>
      <c r="J295" s="107" t="s">
        <v>1120</v>
      </c>
    </row>
    <row r="296" spans="1:10">
      <c r="A296" s="107" t="s">
        <v>676</v>
      </c>
      <c r="B296" s="107" t="s">
        <v>351</v>
      </c>
      <c r="C296" s="107" t="s">
        <v>363</v>
      </c>
      <c r="D296" s="107" t="s">
        <v>353</v>
      </c>
      <c r="E296">
        <v>8945</v>
      </c>
      <c r="F296" s="107" t="s">
        <v>983</v>
      </c>
      <c r="G296" s="107" t="s">
        <v>354</v>
      </c>
      <c r="H296" s="107" t="s">
        <v>380</v>
      </c>
      <c r="I296" s="107">
        <v>130</v>
      </c>
      <c r="J296" s="107"/>
    </row>
    <row r="297" spans="1:10">
      <c r="A297" s="107" t="s">
        <v>681</v>
      </c>
      <c r="B297" s="107" t="s">
        <v>351</v>
      </c>
      <c r="C297" s="107" t="s">
        <v>352</v>
      </c>
      <c r="D297" s="107" t="s">
        <v>353</v>
      </c>
      <c r="E297">
        <v>2130</v>
      </c>
      <c r="F297" s="107" t="s">
        <v>682</v>
      </c>
      <c r="G297" s="107" t="s">
        <v>354</v>
      </c>
      <c r="H297" s="107" t="s">
        <v>359</v>
      </c>
      <c r="I297" s="107">
        <v>307</v>
      </c>
      <c r="J297" s="107"/>
    </row>
    <row r="298" spans="1:10">
      <c r="A298" s="107" t="s">
        <v>681</v>
      </c>
      <c r="B298" s="107" t="s">
        <v>351</v>
      </c>
      <c r="C298" s="107" t="s">
        <v>352</v>
      </c>
      <c r="D298" s="107" t="s">
        <v>357</v>
      </c>
      <c r="E298">
        <v>3464</v>
      </c>
      <c r="F298" s="107" t="s">
        <v>841</v>
      </c>
      <c r="G298" s="107" t="s">
        <v>354</v>
      </c>
      <c r="H298" s="107" t="s">
        <v>380</v>
      </c>
      <c r="I298" s="107">
        <v>83</v>
      </c>
      <c r="J298" s="107"/>
    </row>
    <row r="299" spans="1:10">
      <c r="A299" s="107" t="s">
        <v>681</v>
      </c>
      <c r="B299" s="107" t="s">
        <v>351</v>
      </c>
      <c r="C299" s="107" t="s">
        <v>352</v>
      </c>
      <c r="D299" s="107" t="s">
        <v>357</v>
      </c>
      <c r="E299">
        <v>6678</v>
      </c>
      <c r="F299" s="107" t="s">
        <v>683</v>
      </c>
      <c r="G299" s="107" t="s">
        <v>354</v>
      </c>
      <c r="H299" s="107" t="s">
        <v>379</v>
      </c>
      <c r="I299" s="107">
        <v>182</v>
      </c>
      <c r="J299" s="107"/>
    </row>
    <row r="300" spans="1:10">
      <c r="A300" s="107" t="s">
        <v>681</v>
      </c>
      <c r="B300" s="107" t="s">
        <v>351</v>
      </c>
      <c r="C300" s="107" t="s">
        <v>352</v>
      </c>
      <c r="D300" s="107" t="s">
        <v>353</v>
      </c>
      <c r="E300">
        <v>6875</v>
      </c>
      <c r="F300" s="107" t="s">
        <v>684</v>
      </c>
      <c r="G300" s="107" t="s">
        <v>354</v>
      </c>
      <c r="H300" s="107" t="s">
        <v>379</v>
      </c>
      <c r="I300">
        <v>555</v>
      </c>
    </row>
    <row r="301" spans="1:10">
      <c r="A301" s="107" t="s">
        <v>681</v>
      </c>
      <c r="B301" s="107" t="s">
        <v>351</v>
      </c>
      <c r="C301" s="107" t="s">
        <v>363</v>
      </c>
      <c r="D301" s="107" t="s">
        <v>353</v>
      </c>
      <c r="E301">
        <v>7532</v>
      </c>
      <c r="F301" s="107" t="s">
        <v>984</v>
      </c>
      <c r="G301" s="107" t="s">
        <v>354</v>
      </c>
      <c r="H301" s="107" t="s">
        <v>364</v>
      </c>
      <c r="I301" s="107" t="s">
        <v>781</v>
      </c>
      <c r="J301" s="107" t="s">
        <v>1121</v>
      </c>
    </row>
    <row r="302" spans="1:10">
      <c r="A302" s="107" t="s">
        <v>685</v>
      </c>
      <c r="B302" s="107" t="s">
        <v>574</v>
      </c>
      <c r="C302" s="107" t="s">
        <v>361</v>
      </c>
      <c r="D302" s="107" t="s">
        <v>353</v>
      </c>
      <c r="E302">
        <v>2914</v>
      </c>
      <c r="F302" s="107" t="s">
        <v>985</v>
      </c>
      <c r="G302" s="107" t="s">
        <v>354</v>
      </c>
      <c r="H302" s="107" t="s">
        <v>355</v>
      </c>
      <c r="I302" s="107" t="s">
        <v>1122</v>
      </c>
      <c r="J302" s="107" t="s">
        <v>1123</v>
      </c>
    </row>
    <row r="303" spans="1:10">
      <c r="A303" s="107" t="s">
        <v>685</v>
      </c>
      <c r="B303" s="107" t="s">
        <v>574</v>
      </c>
      <c r="C303" s="107" t="s">
        <v>363</v>
      </c>
      <c r="D303" s="107" t="s">
        <v>353</v>
      </c>
      <c r="E303">
        <v>4385</v>
      </c>
      <c r="F303" s="107" t="s">
        <v>1124</v>
      </c>
      <c r="G303" s="107" t="s">
        <v>366</v>
      </c>
      <c r="H303" s="107" t="s">
        <v>365</v>
      </c>
      <c r="I303" s="107" t="s">
        <v>594</v>
      </c>
      <c r="J303" s="107" t="s">
        <v>786</v>
      </c>
    </row>
    <row r="304" spans="1:10">
      <c r="A304" s="107" t="s">
        <v>685</v>
      </c>
      <c r="B304" s="107" t="s">
        <v>351</v>
      </c>
      <c r="C304" s="107" t="s">
        <v>352</v>
      </c>
      <c r="D304" s="107" t="s">
        <v>353</v>
      </c>
      <c r="E304">
        <v>2372</v>
      </c>
      <c r="F304" s="107" t="s">
        <v>686</v>
      </c>
      <c r="G304" s="107" t="s">
        <v>354</v>
      </c>
      <c r="H304" s="107" t="s">
        <v>359</v>
      </c>
      <c r="I304" s="107">
        <v>177</v>
      </c>
      <c r="J304" s="107"/>
    </row>
    <row r="305" spans="1:10">
      <c r="A305" s="107" t="s">
        <v>685</v>
      </c>
      <c r="B305" s="107" t="s">
        <v>351</v>
      </c>
      <c r="C305" s="107" t="s">
        <v>352</v>
      </c>
      <c r="D305" s="107" t="s">
        <v>353</v>
      </c>
      <c r="E305">
        <v>2487</v>
      </c>
      <c r="F305" s="107" t="s">
        <v>1125</v>
      </c>
      <c r="G305" s="107" t="s">
        <v>354</v>
      </c>
      <c r="H305" s="107" t="s">
        <v>359</v>
      </c>
      <c r="I305">
        <v>88</v>
      </c>
    </row>
    <row r="306" spans="1:10">
      <c r="A306" s="107" t="s">
        <v>685</v>
      </c>
      <c r="B306" s="107" t="s">
        <v>351</v>
      </c>
      <c r="C306" s="107" t="s">
        <v>363</v>
      </c>
      <c r="D306" s="107" t="s">
        <v>353</v>
      </c>
      <c r="E306">
        <v>3242</v>
      </c>
      <c r="F306" s="107" t="s">
        <v>687</v>
      </c>
      <c r="G306" s="107" t="s">
        <v>358</v>
      </c>
      <c r="H306" s="107" t="s">
        <v>380</v>
      </c>
      <c r="I306" s="107">
        <v>89</v>
      </c>
      <c r="J306" s="107"/>
    </row>
    <row r="307" spans="1:10">
      <c r="A307" s="107" t="s">
        <v>685</v>
      </c>
      <c r="B307" s="107" t="s">
        <v>351</v>
      </c>
      <c r="C307" s="107" t="s">
        <v>352</v>
      </c>
      <c r="D307" s="107" t="s">
        <v>357</v>
      </c>
      <c r="E307">
        <v>3634</v>
      </c>
      <c r="F307" s="107" t="s">
        <v>1126</v>
      </c>
      <c r="G307" s="107" t="s">
        <v>366</v>
      </c>
      <c r="H307" s="107" t="s">
        <v>365</v>
      </c>
      <c r="I307" s="107">
        <v>30</v>
      </c>
      <c r="J307" s="107"/>
    </row>
    <row r="308" spans="1:10">
      <c r="A308" s="107" t="s">
        <v>685</v>
      </c>
      <c r="B308" s="107" t="s">
        <v>351</v>
      </c>
      <c r="C308" s="107" t="s">
        <v>352</v>
      </c>
      <c r="D308" s="107" t="s">
        <v>357</v>
      </c>
      <c r="E308">
        <v>3837</v>
      </c>
      <c r="F308" s="107" t="s">
        <v>1127</v>
      </c>
      <c r="G308" s="107" t="s">
        <v>354</v>
      </c>
      <c r="H308" s="107" t="s">
        <v>365</v>
      </c>
      <c r="I308">
        <v>218</v>
      </c>
    </row>
    <row r="309" spans="1:10">
      <c r="A309" s="107" t="s">
        <v>685</v>
      </c>
      <c r="B309" s="107" t="s">
        <v>351</v>
      </c>
      <c r="C309" s="107" t="s">
        <v>352</v>
      </c>
      <c r="D309" s="107" t="s">
        <v>353</v>
      </c>
      <c r="E309">
        <v>4626</v>
      </c>
      <c r="F309" s="107" t="s">
        <v>688</v>
      </c>
      <c r="G309" s="107" t="s">
        <v>354</v>
      </c>
      <c r="H309" s="107" t="s">
        <v>367</v>
      </c>
      <c r="I309" s="107" t="s">
        <v>409</v>
      </c>
      <c r="J309" s="107" t="s">
        <v>1128</v>
      </c>
    </row>
    <row r="310" spans="1:10">
      <c r="A310" s="107" t="s">
        <v>685</v>
      </c>
      <c r="B310" s="107" t="s">
        <v>351</v>
      </c>
      <c r="C310" s="107" t="s">
        <v>352</v>
      </c>
      <c r="D310" s="107" t="s">
        <v>353</v>
      </c>
      <c r="E310">
        <v>6569</v>
      </c>
      <c r="F310" s="107" t="s">
        <v>689</v>
      </c>
      <c r="G310" s="107" t="s">
        <v>354</v>
      </c>
      <c r="H310" s="107" t="s">
        <v>359</v>
      </c>
      <c r="I310" s="107">
        <v>367</v>
      </c>
      <c r="J310" s="107"/>
    </row>
    <row r="311" spans="1:10">
      <c r="A311" s="107" t="s">
        <v>685</v>
      </c>
      <c r="B311" s="107" t="s">
        <v>351</v>
      </c>
      <c r="C311" s="107" t="s">
        <v>352</v>
      </c>
      <c r="D311" s="107" t="s">
        <v>353</v>
      </c>
      <c r="E311">
        <v>7703</v>
      </c>
      <c r="F311" s="107" t="s">
        <v>690</v>
      </c>
      <c r="G311" s="107" t="s">
        <v>362</v>
      </c>
      <c r="H311" s="107" t="s">
        <v>621</v>
      </c>
      <c r="I311">
        <v>209</v>
      </c>
    </row>
    <row r="312" spans="1:10">
      <c r="A312" s="107" t="s">
        <v>685</v>
      </c>
      <c r="B312" s="107" t="s">
        <v>351</v>
      </c>
      <c r="C312" s="107" t="s">
        <v>352</v>
      </c>
      <c r="D312" s="107" t="s">
        <v>353</v>
      </c>
      <c r="E312">
        <v>7952</v>
      </c>
      <c r="F312" s="107" t="s">
        <v>691</v>
      </c>
      <c r="G312" s="107" t="s">
        <v>354</v>
      </c>
      <c r="H312" s="107" t="s">
        <v>376</v>
      </c>
      <c r="I312">
        <v>330</v>
      </c>
    </row>
    <row r="313" spans="1:10">
      <c r="A313" s="107" t="s">
        <v>692</v>
      </c>
      <c r="B313" s="107" t="s">
        <v>574</v>
      </c>
      <c r="C313" s="107" t="s">
        <v>352</v>
      </c>
      <c r="D313" s="107" t="s">
        <v>353</v>
      </c>
      <c r="E313">
        <v>8093</v>
      </c>
      <c r="F313" s="107" t="s">
        <v>1129</v>
      </c>
      <c r="G313" s="107" t="s">
        <v>354</v>
      </c>
      <c r="H313" s="107" t="s">
        <v>360</v>
      </c>
      <c r="I313">
        <v>143</v>
      </c>
    </row>
    <row r="314" spans="1:10">
      <c r="A314" s="107" t="s">
        <v>692</v>
      </c>
      <c r="B314" s="107" t="s">
        <v>351</v>
      </c>
      <c r="C314" s="107" t="s">
        <v>352</v>
      </c>
      <c r="D314" s="107" t="s">
        <v>353</v>
      </c>
      <c r="E314">
        <v>1801</v>
      </c>
      <c r="F314" s="107" t="s">
        <v>693</v>
      </c>
      <c r="G314" s="107" t="s">
        <v>354</v>
      </c>
      <c r="H314" s="107" t="s">
        <v>388</v>
      </c>
      <c r="I314" s="107" t="s">
        <v>694</v>
      </c>
      <c r="J314" s="107" t="s">
        <v>1130</v>
      </c>
    </row>
    <row r="315" spans="1:10">
      <c r="A315" s="107" t="s">
        <v>692</v>
      </c>
      <c r="B315" s="107" t="s">
        <v>351</v>
      </c>
      <c r="C315" s="107" t="s">
        <v>352</v>
      </c>
      <c r="D315" s="107" t="s">
        <v>353</v>
      </c>
      <c r="E315">
        <v>1813</v>
      </c>
      <c r="F315" s="107" t="s">
        <v>695</v>
      </c>
      <c r="G315" s="107" t="s">
        <v>354</v>
      </c>
      <c r="H315" s="107" t="s">
        <v>388</v>
      </c>
      <c r="I315" s="107">
        <v>258</v>
      </c>
      <c r="J315" s="107"/>
    </row>
    <row r="316" spans="1:10">
      <c r="A316" s="107" t="s">
        <v>692</v>
      </c>
      <c r="B316" s="107" t="s">
        <v>351</v>
      </c>
      <c r="C316" s="107" t="s">
        <v>352</v>
      </c>
      <c r="D316" s="107" t="s">
        <v>353</v>
      </c>
      <c r="E316">
        <v>1835</v>
      </c>
      <c r="F316" s="107" t="s">
        <v>696</v>
      </c>
      <c r="G316" s="107" t="s">
        <v>354</v>
      </c>
      <c r="H316" s="107" t="s">
        <v>388</v>
      </c>
      <c r="I316" s="107" t="s">
        <v>409</v>
      </c>
      <c r="J316" s="107" t="s">
        <v>1131</v>
      </c>
    </row>
    <row r="317" spans="1:10">
      <c r="A317" s="107" t="s">
        <v>692</v>
      </c>
      <c r="B317" s="107" t="s">
        <v>351</v>
      </c>
      <c r="C317" s="107" t="s">
        <v>352</v>
      </c>
      <c r="D317" s="107" t="s">
        <v>357</v>
      </c>
      <c r="E317">
        <v>1853</v>
      </c>
      <c r="F317" s="107" t="s">
        <v>697</v>
      </c>
      <c r="G317" s="107" t="s">
        <v>362</v>
      </c>
      <c r="H317" s="107" t="s">
        <v>388</v>
      </c>
      <c r="I317" s="107">
        <v>104</v>
      </c>
      <c r="J317" s="107"/>
    </row>
    <row r="318" spans="1:10">
      <c r="A318" s="107" t="s">
        <v>692</v>
      </c>
      <c r="B318" s="107" t="s">
        <v>351</v>
      </c>
      <c r="C318" s="107" t="s">
        <v>352</v>
      </c>
      <c r="D318" s="107" t="s">
        <v>353</v>
      </c>
      <c r="E318">
        <v>1909</v>
      </c>
      <c r="F318" s="107" t="s">
        <v>698</v>
      </c>
      <c r="G318" s="107" t="s">
        <v>354</v>
      </c>
      <c r="H318" s="107" t="s">
        <v>375</v>
      </c>
      <c r="I318">
        <v>113</v>
      </c>
    </row>
    <row r="319" spans="1:10">
      <c r="A319" s="107" t="s">
        <v>692</v>
      </c>
      <c r="B319" s="107" t="s">
        <v>351</v>
      </c>
      <c r="C319" s="107" t="s">
        <v>352</v>
      </c>
      <c r="D319" s="107" t="s">
        <v>353</v>
      </c>
      <c r="E319">
        <v>1961</v>
      </c>
      <c r="F319" s="107" t="s">
        <v>699</v>
      </c>
      <c r="G319" s="107" t="s">
        <v>354</v>
      </c>
      <c r="H319" s="107" t="s">
        <v>388</v>
      </c>
      <c r="I319" s="107">
        <v>904</v>
      </c>
      <c r="J319" s="107"/>
    </row>
    <row r="320" spans="1:10">
      <c r="A320" s="107" t="s">
        <v>692</v>
      </c>
      <c r="B320" s="107" t="s">
        <v>351</v>
      </c>
      <c r="C320" s="107" t="s">
        <v>352</v>
      </c>
      <c r="D320" s="107" t="s">
        <v>353</v>
      </c>
      <c r="E320">
        <v>1969</v>
      </c>
      <c r="F320" s="107" t="s">
        <v>700</v>
      </c>
      <c r="G320" s="107" t="s">
        <v>354</v>
      </c>
      <c r="H320" s="107" t="s">
        <v>388</v>
      </c>
      <c r="I320" s="107" t="s">
        <v>409</v>
      </c>
      <c r="J320" s="107" t="s">
        <v>1132</v>
      </c>
    </row>
    <row r="321" spans="1:10">
      <c r="A321" s="107" t="s">
        <v>692</v>
      </c>
      <c r="B321" s="107" t="s">
        <v>351</v>
      </c>
      <c r="C321" s="107" t="s">
        <v>352</v>
      </c>
      <c r="D321" s="107" t="s">
        <v>353</v>
      </c>
      <c r="E321">
        <v>2307</v>
      </c>
      <c r="F321" s="107" t="s">
        <v>1133</v>
      </c>
      <c r="G321" s="107" t="s">
        <v>354</v>
      </c>
      <c r="H321" s="107" t="s">
        <v>365</v>
      </c>
      <c r="I321" s="107">
        <v>96</v>
      </c>
      <c r="J321" s="107"/>
    </row>
    <row r="322" spans="1:10">
      <c r="A322" s="107" t="s">
        <v>692</v>
      </c>
      <c r="B322" s="107" t="s">
        <v>351</v>
      </c>
      <c r="C322" s="107" t="s">
        <v>352</v>
      </c>
      <c r="D322" s="107" t="s">
        <v>353</v>
      </c>
      <c r="E322">
        <v>2475</v>
      </c>
      <c r="F322" s="107" t="s">
        <v>1134</v>
      </c>
      <c r="G322" s="107" t="s">
        <v>354</v>
      </c>
      <c r="H322" s="107" t="s">
        <v>359</v>
      </c>
      <c r="I322" s="107">
        <v>512</v>
      </c>
      <c r="J322" s="107"/>
    </row>
    <row r="323" spans="1:10">
      <c r="A323" s="107" t="s">
        <v>692</v>
      </c>
      <c r="B323" s="107" t="s">
        <v>351</v>
      </c>
      <c r="C323" s="107" t="s">
        <v>352</v>
      </c>
      <c r="D323" s="107" t="s">
        <v>353</v>
      </c>
      <c r="E323">
        <v>2480</v>
      </c>
      <c r="F323" s="107" t="s">
        <v>1135</v>
      </c>
      <c r="G323" s="107" t="s">
        <v>358</v>
      </c>
      <c r="H323" s="107" t="s">
        <v>359</v>
      </c>
      <c r="I323" s="107">
        <v>63</v>
      </c>
      <c r="J323" s="107"/>
    </row>
    <row r="324" spans="1:10">
      <c r="A324" s="107" t="s">
        <v>692</v>
      </c>
      <c r="B324" s="107" t="s">
        <v>351</v>
      </c>
      <c r="C324" s="107" t="s">
        <v>352</v>
      </c>
      <c r="D324" s="107" t="s">
        <v>353</v>
      </c>
      <c r="E324">
        <v>2815</v>
      </c>
      <c r="F324" s="107" t="s">
        <v>701</v>
      </c>
      <c r="G324" s="107" t="s">
        <v>354</v>
      </c>
      <c r="H324" s="107" t="s">
        <v>355</v>
      </c>
      <c r="I324" s="107" t="s">
        <v>377</v>
      </c>
      <c r="J324" s="107" t="s">
        <v>1136</v>
      </c>
    </row>
    <row r="325" spans="1:10">
      <c r="A325" s="107" t="s">
        <v>692</v>
      </c>
      <c r="B325" s="107" t="s">
        <v>351</v>
      </c>
      <c r="C325" s="107" t="s">
        <v>352</v>
      </c>
      <c r="D325" s="107" t="s">
        <v>353</v>
      </c>
      <c r="E325">
        <v>2911</v>
      </c>
      <c r="F325" s="107" t="s">
        <v>1137</v>
      </c>
      <c r="G325" s="107" t="s">
        <v>362</v>
      </c>
      <c r="H325" s="107" t="s">
        <v>355</v>
      </c>
      <c r="I325" s="107">
        <v>38</v>
      </c>
      <c r="J325" s="107"/>
    </row>
    <row r="326" spans="1:10">
      <c r="A326" s="107" t="s">
        <v>692</v>
      </c>
      <c r="B326" s="107" t="s">
        <v>351</v>
      </c>
      <c r="C326" s="107" t="s">
        <v>352</v>
      </c>
      <c r="D326" s="107" t="s">
        <v>353</v>
      </c>
      <c r="E326">
        <v>3109</v>
      </c>
      <c r="F326" s="107" t="s">
        <v>702</v>
      </c>
      <c r="G326" s="107" t="s">
        <v>354</v>
      </c>
      <c r="H326" s="107" t="s">
        <v>420</v>
      </c>
      <c r="I326">
        <v>112</v>
      </c>
    </row>
    <row r="327" spans="1:10">
      <c r="A327" s="107" t="s">
        <v>692</v>
      </c>
      <c r="B327" s="107" t="s">
        <v>351</v>
      </c>
      <c r="C327" s="107" t="s">
        <v>361</v>
      </c>
      <c r="D327" s="107" t="s">
        <v>353</v>
      </c>
      <c r="E327">
        <v>3482</v>
      </c>
      <c r="F327" s="107" t="s">
        <v>1138</v>
      </c>
      <c r="G327" s="107" t="s">
        <v>366</v>
      </c>
      <c r="H327" s="107" t="s">
        <v>380</v>
      </c>
      <c r="I327" s="107">
        <v>204</v>
      </c>
      <c r="J327" s="107"/>
    </row>
    <row r="328" spans="1:10">
      <c r="A328" s="107" t="s">
        <v>692</v>
      </c>
      <c r="B328" s="107" t="s">
        <v>351</v>
      </c>
      <c r="C328" s="107" t="s">
        <v>356</v>
      </c>
      <c r="D328" s="107" t="s">
        <v>353</v>
      </c>
      <c r="E328">
        <v>3690</v>
      </c>
      <c r="F328" s="107" t="s">
        <v>1139</v>
      </c>
      <c r="G328" s="107" t="s">
        <v>366</v>
      </c>
      <c r="H328" s="107" t="s">
        <v>365</v>
      </c>
      <c r="I328">
        <v>80</v>
      </c>
    </row>
    <row r="329" spans="1:10">
      <c r="A329" s="107" t="s">
        <v>692</v>
      </c>
      <c r="B329" s="107" t="s">
        <v>351</v>
      </c>
      <c r="C329" s="107" t="s">
        <v>352</v>
      </c>
      <c r="D329" s="107" t="s">
        <v>353</v>
      </c>
      <c r="E329">
        <v>3766</v>
      </c>
      <c r="F329" s="107" t="s">
        <v>703</v>
      </c>
      <c r="G329" s="107" t="s">
        <v>358</v>
      </c>
      <c r="H329" s="107" t="s">
        <v>365</v>
      </c>
      <c r="I329">
        <v>25</v>
      </c>
    </row>
    <row r="330" spans="1:10">
      <c r="A330" s="107" t="s">
        <v>692</v>
      </c>
      <c r="B330" s="107" t="s">
        <v>351</v>
      </c>
      <c r="C330" s="107" t="s">
        <v>352</v>
      </c>
      <c r="D330" s="107" t="s">
        <v>353</v>
      </c>
      <c r="E330">
        <v>4540</v>
      </c>
      <c r="F330" s="107" t="s">
        <v>704</v>
      </c>
      <c r="G330" s="107" t="s">
        <v>354</v>
      </c>
      <c r="H330" s="107" t="s">
        <v>476</v>
      </c>
      <c r="I330" s="107" t="s">
        <v>377</v>
      </c>
      <c r="J330" s="107" t="s">
        <v>1140</v>
      </c>
    </row>
    <row r="331" spans="1:10">
      <c r="A331" s="107" t="s">
        <v>692</v>
      </c>
      <c r="B331" s="107" t="s">
        <v>351</v>
      </c>
      <c r="C331" s="107" t="s">
        <v>361</v>
      </c>
      <c r="D331" s="107" t="s">
        <v>357</v>
      </c>
      <c r="E331">
        <v>4588</v>
      </c>
      <c r="F331" s="107" t="s">
        <v>705</v>
      </c>
      <c r="G331" s="107" t="s">
        <v>366</v>
      </c>
      <c r="H331" s="107" t="s">
        <v>476</v>
      </c>
      <c r="I331" s="107">
        <v>274</v>
      </c>
      <c r="J331" s="107"/>
    </row>
    <row r="332" spans="1:10">
      <c r="A332" s="107" t="s">
        <v>692</v>
      </c>
      <c r="B332" s="107" t="s">
        <v>351</v>
      </c>
      <c r="C332" s="107" t="s">
        <v>352</v>
      </c>
      <c r="D332" s="107" t="s">
        <v>353</v>
      </c>
      <c r="E332">
        <v>4777</v>
      </c>
      <c r="F332" s="107" t="s">
        <v>706</v>
      </c>
      <c r="G332" s="107" t="s">
        <v>358</v>
      </c>
      <c r="H332" s="107" t="s">
        <v>365</v>
      </c>
      <c r="I332" s="107">
        <v>52</v>
      </c>
      <c r="J332" s="107"/>
    </row>
    <row r="333" spans="1:10">
      <c r="A333" s="107" t="s">
        <v>692</v>
      </c>
      <c r="B333" s="107" t="s">
        <v>351</v>
      </c>
      <c r="C333" s="107" t="s">
        <v>352</v>
      </c>
      <c r="D333" s="107" t="s">
        <v>357</v>
      </c>
      <c r="E333">
        <v>4970</v>
      </c>
      <c r="F333" s="107" t="s">
        <v>1141</v>
      </c>
      <c r="G333" s="107" t="s">
        <v>358</v>
      </c>
      <c r="H333" s="107" t="s">
        <v>367</v>
      </c>
      <c r="I333">
        <v>287</v>
      </c>
    </row>
    <row r="334" spans="1:10">
      <c r="A334" s="107" t="s">
        <v>692</v>
      </c>
      <c r="B334" s="107" t="s">
        <v>351</v>
      </c>
      <c r="C334" s="107" t="s">
        <v>352</v>
      </c>
      <c r="D334" s="107" t="s">
        <v>353</v>
      </c>
      <c r="E334">
        <v>5602</v>
      </c>
      <c r="F334" s="107" t="s">
        <v>1142</v>
      </c>
      <c r="G334" s="107" t="s">
        <v>354</v>
      </c>
      <c r="H334" s="107" t="s">
        <v>1143</v>
      </c>
      <c r="I334" s="107">
        <v>259</v>
      </c>
      <c r="J334" s="107"/>
    </row>
    <row r="335" spans="1:10">
      <c r="A335" s="107" t="s">
        <v>692</v>
      </c>
      <c r="B335" s="107" t="s">
        <v>351</v>
      </c>
      <c r="C335" s="107" t="s">
        <v>352</v>
      </c>
      <c r="D335" s="107" t="s">
        <v>353</v>
      </c>
      <c r="E335">
        <v>5713</v>
      </c>
      <c r="F335" s="107" t="s">
        <v>707</v>
      </c>
      <c r="G335" s="107" t="s">
        <v>354</v>
      </c>
      <c r="H335" s="107" t="s">
        <v>660</v>
      </c>
      <c r="I335" s="107" t="s">
        <v>694</v>
      </c>
      <c r="J335" s="107" t="s">
        <v>1144</v>
      </c>
    </row>
    <row r="336" spans="1:10">
      <c r="A336" s="107" t="s">
        <v>692</v>
      </c>
      <c r="B336" s="107" t="s">
        <v>351</v>
      </c>
      <c r="C336" s="107" t="s">
        <v>352</v>
      </c>
      <c r="D336" s="107" t="s">
        <v>353</v>
      </c>
      <c r="E336">
        <v>6485</v>
      </c>
      <c r="F336" s="107" t="s">
        <v>708</v>
      </c>
      <c r="G336" s="107" t="s">
        <v>354</v>
      </c>
      <c r="H336" s="107" t="s">
        <v>375</v>
      </c>
      <c r="I336" s="107">
        <v>260</v>
      </c>
      <c r="J336" s="107"/>
    </row>
    <row r="337" spans="1:10">
      <c r="A337" s="107" t="s">
        <v>692</v>
      </c>
      <c r="B337" s="107" t="s">
        <v>351</v>
      </c>
      <c r="C337" s="107" t="s">
        <v>361</v>
      </c>
      <c r="D337" s="107" t="s">
        <v>353</v>
      </c>
      <c r="E337">
        <v>6929</v>
      </c>
      <c r="F337" s="107" t="s">
        <v>709</v>
      </c>
      <c r="G337" s="107" t="s">
        <v>354</v>
      </c>
      <c r="H337" s="107" t="s">
        <v>379</v>
      </c>
      <c r="I337" s="107">
        <v>770</v>
      </c>
      <c r="J337" s="107"/>
    </row>
    <row r="338" spans="1:10">
      <c r="A338" s="107" t="s">
        <v>692</v>
      </c>
      <c r="B338" s="107" t="s">
        <v>351</v>
      </c>
      <c r="C338" s="107" t="s">
        <v>352</v>
      </c>
      <c r="D338" s="107" t="s">
        <v>353</v>
      </c>
      <c r="E338">
        <v>7480</v>
      </c>
      <c r="F338" s="107" t="s">
        <v>710</v>
      </c>
      <c r="G338" s="107" t="s">
        <v>354</v>
      </c>
      <c r="H338" s="107" t="s">
        <v>360</v>
      </c>
      <c r="I338">
        <v>214</v>
      </c>
    </row>
    <row r="339" spans="1:10">
      <c r="A339" s="107" t="s">
        <v>692</v>
      </c>
      <c r="B339" s="107" t="s">
        <v>351</v>
      </c>
      <c r="C339" s="107" t="s">
        <v>352</v>
      </c>
      <c r="D339" s="107" t="s">
        <v>353</v>
      </c>
      <c r="E339">
        <v>9880</v>
      </c>
      <c r="F339" s="107" t="s">
        <v>711</v>
      </c>
      <c r="G339" s="107" t="s">
        <v>354</v>
      </c>
      <c r="H339" s="107" t="s">
        <v>360</v>
      </c>
      <c r="I339" s="107">
        <v>167</v>
      </c>
      <c r="J339" s="107"/>
    </row>
    <row r="340" spans="1:10">
      <c r="A340" s="107" t="s">
        <v>692</v>
      </c>
      <c r="B340" s="107" t="s">
        <v>351</v>
      </c>
      <c r="C340" s="107" t="s">
        <v>352</v>
      </c>
      <c r="D340" s="107" t="s">
        <v>353</v>
      </c>
      <c r="E340">
        <v>9994</v>
      </c>
      <c r="F340" s="107" t="s">
        <v>712</v>
      </c>
      <c r="G340" s="107" t="s">
        <v>354</v>
      </c>
      <c r="H340" s="107" t="s">
        <v>364</v>
      </c>
      <c r="I340">
        <v>241</v>
      </c>
    </row>
    <row r="341" spans="1:10">
      <c r="A341" s="107" t="s">
        <v>713</v>
      </c>
      <c r="B341" s="107" t="s">
        <v>351</v>
      </c>
      <c r="C341" s="107" t="s">
        <v>352</v>
      </c>
      <c r="D341" s="107" t="s">
        <v>353</v>
      </c>
      <c r="E341">
        <v>1979</v>
      </c>
      <c r="F341" s="107" t="s">
        <v>714</v>
      </c>
      <c r="G341" s="107" t="s">
        <v>354</v>
      </c>
      <c r="H341" s="107" t="s">
        <v>388</v>
      </c>
      <c r="I341" s="107" t="s">
        <v>409</v>
      </c>
      <c r="J341" s="107" t="s">
        <v>1145</v>
      </c>
    </row>
    <row r="342" spans="1:10">
      <c r="A342" s="107" t="s">
        <v>713</v>
      </c>
      <c r="B342" s="107" t="s">
        <v>351</v>
      </c>
      <c r="C342" s="107" t="s">
        <v>352</v>
      </c>
      <c r="D342" s="107" t="s">
        <v>353</v>
      </c>
      <c r="E342">
        <v>2201</v>
      </c>
      <c r="F342" s="107" t="s">
        <v>986</v>
      </c>
      <c r="G342" s="107" t="s">
        <v>354</v>
      </c>
      <c r="H342" s="107" t="s">
        <v>355</v>
      </c>
      <c r="I342" s="107" t="s">
        <v>594</v>
      </c>
      <c r="J342" s="107" t="s">
        <v>1146</v>
      </c>
    </row>
    <row r="343" spans="1:10">
      <c r="A343" s="107" t="s">
        <v>713</v>
      </c>
      <c r="B343" s="107" t="s">
        <v>351</v>
      </c>
      <c r="C343" s="107" t="s">
        <v>361</v>
      </c>
      <c r="D343" s="107" t="s">
        <v>353</v>
      </c>
      <c r="E343">
        <v>2384</v>
      </c>
      <c r="F343" s="107" t="s">
        <v>987</v>
      </c>
      <c r="G343" s="107" t="s">
        <v>354</v>
      </c>
      <c r="H343" s="107" t="s">
        <v>643</v>
      </c>
      <c r="I343" s="107">
        <v>778</v>
      </c>
      <c r="J343" s="107"/>
    </row>
    <row r="344" spans="1:10">
      <c r="A344" s="107" t="s">
        <v>713</v>
      </c>
      <c r="B344" s="107" t="s">
        <v>351</v>
      </c>
      <c r="C344" s="107" t="s">
        <v>352</v>
      </c>
      <c r="D344" s="107" t="s">
        <v>353</v>
      </c>
      <c r="E344">
        <v>2398</v>
      </c>
      <c r="F344" s="107" t="s">
        <v>988</v>
      </c>
      <c r="G344" s="107" t="s">
        <v>354</v>
      </c>
      <c r="H344" s="107" t="s">
        <v>359</v>
      </c>
      <c r="I344" s="107">
        <v>409</v>
      </c>
      <c r="J344" s="107"/>
    </row>
    <row r="345" spans="1:10">
      <c r="A345" s="107" t="s">
        <v>713</v>
      </c>
      <c r="B345" s="107" t="s">
        <v>351</v>
      </c>
      <c r="C345" s="107" t="s">
        <v>352</v>
      </c>
      <c r="D345" s="107" t="s">
        <v>353</v>
      </c>
      <c r="E345">
        <v>6324</v>
      </c>
      <c r="F345" s="107" t="s">
        <v>1147</v>
      </c>
      <c r="G345" s="107" t="s">
        <v>358</v>
      </c>
      <c r="H345" s="107" t="s">
        <v>375</v>
      </c>
      <c r="I345" s="107" t="s">
        <v>505</v>
      </c>
      <c r="J345" s="107" t="s">
        <v>1148</v>
      </c>
    </row>
    <row r="346" spans="1:10">
      <c r="A346" s="107" t="s">
        <v>713</v>
      </c>
      <c r="B346" s="107" t="s">
        <v>351</v>
      </c>
      <c r="C346" s="107" t="s">
        <v>363</v>
      </c>
      <c r="D346" s="107" t="s">
        <v>353</v>
      </c>
      <c r="E346">
        <v>7320</v>
      </c>
      <c r="F346" s="107" t="s">
        <v>989</v>
      </c>
      <c r="G346" s="107" t="s">
        <v>366</v>
      </c>
      <c r="H346" s="107" t="s">
        <v>426</v>
      </c>
      <c r="I346" s="107">
        <v>59</v>
      </c>
      <c r="J346" s="107"/>
    </row>
    <row r="347" spans="1:10">
      <c r="A347" s="107" t="s">
        <v>713</v>
      </c>
      <c r="B347" s="107" t="s">
        <v>351</v>
      </c>
      <c r="C347" s="107" t="s">
        <v>352</v>
      </c>
      <c r="D347" s="107" t="s">
        <v>353</v>
      </c>
      <c r="E347">
        <v>8108</v>
      </c>
      <c r="F347" s="107" t="s">
        <v>715</v>
      </c>
      <c r="G347" s="107" t="s">
        <v>716</v>
      </c>
      <c r="H347" s="107" t="s">
        <v>360</v>
      </c>
      <c r="I347" s="107">
        <v>267</v>
      </c>
      <c r="J347" s="107"/>
    </row>
    <row r="348" spans="1:10">
      <c r="A348" s="107" t="s">
        <v>717</v>
      </c>
      <c r="B348" s="107" t="s">
        <v>351</v>
      </c>
      <c r="C348" s="107" t="s">
        <v>352</v>
      </c>
      <c r="D348" s="107" t="s">
        <v>353</v>
      </c>
      <c r="E348">
        <v>1762</v>
      </c>
      <c r="F348" s="107" t="s">
        <v>718</v>
      </c>
      <c r="G348" s="107" t="s">
        <v>354</v>
      </c>
      <c r="H348" s="107" t="s">
        <v>388</v>
      </c>
      <c r="I348" s="107" t="s">
        <v>409</v>
      </c>
      <c r="J348" s="107" t="s">
        <v>1149</v>
      </c>
    </row>
    <row r="349" spans="1:10">
      <c r="A349" s="107" t="s">
        <v>717</v>
      </c>
      <c r="B349" s="107" t="s">
        <v>351</v>
      </c>
      <c r="C349" s="107" t="s">
        <v>352</v>
      </c>
      <c r="D349" s="107" t="s">
        <v>353</v>
      </c>
      <c r="E349">
        <v>1821</v>
      </c>
      <c r="F349" s="107" t="s">
        <v>719</v>
      </c>
      <c r="G349" s="107" t="s">
        <v>354</v>
      </c>
      <c r="H349" s="107" t="s">
        <v>388</v>
      </c>
      <c r="I349" s="107">
        <v>992</v>
      </c>
      <c r="J349" s="107"/>
    </row>
    <row r="350" spans="1:10">
      <c r="A350" s="107" t="s">
        <v>717</v>
      </c>
      <c r="B350" s="107" t="s">
        <v>351</v>
      </c>
      <c r="C350" s="107" t="s">
        <v>352</v>
      </c>
      <c r="D350" s="107" t="s">
        <v>353</v>
      </c>
      <c r="E350">
        <v>2196</v>
      </c>
      <c r="F350" s="107" t="s">
        <v>991</v>
      </c>
      <c r="G350" s="107" t="s">
        <v>354</v>
      </c>
      <c r="H350" s="107" t="s">
        <v>359</v>
      </c>
      <c r="I350" s="107">
        <v>95</v>
      </c>
      <c r="J350" s="107"/>
    </row>
    <row r="351" spans="1:10">
      <c r="A351" s="107" t="s">
        <v>717</v>
      </c>
      <c r="B351" s="107" t="s">
        <v>351</v>
      </c>
      <c r="C351" s="107" t="s">
        <v>361</v>
      </c>
      <c r="D351" s="107" t="s">
        <v>353</v>
      </c>
      <c r="E351">
        <v>2436</v>
      </c>
      <c r="F351" s="107" t="s">
        <v>992</v>
      </c>
      <c r="G351" s="107" t="s">
        <v>358</v>
      </c>
      <c r="H351" s="107" t="s">
        <v>359</v>
      </c>
      <c r="I351" s="107">
        <v>60</v>
      </c>
      <c r="J351" s="107"/>
    </row>
    <row r="352" spans="1:10">
      <c r="A352" s="107" t="s">
        <v>717</v>
      </c>
      <c r="B352" s="107" t="s">
        <v>351</v>
      </c>
      <c r="C352" s="107" t="s">
        <v>352</v>
      </c>
      <c r="D352" s="107" t="s">
        <v>353</v>
      </c>
      <c r="E352">
        <v>2705</v>
      </c>
      <c r="F352" s="107" t="s">
        <v>720</v>
      </c>
      <c r="G352" s="107" t="s">
        <v>358</v>
      </c>
      <c r="H352" s="107" t="s">
        <v>364</v>
      </c>
      <c r="I352" s="107">
        <v>175</v>
      </c>
      <c r="J352" s="107"/>
    </row>
    <row r="353" spans="1:10">
      <c r="A353" s="107" t="s">
        <v>717</v>
      </c>
      <c r="B353" s="107" t="s">
        <v>351</v>
      </c>
      <c r="C353" s="107" t="s">
        <v>361</v>
      </c>
      <c r="D353" s="107" t="s">
        <v>353</v>
      </c>
      <c r="E353">
        <v>3784</v>
      </c>
      <c r="F353" s="107" t="s">
        <v>1150</v>
      </c>
      <c r="G353" s="107" t="s">
        <v>354</v>
      </c>
      <c r="H353" s="107" t="s">
        <v>365</v>
      </c>
      <c r="I353" s="107">
        <v>224</v>
      </c>
      <c r="J353" s="107"/>
    </row>
    <row r="354" spans="1:10">
      <c r="A354" s="107" t="s">
        <v>717</v>
      </c>
      <c r="B354" s="107" t="s">
        <v>351</v>
      </c>
      <c r="C354" s="107" t="s">
        <v>352</v>
      </c>
      <c r="D354" s="107" t="s">
        <v>353</v>
      </c>
      <c r="E354">
        <v>5714</v>
      </c>
      <c r="F354" s="107" t="s">
        <v>721</v>
      </c>
      <c r="G354" s="107" t="s">
        <v>354</v>
      </c>
      <c r="H354" s="107" t="s">
        <v>660</v>
      </c>
      <c r="I354" s="107" t="s">
        <v>377</v>
      </c>
      <c r="J354" s="107" t="s">
        <v>1151</v>
      </c>
    </row>
    <row r="355" spans="1:10">
      <c r="A355" s="107" t="s">
        <v>717</v>
      </c>
      <c r="B355" s="107" t="s">
        <v>351</v>
      </c>
      <c r="C355" s="107" t="s">
        <v>361</v>
      </c>
      <c r="D355" s="107" t="s">
        <v>353</v>
      </c>
      <c r="E355">
        <v>6627</v>
      </c>
      <c r="F355" s="107" t="s">
        <v>1152</v>
      </c>
      <c r="G355" s="107" t="s">
        <v>366</v>
      </c>
      <c r="H355" s="107" t="s">
        <v>379</v>
      </c>
      <c r="I355" s="107">
        <v>72</v>
      </c>
      <c r="J355" s="107"/>
    </row>
    <row r="356" spans="1:10">
      <c r="A356" s="107" t="s">
        <v>717</v>
      </c>
      <c r="B356" s="107" t="s">
        <v>351</v>
      </c>
      <c r="C356" s="107" t="s">
        <v>352</v>
      </c>
      <c r="D356" s="107" t="s">
        <v>353</v>
      </c>
      <c r="E356">
        <v>7294</v>
      </c>
      <c r="F356" s="107" t="s">
        <v>722</v>
      </c>
      <c r="G356" s="107" t="s">
        <v>354</v>
      </c>
      <c r="H356" s="107" t="s">
        <v>405</v>
      </c>
      <c r="I356" s="107">
        <v>364</v>
      </c>
      <c r="J356" s="107"/>
    </row>
    <row r="357" spans="1:10">
      <c r="A357" s="107" t="s">
        <v>717</v>
      </c>
      <c r="B357" s="107" t="s">
        <v>351</v>
      </c>
      <c r="C357" s="107" t="s">
        <v>352</v>
      </c>
      <c r="D357" s="107" t="s">
        <v>353</v>
      </c>
      <c r="E357">
        <v>9964</v>
      </c>
      <c r="F357" s="107" t="s">
        <v>723</v>
      </c>
      <c r="G357" s="107" t="s">
        <v>358</v>
      </c>
      <c r="H357" s="107" t="s">
        <v>360</v>
      </c>
      <c r="I357" s="107">
        <v>201</v>
      </c>
      <c r="J357" s="107"/>
    </row>
    <row r="358" spans="1:10">
      <c r="A358" s="107" t="s">
        <v>724</v>
      </c>
      <c r="B358" s="107" t="s">
        <v>351</v>
      </c>
      <c r="C358" s="107" t="s">
        <v>352</v>
      </c>
      <c r="D358" s="107" t="s">
        <v>353</v>
      </c>
      <c r="E358">
        <v>1384</v>
      </c>
      <c r="F358" s="107" t="s">
        <v>725</v>
      </c>
      <c r="G358" s="107" t="s">
        <v>354</v>
      </c>
      <c r="H358" s="107" t="s">
        <v>494</v>
      </c>
      <c r="I358" s="107">
        <v>56</v>
      </c>
      <c r="J358" s="107"/>
    </row>
    <row r="359" spans="1:10">
      <c r="A359" s="107" t="s">
        <v>724</v>
      </c>
      <c r="B359" s="107" t="s">
        <v>351</v>
      </c>
      <c r="C359" s="107" t="s">
        <v>361</v>
      </c>
      <c r="D359" s="107" t="s">
        <v>353</v>
      </c>
      <c r="E359">
        <v>2150</v>
      </c>
      <c r="F359" s="107" t="s">
        <v>726</v>
      </c>
      <c r="G359" s="107" t="s">
        <v>366</v>
      </c>
      <c r="H359" s="107" t="s">
        <v>359</v>
      </c>
      <c r="I359" s="107">
        <v>88</v>
      </c>
      <c r="J359" s="107"/>
    </row>
    <row r="360" spans="1:10">
      <c r="A360" s="107" t="s">
        <v>724</v>
      </c>
      <c r="B360" s="107" t="s">
        <v>351</v>
      </c>
      <c r="C360" s="107" t="s">
        <v>361</v>
      </c>
      <c r="D360" s="107" t="s">
        <v>353</v>
      </c>
      <c r="E360">
        <v>2170</v>
      </c>
      <c r="F360" s="107" t="s">
        <v>727</v>
      </c>
      <c r="G360" s="107" t="s">
        <v>354</v>
      </c>
      <c r="H360" s="107" t="s">
        <v>359</v>
      </c>
      <c r="I360">
        <v>755</v>
      </c>
    </row>
    <row r="361" spans="1:10">
      <c r="A361" s="107" t="s">
        <v>724</v>
      </c>
      <c r="B361" s="107" t="s">
        <v>351</v>
      </c>
      <c r="C361" s="107" t="s">
        <v>356</v>
      </c>
      <c r="D361" s="107" t="s">
        <v>353</v>
      </c>
      <c r="E361">
        <v>2185</v>
      </c>
      <c r="F361" s="107" t="s">
        <v>993</v>
      </c>
      <c r="G361" s="107" t="s">
        <v>358</v>
      </c>
      <c r="H361" s="107" t="s">
        <v>359</v>
      </c>
      <c r="I361">
        <v>166</v>
      </c>
    </row>
    <row r="362" spans="1:10">
      <c r="A362" s="107" t="s">
        <v>724</v>
      </c>
      <c r="B362" s="107" t="s">
        <v>351</v>
      </c>
      <c r="C362" s="107" t="s">
        <v>352</v>
      </c>
      <c r="D362" s="107" t="s">
        <v>353</v>
      </c>
      <c r="E362">
        <v>2323</v>
      </c>
      <c r="F362" s="107" t="s">
        <v>994</v>
      </c>
      <c r="G362" s="107" t="s">
        <v>358</v>
      </c>
      <c r="H362" s="107" t="s">
        <v>365</v>
      </c>
      <c r="I362" s="107">
        <v>14</v>
      </c>
      <c r="J362" s="107"/>
    </row>
    <row r="363" spans="1:10">
      <c r="A363" s="107" t="s">
        <v>724</v>
      </c>
      <c r="B363" s="107" t="s">
        <v>351</v>
      </c>
      <c r="C363" s="107" t="s">
        <v>352</v>
      </c>
      <c r="D363" s="107" t="s">
        <v>353</v>
      </c>
      <c r="E363">
        <v>2654</v>
      </c>
      <c r="F363" s="107" t="s">
        <v>728</v>
      </c>
      <c r="G363" s="107" t="s">
        <v>362</v>
      </c>
      <c r="H363" s="107" t="s">
        <v>364</v>
      </c>
      <c r="I363">
        <v>84</v>
      </c>
    </row>
    <row r="364" spans="1:10">
      <c r="A364" s="107" t="s">
        <v>724</v>
      </c>
      <c r="B364" s="107" t="s">
        <v>351</v>
      </c>
      <c r="C364" s="107" t="s">
        <v>352</v>
      </c>
      <c r="D364" s="107" t="s">
        <v>353</v>
      </c>
      <c r="E364">
        <v>3182</v>
      </c>
      <c r="F364" s="107" t="s">
        <v>729</v>
      </c>
      <c r="G364" s="107" t="s">
        <v>366</v>
      </c>
      <c r="H364" s="107" t="s">
        <v>364</v>
      </c>
      <c r="I364">
        <v>447</v>
      </c>
    </row>
    <row r="365" spans="1:10">
      <c r="A365" s="107" t="s">
        <v>724</v>
      </c>
      <c r="B365" s="107" t="s">
        <v>351</v>
      </c>
      <c r="C365" s="107" t="s">
        <v>352</v>
      </c>
      <c r="D365" s="107" t="s">
        <v>357</v>
      </c>
      <c r="E365">
        <v>3477</v>
      </c>
      <c r="F365" s="107" t="s">
        <v>1153</v>
      </c>
      <c r="G365" s="107" t="s">
        <v>366</v>
      </c>
      <c r="H365" s="107" t="s">
        <v>380</v>
      </c>
      <c r="I365" s="107">
        <v>20</v>
      </c>
      <c r="J365" s="107"/>
    </row>
    <row r="366" spans="1:10">
      <c r="A366" s="107" t="s">
        <v>724</v>
      </c>
      <c r="B366" s="107" t="s">
        <v>351</v>
      </c>
      <c r="C366" s="107" t="s">
        <v>361</v>
      </c>
      <c r="D366" s="107" t="s">
        <v>353</v>
      </c>
      <c r="E366">
        <v>3649</v>
      </c>
      <c r="F366" s="107" t="s">
        <v>1154</v>
      </c>
      <c r="G366" s="107" t="s">
        <v>354</v>
      </c>
      <c r="H366" s="107" t="s">
        <v>365</v>
      </c>
      <c r="I366" s="107">
        <v>348</v>
      </c>
      <c r="J366" s="107"/>
    </row>
    <row r="367" spans="1:10">
      <c r="A367" s="107" t="s">
        <v>724</v>
      </c>
      <c r="B367" s="107" t="s">
        <v>351</v>
      </c>
      <c r="C367" s="107" t="s">
        <v>361</v>
      </c>
      <c r="D367" s="107" t="s">
        <v>353</v>
      </c>
      <c r="E367">
        <v>3664</v>
      </c>
      <c r="F367" s="107" t="s">
        <v>1155</v>
      </c>
      <c r="G367" s="107" t="s">
        <v>366</v>
      </c>
      <c r="H367" s="107" t="s">
        <v>365</v>
      </c>
      <c r="I367" s="107">
        <v>60</v>
      </c>
      <c r="J367" s="107"/>
    </row>
    <row r="368" spans="1:10">
      <c r="A368" s="107" t="s">
        <v>724</v>
      </c>
      <c r="B368" s="107" t="s">
        <v>351</v>
      </c>
      <c r="C368" s="107" t="s">
        <v>352</v>
      </c>
      <c r="D368" s="107" t="s">
        <v>353</v>
      </c>
      <c r="E368">
        <v>3934</v>
      </c>
      <c r="F368" s="107" t="s">
        <v>730</v>
      </c>
      <c r="G368" s="107" t="s">
        <v>354</v>
      </c>
      <c r="H368" s="107" t="s">
        <v>365</v>
      </c>
      <c r="I368">
        <v>88</v>
      </c>
    </row>
    <row r="369" spans="1:10">
      <c r="A369" s="107" t="s">
        <v>724</v>
      </c>
      <c r="B369" s="107" t="s">
        <v>351</v>
      </c>
      <c r="C369" s="107" t="s">
        <v>363</v>
      </c>
      <c r="D369" s="107" t="s">
        <v>353</v>
      </c>
      <c r="E369">
        <v>3960</v>
      </c>
      <c r="F369" s="107" t="s">
        <v>731</v>
      </c>
      <c r="G369" s="107" t="s">
        <v>366</v>
      </c>
      <c r="H369" s="107" t="s">
        <v>365</v>
      </c>
      <c r="I369" s="107">
        <v>27</v>
      </c>
      <c r="J369" s="107"/>
    </row>
    <row r="370" spans="1:10">
      <c r="A370" s="107" t="s">
        <v>724</v>
      </c>
      <c r="B370" s="107" t="s">
        <v>351</v>
      </c>
      <c r="C370" s="107" t="s">
        <v>361</v>
      </c>
      <c r="D370" s="107" t="s">
        <v>353</v>
      </c>
      <c r="E370">
        <v>4755</v>
      </c>
      <c r="F370" s="107" t="s">
        <v>732</v>
      </c>
      <c r="G370" s="107" t="s">
        <v>354</v>
      </c>
      <c r="H370" s="107" t="s">
        <v>359</v>
      </c>
      <c r="I370" s="107" t="s">
        <v>733</v>
      </c>
      <c r="J370" s="107" t="s">
        <v>1156</v>
      </c>
    </row>
    <row r="371" spans="1:10">
      <c r="A371" s="107" t="s">
        <v>724</v>
      </c>
      <c r="B371" s="107" t="s">
        <v>351</v>
      </c>
      <c r="C371" s="107" t="s">
        <v>352</v>
      </c>
      <c r="D371" s="107" t="s">
        <v>353</v>
      </c>
      <c r="E371">
        <v>5304</v>
      </c>
      <c r="F371" s="107" t="s">
        <v>734</v>
      </c>
      <c r="G371" s="107" t="s">
        <v>362</v>
      </c>
      <c r="H371" s="107" t="s">
        <v>462</v>
      </c>
      <c r="I371" s="107">
        <v>373</v>
      </c>
      <c r="J371" s="107"/>
    </row>
    <row r="372" spans="1:10">
      <c r="A372" s="107" t="s">
        <v>724</v>
      </c>
      <c r="B372" s="107" t="s">
        <v>351</v>
      </c>
      <c r="C372" s="107" t="s">
        <v>352</v>
      </c>
      <c r="D372" s="107" t="s">
        <v>353</v>
      </c>
      <c r="E372">
        <v>6033</v>
      </c>
      <c r="F372" s="107" t="s">
        <v>735</v>
      </c>
      <c r="G372" s="107" t="s">
        <v>366</v>
      </c>
      <c r="H372" s="107" t="s">
        <v>359</v>
      </c>
      <c r="I372" s="107">
        <v>112</v>
      </c>
      <c r="J372" s="107"/>
    </row>
    <row r="373" spans="1:10">
      <c r="A373" s="107" t="s">
        <v>724</v>
      </c>
      <c r="B373" s="107" t="s">
        <v>351</v>
      </c>
      <c r="C373" s="107" t="s">
        <v>352</v>
      </c>
      <c r="D373" s="107" t="s">
        <v>353</v>
      </c>
      <c r="E373">
        <v>6125</v>
      </c>
      <c r="F373" s="107" t="s">
        <v>995</v>
      </c>
      <c r="G373" s="107" t="s">
        <v>362</v>
      </c>
      <c r="H373" s="107" t="s">
        <v>375</v>
      </c>
      <c r="I373">
        <v>148</v>
      </c>
    </row>
    <row r="374" spans="1:10">
      <c r="A374" s="107" t="s">
        <v>724</v>
      </c>
      <c r="B374" s="107" t="s">
        <v>351</v>
      </c>
      <c r="C374" s="107" t="s">
        <v>352</v>
      </c>
      <c r="D374" s="107" t="s">
        <v>353</v>
      </c>
      <c r="E374">
        <v>6303</v>
      </c>
      <c r="F374" s="107" t="s">
        <v>1157</v>
      </c>
      <c r="G374" s="107" t="s">
        <v>362</v>
      </c>
      <c r="H374" s="107" t="s">
        <v>375</v>
      </c>
      <c r="I374" s="107">
        <v>74</v>
      </c>
      <c r="J374" s="107"/>
    </row>
    <row r="375" spans="1:10">
      <c r="A375" s="107" t="s">
        <v>724</v>
      </c>
      <c r="B375" s="107" t="s">
        <v>351</v>
      </c>
      <c r="C375" s="107" t="s">
        <v>352</v>
      </c>
      <c r="D375" s="107" t="s">
        <v>353</v>
      </c>
      <c r="E375">
        <v>7070</v>
      </c>
      <c r="F375" s="107" t="s">
        <v>736</v>
      </c>
      <c r="G375" s="107" t="s">
        <v>358</v>
      </c>
      <c r="H375" s="107" t="s">
        <v>359</v>
      </c>
      <c r="I375">
        <v>42</v>
      </c>
    </row>
    <row r="376" spans="1:10">
      <c r="A376" s="107" t="s">
        <v>724</v>
      </c>
      <c r="B376" s="107" t="s">
        <v>351</v>
      </c>
      <c r="C376" s="107" t="s">
        <v>352</v>
      </c>
      <c r="D376" s="107" t="s">
        <v>353</v>
      </c>
      <c r="E376">
        <v>7780</v>
      </c>
      <c r="F376" s="107" t="s">
        <v>737</v>
      </c>
      <c r="G376" s="107" t="s">
        <v>354</v>
      </c>
      <c r="H376" s="107" t="s">
        <v>621</v>
      </c>
      <c r="I376" s="107" t="s">
        <v>409</v>
      </c>
      <c r="J376" s="107" t="s">
        <v>1158</v>
      </c>
    </row>
    <row r="377" spans="1:10">
      <c r="A377" s="107" t="s">
        <v>724</v>
      </c>
      <c r="B377" s="107" t="s">
        <v>351</v>
      </c>
      <c r="C377" s="107" t="s">
        <v>352</v>
      </c>
      <c r="D377" s="107" t="s">
        <v>353</v>
      </c>
      <c r="E377">
        <v>9707</v>
      </c>
      <c r="F377" s="107" t="s">
        <v>738</v>
      </c>
      <c r="G377" s="107" t="s">
        <v>358</v>
      </c>
      <c r="H377" s="107" t="s">
        <v>359</v>
      </c>
      <c r="I377" s="107">
        <v>131</v>
      </c>
      <c r="J377" s="107"/>
    </row>
    <row r="378" spans="1:10">
      <c r="A378" s="107" t="s">
        <v>739</v>
      </c>
      <c r="B378" s="107" t="s">
        <v>351</v>
      </c>
      <c r="C378" s="107" t="s">
        <v>352</v>
      </c>
      <c r="D378" s="107" t="s">
        <v>353</v>
      </c>
      <c r="E378">
        <v>2181</v>
      </c>
      <c r="F378" s="107" t="s">
        <v>996</v>
      </c>
      <c r="G378" s="107" t="s">
        <v>354</v>
      </c>
      <c r="H378" s="107" t="s">
        <v>359</v>
      </c>
      <c r="I378" s="107" t="s">
        <v>505</v>
      </c>
      <c r="J378" s="107" t="s">
        <v>1159</v>
      </c>
    </row>
    <row r="379" spans="1:10">
      <c r="A379" s="107" t="s">
        <v>739</v>
      </c>
      <c r="B379" s="107" t="s">
        <v>351</v>
      </c>
      <c r="C379" s="107" t="s">
        <v>352</v>
      </c>
      <c r="D379" s="107" t="s">
        <v>357</v>
      </c>
      <c r="E379">
        <v>2334</v>
      </c>
      <c r="F379" s="107" t="s">
        <v>997</v>
      </c>
      <c r="G379" s="107" t="s">
        <v>366</v>
      </c>
      <c r="H379" s="107" t="s">
        <v>359</v>
      </c>
      <c r="I379" s="107">
        <v>53</v>
      </c>
      <c r="J379" s="107"/>
    </row>
    <row r="380" spans="1:10">
      <c r="A380" s="107" t="s">
        <v>739</v>
      </c>
      <c r="B380" s="107" t="s">
        <v>351</v>
      </c>
      <c r="C380" s="107" t="s">
        <v>361</v>
      </c>
      <c r="D380" s="107" t="s">
        <v>353</v>
      </c>
      <c r="E380">
        <v>2492</v>
      </c>
      <c r="F380" s="107" t="s">
        <v>1160</v>
      </c>
      <c r="G380" s="107" t="s">
        <v>354</v>
      </c>
      <c r="H380" s="107" t="s">
        <v>359</v>
      </c>
      <c r="I380" s="107" t="s">
        <v>377</v>
      </c>
      <c r="J380" s="107" t="s">
        <v>1161</v>
      </c>
    </row>
    <row r="381" spans="1:10">
      <c r="A381" s="107" t="s">
        <v>739</v>
      </c>
      <c r="B381" s="107" t="s">
        <v>351</v>
      </c>
      <c r="C381" s="107" t="s">
        <v>363</v>
      </c>
      <c r="D381" s="107" t="s">
        <v>353</v>
      </c>
      <c r="E381">
        <v>3135</v>
      </c>
      <c r="F381" s="107" t="s">
        <v>740</v>
      </c>
      <c r="G381" s="107" t="s">
        <v>366</v>
      </c>
      <c r="H381" s="107" t="s">
        <v>364</v>
      </c>
      <c r="I381" s="107">
        <v>171</v>
      </c>
      <c r="J381" s="107"/>
    </row>
    <row r="382" spans="1:10">
      <c r="A382" s="107" t="s">
        <v>739</v>
      </c>
      <c r="B382" s="107" t="s">
        <v>351</v>
      </c>
      <c r="C382" s="107" t="s">
        <v>352</v>
      </c>
      <c r="D382" s="107" t="s">
        <v>353</v>
      </c>
      <c r="E382">
        <v>3184</v>
      </c>
      <c r="F382" s="107" t="s">
        <v>1162</v>
      </c>
      <c r="G382" s="107" t="s">
        <v>362</v>
      </c>
      <c r="H382" s="107" t="s">
        <v>364</v>
      </c>
      <c r="I382" s="107">
        <v>34</v>
      </c>
      <c r="J382" s="107"/>
    </row>
    <row r="383" spans="1:10">
      <c r="A383" s="107" t="s">
        <v>739</v>
      </c>
      <c r="B383" s="107" t="s">
        <v>351</v>
      </c>
      <c r="C383" s="107" t="s">
        <v>352</v>
      </c>
      <c r="D383" s="107" t="s">
        <v>357</v>
      </c>
      <c r="E383">
        <v>3489</v>
      </c>
      <c r="F383" s="107" t="s">
        <v>1163</v>
      </c>
      <c r="G383" s="107" t="s">
        <v>366</v>
      </c>
      <c r="H383" s="107" t="s">
        <v>380</v>
      </c>
      <c r="I383" s="107">
        <v>64</v>
      </c>
      <c r="J383" s="107"/>
    </row>
    <row r="384" spans="1:10">
      <c r="A384" s="107" t="s">
        <v>739</v>
      </c>
      <c r="B384" s="107" t="s">
        <v>351</v>
      </c>
      <c r="C384" s="107" t="s">
        <v>352</v>
      </c>
      <c r="D384" s="107" t="s">
        <v>353</v>
      </c>
      <c r="E384">
        <v>4620</v>
      </c>
      <c r="F384" s="107" t="s">
        <v>741</v>
      </c>
      <c r="G384" s="107" t="s">
        <v>354</v>
      </c>
      <c r="H384" s="107" t="s">
        <v>367</v>
      </c>
      <c r="I384" s="107">
        <v>186</v>
      </c>
      <c r="J384" s="107"/>
    </row>
    <row r="385" spans="1:10">
      <c r="A385" s="107" t="s">
        <v>739</v>
      </c>
      <c r="B385" s="107" t="s">
        <v>351</v>
      </c>
      <c r="C385" s="107" t="s">
        <v>361</v>
      </c>
      <c r="D385" s="107" t="s">
        <v>353</v>
      </c>
      <c r="E385">
        <v>6141</v>
      </c>
      <c r="F385" s="107" t="s">
        <v>742</v>
      </c>
      <c r="G385" s="107" t="s">
        <v>354</v>
      </c>
      <c r="H385" s="107" t="s">
        <v>375</v>
      </c>
      <c r="I385" s="107" t="s">
        <v>377</v>
      </c>
      <c r="J385" s="107" t="s">
        <v>1164</v>
      </c>
    </row>
    <row r="386" spans="1:10">
      <c r="A386" s="107" t="s">
        <v>739</v>
      </c>
      <c r="B386" s="107" t="s">
        <v>351</v>
      </c>
      <c r="C386" s="107" t="s">
        <v>352</v>
      </c>
      <c r="D386" s="107" t="s">
        <v>353</v>
      </c>
      <c r="E386">
        <v>6247</v>
      </c>
      <c r="F386" s="107" t="s">
        <v>743</v>
      </c>
      <c r="G386" s="107" t="s">
        <v>354</v>
      </c>
      <c r="H386" s="107" t="s">
        <v>375</v>
      </c>
      <c r="I386" s="107">
        <v>326</v>
      </c>
      <c r="J386" s="107"/>
    </row>
    <row r="387" spans="1:10">
      <c r="A387" s="107" t="s">
        <v>739</v>
      </c>
      <c r="B387" s="107" t="s">
        <v>351</v>
      </c>
      <c r="C387" s="107" t="s">
        <v>352</v>
      </c>
      <c r="D387" s="107" t="s">
        <v>353</v>
      </c>
      <c r="E387">
        <v>7199</v>
      </c>
      <c r="F387" s="107" t="s">
        <v>744</v>
      </c>
      <c r="G387" s="107" t="s">
        <v>354</v>
      </c>
      <c r="H387" s="107" t="s">
        <v>426</v>
      </c>
      <c r="I387">
        <v>308</v>
      </c>
    </row>
    <row r="388" spans="1:10">
      <c r="A388" s="107" t="s">
        <v>745</v>
      </c>
      <c r="B388" s="107" t="s">
        <v>351</v>
      </c>
      <c r="C388" s="107" t="s">
        <v>361</v>
      </c>
      <c r="D388" s="107" t="s">
        <v>357</v>
      </c>
      <c r="E388">
        <v>8985</v>
      </c>
      <c r="F388" s="107" t="s">
        <v>746</v>
      </c>
      <c r="G388" s="107" t="s">
        <v>441</v>
      </c>
      <c r="H388" s="107" t="s">
        <v>442</v>
      </c>
      <c r="I388" s="107" t="s">
        <v>594</v>
      </c>
      <c r="J388" s="107" t="s">
        <v>1165</v>
      </c>
    </row>
    <row r="389" spans="1:10">
      <c r="A389" s="107" t="s">
        <v>1166</v>
      </c>
      <c r="B389" s="107" t="s">
        <v>351</v>
      </c>
      <c r="C389" s="107" t="s">
        <v>352</v>
      </c>
      <c r="D389" s="107" t="s">
        <v>353</v>
      </c>
      <c r="E389">
        <v>2593</v>
      </c>
      <c r="F389" s="107" t="s">
        <v>370</v>
      </c>
      <c r="G389" s="107" t="s">
        <v>354</v>
      </c>
      <c r="H389" s="107" t="s">
        <v>355</v>
      </c>
      <c r="I389" s="107" t="s">
        <v>505</v>
      </c>
      <c r="J389" s="107" t="s">
        <v>1167</v>
      </c>
    </row>
    <row r="390" spans="1:10">
      <c r="A390" s="107" t="s">
        <v>1166</v>
      </c>
      <c r="B390" s="107" t="s">
        <v>351</v>
      </c>
      <c r="C390" s="107" t="s">
        <v>363</v>
      </c>
      <c r="D390" s="107" t="s">
        <v>353</v>
      </c>
      <c r="E390">
        <v>6267</v>
      </c>
      <c r="F390" s="107" t="s">
        <v>374</v>
      </c>
      <c r="G390" s="107" t="s">
        <v>358</v>
      </c>
      <c r="H390" s="107" t="s">
        <v>375</v>
      </c>
      <c r="I390" s="107">
        <v>36</v>
      </c>
      <c r="J390" s="107"/>
    </row>
    <row r="391" spans="1:10">
      <c r="A391" s="107" t="s">
        <v>1168</v>
      </c>
      <c r="B391" s="107" t="s">
        <v>351</v>
      </c>
      <c r="C391" s="107" t="s">
        <v>352</v>
      </c>
      <c r="D391" s="107" t="s">
        <v>353</v>
      </c>
      <c r="E391">
        <v>4750</v>
      </c>
      <c r="F391" s="107" t="s">
        <v>368</v>
      </c>
      <c r="G391" s="107" t="s">
        <v>362</v>
      </c>
      <c r="H391" s="107" t="s">
        <v>359</v>
      </c>
      <c r="I391">
        <v>52</v>
      </c>
    </row>
    <row r="392" spans="1:10">
      <c r="A392" s="107" t="s">
        <v>747</v>
      </c>
      <c r="B392" s="107" t="s">
        <v>351</v>
      </c>
      <c r="C392" s="107" t="s">
        <v>352</v>
      </c>
      <c r="D392" s="107" t="s">
        <v>357</v>
      </c>
      <c r="E392">
        <v>1723</v>
      </c>
      <c r="F392" s="107" t="s">
        <v>748</v>
      </c>
      <c r="G392" s="107" t="s">
        <v>358</v>
      </c>
      <c r="H392" s="107" t="s">
        <v>388</v>
      </c>
      <c r="I392">
        <v>250</v>
      </c>
    </row>
    <row r="393" spans="1:10">
      <c r="A393" s="107" t="s">
        <v>747</v>
      </c>
      <c r="B393" s="107" t="s">
        <v>351</v>
      </c>
      <c r="C393" s="107" t="s">
        <v>352</v>
      </c>
      <c r="D393" s="107" t="s">
        <v>353</v>
      </c>
      <c r="E393">
        <v>1941</v>
      </c>
      <c r="F393" s="107" t="s">
        <v>749</v>
      </c>
      <c r="G393" s="107" t="s">
        <v>354</v>
      </c>
      <c r="H393" s="107" t="s">
        <v>388</v>
      </c>
      <c r="I393" s="107" t="s">
        <v>409</v>
      </c>
      <c r="J393" s="107" t="s">
        <v>1169</v>
      </c>
    </row>
    <row r="394" spans="1:10">
      <c r="A394" s="107" t="s">
        <v>747</v>
      </c>
      <c r="B394" s="107" t="s">
        <v>351</v>
      </c>
      <c r="C394" s="107" t="s">
        <v>352</v>
      </c>
      <c r="D394" s="107" t="s">
        <v>353</v>
      </c>
      <c r="E394">
        <v>1946</v>
      </c>
      <c r="F394" s="107" t="s">
        <v>750</v>
      </c>
      <c r="G394" s="107" t="s">
        <v>354</v>
      </c>
      <c r="H394" s="107" t="s">
        <v>388</v>
      </c>
      <c r="I394" s="107">
        <v>703</v>
      </c>
      <c r="J394" s="107"/>
    </row>
    <row r="395" spans="1:10">
      <c r="A395" s="107" t="s">
        <v>747</v>
      </c>
      <c r="B395" s="107" t="s">
        <v>351</v>
      </c>
      <c r="C395" s="107" t="s">
        <v>352</v>
      </c>
      <c r="D395" s="107" t="s">
        <v>353</v>
      </c>
      <c r="E395">
        <v>1959</v>
      </c>
      <c r="F395" s="107" t="s">
        <v>751</v>
      </c>
      <c r="G395" s="107" t="s">
        <v>354</v>
      </c>
      <c r="H395" s="107" t="s">
        <v>388</v>
      </c>
      <c r="I395" s="107" t="s">
        <v>377</v>
      </c>
      <c r="J395" s="107" t="s">
        <v>971</v>
      </c>
    </row>
    <row r="396" spans="1:10">
      <c r="A396" s="107" t="s">
        <v>747</v>
      </c>
      <c r="B396" s="107" t="s">
        <v>351</v>
      </c>
      <c r="C396" s="107" t="s">
        <v>352</v>
      </c>
      <c r="D396" s="107" t="s">
        <v>353</v>
      </c>
      <c r="E396">
        <v>2148</v>
      </c>
      <c r="F396" s="107" t="s">
        <v>998</v>
      </c>
      <c r="G396" s="107" t="s">
        <v>354</v>
      </c>
      <c r="H396" s="107" t="s">
        <v>359</v>
      </c>
      <c r="I396" s="107">
        <v>157</v>
      </c>
      <c r="J396" s="107"/>
    </row>
    <row r="397" spans="1:10">
      <c r="A397" s="107" t="s">
        <v>747</v>
      </c>
      <c r="B397" s="107" t="s">
        <v>351</v>
      </c>
      <c r="C397" s="107" t="s">
        <v>352</v>
      </c>
      <c r="D397" s="107" t="s">
        <v>353</v>
      </c>
      <c r="E397">
        <v>2326</v>
      </c>
      <c r="F397" s="107" t="s">
        <v>999</v>
      </c>
      <c r="G397" s="107" t="s">
        <v>354</v>
      </c>
      <c r="H397" s="107" t="s">
        <v>365</v>
      </c>
      <c r="I397">
        <v>832</v>
      </c>
    </row>
    <row r="398" spans="1:10">
      <c r="A398" s="107" t="s">
        <v>747</v>
      </c>
      <c r="B398" s="107" t="s">
        <v>351</v>
      </c>
      <c r="C398" s="107" t="s">
        <v>352</v>
      </c>
      <c r="D398" s="107" t="s">
        <v>357</v>
      </c>
      <c r="E398">
        <v>2332</v>
      </c>
      <c r="F398" s="107" t="s">
        <v>752</v>
      </c>
      <c r="G398" s="107" t="s">
        <v>358</v>
      </c>
      <c r="H398" s="107" t="s">
        <v>365</v>
      </c>
      <c r="I398" s="107">
        <v>62</v>
      </c>
      <c r="J398" s="107"/>
    </row>
    <row r="399" spans="1:10">
      <c r="A399" s="107" t="s">
        <v>747</v>
      </c>
      <c r="B399" s="107" t="s">
        <v>351</v>
      </c>
      <c r="C399" s="107" t="s">
        <v>352</v>
      </c>
      <c r="D399" s="107" t="s">
        <v>353</v>
      </c>
      <c r="E399">
        <v>3116</v>
      </c>
      <c r="F399" s="107" t="s">
        <v>1170</v>
      </c>
      <c r="G399" s="107" t="s">
        <v>354</v>
      </c>
      <c r="H399" s="107" t="s">
        <v>405</v>
      </c>
      <c r="I399" s="107" t="s">
        <v>594</v>
      </c>
      <c r="J399" s="107" t="s">
        <v>1171</v>
      </c>
    </row>
    <row r="400" spans="1:10">
      <c r="A400" s="107" t="s">
        <v>747</v>
      </c>
      <c r="B400" s="107" t="s">
        <v>351</v>
      </c>
      <c r="C400" s="107" t="s">
        <v>352</v>
      </c>
      <c r="D400" s="107" t="s">
        <v>353</v>
      </c>
      <c r="E400">
        <v>3132</v>
      </c>
      <c r="F400" s="107" t="s">
        <v>1172</v>
      </c>
      <c r="G400" s="107" t="s">
        <v>354</v>
      </c>
      <c r="H400" s="107" t="s">
        <v>360</v>
      </c>
      <c r="I400" s="107" t="s">
        <v>409</v>
      </c>
      <c r="J400" s="107" t="s">
        <v>1173</v>
      </c>
    </row>
    <row r="401" spans="1:10">
      <c r="A401" s="107" t="s">
        <v>747</v>
      </c>
      <c r="B401" s="107" t="s">
        <v>351</v>
      </c>
      <c r="C401" s="107" t="s">
        <v>352</v>
      </c>
      <c r="D401" s="107" t="s">
        <v>357</v>
      </c>
      <c r="E401">
        <v>3177</v>
      </c>
      <c r="F401" s="107" t="s">
        <v>753</v>
      </c>
      <c r="G401" s="107" t="s">
        <v>358</v>
      </c>
      <c r="H401" s="107" t="s">
        <v>364</v>
      </c>
      <c r="I401" s="107">
        <v>22</v>
      </c>
      <c r="J401" s="107"/>
    </row>
    <row r="402" spans="1:10">
      <c r="A402" s="107" t="s">
        <v>747</v>
      </c>
      <c r="B402" s="107" t="s">
        <v>351</v>
      </c>
      <c r="C402" s="107" t="s">
        <v>352</v>
      </c>
      <c r="D402" s="107" t="s">
        <v>353</v>
      </c>
      <c r="E402">
        <v>3231</v>
      </c>
      <c r="F402" s="107" t="s">
        <v>754</v>
      </c>
      <c r="G402" s="107" t="s">
        <v>354</v>
      </c>
      <c r="H402" s="107" t="s">
        <v>380</v>
      </c>
      <c r="I402" s="107" t="s">
        <v>371</v>
      </c>
      <c r="J402" s="107" t="s">
        <v>1174</v>
      </c>
    </row>
    <row r="403" spans="1:10">
      <c r="A403" s="107" t="s">
        <v>747</v>
      </c>
      <c r="B403" s="107" t="s">
        <v>351</v>
      </c>
      <c r="C403" s="107" t="s">
        <v>352</v>
      </c>
      <c r="D403" s="107" t="s">
        <v>357</v>
      </c>
      <c r="E403">
        <v>3564</v>
      </c>
      <c r="F403" s="107" t="s">
        <v>1175</v>
      </c>
      <c r="G403" s="107" t="s">
        <v>354</v>
      </c>
      <c r="H403" s="107" t="s">
        <v>364</v>
      </c>
      <c r="I403" s="107">
        <v>867</v>
      </c>
      <c r="J403" s="107"/>
    </row>
    <row r="404" spans="1:10">
      <c r="A404" s="107" t="s">
        <v>747</v>
      </c>
      <c r="B404" s="107" t="s">
        <v>351</v>
      </c>
      <c r="C404" s="107" t="s">
        <v>352</v>
      </c>
      <c r="D404" s="107" t="s">
        <v>357</v>
      </c>
      <c r="E404">
        <v>3658</v>
      </c>
      <c r="F404" s="107" t="s">
        <v>1176</v>
      </c>
      <c r="G404" s="107" t="s">
        <v>354</v>
      </c>
      <c r="H404" s="107" t="s">
        <v>365</v>
      </c>
      <c r="I404">
        <v>112</v>
      </c>
    </row>
    <row r="405" spans="1:10">
      <c r="A405" s="107" t="s">
        <v>747</v>
      </c>
      <c r="B405" s="107" t="s">
        <v>351</v>
      </c>
      <c r="C405" s="107" t="s">
        <v>352</v>
      </c>
      <c r="D405" s="107" t="s">
        <v>353</v>
      </c>
      <c r="E405">
        <v>3778</v>
      </c>
      <c r="F405" s="107" t="s">
        <v>1177</v>
      </c>
      <c r="G405" s="107" t="s">
        <v>354</v>
      </c>
      <c r="H405" s="107" t="s">
        <v>365</v>
      </c>
      <c r="I405">
        <v>251</v>
      </c>
    </row>
    <row r="406" spans="1:10">
      <c r="A406" s="107" t="s">
        <v>747</v>
      </c>
      <c r="B406" s="107" t="s">
        <v>351</v>
      </c>
      <c r="C406" s="107" t="s">
        <v>352</v>
      </c>
      <c r="D406" s="107" t="s">
        <v>357</v>
      </c>
      <c r="E406">
        <v>4333</v>
      </c>
      <c r="F406" s="107" t="s">
        <v>755</v>
      </c>
      <c r="G406" s="107" t="s">
        <v>354</v>
      </c>
      <c r="H406" s="107" t="s">
        <v>365</v>
      </c>
      <c r="I406">
        <v>133</v>
      </c>
    </row>
    <row r="407" spans="1:10">
      <c r="A407" s="107" t="s">
        <v>747</v>
      </c>
      <c r="B407" s="107" t="s">
        <v>351</v>
      </c>
      <c r="C407" s="107" t="s">
        <v>356</v>
      </c>
      <c r="D407" s="107" t="s">
        <v>357</v>
      </c>
      <c r="E407">
        <v>4393</v>
      </c>
      <c r="F407" s="107" t="s">
        <v>756</v>
      </c>
      <c r="G407" s="107" t="s">
        <v>366</v>
      </c>
      <c r="H407" s="107" t="s">
        <v>365</v>
      </c>
      <c r="I407" s="107">
        <v>115</v>
      </c>
      <c r="J407" s="107"/>
    </row>
    <row r="408" spans="1:10">
      <c r="A408" s="107" t="s">
        <v>747</v>
      </c>
      <c r="B408" s="107" t="s">
        <v>351</v>
      </c>
      <c r="C408" s="107" t="s">
        <v>352</v>
      </c>
      <c r="D408" s="107" t="s">
        <v>353</v>
      </c>
      <c r="E408">
        <v>4557</v>
      </c>
      <c r="F408" s="107" t="s">
        <v>757</v>
      </c>
      <c r="G408" s="107" t="s">
        <v>358</v>
      </c>
      <c r="H408" s="107" t="s">
        <v>476</v>
      </c>
      <c r="I408">
        <v>234</v>
      </c>
    </row>
    <row r="409" spans="1:10">
      <c r="A409" s="107" t="s">
        <v>747</v>
      </c>
      <c r="B409" s="107" t="s">
        <v>351</v>
      </c>
      <c r="C409" s="107" t="s">
        <v>352</v>
      </c>
      <c r="D409" s="107" t="s">
        <v>353</v>
      </c>
      <c r="E409">
        <v>4684</v>
      </c>
      <c r="F409" s="107" t="s">
        <v>758</v>
      </c>
      <c r="G409" s="107" t="s">
        <v>354</v>
      </c>
      <c r="H409" s="107" t="s">
        <v>365</v>
      </c>
      <c r="I409" s="107" t="s">
        <v>759</v>
      </c>
      <c r="J409" s="107" t="s">
        <v>1178</v>
      </c>
    </row>
    <row r="410" spans="1:10">
      <c r="A410" s="107" t="s">
        <v>747</v>
      </c>
      <c r="B410" s="107" t="s">
        <v>351</v>
      </c>
      <c r="C410" s="107" t="s">
        <v>352</v>
      </c>
      <c r="D410" s="107" t="s">
        <v>353</v>
      </c>
      <c r="E410">
        <v>4689</v>
      </c>
      <c r="F410" s="107" t="s">
        <v>760</v>
      </c>
      <c r="G410" s="107" t="s">
        <v>354</v>
      </c>
      <c r="H410" s="107" t="s">
        <v>365</v>
      </c>
      <c r="I410" s="107" t="s">
        <v>761</v>
      </c>
      <c r="J410" s="107" t="s">
        <v>1179</v>
      </c>
    </row>
    <row r="411" spans="1:10">
      <c r="A411" s="107" t="s">
        <v>747</v>
      </c>
      <c r="B411" s="107" t="s">
        <v>351</v>
      </c>
      <c r="C411" s="107" t="s">
        <v>352</v>
      </c>
      <c r="D411" s="107" t="s">
        <v>357</v>
      </c>
      <c r="E411">
        <v>6022</v>
      </c>
      <c r="F411" s="107" t="s">
        <v>762</v>
      </c>
      <c r="G411" s="107" t="s">
        <v>362</v>
      </c>
      <c r="H411" s="107" t="s">
        <v>375</v>
      </c>
      <c r="I411" s="107">
        <v>28</v>
      </c>
      <c r="J411" s="107"/>
    </row>
    <row r="412" spans="1:10">
      <c r="A412" s="107" t="s">
        <v>747</v>
      </c>
      <c r="B412" s="107" t="s">
        <v>351</v>
      </c>
      <c r="C412" s="107" t="s">
        <v>352</v>
      </c>
      <c r="D412" s="107" t="s">
        <v>353</v>
      </c>
      <c r="E412">
        <v>6201</v>
      </c>
      <c r="F412" s="107" t="s">
        <v>763</v>
      </c>
      <c r="G412" s="107" t="s">
        <v>354</v>
      </c>
      <c r="H412" s="107" t="s">
        <v>405</v>
      </c>
      <c r="I412" s="107" t="s">
        <v>1180</v>
      </c>
      <c r="J412" s="107" t="s">
        <v>1181</v>
      </c>
    </row>
    <row r="413" spans="1:10">
      <c r="A413" s="107" t="s">
        <v>747</v>
      </c>
      <c r="B413" s="107" t="s">
        <v>351</v>
      </c>
      <c r="C413" s="107" t="s">
        <v>352</v>
      </c>
      <c r="D413" s="107" t="s">
        <v>353</v>
      </c>
      <c r="E413">
        <v>6301</v>
      </c>
      <c r="F413" s="107" t="s">
        <v>765</v>
      </c>
      <c r="G413" s="107" t="s">
        <v>354</v>
      </c>
      <c r="H413" s="107" t="s">
        <v>375</v>
      </c>
      <c r="I413" s="107" t="s">
        <v>1182</v>
      </c>
      <c r="J413" s="107" t="s">
        <v>1183</v>
      </c>
    </row>
    <row r="414" spans="1:10">
      <c r="A414" s="107" t="s">
        <v>747</v>
      </c>
      <c r="B414" s="107" t="s">
        <v>351</v>
      </c>
      <c r="C414" s="107" t="s">
        <v>352</v>
      </c>
      <c r="D414" s="107" t="s">
        <v>353</v>
      </c>
      <c r="E414">
        <v>6395</v>
      </c>
      <c r="F414" s="107" t="s">
        <v>766</v>
      </c>
      <c r="G414" s="107" t="s">
        <v>354</v>
      </c>
      <c r="H414" s="107" t="s">
        <v>375</v>
      </c>
      <c r="I414" s="107" t="s">
        <v>409</v>
      </c>
      <c r="J414" s="107" t="s">
        <v>1184</v>
      </c>
    </row>
    <row r="415" spans="1:10">
      <c r="A415" s="107" t="s">
        <v>747</v>
      </c>
      <c r="B415" s="107" t="s">
        <v>351</v>
      </c>
      <c r="C415" s="107" t="s">
        <v>352</v>
      </c>
      <c r="D415" s="107" t="s">
        <v>353</v>
      </c>
      <c r="E415">
        <v>6645</v>
      </c>
      <c r="F415" s="107" t="s">
        <v>768</v>
      </c>
      <c r="G415" s="107" t="s">
        <v>354</v>
      </c>
      <c r="H415" s="107" t="s">
        <v>379</v>
      </c>
      <c r="I415" s="107" t="s">
        <v>733</v>
      </c>
      <c r="J415" s="107" t="s">
        <v>775</v>
      </c>
    </row>
    <row r="416" spans="1:10">
      <c r="A416" s="107" t="s">
        <v>747</v>
      </c>
      <c r="B416" s="107" t="s">
        <v>351</v>
      </c>
      <c r="C416" s="107" t="s">
        <v>352</v>
      </c>
      <c r="D416" s="107" t="s">
        <v>353</v>
      </c>
      <c r="E416">
        <v>6788</v>
      </c>
      <c r="F416" s="107" t="s">
        <v>769</v>
      </c>
      <c r="G416" s="107" t="s">
        <v>354</v>
      </c>
      <c r="H416" s="107" t="s">
        <v>379</v>
      </c>
      <c r="I416" s="107">
        <v>419</v>
      </c>
      <c r="J416" s="107"/>
    </row>
    <row r="417" spans="1:10">
      <c r="A417" s="107" t="s">
        <v>747</v>
      </c>
      <c r="B417" s="107" t="s">
        <v>351</v>
      </c>
      <c r="C417" s="107" t="s">
        <v>352</v>
      </c>
      <c r="D417" s="107" t="s">
        <v>353</v>
      </c>
      <c r="E417">
        <v>7278</v>
      </c>
      <c r="F417" s="107" t="s">
        <v>770</v>
      </c>
      <c r="G417" s="107" t="s">
        <v>354</v>
      </c>
      <c r="H417" s="107" t="s">
        <v>405</v>
      </c>
      <c r="I417" s="107" t="s">
        <v>409</v>
      </c>
      <c r="J417" s="107" t="s">
        <v>1185</v>
      </c>
    </row>
    <row r="418" spans="1:10">
      <c r="A418" s="107" t="s">
        <v>747</v>
      </c>
      <c r="B418" s="107" t="s">
        <v>351</v>
      </c>
      <c r="C418" s="107" t="s">
        <v>363</v>
      </c>
      <c r="D418" s="107" t="s">
        <v>357</v>
      </c>
      <c r="E418">
        <v>7500</v>
      </c>
      <c r="F418" s="107" t="s">
        <v>1186</v>
      </c>
      <c r="G418" s="107" t="s">
        <v>358</v>
      </c>
      <c r="H418" s="107" t="s">
        <v>360</v>
      </c>
      <c r="I418" s="107">
        <v>147</v>
      </c>
      <c r="J418" s="107"/>
    </row>
    <row r="419" spans="1:10">
      <c r="A419" s="107" t="s">
        <v>747</v>
      </c>
      <c r="B419" s="107" t="s">
        <v>351</v>
      </c>
      <c r="C419" s="107" t="s">
        <v>352</v>
      </c>
      <c r="D419" s="107" t="s">
        <v>353</v>
      </c>
      <c r="E419">
        <v>7995</v>
      </c>
      <c r="F419" s="107" t="s">
        <v>771</v>
      </c>
      <c r="G419" s="107" t="s">
        <v>354</v>
      </c>
      <c r="H419" s="107" t="s">
        <v>367</v>
      </c>
      <c r="I419">
        <v>488</v>
      </c>
    </row>
    <row r="420" spans="1:10">
      <c r="A420" s="107" t="s">
        <v>747</v>
      </c>
      <c r="B420" s="107" t="s">
        <v>351</v>
      </c>
      <c r="C420" s="107" t="s">
        <v>352</v>
      </c>
      <c r="D420" s="107" t="s">
        <v>353</v>
      </c>
      <c r="E420">
        <v>8242</v>
      </c>
      <c r="F420" s="107" t="s">
        <v>772</v>
      </c>
      <c r="G420" s="107" t="s">
        <v>354</v>
      </c>
      <c r="H420" s="107" t="s">
        <v>364</v>
      </c>
      <c r="I420" s="107" t="s">
        <v>409</v>
      </c>
      <c r="J420" s="107" t="s">
        <v>1187</v>
      </c>
    </row>
    <row r="421" spans="1:10">
      <c r="A421" s="107" t="s">
        <v>747</v>
      </c>
      <c r="B421" s="107" t="s">
        <v>351</v>
      </c>
      <c r="C421" s="107" t="s">
        <v>352</v>
      </c>
      <c r="D421" s="107" t="s">
        <v>353</v>
      </c>
      <c r="E421">
        <v>8304</v>
      </c>
      <c r="F421" s="107" t="s">
        <v>773</v>
      </c>
      <c r="G421" s="107" t="s">
        <v>354</v>
      </c>
      <c r="H421" s="107" t="s">
        <v>774</v>
      </c>
      <c r="I421" s="107" t="s">
        <v>594</v>
      </c>
      <c r="J421" s="107" t="s">
        <v>1188</v>
      </c>
    </row>
    <row r="422" spans="1:10">
      <c r="A422" s="107" t="s">
        <v>747</v>
      </c>
      <c r="B422" s="107" t="s">
        <v>351</v>
      </c>
      <c r="C422" s="107" t="s">
        <v>352</v>
      </c>
      <c r="D422" s="107" t="s">
        <v>353</v>
      </c>
      <c r="E422">
        <v>9202</v>
      </c>
      <c r="F422" s="107" t="s">
        <v>776</v>
      </c>
      <c r="G422" s="107" t="s">
        <v>354</v>
      </c>
      <c r="H422" s="107" t="s">
        <v>777</v>
      </c>
      <c r="I422" s="107" t="s">
        <v>860</v>
      </c>
      <c r="J422" s="107" t="s">
        <v>1189</v>
      </c>
    </row>
    <row r="423" spans="1:10">
      <c r="A423" s="107" t="s">
        <v>747</v>
      </c>
      <c r="B423" s="107" t="s">
        <v>351</v>
      </c>
      <c r="C423" s="107" t="s">
        <v>352</v>
      </c>
      <c r="D423" s="107" t="s">
        <v>353</v>
      </c>
      <c r="E423">
        <v>9474</v>
      </c>
      <c r="F423" s="107" t="s">
        <v>778</v>
      </c>
      <c r="G423" s="107" t="s">
        <v>354</v>
      </c>
      <c r="H423" s="107" t="s">
        <v>365</v>
      </c>
      <c r="I423" s="107" t="s">
        <v>409</v>
      </c>
      <c r="J423" s="107" t="s">
        <v>990</v>
      </c>
    </row>
    <row r="424" spans="1:10">
      <c r="A424" s="107" t="s">
        <v>747</v>
      </c>
      <c r="B424" s="107" t="s">
        <v>351</v>
      </c>
      <c r="C424" s="107" t="s">
        <v>352</v>
      </c>
      <c r="D424" s="107" t="s">
        <v>353</v>
      </c>
      <c r="E424">
        <v>9502</v>
      </c>
      <c r="F424" s="107" t="s">
        <v>779</v>
      </c>
      <c r="G424" s="107" t="s">
        <v>354</v>
      </c>
      <c r="H424" s="107" t="s">
        <v>780</v>
      </c>
      <c r="I424" s="107" t="s">
        <v>781</v>
      </c>
      <c r="J424" s="107" t="s">
        <v>1190</v>
      </c>
    </row>
    <row r="425" spans="1:10">
      <c r="A425" s="107" t="s">
        <v>747</v>
      </c>
      <c r="B425" s="107" t="s">
        <v>351</v>
      </c>
      <c r="C425" s="107" t="s">
        <v>352</v>
      </c>
      <c r="D425" s="107" t="s">
        <v>353</v>
      </c>
      <c r="E425">
        <v>9504</v>
      </c>
      <c r="F425" s="107" t="s">
        <v>782</v>
      </c>
      <c r="G425" s="107" t="s">
        <v>354</v>
      </c>
      <c r="H425" s="107" t="s">
        <v>780</v>
      </c>
      <c r="I425" s="107" t="s">
        <v>371</v>
      </c>
      <c r="J425" s="107" t="s">
        <v>1156</v>
      </c>
    </row>
    <row r="426" spans="1:10">
      <c r="A426" s="107" t="s">
        <v>747</v>
      </c>
      <c r="B426" s="107" t="s">
        <v>351</v>
      </c>
      <c r="C426" s="107" t="s">
        <v>352</v>
      </c>
      <c r="D426" s="107" t="s">
        <v>353</v>
      </c>
      <c r="E426">
        <v>9531</v>
      </c>
      <c r="F426" s="107" t="s">
        <v>783</v>
      </c>
      <c r="G426" s="107" t="s">
        <v>354</v>
      </c>
      <c r="H426" s="107" t="s">
        <v>780</v>
      </c>
      <c r="I426" s="107" t="s">
        <v>781</v>
      </c>
      <c r="J426" s="107" t="s">
        <v>1191</v>
      </c>
    </row>
    <row r="427" spans="1:10">
      <c r="A427" s="107" t="s">
        <v>747</v>
      </c>
      <c r="B427" s="107" t="s">
        <v>351</v>
      </c>
      <c r="C427" s="107" t="s">
        <v>352</v>
      </c>
      <c r="D427" s="107" t="s">
        <v>353</v>
      </c>
      <c r="E427">
        <v>9719</v>
      </c>
      <c r="F427" s="107" t="s">
        <v>784</v>
      </c>
      <c r="G427" s="107" t="s">
        <v>354</v>
      </c>
      <c r="H427" s="107" t="s">
        <v>365</v>
      </c>
      <c r="I427" s="107" t="s">
        <v>564</v>
      </c>
      <c r="J427" s="107" t="s">
        <v>1192</v>
      </c>
    </row>
    <row r="428" spans="1:10">
      <c r="A428" s="107" t="s">
        <v>747</v>
      </c>
      <c r="B428" s="107" t="s">
        <v>351</v>
      </c>
      <c r="C428" s="107" t="s">
        <v>352</v>
      </c>
      <c r="D428" s="107" t="s">
        <v>353</v>
      </c>
      <c r="E428">
        <v>9936</v>
      </c>
      <c r="F428" s="107" t="s">
        <v>785</v>
      </c>
      <c r="G428" s="107" t="s">
        <v>354</v>
      </c>
      <c r="H428" s="107" t="s">
        <v>364</v>
      </c>
      <c r="I428" s="107" t="s">
        <v>409</v>
      </c>
      <c r="J428" s="107" t="s">
        <v>1193</v>
      </c>
    </row>
    <row r="429" spans="1:10">
      <c r="A429" s="107" t="s">
        <v>787</v>
      </c>
      <c r="B429" s="107" t="s">
        <v>351</v>
      </c>
      <c r="C429" s="107" t="s">
        <v>363</v>
      </c>
      <c r="D429" s="107" t="s">
        <v>357</v>
      </c>
      <c r="E429">
        <v>1430</v>
      </c>
      <c r="F429" s="107" t="s">
        <v>788</v>
      </c>
      <c r="G429" s="107" t="s">
        <v>354</v>
      </c>
      <c r="H429" s="107" t="s">
        <v>388</v>
      </c>
      <c r="I429" s="107">
        <v>87</v>
      </c>
      <c r="J429" s="107"/>
    </row>
    <row r="430" spans="1:10">
      <c r="A430" s="107" t="s">
        <v>787</v>
      </c>
      <c r="B430" s="107" t="s">
        <v>351</v>
      </c>
      <c r="C430" s="107" t="s">
        <v>361</v>
      </c>
      <c r="D430" s="107" t="s">
        <v>353</v>
      </c>
      <c r="E430">
        <v>2734</v>
      </c>
      <c r="F430" s="107" t="s">
        <v>789</v>
      </c>
      <c r="G430" s="107" t="s">
        <v>354</v>
      </c>
      <c r="H430" s="107" t="s">
        <v>364</v>
      </c>
      <c r="I430">
        <v>411</v>
      </c>
    </row>
    <row r="431" spans="1:10">
      <c r="A431" s="107" t="s">
        <v>787</v>
      </c>
      <c r="B431" s="107" t="s">
        <v>351</v>
      </c>
      <c r="C431" s="107" t="s">
        <v>356</v>
      </c>
      <c r="D431" s="107" t="s">
        <v>353</v>
      </c>
      <c r="E431">
        <v>3168</v>
      </c>
      <c r="F431" s="107" t="s">
        <v>790</v>
      </c>
      <c r="G431" s="107" t="s">
        <v>354</v>
      </c>
      <c r="H431" s="107" t="s">
        <v>360</v>
      </c>
      <c r="I431">
        <v>65</v>
      </c>
    </row>
    <row r="432" spans="1:10">
      <c r="A432" s="107" t="s">
        <v>787</v>
      </c>
      <c r="B432" s="107" t="s">
        <v>351</v>
      </c>
      <c r="C432" s="107" t="s">
        <v>361</v>
      </c>
      <c r="D432" s="107" t="s">
        <v>353</v>
      </c>
      <c r="E432">
        <v>3186</v>
      </c>
      <c r="F432" s="107" t="s">
        <v>791</v>
      </c>
      <c r="G432" s="107" t="s">
        <v>354</v>
      </c>
      <c r="H432" s="107" t="s">
        <v>364</v>
      </c>
      <c r="I432">
        <v>893</v>
      </c>
    </row>
    <row r="433" spans="1:10">
      <c r="A433" s="107" t="s">
        <v>787</v>
      </c>
      <c r="B433" s="107" t="s">
        <v>351</v>
      </c>
      <c r="C433" s="107" t="s">
        <v>352</v>
      </c>
      <c r="D433" s="107" t="s">
        <v>353</v>
      </c>
      <c r="E433">
        <v>3353</v>
      </c>
      <c r="F433" s="107" t="s">
        <v>792</v>
      </c>
      <c r="G433" s="107" t="s">
        <v>358</v>
      </c>
      <c r="H433" s="107" t="s">
        <v>364</v>
      </c>
      <c r="I433" s="107">
        <v>183</v>
      </c>
      <c r="J433" s="107"/>
    </row>
    <row r="434" spans="1:10">
      <c r="A434" s="107" t="s">
        <v>787</v>
      </c>
      <c r="B434" s="107" t="s">
        <v>351</v>
      </c>
      <c r="C434" s="107" t="s">
        <v>352</v>
      </c>
      <c r="D434" s="107" t="s">
        <v>353</v>
      </c>
      <c r="E434">
        <v>3382</v>
      </c>
      <c r="F434" s="107" t="s">
        <v>793</v>
      </c>
      <c r="G434" s="107" t="s">
        <v>354</v>
      </c>
      <c r="H434" s="107" t="s">
        <v>364</v>
      </c>
      <c r="I434" s="107" t="s">
        <v>794</v>
      </c>
      <c r="J434" s="107" t="s">
        <v>972</v>
      </c>
    </row>
    <row r="435" spans="1:10">
      <c r="A435" s="107" t="s">
        <v>787</v>
      </c>
      <c r="B435" s="107" t="s">
        <v>351</v>
      </c>
      <c r="C435" s="107" t="s">
        <v>361</v>
      </c>
      <c r="D435" s="107" t="s">
        <v>353</v>
      </c>
      <c r="E435">
        <v>3454</v>
      </c>
      <c r="F435" s="107" t="s">
        <v>795</v>
      </c>
      <c r="G435" s="107" t="s">
        <v>354</v>
      </c>
      <c r="H435" s="107" t="s">
        <v>380</v>
      </c>
      <c r="I435" s="107">
        <v>184</v>
      </c>
      <c r="J435" s="107"/>
    </row>
    <row r="436" spans="1:10">
      <c r="A436" s="107" t="s">
        <v>787</v>
      </c>
      <c r="B436" s="107" t="s">
        <v>351</v>
      </c>
      <c r="C436" s="107" t="s">
        <v>352</v>
      </c>
      <c r="D436" s="107" t="s">
        <v>353</v>
      </c>
      <c r="E436">
        <v>4429</v>
      </c>
      <c r="F436" s="107" t="s">
        <v>796</v>
      </c>
      <c r="G436" s="107" t="s">
        <v>366</v>
      </c>
      <c r="H436" s="107" t="s">
        <v>365</v>
      </c>
      <c r="I436">
        <v>242</v>
      </c>
    </row>
    <row r="437" spans="1:10">
      <c r="A437" s="107" t="s">
        <v>787</v>
      </c>
      <c r="B437" s="107" t="s">
        <v>351</v>
      </c>
      <c r="C437" s="107" t="s">
        <v>363</v>
      </c>
      <c r="D437" s="107" t="s">
        <v>357</v>
      </c>
      <c r="E437">
        <v>4430</v>
      </c>
      <c r="F437" s="107" t="s">
        <v>797</v>
      </c>
      <c r="G437" s="107" t="s">
        <v>362</v>
      </c>
      <c r="H437" s="107" t="s">
        <v>365</v>
      </c>
      <c r="I437">
        <v>54</v>
      </c>
    </row>
    <row r="438" spans="1:10">
      <c r="A438" s="107" t="s">
        <v>787</v>
      </c>
      <c r="B438" s="107" t="s">
        <v>351</v>
      </c>
      <c r="C438" s="107" t="s">
        <v>363</v>
      </c>
      <c r="D438" s="107" t="s">
        <v>353</v>
      </c>
      <c r="E438">
        <v>4443</v>
      </c>
      <c r="F438" s="107" t="s">
        <v>798</v>
      </c>
      <c r="G438" s="107" t="s">
        <v>366</v>
      </c>
      <c r="H438" s="107" t="s">
        <v>365</v>
      </c>
      <c r="I438" s="107" t="s">
        <v>409</v>
      </c>
      <c r="J438" s="107" t="s">
        <v>1194</v>
      </c>
    </row>
    <row r="439" spans="1:10">
      <c r="A439" s="107" t="s">
        <v>787</v>
      </c>
      <c r="B439" s="107" t="s">
        <v>351</v>
      </c>
      <c r="C439" s="107" t="s">
        <v>356</v>
      </c>
      <c r="D439" s="107" t="s">
        <v>357</v>
      </c>
      <c r="E439">
        <v>6264</v>
      </c>
      <c r="F439" s="107" t="s">
        <v>800</v>
      </c>
      <c r="G439" s="107" t="s">
        <v>354</v>
      </c>
      <c r="H439" s="107" t="s">
        <v>375</v>
      </c>
      <c r="I439" s="107">
        <v>134</v>
      </c>
      <c r="J439" s="107"/>
    </row>
    <row r="440" spans="1:10">
      <c r="A440" s="107" t="s">
        <v>787</v>
      </c>
      <c r="B440" s="107" t="s">
        <v>351</v>
      </c>
      <c r="C440" s="107" t="s">
        <v>356</v>
      </c>
      <c r="D440" s="107" t="s">
        <v>353</v>
      </c>
      <c r="E440">
        <v>6289</v>
      </c>
      <c r="F440" s="107" t="s">
        <v>1195</v>
      </c>
      <c r="G440" s="107" t="s">
        <v>354</v>
      </c>
      <c r="H440" s="107" t="s">
        <v>375</v>
      </c>
      <c r="I440" s="107" t="s">
        <v>409</v>
      </c>
      <c r="J440" s="107" t="s">
        <v>967</v>
      </c>
    </row>
    <row r="441" spans="1:10">
      <c r="A441" s="107" t="s">
        <v>787</v>
      </c>
      <c r="B441" s="107" t="s">
        <v>351</v>
      </c>
      <c r="C441" s="107" t="s">
        <v>363</v>
      </c>
      <c r="D441" s="107" t="s">
        <v>357</v>
      </c>
      <c r="E441">
        <v>6496</v>
      </c>
      <c r="F441" s="107" t="s">
        <v>801</v>
      </c>
      <c r="G441" s="107" t="s">
        <v>362</v>
      </c>
      <c r="H441" s="107" t="s">
        <v>375</v>
      </c>
      <c r="I441" s="107">
        <v>103</v>
      </c>
      <c r="J441" s="107"/>
    </row>
    <row r="442" spans="1:10">
      <c r="A442" s="107" t="s">
        <v>787</v>
      </c>
      <c r="B442" s="107" t="s">
        <v>351</v>
      </c>
      <c r="C442" s="107" t="s">
        <v>352</v>
      </c>
      <c r="D442" s="107" t="s">
        <v>353</v>
      </c>
      <c r="E442">
        <v>8008</v>
      </c>
      <c r="F442" s="107" t="s">
        <v>802</v>
      </c>
      <c r="G442" s="107" t="s">
        <v>354</v>
      </c>
      <c r="H442" s="107" t="s">
        <v>364</v>
      </c>
      <c r="I442">
        <v>627</v>
      </c>
    </row>
    <row r="443" spans="1:10">
      <c r="A443" s="107" t="s">
        <v>787</v>
      </c>
      <c r="B443" s="107" t="s">
        <v>351</v>
      </c>
      <c r="C443" s="107" t="s">
        <v>352</v>
      </c>
      <c r="D443" s="107" t="s">
        <v>353</v>
      </c>
      <c r="E443">
        <v>8125</v>
      </c>
      <c r="F443" s="107" t="s">
        <v>803</v>
      </c>
      <c r="G443" s="107" t="s">
        <v>354</v>
      </c>
      <c r="H443" s="107" t="s">
        <v>360</v>
      </c>
      <c r="I443">
        <v>563</v>
      </c>
    </row>
    <row r="444" spans="1:10">
      <c r="A444" s="107" t="s">
        <v>804</v>
      </c>
      <c r="B444" s="107" t="s">
        <v>351</v>
      </c>
      <c r="C444" s="107" t="s">
        <v>363</v>
      </c>
      <c r="D444" s="107" t="s">
        <v>353</v>
      </c>
      <c r="E444">
        <v>1377</v>
      </c>
      <c r="F444" s="107" t="s">
        <v>805</v>
      </c>
      <c r="G444" s="107" t="s">
        <v>354</v>
      </c>
      <c r="H444" s="107" t="s">
        <v>494</v>
      </c>
      <c r="I444" s="107" t="s">
        <v>409</v>
      </c>
      <c r="J444" s="107" t="s">
        <v>1196</v>
      </c>
    </row>
    <row r="445" spans="1:10">
      <c r="A445" s="107" t="s">
        <v>804</v>
      </c>
      <c r="B445" s="107" t="s">
        <v>351</v>
      </c>
      <c r="C445" s="107" t="s">
        <v>363</v>
      </c>
      <c r="D445" s="107" t="s">
        <v>353</v>
      </c>
      <c r="E445">
        <v>1887</v>
      </c>
      <c r="F445" s="107" t="s">
        <v>806</v>
      </c>
      <c r="G445" s="107" t="s">
        <v>354</v>
      </c>
      <c r="H445" s="107" t="s">
        <v>388</v>
      </c>
      <c r="I445" s="107">
        <v>608</v>
      </c>
      <c r="J445" s="107"/>
    </row>
    <row r="446" spans="1:10">
      <c r="A446" s="107" t="s">
        <v>804</v>
      </c>
      <c r="B446" s="107" t="s">
        <v>351</v>
      </c>
      <c r="C446" s="107" t="s">
        <v>352</v>
      </c>
      <c r="D446" s="107" t="s">
        <v>357</v>
      </c>
      <c r="E446">
        <v>2294</v>
      </c>
      <c r="F446" s="107" t="s">
        <v>807</v>
      </c>
      <c r="G446" s="107" t="s">
        <v>354</v>
      </c>
      <c r="H446" s="107" t="s">
        <v>355</v>
      </c>
      <c r="I446">
        <v>373</v>
      </c>
    </row>
    <row r="447" spans="1:10">
      <c r="A447" s="107" t="s">
        <v>804</v>
      </c>
      <c r="B447" s="107" t="s">
        <v>351</v>
      </c>
      <c r="C447" s="107" t="s">
        <v>363</v>
      </c>
      <c r="D447" s="107" t="s">
        <v>357</v>
      </c>
      <c r="E447">
        <v>2303</v>
      </c>
      <c r="F447" s="107" t="s">
        <v>808</v>
      </c>
      <c r="G447" s="107" t="s">
        <v>358</v>
      </c>
      <c r="H447" s="107" t="s">
        <v>365</v>
      </c>
      <c r="I447">
        <v>51</v>
      </c>
    </row>
    <row r="448" spans="1:10">
      <c r="A448" s="107" t="s">
        <v>804</v>
      </c>
      <c r="B448" s="107" t="s">
        <v>351</v>
      </c>
      <c r="C448" s="107" t="s">
        <v>363</v>
      </c>
      <c r="D448" s="107" t="s">
        <v>353</v>
      </c>
      <c r="E448">
        <v>2462</v>
      </c>
      <c r="F448" s="107" t="s">
        <v>809</v>
      </c>
      <c r="G448" s="107" t="s">
        <v>354</v>
      </c>
      <c r="H448" s="107" t="s">
        <v>359</v>
      </c>
      <c r="I448">
        <v>343</v>
      </c>
    </row>
    <row r="449" spans="1:10">
      <c r="A449" s="107" t="s">
        <v>804</v>
      </c>
      <c r="B449" s="107" t="s">
        <v>351</v>
      </c>
      <c r="C449" s="107" t="s">
        <v>361</v>
      </c>
      <c r="D449" s="107" t="s">
        <v>353</v>
      </c>
      <c r="E449">
        <v>2698</v>
      </c>
      <c r="F449" s="107" t="s">
        <v>810</v>
      </c>
      <c r="G449" s="107" t="s">
        <v>354</v>
      </c>
      <c r="H449" s="107" t="s">
        <v>364</v>
      </c>
      <c r="I449">
        <v>276</v>
      </c>
    </row>
    <row r="450" spans="1:10">
      <c r="A450" s="107" t="s">
        <v>804</v>
      </c>
      <c r="B450" s="107" t="s">
        <v>351</v>
      </c>
      <c r="C450" s="107" t="s">
        <v>363</v>
      </c>
      <c r="D450" s="107" t="s">
        <v>357</v>
      </c>
      <c r="E450">
        <v>3297</v>
      </c>
      <c r="F450" s="107" t="s">
        <v>811</v>
      </c>
      <c r="G450" s="107" t="s">
        <v>358</v>
      </c>
      <c r="H450" s="107" t="s">
        <v>380</v>
      </c>
      <c r="I450" s="107">
        <v>29</v>
      </c>
      <c r="J450" s="107"/>
    </row>
    <row r="451" spans="1:10">
      <c r="A451" s="107" t="s">
        <v>804</v>
      </c>
      <c r="B451" s="107" t="s">
        <v>351</v>
      </c>
      <c r="C451" s="107" t="s">
        <v>361</v>
      </c>
      <c r="D451" s="107" t="s">
        <v>357</v>
      </c>
      <c r="E451">
        <v>3377</v>
      </c>
      <c r="F451" s="107" t="s">
        <v>812</v>
      </c>
      <c r="G451" s="107" t="s">
        <v>362</v>
      </c>
      <c r="H451" s="107" t="s">
        <v>360</v>
      </c>
      <c r="I451" s="107">
        <v>29</v>
      </c>
      <c r="J451" s="107"/>
    </row>
    <row r="452" spans="1:10">
      <c r="A452" s="107" t="s">
        <v>804</v>
      </c>
      <c r="B452" s="107" t="s">
        <v>351</v>
      </c>
      <c r="C452" s="107" t="s">
        <v>352</v>
      </c>
      <c r="D452" s="107" t="s">
        <v>353</v>
      </c>
      <c r="E452">
        <v>3387</v>
      </c>
      <c r="F452" s="107" t="s">
        <v>813</v>
      </c>
      <c r="G452" s="107" t="s">
        <v>354</v>
      </c>
      <c r="H452" s="107" t="s">
        <v>364</v>
      </c>
      <c r="I452" s="107" t="s">
        <v>409</v>
      </c>
      <c r="J452" s="107" t="s">
        <v>1197</v>
      </c>
    </row>
    <row r="453" spans="1:10">
      <c r="A453" s="107" t="s">
        <v>804</v>
      </c>
      <c r="B453" s="107" t="s">
        <v>351</v>
      </c>
      <c r="C453" s="107" t="s">
        <v>352</v>
      </c>
      <c r="D453" s="107" t="s">
        <v>353</v>
      </c>
      <c r="E453">
        <v>3548</v>
      </c>
      <c r="F453" s="107" t="s">
        <v>814</v>
      </c>
      <c r="G453" s="107" t="s">
        <v>354</v>
      </c>
      <c r="H453" s="107" t="s">
        <v>364</v>
      </c>
      <c r="I453" s="107">
        <v>346</v>
      </c>
      <c r="J453" s="107"/>
    </row>
    <row r="454" spans="1:10">
      <c r="A454" s="107" t="s">
        <v>804</v>
      </c>
      <c r="B454" s="107" t="s">
        <v>351</v>
      </c>
      <c r="C454" s="107" t="s">
        <v>352</v>
      </c>
      <c r="D454" s="107" t="s">
        <v>357</v>
      </c>
      <c r="E454">
        <v>3557</v>
      </c>
      <c r="F454" s="107" t="s">
        <v>815</v>
      </c>
      <c r="G454" s="107" t="s">
        <v>366</v>
      </c>
      <c r="H454" s="107" t="s">
        <v>364</v>
      </c>
      <c r="I454">
        <v>48</v>
      </c>
    </row>
    <row r="455" spans="1:10">
      <c r="A455" s="107" t="s">
        <v>804</v>
      </c>
      <c r="B455" s="107" t="s">
        <v>351</v>
      </c>
      <c r="C455" s="107" t="s">
        <v>352</v>
      </c>
      <c r="D455" s="107" t="s">
        <v>357</v>
      </c>
      <c r="E455">
        <v>3996</v>
      </c>
      <c r="F455" s="107" t="s">
        <v>816</v>
      </c>
      <c r="G455" s="107" t="s">
        <v>354</v>
      </c>
      <c r="H455" s="107" t="s">
        <v>365</v>
      </c>
      <c r="I455">
        <v>244</v>
      </c>
    </row>
    <row r="456" spans="1:10">
      <c r="A456" s="107" t="s">
        <v>804</v>
      </c>
      <c r="B456" s="107" t="s">
        <v>351</v>
      </c>
      <c r="C456" s="107" t="s">
        <v>356</v>
      </c>
      <c r="D456" s="107" t="s">
        <v>353</v>
      </c>
      <c r="E456">
        <v>4433</v>
      </c>
      <c r="F456" s="107" t="s">
        <v>817</v>
      </c>
      <c r="G456" s="107" t="s">
        <v>354</v>
      </c>
      <c r="H456" s="107" t="s">
        <v>365</v>
      </c>
      <c r="I456">
        <v>285</v>
      </c>
    </row>
    <row r="457" spans="1:10">
      <c r="A457" s="107" t="s">
        <v>804</v>
      </c>
      <c r="B457" s="107" t="s">
        <v>351</v>
      </c>
      <c r="C457" s="107" t="s">
        <v>352</v>
      </c>
      <c r="D457" s="107" t="s">
        <v>357</v>
      </c>
      <c r="E457">
        <v>4434</v>
      </c>
      <c r="F457" s="107" t="s">
        <v>818</v>
      </c>
      <c r="G457" s="107" t="s">
        <v>366</v>
      </c>
      <c r="H457" s="107" t="s">
        <v>365</v>
      </c>
      <c r="I457">
        <v>292</v>
      </c>
    </row>
    <row r="458" spans="1:10">
      <c r="A458" s="107" t="s">
        <v>804</v>
      </c>
      <c r="B458" s="107" t="s">
        <v>351</v>
      </c>
      <c r="C458" s="107" t="s">
        <v>356</v>
      </c>
      <c r="D458" s="107" t="s">
        <v>353</v>
      </c>
      <c r="E458">
        <v>4440</v>
      </c>
      <c r="F458" s="107" t="s">
        <v>819</v>
      </c>
      <c r="G458" s="107" t="s">
        <v>366</v>
      </c>
      <c r="H458" s="107" t="s">
        <v>365</v>
      </c>
      <c r="I458">
        <v>97</v>
      </c>
    </row>
    <row r="459" spans="1:10">
      <c r="A459" s="107" t="s">
        <v>804</v>
      </c>
      <c r="B459" s="107" t="s">
        <v>351</v>
      </c>
      <c r="C459" s="107" t="s">
        <v>363</v>
      </c>
      <c r="D459" s="107" t="s">
        <v>353</v>
      </c>
      <c r="E459">
        <v>5967</v>
      </c>
      <c r="F459" s="107" t="s">
        <v>820</v>
      </c>
      <c r="G459" s="107" t="s">
        <v>362</v>
      </c>
      <c r="H459" s="107" t="s">
        <v>369</v>
      </c>
      <c r="I459">
        <v>61</v>
      </c>
    </row>
    <row r="460" spans="1:10">
      <c r="A460" s="107" t="s">
        <v>804</v>
      </c>
      <c r="B460" s="107" t="s">
        <v>351</v>
      </c>
      <c r="C460" s="107" t="s">
        <v>352</v>
      </c>
      <c r="D460" s="107" t="s">
        <v>353</v>
      </c>
      <c r="E460">
        <v>6173</v>
      </c>
      <c r="F460" s="107" t="s">
        <v>821</v>
      </c>
      <c r="G460" s="107" t="s">
        <v>366</v>
      </c>
      <c r="H460" s="107" t="s">
        <v>359</v>
      </c>
      <c r="I460">
        <v>25</v>
      </c>
    </row>
    <row r="461" spans="1:10">
      <c r="A461" s="107" t="s">
        <v>804</v>
      </c>
      <c r="B461" s="107" t="s">
        <v>351</v>
      </c>
      <c r="C461" s="107" t="s">
        <v>363</v>
      </c>
      <c r="D461" s="107" t="s">
        <v>353</v>
      </c>
      <c r="E461">
        <v>6489</v>
      </c>
      <c r="F461" s="107" t="s">
        <v>822</v>
      </c>
      <c r="G461" s="107" t="s">
        <v>354</v>
      </c>
      <c r="H461" s="107" t="s">
        <v>375</v>
      </c>
      <c r="I461" s="107">
        <v>84</v>
      </c>
      <c r="J461" s="107"/>
    </row>
    <row r="462" spans="1:10">
      <c r="A462" s="107" t="s">
        <v>804</v>
      </c>
      <c r="B462" s="107" t="s">
        <v>351</v>
      </c>
      <c r="C462" s="107" t="s">
        <v>352</v>
      </c>
      <c r="D462" s="107" t="s">
        <v>353</v>
      </c>
      <c r="E462">
        <v>6543</v>
      </c>
      <c r="F462" s="107" t="s">
        <v>823</v>
      </c>
      <c r="G462" s="107" t="s">
        <v>358</v>
      </c>
      <c r="H462" s="107" t="s">
        <v>359</v>
      </c>
      <c r="I462">
        <v>26</v>
      </c>
    </row>
    <row r="463" spans="1:10">
      <c r="A463" s="107" t="s">
        <v>804</v>
      </c>
      <c r="B463" s="107" t="s">
        <v>351</v>
      </c>
      <c r="C463" s="107" t="s">
        <v>352</v>
      </c>
      <c r="D463" s="107" t="s">
        <v>353</v>
      </c>
      <c r="E463">
        <v>7049</v>
      </c>
      <c r="F463" s="107" t="s">
        <v>824</v>
      </c>
      <c r="G463" s="107" t="s">
        <v>366</v>
      </c>
      <c r="H463" s="107" t="s">
        <v>359</v>
      </c>
      <c r="I463" s="107">
        <v>129</v>
      </c>
      <c r="J463" s="107"/>
    </row>
    <row r="464" spans="1:10">
      <c r="A464" s="107" t="s">
        <v>804</v>
      </c>
      <c r="B464" s="107" t="s">
        <v>351</v>
      </c>
      <c r="C464" s="107" t="s">
        <v>352</v>
      </c>
      <c r="D464" s="107" t="s">
        <v>353</v>
      </c>
      <c r="E464">
        <v>7058</v>
      </c>
      <c r="F464" s="107" t="s">
        <v>825</v>
      </c>
      <c r="G464" s="107" t="s">
        <v>358</v>
      </c>
      <c r="H464" s="107" t="s">
        <v>359</v>
      </c>
      <c r="I464" s="107">
        <v>75</v>
      </c>
      <c r="J464" s="107"/>
    </row>
    <row r="465" spans="1:10">
      <c r="A465" s="107" t="s">
        <v>804</v>
      </c>
      <c r="B465" s="107" t="s">
        <v>351</v>
      </c>
      <c r="C465" s="107" t="s">
        <v>356</v>
      </c>
      <c r="D465" s="107" t="s">
        <v>353</v>
      </c>
      <c r="E465">
        <v>7065</v>
      </c>
      <c r="F465" s="107" t="s">
        <v>826</v>
      </c>
      <c r="G465" s="107" t="s">
        <v>362</v>
      </c>
      <c r="H465" s="107" t="s">
        <v>359</v>
      </c>
      <c r="I465">
        <v>190</v>
      </c>
    </row>
    <row r="466" spans="1:10">
      <c r="A466" s="107" t="s">
        <v>804</v>
      </c>
      <c r="B466" s="107" t="s">
        <v>351</v>
      </c>
      <c r="C466" s="107" t="s">
        <v>363</v>
      </c>
      <c r="D466" s="107" t="s">
        <v>357</v>
      </c>
      <c r="E466">
        <v>7673</v>
      </c>
      <c r="F466" s="107" t="s">
        <v>827</v>
      </c>
      <c r="G466" s="107" t="s">
        <v>362</v>
      </c>
      <c r="H466" s="107" t="s">
        <v>360</v>
      </c>
      <c r="I466">
        <v>53</v>
      </c>
    </row>
    <row r="467" spans="1:10">
      <c r="A467" s="107" t="s">
        <v>804</v>
      </c>
      <c r="B467" s="107" t="s">
        <v>351</v>
      </c>
      <c r="C467" s="107" t="s">
        <v>352</v>
      </c>
      <c r="D467" s="107" t="s">
        <v>353</v>
      </c>
      <c r="E467">
        <v>7811</v>
      </c>
      <c r="F467" s="107" t="s">
        <v>828</v>
      </c>
      <c r="G467" s="107" t="s">
        <v>354</v>
      </c>
      <c r="H467" s="107" t="s">
        <v>376</v>
      </c>
      <c r="I467">
        <v>123</v>
      </c>
    </row>
    <row r="468" spans="1:10">
      <c r="A468" s="107" t="s">
        <v>829</v>
      </c>
      <c r="B468" s="107" t="s">
        <v>351</v>
      </c>
      <c r="C468" s="107" t="s">
        <v>352</v>
      </c>
      <c r="D468" s="107" t="s">
        <v>353</v>
      </c>
      <c r="E468">
        <v>1719</v>
      </c>
      <c r="F468" s="107" t="s">
        <v>830</v>
      </c>
      <c r="G468" s="107" t="s">
        <v>354</v>
      </c>
      <c r="H468" s="107" t="s">
        <v>388</v>
      </c>
      <c r="I468" s="107" t="s">
        <v>409</v>
      </c>
      <c r="J468" s="107" t="s">
        <v>1198</v>
      </c>
    </row>
    <row r="469" spans="1:10">
      <c r="A469" s="107" t="s">
        <v>829</v>
      </c>
      <c r="B469" s="107" t="s">
        <v>351</v>
      </c>
      <c r="C469" s="107" t="s">
        <v>352</v>
      </c>
      <c r="D469" s="107" t="s">
        <v>353</v>
      </c>
      <c r="E469">
        <v>1812</v>
      </c>
      <c r="F469" s="107" t="s">
        <v>831</v>
      </c>
      <c r="G469" s="107" t="s">
        <v>354</v>
      </c>
      <c r="H469" s="107" t="s">
        <v>388</v>
      </c>
      <c r="I469" s="107" t="s">
        <v>832</v>
      </c>
      <c r="J469" s="107" t="s">
        <v>1199</v>
      </c>
    </row>
    <row r="470" spans="1:10">
      <c r="A470" s="107" t="s">
        <v>829</v>
      </c>
      <c r="B470" s="107" t="s">
        <v>351</v>
      </c>
      <c r="C470" s="107" t="s">
        <v>352</v>
      </c>
      <c r="D470" s="107" t="s">
        <v>353</v>
      </c>
      <c r="E470">
        <v>1824</v>
      </c>
      <c r="F470" s="107" t="s">
        <v>833</v>
      </c>
      <c r="G470" s="107" t="s">
        <v>354</v>
      </c>
      <c r="H470" s="107" t="s">
        <v>388</v>
      </c>
      <c r="I470" s="107" t="s">
        <v>409</v>
      </c>
      <c r="J470" s="107" t="s">
        <v>1200</v>
      </c>
    </row>
    <row r="471" spans="1:10">
      <c r="A471" s="107" t="s">
        <v>829</v>
      </c>
      <c r="B471" s="107" t="s">
        <v>351</v>
      </c>
      <c r="C471" s="107" t="s">
        <v>352</v>
      </c>
      <c r="D471" s="107" t="s">
        <v>353</v>
      </c>
      <c r="E471">
        <v>1860</v>
      </c>
      <c r="F471" s="107" t="s">
        <v>834</v>
      </c>
      <c r="G471" s="107" t="s">
        <v>354</v>
      </c>
      <c r="H471" s="107" t="s">
        <v>388</v>
      </c>
      <c r="I471" s="107" t="s">
        <v>377</v>
      </c>
      <c r="J471" s="107" t="s">
        <v>1067</v>
      </c>
    </row>
    <row r="472" spans="1:10">
      <c r="A472" s="107" t="s">
        <v>829</v>
      </c>
      <c r="B472" s="107" t="s">
        <v>351</v>
      </c>
      <c r="C472" s="107" t="s">
        <v>352</v>
      </c>
      <c r="D472" s="107" t="s">
        <v>353</v>
      </c>
      <c r="E472">
        <v>1964</v>
      </c>
      <c r="F472" s="107" t="s">
        <v>835</v>
      </c>
      <c r="G472" s="107" t="s">
        <v>354</v>
      </c>
      <c r="H472" s="107" t="s">
        <v>388</v>
      </c>
      <c r="I472" s="107">
        <v>134</v>
      </c>
      <c r="J472" s="107"/>
    </row>
    <row r="473" spans="1:10">
      <c r="A473" s="107" t="s">
        <v>829</v>
      </c>
      <c r="B473" s="107" t="s">
        <v>351</v>
      </c>
      <c r="C473" s="107" t="s">
        <v>352</v>
      </c>
      <c r="D473" s="107" t="s">
        <v>353</v>
      </c>
      <c r="E473">
        <v>2108</v>
      </c>
      <c r="F473" s="107" t="s">
        <v>836</v>
      </c>
      <c r="G473" s="107" t="s">
        <v>354</v>
      </c>
      <c r="H473" s="107" t="s">
        <v>355</v>
      </c>
      <c r="I473">
        <v>310</v>
      </c>
    </row>
    <row r="474" spans="1:10">
      <c r="A474" s="107" t="s">
        <v>829</v>
      </c>
      <c r="B474" s="107" t="s">
        <v>351</v>
      </c>
      <c r="C474" s="107" t="s">
        <v>352</v>
      </c>
      <c r="D474" s="107" t="s">
        <v>353</v>
      </c>
      <c r="E474">
        <v>2173</v>
      </c>
      <c r="F474" s="107" t="s">
        <v>1001</v>
      </c>
      <c r="G474" s="107" t="s">
        <v>358</v>
      </c>
      <c r="H474" s="107" t="s">
        <v>359</v>
      </c>
      <c r="I474">
        <v>58</v>
      </c>
    </row>
    <row r="475" spans="1:10">
      <c r="A475" s="107" t="s">
        <v>829</v>
      </c>
      <c r="B475" s="107" t="s">
        <v>351</v>
      </c>
      <c r="C475" s="107" t="s">
        <v>363</v>
      </c>
      <c r="D475" s="107" t="s">
        <v>353</v>
      </c>
      <c r="E475">
        <v>2180</v>
      </c>
      <c r="F475" s="107" t="s">
        <v>837</v>
      </c>
      <c r="G475" s="107" t="s">
        <v>354</v>
      </c>
      <c r="H475" s="107" t="s">
        <v>359</v>
      </c>
      <c r="I475">
        <v>176</v>
      </c>
    </row>
    <row r="476" spans="1:10">
      <c r="A476" s="107" t="s">
        <v>829</v>
      </c>
      <c r="B476" s="107" t="s">
        <v>351</v>
      </c>
      <c r="C476" s="107" t="s">
        <v>352</v>
      </c>
      <c r="D476" s="107" t="s">
        <v>353</v>
      </c>
      <c r="E476">
        <v>2288</v>
      </c>
      <c r="F476" s="107" t="s">
        <v>838</v>
      </c>
      <c r="G476" s="107" t="s">
        <v>354</v>
      </c>
      <c r="H476" s="107" t="s">
        <v>355</v>
      </c>
      <c r="I476">
        <v>626</v>
      </c>
    </row>
    <row r="477" spans="1:10">
      <c r="A477" s="107" t="s">
        <v>829</v>
      </c>
      <c r="B477" s="107" t="s">
        <v>351</v>
      </c>
      <c r="C477" s="107" t="s">
        <v>352</v>
      </c>
      <c r="D477" s="107" t="s">
        <v>353</v>
      </c>
      <c r="E477">
        <v>2349</v>
      </c>
      <c r="F477" s="107" t="s">
        <v>1002</v>
      </c>
      <c r="G477" s="107" t="s">
        <v>358</v>
      </c>
      <c r="H477" s="107" t="s">
        <v>365</v>
      </c>
      <c r="I477">
        <v>177</v>
      </c>
    </row>
    <row r="478" spans="1:10">
      <c r="A478" s="107" t="s">
        <v>829</v>
      </c>
      <c r="B478" s="107" t="s">
        <v>351</v>
      </c>
      <c r="C478" s="107" t="s">
        <v>352</v>
      </c>
      <c r="D478" s="107" t="s">
        <v>353</v>
      </c>
      <c r="E478">
        <v>2454</v>
      </c>
      <c r="F478" s="107" t="s">
        <v>1201</v>
      </c>
      <c r="G478" s="107" t="s">
        <v>358</v>
      </c>
      <c r="H478" s="107" t="s">
        <v>359</v>
      </c>
      <c r="I478">
        <v>96</v>
      </c>
    </row>
    <row r="479" spans="1:10">
      <c r="A479" s="107" t="s">
        <v>829</v>
      </c>
      <c r="B479" s="107" t="s">
        <v>351</v>
      </c>
      <c r="C479" s="107" t="s">
        <v>361</v>
      </c>
      <c r="D479" s="107" t="s">
        <v>353</v>
      </c>
      <c r="E479">
        <v>2675</v>
      </c>
      <c r="F479" s="107" t="s">
        <v>839</v>
      </c>
      <c r="G479" s="107" t="s">
        <v>362</v>
      </c>
      <c r="H479" s="107" t="s">
        <v>364</v>
      </c>
      <c r="I479">
        <v>117</v>
      </c>
    </row>
    <row r="480" spans="1:10">
      <c r="A480" s="107" t="s">
        <v>829</v>
      </c>
      <c r="B480" s="107" t="s">
        <v>351</v>
      </c>
      <c r="C480" s="107" t="s">
        <v>352</v>
      </c>
      <c r="D480" s="107" t="s">
        <v>353</v>
      </c>
      <c r="E480">
        <v>2733</v>
      </c>
      <c r="F480" s="107" t="s">
        <v>1202</v>
      </c>
      <c r="G480" s="107" t="s">
        <v>354</v>
      </c>
      <c r="H480" s="107" t="s">
        <v>360</v>
      </c>
      <c r="I480">
        <v>779</v>
      </c>
    </row>
    <row r="481" spans="1:10">
      <c r="A481" s="107" t="s">
        <v>829</v>
      </c>
      <c r="B481" s="107" t="s">
        <v>351</v>
      </c>
      <c r="C481" s="107" t="s">
        <v>352</v>
      </c>
      <c r="D481" s="107" t="s">
        <v>353</v>
      </c>
      <c r="E481">
        <v>2768</v>
      </c>
      <c r="F481" s="107" t="s">
        <v>1203</v>
      </c>
      <c r="G481" s="107" t="s">
        <v>354</v>
      </c>
      <c r="H481" s="107" t="s">
        <v>360</v>
      </c>
      <c r="I481" s="107" t="s">
        <v>505</v>
      </c>
      <c r="J481" s="107" t="s">
        <v>1204</v>
      </c>
    </row>
    <row r="482" spans="1:10">
      <c r="A482" s="107" t="s">
        <v>829</v>
      </c>
      <c r="B482" s="107" t="s">
        <v>351</v>
      </c>
      <c r="C482" s="107" t="s">
        <v>352</v>
      </c>
      <c r="D482" s="107" t="s">
        <v>353</v>
      </c>
      <c r="E482">
        <v>2812</v>
      </c>
      <c r="F482" s="107" t="s">
        <v>1205</v>
      </c>
      <c r="G482" s="107" t="s">
        <v>354</v>
      </c>
      <c r="H482" s="107" t="s">
        <v>355</v>
      </c>
      <c r="I482" s="107">
        <v>136</v>
      </c>
      <c r="J482" s="107"/>
    </row>
    <row r="483" spans="1:10">
      <c r="A483" s="107" t="s">
        <v>829</v>
      </c>
      <c r="B483" s="107" t="s">
        <v>351</v>
      </c>
      <c r="C483" s="107" t="s">
        <v>352</v>
      </c>
      <c r="D483" s="107" t="s">
        <v>353</v>
      </c>
      <c r="E483">
        <v>2903</v>
      </c>
      <c r="F483" s="107" t="s">
        <v>1206</v>
      </c>
      <c r="G483" s="107" t="s">
        <v>362</v>
      </c>
      <c r="H483" s="107" t="s">
        <v>355</v>
      </c>
      <c r="I483">
        <v>94</v>
      </c>
    </row>
    <row r="484" spans="1:10">
      <c r="A484" s="107" t="s">
        <v>829</v>
      </c>
      <c r="B484" s="107" t="s">
        <v>351</v>
      </c>
      <c r="C484" s="107" t="s">
        <v>352</v>
      </c>
      <c r="D484" s="107" t="s">
        <v>353</v>
      </c>
      <c r="E484">
        <v>2915</v>
      </c>
      <c r="F484" s="107" t="s">
        <v>1207</v>
      </c>
      <c r="G484" s="107" t="s">
        <v>354</v>
      </c>
      <c r="H484" s="107" t="s">
        <v>355</v>
      </c>
      <c r="I484">
        <v>424</v>
      </c>
    </row>
    <row r="485" spans="1:10">
      <c r="A485" s="107" t="s">
        <v>829</v>
      </c>
      <c r="B485" s="107" t="s">
        <v>351</v>
      </c>
      <c r="C485" s="107" t="s">
        <v>352</v>
      </c>
      <c r="D485" s="107" t="s">
        <v>353</v>
      </c>
      <c r="E485">
        <v>3284</v>
      </c>
      <c r="F485" s="107" t="s">
        <v>1208</v>
      </c>
      <c r="G485" s="107" t="s">
        <v>354</v>
      </c>
      <c r="H485" s="107" t="s">
        <v>380</v>
      </c>
      <c r="I485">
        <v>413</v>
      </c>
    </row>
    <row r="486" spans="1:10">
      <c r="A486" s="107" t="s">
        <v>829</v>
      </c>
      <c r="B486" s="107" t="s">
        <v>351</v>
      </c>
      <c r="C486" s="107" t="s">
        <v>352</v>
      </c>
      <c r="D486" s="107" t="s">
        <v>353</v>
      </c>
      <c r="E486">
        <v>3289</v>
      </c>
      <c r="F486" s="107" t="s">
        <v>1209</v>
      </c>
      <c r="G486" s="107" t="s">
        <v>354</v>
      </c>
      <c r="H486" s="107" t="s">
        <v>380</v>
      </c>
      <c r="I486" s="107" t="s">
        <v>371</v>
      </c>
      <c r="J486" s="107" t="s">
        <v>1210</v>
      </c>
    </row>
    <row r="487" spans="1:10">
      <c r="A487" s="107" t="s">
        <v>829</v>
      </c>
      <c r="B487" s="107" t="s">
        <v>351</v>
      </c>
      <c r="C487" s="107" t="s">
        <v>352</v>
      </c>
      <c r="D487" s="107" t="s">
        <v>353</v>
      </c>
      <c r="E487">
        <v>3401</v>
      </c>
      <c r="F487" s="107" t="s">
        <v>1211</v>
      </c>
      <c r="G487" s="107" t="s">
        <v>354</v>
      </c>
      <c r="H487" s="107" t="s">
        <v>420</v>
      </c>
      <c r="I487" s="107" t="s">
        <v>505</v>
      </c>
      <c r="J487" s="107" t="s">
        <v>1212</v>
      </c>
    </row>
    <row r="488" spans="1:10">
      <c r="A488" s="107" t="s">
        <v>829</v>
      </c>
      <c r="B488" s="107" t="s">
        <v>351</v>
      </c>
      <c r="C488" s="107" t="s">
        <v>352</v>
      </c>
      <c r="D488" s="107" t="s">
        <v>353</v>
      </c>
      <c r="E488">
        <v>3447</v>
      </c>
      <c r="F488" s="107" t="s">
        <v>840</v>
      </c>
      <c r="G488" s="107" t="s">
        <v>354</v>
      </c>
      <c r="H488" s="107" t="s">
        <v>369</v>
      </c>
      <c r="I488" s="107">
        <v>151</v>
      </c>
      <c r="J488" s="107"/>
    </row>
    <row r="489" spans="1:10">
      <c r="A489" s="107" t="s">
        <v>829</v>
      </c>
      <c r="B489" s="107" t="s">
        <v>351</v>
      </c>
      <c r="C489" s="107" t="s">
        <v>352</v>
      </c>
      <c r="D489" s="107" t="s">
        <v>357</v>
      </c>
      <c r="E489">
        <v>3467</v>
      </c>
      <c r="F489" s="107" t="s">
        <v>842</v>
      </c>
      <c r="G489" s="107" t="s">
        <v>354</v>
      </c>
      <c r="H489" s="107" t="s">
        <v>380</v>
      </c>
      <c r="I489">
        <v>30</v>
      </c>
    </row>
    <row r="490" spans="1:10">
      <c r="A490" s="107" t="s">
        <v>829</v>
      </c>
      <c r="B490" s="107" t="s">
        <v>351</v>
      </c>
      <c r="C490" s="107" t="s">
        <v>352</v>
      </c>
      <c r="D490" s="107" t="s">
        <v>353</v>
      </c>
      <c r="E490">
        <v>3571</v>
      </c>
      <c r="F490" s="107" t="s">
        <v>1213</v>
      </c>
      <c r="G490" s="107" t="s">
        <v>354</v>
      </c>
      <c r="H490" s="107" t="s">
        <v>420</v>
      </c>
      <c r="I490" s="107">
        <v>135</v>
      </c>
      <c r="J490" s="107"/>
    </row>
    <row r="491" spans="1:10">
      <c r="A491" s="107" t="s">
        <v>829</v>
      </c>
      <c r="B491" s="107" t="s">
        <v>351</v>
      </c>
      <c r="C491" s="107" t="s">
        <v>352</v>
      </c>
      <c r="D491" s="107" t="s">
        <v>353</v>
      </c>
      <c r="E491">
        <v>3600</v>
      </c>
      <c r="F491" s="107" t="s">
        <v>1214</v>
      </c>
      <c r="G491" s="107" t="s">
        <v>362</v>
      </c>
      <c r="H491" s="107" t="s">
        <v>420</v>
      </c>
      <c r="I491">
        <v>26</v>
      </c>
    </row>
    <row r="492" spans="1:10">
      <c r="A492" s="107" t="s">
        <v>829</v>
      </c>
      <c r="B492" s="107" t="s">
        <v>351</v>
      </c>
      <c r="C492" s="107" t="s">
        <v>352</v>
      </c>
      <c r="D492" s="107" t="s">
        <v>353</v>
      </c>
      <c r="E492">
        <v>3622</v>
      </c>
      <c r="F492" s="107" t="s">
        <v>1215</v>
      </c>
      <c r="G492" s="107" t="s">
        <v>366</v>
      </c>
      <c r="H492" s="107" t="s">
        <v>365</v>
      </c>
      <c r="I492" s="107">
        <v>43</v>
      </c>
      <c r="J492" s="107"/>
    </row>
    <row r="493" spans="1:10">
      <c r="A493" s="107" t="s">
        <v>829</v>
      </c>
      <c r="B493" s="107" t="s">
        <v>351</v>
      </c>
      <c r="C493" s="107" t="s">
        <v>352</v>
      </c>
      <c r="D493" s="107" t="s">
        <v>353</v>
      </c>
      <c r="E493">
        <v>3626</v>
      </c>
      <c r="F493" s="107" t="s">
        <v>1216</v>
      </c>
      <c r="G493" s="107" t="s">
        <v>354</v>
      </c>
      <c r="H493" s="107" t="s">
        <v>365</v>
      </c>
      <c r="I493" s="107" t="s">
        <v>371</v>
      </c>
      <c r="J493" s="107" t="s">
        <v>1217</v>
      </c>
    </row>
    <row r="494" spans="1:10">
      <c r="A494" s="107" t="s">
        <v>829</v>
      </c>
      <c r="B494" s="107" t="s">
        <v>351</v>
      </c>
      <c r="C494" s="107" t="s">
        <v>352</v>
      </c>
      <c r="D494" s="107" t="s">
        <v>357</v>
      </c>
      <c r="E494">
        <v>3741</v>
      </c>
      <c r="F494" s="107" t="s">
        <v>1218</v>
      </c>
      <c r="G494" s="107" t="s">
        <v>354</v>
      </c>
      <c r="H494" s="107" t="s">
        <v>365</v>
      </c>
      <c r="I494" s="107">
        <v>199</v>
      </c>
      <c r="J494" s="107"/>
    </row>
    <row r="495" spans="1:10">
      <c r="A495" s="107" t="s">
        <v>829</v>
      </c>
      <c r="B495" s="107" t="s">
        <v>351</v>
      </c>
      <c r="C495" s="107" t="s">
        <v>352</v>
      </c>
      <c r="D495" s="107" t="s">
        <v>353</v>
      </c>
      <c r="E495">
        <v>3943</v>
      </c>
      <c r="F495" s="107" t="s">
        <v>843</v>
      </c>
      <c r="G495" s="107" t="s">
        <v>716</v>
      </c>
      <c r="H495" s="107" t="s">
        <v>422</v>
      </c>
      <c r="I495">
        <v>79</v>
      </c>
    </row>
    <row r="496" spans="1:10">
      <c r="A496" s="107" t="s">
        <v>829</v>
      </c>
      <c r="B496" s="107" t="s">
        <v>351</v>
      </c>
      <c r="C496" s="107" t="s">
        <v>352</v>
      </c>
      <c r="D496" s="107" t="s">
        <v>353</v>
      </c>
      <c r="E496">
        <v>4046</v>
      </c>
      <c r="F496" s="107" t="s">
        <v>844</v>
      </c>
      <c r="G496" s="107" t="s">
        <v>354</v>
      </c>
      <c r="H496" s="107" t="s">
        <v>367</v>
      </c>
      <c r="I496" s="107">
        <v>829</v>
      </c>
      <c r="J496" s="107"/>
    </row>
    <row r="497" spans="1:10">
      <c r="A497" s="107" t="s">
        <v>829</v>
      </c>
      <c r="B497" s="107" t="s">
        <v>351</v>
      </c>
      <c r="C497" s="107" t="s">
        <v>352</v>
      </c>
      <c r="D497" s="107" t="s">
        <v>357</v>
      </c>
      <c r="E497">
        <v>4080</v>
      </c>
      <c r="F497" s="107" t="s">
        <v>845</v>
      </c>
      <c r="G497" s="107" t="s">
        <v>358</v>
      </c>
      <c r="H497" s="107" t="s">
        <v>367</v>
      </c>
      <c r="I497">
        <v>316</v>
      </c>
    </row>
    <row r="498" spans="1:10">
      <c r="A498" s="107" t="s">
        <v>829</v>
      </c>
      <c r="B498" s="107" t="s">
        <v>351</v>
      </c>
      <c r="C498" s="107" t="s">
        <v>356</v>
      </c>
      <c r="D498" s="107" t="s">
        <v>357</v>
      </c>
      <c r="E498">
        <v>4447</v>
      </c>
      <c r="F498" s="107" t="s">
        <v>846</v>
      </c>
      <c r="G498" s="107" t="s">
        <v>716</v>
      </c>
      <c r="H498" s="107" t="s">
        <v>365</v>
      </c>
      <c r="I498">
        <v>25</v>
      </c>
    </row>
    <row r="499" spans="1:10">
      <c r="A499" s="107" t="s">
        <v>829</v>
      </c>
      <c r="B499" s="107" t="s">
        <v>351</v>
      </c>
      <c r="C499" s="107" t="s">
        <v>352</v>
      </c>
      <c r="D499" s="107" t="s">
        <v>353</v>
      </c>
      <c r="E499">
        <v>4548</v>
      </c>
      <c r="F499" s="107" t="s">
        <v>847</v>
      </c>
      <c r="G499" s="107" t="s">
        <v>354</v>
      </c>
      <c r="H499" s="107" t="s">
        <v>476</v>
      </c>
      <c r="I499" s="107">
        <v>715</v>
      </c>
      <c r="J499" s="107"/>
    </row>
    <row r="500" spans="1:10">
      <c r="A500" s="107" t="s">
        <v>829</v>
      </c>
      <c r="B500" s="107" t="s">
        <v>351</v>
      </c>
      <c r="C500" s="107" t="s">
        <v>352</v>
      </c>
      <c r="D500" s="107" t="s">
        <v>353</v>
      </c>
      <c r="E500">
        <v>5192</v>
      </c>
      <c r="F500" s="107" t="s">
        <v>848</v>
      </c>
      <c r="G500" s="107" t="s">
        <v>354</v>
      </c>
      <c r="H500" s="107" t="s">
        <v>849</v>
      </c>
      <c r="I500">
        <v>687</v>
      </c>
    </row>
    <row r="501" spans="1:10">
      <c r="A501" s="107" t="s">
        <v>829</v>
      </c>
      <c r="B501" s="107" t="s">
        <v>351</v>
      </c>
      <c r="C501" s="107" t="s">
        <v>352</v>
      </c>
      <c r="D501" s="107" t="s">
        <v>353</v>
      </c>
      <c r="E501">
        <v>5964</v>
      </c>
      <c r="F501" s="107" t="s">
        <v>850</v>
      </c>
      <c r="G501" s="107" t="s">
        <v>362</v>
      </c>
      <c r="H501" s="107" t="s">
        <v>369</v>
      </c>
      <c r="I501">
        <v>22</v>
      </c>
    </row>
    <row r="502" spans="1:10">
      <c r="A502" s="107" t="s">
        <v>829</v>
      </c>
      <c r="B502" s="107" t="s">
        <v>351</v>
      </c>
      <c r="C502" s="107" t="s">
        <v>352</v>
      </c>
      <c r="D502" s="107" t="s">
        <v>353</v>
      </c>
      <c r="E502">
        <v>5989</v>
      </c>
      <c r="F502" s="107" t="s">
        <v>851</v>
      </c>
      <c r="G502" s="107" t="s">
        <v>354</v>
      </c>
      <c r="H502" s="107" t="s">
        <v>369</v>
      </c>
      <c r="I502">
        <v>245</v>
      </c>
    </row>
    <row r="503" spans="1:10">
      <c r="A503" s="107" t="s">
        <v>829</v>
      </c>
      <c r="B503" s="107" t="s">
        <v>351</v>
      </c>
      <c r="C503" s="107" t="s">
        <v>352</v>
      </c>
      <c r="D503" s="107" t="s">
        <v>353</v>
      </c>
      <c r="E503">
        <v>6240</v>
      </c>
      <c r="F503" s="107" t="s">
        <v>852</v>
      </c>
      <c r="G503" s="107" t="s">
        <v>354</v>
      </c>
      <c r="H503" s="107" t="s">
        <v>375</v>
      </c>
      <c r="I503">
        <v>601</v>
      </c>
    </row>
    <row r="504" spans="1:10">
      <c r="A504" s="107" t="s">
        <v>829</v>
      </c>
      <c r="B504" s="107" t="s">
        <v>351</v>
      </c>
      <c r="C504" s="107" t="s">
        <v>361</v>
      </c>
      <c r="D504" s="107" t="s">
        <v>353</v>
      </c>
      <c r="E504">
        <v>6537</v>
      </c>
      <c r="F504" s="107" t="s">
        <v>853</v>
      </c>
      <c r="G504" s="107" t="s">
        <v>366</v>
      </c>
      <c r="H504" s="107" t="s">
        <v>359</v>
      </c>
      <c r="I504">
        <v>68</v>
      </c>
    </row>
    <row r="505" spans="1:10">
      <c r="A505" s="107" t="s">
        <v>829</v>
      </c>
      <c r="B505" s="107" t="s">
        <v>351</v>
      </c>
      <c r="C505" s="107" t="s">
        <v>363</v>
      </c>
      <c r="D505" s="107" t="s">
        <v>353</v>
      </c>
      <c r="E505">
        <v>6662</v>
      </c>
      <c r="F505" s="107" t="s">
        <v>1003</v>
      </c>
      <c r="G505" s="107" t="s">
        <v>358</v>
      </c>
      <c r="H505" s="107" t="s">
        <v>379</v>
      </c>
      <c r="I505">
        <v>43</v>
      </c>
    </row>
    <row r="506" spans="1:10">
      <c r="A506" s="107" t="s">
        <v>829</v>
      </c>
      <c r="B506" s="107" t="s">
        <v>351</v>
      </c>
      <c r="C506" s="107" t="s">
        <v>352</v>
      </c>
      <c r="D506" s="107" t="s">
        <v>353</v>
      </c>
      <c r="E506">
        <v>6832</v>
      </c>
      <c r="F506" s="107" t="s">
        <v>854</v>
      </c>
      <c r="G506" s="107" t="s">
        <v>362</v>
      </c>
      <c r="H506" s="107" t="s">
        <v>379</v>
      </c>
      <c r="I506">
        <v>301</v>
      </c>
    </row>
    <row r="507" spans="1:10">
      <c r="A507" s="107" t="s">
        <v>829</v>
      </c>
      <c r="B507" s="107" t="s">
        <v>351</v>
      </c>
      <c r="C507" s="107" t="s">
        <v>352</v>
      </c>
      <c r="D507" s="107" t="s">
        <v>353</v>
      </c>
      <c r="E507">
        <v>7057</v>
      </c>
      <c r="F507" s="107" t="s">
        <v>855</v>
      </c>
      <c r="G507" s="107" t="s">
        <v>358</v>
      </c>
      <c r="H507" s="107" t="s">
        <v>359</v>
      </c>
      <c r="I507">
        <v>40</v>
      </c>
    </row>
    <row r="508" spans="1:10">
      <c r="A508" s="107" t="s">
        <v>829</v>
      </c>
      <c r="B508" s="107" t="s">
        <v>351</v>
      </c>
      <c r="C508" s="107" t="s">
        <v>352</v>
      </c>
      <c r="D508" s="107" t="s">
        <v>357</v>
      </c>
      <c r="E508">
        <v>7164</v>
      </c>
      <c r="F508" s="107" t="s">
        <v>856</v>
      </c>
      <c r="G508" s="107" t="s">
        <v>354</v>
      </c>
      <c r="H508" s="107" t="s">
        <v>426</v>
      </c>
      <c r="I508" s="107" t="s">
        <v>594</v>
      </c>
      <c r="J508" s="107" t="s">
        <v>1219</v>
      </c>
    </row>
    <row r="509" spans="1:10">
      <c r="A509" s="107" t="s">
        <v>829</v>
      </c>
      <c r="B509" s="107" t="s">
        <v>351</v>
      </c>
      <c r="C509" s="107" t="s">
        <v>352</v>
      </c>
      <c r="D509" s="107" t="s">
        <v>353</v>
      </c>
      <c r="E509">
        <v>7230</v>
      </c>
      <c r="F509" s="107" t="s">
        <v>857</v>
      </c>
      <c r="G509" s="107" t="s">
        <v>354</v>
      </c>
      <c r="H509" s="107" t="s">
        <v>405</v>
      </c>
      <c r="I509" s="107" t="s">
        <v>409</v>
      </c>
      <c r="J509" s="107" t="s">
        <v>1220</v>
      </c>
    </row>
    <row r="510" spans="1:10">
      <c r="A510" s="107" t="s">
        <v>829</v>
      </c>
      <c r="B510" s="107" t="s">
        <v>351</v>
      </c>
      <c r="C510" s="107" t="s">
        <v>352</v>
      </c>
      <c r="D510" s="107" t="s">
        <v>353</v>
      </c>
      <c r="E510">
        <v>7259</v>
      </c>
      <c r="F510" s="107" t="s">
        <v>859</v>
      </c>
      <c r="G510" s="107" t="s">
        <v>354</v>
      </c>
      <c r="H510" s="107" t="s">
        <v>405</v>
      </c>
      <c r="I510" s="107" t="s">
        <v>860</v>
      </c>
      <c r="J510" s="107" t="s">
        <v>1221</v>
      </c>
    </row>
    <row r="511" spans="1:10">
      <c r="A511" s="107" t="s">
        <v>829</v>
      </c>
      <c r="B511" s="107" t="s">
        <v>351</v>
      </c>
      <c r="C511" s="107" t="s">
        <v>352</v>
      </c>
      <c r="D511" s="107" t="s">
        <v>357</v>
      </c>
      <c r="E511">
        <v>7481</v>
      </c>
      <c r="F511" s="107" t="s">
        <v>861</v>
      </c>
      <c r="G511" s="107" t="s">
        <v>354</v>
      </c>
      <c r="H511" s="107" t="s">
        <v>360</v>
      </c>
      <c r="I511" s="107">
        <v>126</v>
      </c>
      <c r="J511" s="107"/>
    </row>
    <row r="512" spans="1:10">
      <c r="A512" s="107" t="s">
        <v>829</v>
      </c>
      <c r="B512" s="107" t="s">
        <v>351</v>
      </c>
      <c r="C512" s="107" t="s">
        <v>352</v>
      </c>
      <c r="D512" s="107" t="s">
        <v>353</v>
      </c>
      <c r="E512">
        <v>7702</v>
      </c>
      <c r="F512" s="107" t="s">
        <v>862</v>
      </c>
      <c r="G512" s="107" t="s">
        <v>354</v>
      </c>
      <c r="H512" s="107" t="s">
        <v>621</v>
      </c>
      <c r="I512">
        <v>190</v>
      </c>
    </row>
    <row r="513" spans="1:10">
      <c r="A513" s="107" t="s">
        <v>829</v>
      </c>
      <c r="B513" s="107" t="s">
        <v>351</v>
      </c>
      <c r="C513" s="107" t="s">
        <v>363</v>
      </c>
      <c r="D513" s="107" t="s">
        <v>353</v>
      </c>
      <c r="E513">
        <v>7813</v>
      </c>
      <c r="F513" s="107" t="s">
        <v>863</v>
      </c>
      <c r="G513" s="107" t="s">
        <v>366</v>
      </c>
      <c r="H513" s="107" t="s">
        <v>376</v>
      </c>
      <c r="I513">
        <v>51</v>
      </c>
    </row>
    <row r="514" spans="1:10">
      <c r="A514" s="107" t="s">
        <v>829</v>
      </c>
      <c r="B514" s="107" t="s">
        <v>351</v>
      </c>
      <c r="C514" s="107" t="s">
        <v>361</v>
      </c>
      <c r="D514" s="107" t="s">
        <v>353</v>
      </c>
      <c r="E514">
        <v>7963</v>
      </c>
      <c r="F514" s="107" t="s">
        <v>864</v>
      </c>
      <c r="G514" s="107" t="s">
        <v>358</v>
      </c>
      <c r="H514" s="107" t="s">
        <v>376</v>
      </c>
      <c r="I514">
        <v>68</v>
      </c>
    </row>
    <row r="515" spans="1:10">
      <c r="A515" s="107" t="s">
        <v>829</v>
      </c>
      <c r="B515" s="107" t="s">
        <v>351</v>
      </c>
      <c r="C515" s="107" t="s">
        <v>352</v>
      </c>
      <c r="D515" s="107" t="s">
        <v>353</v>
      </c>
      <c r="E515">
        <v>8138</v>
      </c>
      <c r="F515" s="107" t="s">
        <v>865</v>
      </c>
      <c r="G515" s="107" t="s">
        <v>362</v>
      </c>
      <c r="H515" s="107" t="s">
        <v>360</v>
      </c>
      <c r="I515">
        <v>43</v>
      </c>
    </row>
    <row r="516" spans="1:10">
      <c r="A516" s="107" t="s">
        <v>829</v>
      </c>
      <c r="B516" s="107" t="s">
        <v>351</v>
      </c>
      <c r="C516" s="107" t="s">
        <v>352</v>
      </c>
      <c r="D516" s="107" t="s">
        <v>353</v>
      </c>
      <c r="E516">
        <v>8153</v>
      </c>
      <c r="F516" s="107" t="s">
        <v>866</v>
      </c>
      <c r="G516" s="107" t="s">
        <v>354</v>
      </c>
      <c r="H516" s="107" t="s">
        <v>360</v>
      </c>
      <c r="I516">
        <v>978</v>
      </c>
    </row>
    <row r="517" spans="1:10">
      <c r="A517" s="107" t="s">
        <v>829</v>
      </c>
      <c r="B517" s="107" t="s">
        <v>351</v>
      </c>
      <c r="C517" s="107" t="s">
        <v>352</v>
      </c>
      <c r="D517" s="107" t="s">
        <v>353</v>
      </c>
      <c r="E517">
        <v>8226</v>
      </c>
      <c r="F517" s="107" t="s">
        <v>867</v>
      </c>
      <c r="G517" s="107" t="s">
        <v>362</v>
      </c>
      <c r="H517" s="107" t="s">
        <v>360</v>
      </c>
      <c r="I517">
        <v>30</v>
      </c>
    </row>
    <row r="518" spans="1:10">
      <c r="A518" s="107" t="s">
        <v>829</v>
      </c>
      <c r="B518" s="107" t="s">
        <v>351</v>
      </c>
      <c r="C518" s="107" t="s">
        <v>352</v>
      </c>
      <c r="D518" s="107" t="s">
        <v>353</v>
      </c>
      <c r="E518">
        <v>8281</v>
      </c>
      <c r="F518" s="107" t="s">
        <v>868</v>
      </c>
      <c r="G518" s="107" t="s">
        <v>354</v>
      </c>
      <c r="H518" s="107" t="s">
        <v>364</v>
      </c>
      <c r="I518">
        <v>629</v>
      </c>
    </row>
    <row r="519" spans="1:10">
      <c r="A519" s="107" t="s">
        <v>829</v>
      </c>
      <c r="B519" s="107" t="s">
        <v>351</v>
      </c>
      <c r="C519" s="107" t="s">
        <v>352</v>
      </c>
      <c r="D519" s="107" t="s">
        <v>353</v>
      </c>
      <c r="E519">
        <v>9001</v>
      </c>
      <c r="F519" s="107" t="s">
        <v>869</v>
      </c>
      <c r="G519" s="107" t="s">
        <v>354</v>
      </c>
      <c r="H519" s="107" t="s">
        <v>643</v>
      </c>
      <c r="I519" s="107" t="s">
        <v>623</v>
      </c>
      <c r="J519" s="107" t="s">
        <v>1222</v>
      </c>
    </row>
    <row r="520" spans="1:10">
      <c r="A520" s="107" t="s">
        <v>829</v>
      </c>
      <c r="B520" s="107" t="s">
        <v>351</v>
      </c>
      <c r="C520" s="107" t="s">
        <v>361</v>
      </c>
      <c r="D520" s="107" t="s">
        <v>357</v>
      </c>
      <c r="E520">
        <v>9284</v>
      </c>
      <c r="F520" s="107" t="s">
        <v>1006</v>
      </c>
      <c r="G520" s="107" t="s">
        <v>441</v>
      </c>
      <c r="H520" s="107" t="s">
        <v>442</v>
      </c>
      <c r="I520" s="107">
        <v>286</v>
      </c>
      <c r="J520" s="107"/>
    </row>
    <row r="521" spans="1:10">
      <c r="A521" s="107" t="s">
        <v>829</v>
      </c>
      <c r="B521" s="107" t="s">
        <v>351</v>
      </c>
      <c r="C521" s="107" t="s">
        <v>352</v>
      </c>
      <c r="D521" s="107" t="s">
        <v>353</v>
      </c>
      <c r="E521">
        <v>9364</v>
      </c>
      <c r="F521" s="107" t="s">
        <v>870</v>
      </c>
      <c r="G521" s="107" t="s">
        <v>354</v>
      </c>
      <c r="H521" s="107" t="s">
        <v>871</v>
      </c>
      <c r="I521" s="107" t="s">
        <v>594</v>
      </c>
      <c r="J521" s="107" t="s">
        <v>1223</v>
      </c>
    </row>
    <row r="522" spans="1:10">
      <c r="A522" s="107" t="s">
        <v>829</v>
      </c>
      <c r="B522" s="107" t="s">
        <v>351</v>
      </c>
      <c r="C522" s="107" t="s">
        <v>352</v>
      </c>
      <c r="D522" s="107" t="s">
        <v>353</v>
      </c>
      <c r="E522">
        <v>9613</v>
      </c>
      <c r="F522" s="107" t="s">
        <v>872</v>
      </c>
      <c r="G522" s="107" t="s">
        <v>354</v>
      </c>
      <c r="H522" s="107" t="s">
        <v>365</v>
      </c>
      <c r="I522" s="107" t="s">
        <v>764</v>
      </c>
      <c r="J522" s="107" t="s">
        <v>1037</v>
      </c>
    </row>
    <row r="523" spans="1:10">
      <c r="A523" s="107" t="s">
        <v>829</v>
      </c>
      <c r="B523" s="107" t="s">
        <v>351</v>
      </c>
      <c r="C523" s="107" t="s">
        <v>352</v>
      </c>
      <c r="D523" s="107" t="s">
        <v>353</v>
      </c>
      <c r="E523">
        <v>9671</v>
      </c>
      <c r="F523" s="107" t="s">
        <v>873</v>
      </c>
      <c r="G523" s="107" t="s">
        <v>354</v>
      </c>
      <c r="H523" s="107" t="s">
        <v>359</v>
      </c>
      <c r="I523" s="107">
        <v>382</v>
      </c>
      <c r="J523" s="107"/>
    </row>
    <row r="524" spans="1:10">
      <c r="A524" s="107" t="s">
        <v>829</v>
      </c>
      <c r="B524" s="107" t="s">
        <v>351</v>
      </c>
      <c r="C524" s="107" t="s">
        <v>352</v>
      </c>
      <c r="D524" s="107" t="s">
        <v>353</v>
      </c>
      <c r="E524">
        <v>9887</v>
      </c>
      <c r="F524" s="107" t="s">
        <v>874</v>
      </c>
      <c r="G524" s="107" t="s">
        <v>354</v>
      </c>
      <c r="H524" s="107" t="s">
        <v>364</v>
      </c>
      <c r="I524" s="107">
        <v>871</v>
      </c>
      <c r="J524" s="107"/>
    </row>
    <row r="525" spans="1:10">
      <c r="A525" s="107" t="s">
        <v>829</v>
      </c>
      <c r="B525" s="107" t="s">
        <v>351</v>
      </c>
      <c r="C525" s="107" t="s">
        <v>352</v>
      </c>
      <c r="D525" s="107" t="s">
        <v>353</v>
      </c>
      <c r="E525">
        <v>9896</v>
      </c>
      <c r="F525" s="107" t="s">
        <v>875</v>
      </c>
      <c r="G525" s="107" t="s">
        <v>354</v>
      </c>
      <c r="H525" s="107" t="s">
        <v>360</v>
      </c>
      <c r="I525">
        <v>205</v>
      </c>
    </row>
    <row r="526" spans="1:10">
      <c r="A526" s="107" t="s">
        <v>876</v>
      </c>
      <c r="B526" s="107" t="s">
        <v>351</v>
      </c>
      <c r="C526" s="107" t="s">
        <v>352</v>
      </c>
      <c r="D526" s="107" t="s">
        <v>357</v>
      </c>
      <c r="E526">
        <v>1450</v>
      </c>
      <c r="F526" s="107" t="s">
        <v>877</v>
      </c>
      <c r="G526" s="107" t="s">
        <v>358</v>
      </c>
      <c r="H526" s="107" t="s">
        <v>388</v>
      </c>
      <c r="I526">
        <v>53</v>
      </c>
    </row>
    <row r="527" spans="1:10">
      <c r="A527" s="107" t="s">
        <v>876</v>
      </c>
      <c r="B527" s="107" t="s">
        <v>351</v>
      </c>
      <c r="C527" s="107" t="s">
        <v>352</v>
      </c>
      <c r="D527" s="107" t="s">
        <v>353</v>
      </c>
      <c r="E527">
        <v>1451</v>
      </c>
      <c r="F527" s="107" t="s">
        <v>878</v>
      </c>
      <c r="G527" s="107" t="s">
        <v>362</v>
      </c>
      <c r="H527" s="107" t="s">
        <v>388</v>
      </c>
      <c r="I527" s="107">
        <v>31</v>
      </c>
      <c r="J527" s="107"/>
    </row>
    <row r="528" spans="1:10">
      <c r="A528" s="107" t="s">
        <v>876</v>
      </c>
      <c r="B528" s="107" t="s">
        <v>351</v>
      </c>
      <c r="C528" s="107" t="s">
        <v>361</v>
      </c>
      <c r="D528" s="107" t="s">
        <v>353</v>
      </c>
      <c r="E528">
        <v>1605</v>
      </c>
      <c r="F528" s="107" t="s">
        <v>879</v>
      </c>
      <c r="G528" s="107" t="s">
        <v>354</v>
      </c>
      <c r="H528" s="107" t="s">
        <v>880</v>
      </c>
      <c r="I528" s="107" t="s">
        <v>881</v>
      </c>
      <c r="J528" s="107" t="s">
        <v>858</v>
      </c>
    </row>
    <row r="529" spans="1:10">
      <c r="A529" s="107" t="s">
        <v>876</v>
      </c>
      <c r="B529" s="107" t="s">
        <v>351</v>
      </c>
      <c r="C529" s="107" t="s">
        <v>352</v>
      </c>
      <c r="D529" s="107" t="s">
        <v>353</v>
      </c>
      <c r="E529">
        <v>1866</v>
      </c>
      <c r="F529" s="107" t="s">
        <v>882</v>
      </c>
      <c r="G529" s="107" t="s">
        <v>354</v>
      </c>
      <c r="H529" s="107" t="s">
        <v>388</v>
      </c>
      <c r="I529" s="107">
        <v>179</v>
      </c>
      <c r="J529" s="107"/>
    </row>
    <row r="530" spans="1:10">
      <c r="A530" s="107" t="s">
        <v>876</v>
      </c>
      <c r="B530" s="107" t="s">
        <v>351</v>
      </c>
      <c r="C530" s="107" t="s">
        <v>361</v>
      </c>
      <c r="D530" s="107" t="s">
        <v>353</v>
      </c>
      <c r="E530">
        <v>1899</v>
      </c>
      <c r="F530" s="107" t="s">
        <v>883</v>
      </c>
      <c r="G530" s="107" t="s">
        <v>354</v>
      </c>
      <c r="H530" s="107" t="s">
        <v>388</v>
      </c>
      <c r="I530" s="107">
        <v>442</v>
      </c>
      <c r="J530" s="107"/>
    </row>
    <row r="531" spans="1:10">
      <c r="A531" s="107" t="s">
        <v>876</v>
      </c>
      <c r="B531" s="107" t="s">
        <v>351</v>
      </c>
      <c r="C531" s="107" t="s">
        <v>352</v>
      </c>
      <c r="D531" s="107" t="s">
        <v>353</v>
      </c>
      <c r="E531">
        <v>1952</v>
      </c>
      <c r="F531" s="107" t="s">
        <v>884</v>
      </c>
      <c r="G531" s="107" t="s">
        <v>354</v>
      </c>
      <c r="H531" s="107" t="s">
        <v>388</v>
      </c>
      <c r="I531">
        <v>543</v>
      </c>
    </row>
    <row r="532" spans="1:10">
      <c r="A532" s="107" t="s">
        <v>876</v>
      </c>
      <c r="B532" s="107" t="s">
        <v>351</v>
      </c>
      <c r="C532" s="107" t="s">
        <v>352</v>
      </c>
      <c r="D532" s="107" t="s">
        <v>353</v>
      </c>
      <c r="E532">
        <v>2134</v>
      </c>
      <c r="F532" s="107" t="s">
        <v>885</v>
      </c>
      <c r="G532" s="107" t="s">
        <v>358</v>
      </c>
      <c r="H532" s="107" t="s">
        <v>359</v>
      </c>
      <c r="I532">
        <v>45</v>
      </c>
    </row>
    <row r="533" spans="1:10">
      <c r="A533" s="107" t="s">
        <v>876</v>
      </c>
      <c r="B533" s="107" t="s">
        <v>351</v>
      </c>
      <c r="C533" s="107" t="s">
        <v>352</v>
      </c>
      <c r="D533" s="107" t="s">
        <v>353</v>
      </c>
      <c r="E533">
        <v>2831</v>
      </c>
      <c r="F533" s="107" t="s">
        <v>1224</v>
      </c>
      <c r="G533" s="107" t="s">
        <v>362</v>
      </c>
      <c r="H533" s="107" t="s">
        <v>355</v>
      </c>
      <c r="I533">
        <v>270</v>
      </c>
    </row>
    <row r="534" spans="1:10">
      <c r="A534" s="107" t="s">
        <v>876</v>
      </c>
      <c r="B534" s="107" t="s">
        <v>351</v>
      </c>
      <c r="C534" s="107" t="s">
        <v>356</v>
      </c>
      <c r="D534" s="107" t="s">
        <v>353</v>
      </c>
      <c r="E534">
        <v>2974</v>
      </c>
      <c r="F534" s="107" t="s">
        <v>886</v>
      </c>
      <c r="G534" s="107" t="s">
        <v>716</v>
      </c>
      <c r="H534" s="107" t="s">
        <v>380</v>
      </c>
      <c r="I534">
        <v>35</v>
      </c>
    </row>
    <row r="535" spans="1:10">
      <c r="A535" s="107" t="s">
        <v>876</v>
      </c>
      <c r="B535" s="107" t="s">
        <v>351</v>
      </c>
      <c r="C535" s="107" t="s">
        <v>352</v>
      </c>
      <c r="D535" s="107" t="s">
        <v>353</v>
      </c>
      <c r="E535">
        <v>2976</v>
      </c>
      <c r="F535" s="107" t="s">
        <v>887</v>
      </c>
      <c r="G535" s="107" t="s">
        <v>888</v>
      </c>
      <c r="H535" s="107" t="s">
        <v>380</v>
      </c>
      <c r="I535">
        <v>14</v>
      </c>
    </row>
    <row r="536" spans="1:10">
      <c r="A536" s="107" t="s">
        <v>876</v>
      </c>
      <c r="B536" s="107" t="s">
        <v>351</v>
      </c>
      <c r="C536" s="107" t="s">
        <v>352</v>
      </c>
      <c r="D536" s="107" t="s">
        <v>353</v>
      </c>
      <c r="E536">
        <v>3291</v>
      </c>
      <c r="F536" s="107" t="s">
        <v>1225</v>
      </c>
      <c r="G536" s="107" t="s">
        <v>354</v>
      </c>
      <c r="H536" s="107" t="s">
        <v>380</v>
      </c>
      <c r="I536" s="107" t="s">
        <v>371</v>
      </c>
      <c r="J536" s="107" t="s">
        <v>1226</v>
      </c>
    </row>
    <row r="537" spans="1:10">
      <c r="A537" s="107" t="s">
        <v>876</v>
      </c>
      <c r="B537" s="107" t="s">
        <v>351</v>
      </c>
      <c r="C537" s="107" t="s">
        <v>352</v>
      </c>
      <c r="D537" s="107" t="s">
        <v>353</v>
      </c>
      <c r="E537">
        <v>3372</v>
      </c>
      <c r="F537" s="107" t="s">
        <v>1227</v>
      </c>
      <c r="G537" s="107" t="s">
        <v>362</v>
      </c>
      <c r="H537" s="107" t="s">
        <v>364</v>
      </c>
      <c r="I537" s="107">
        <v>52</v>
      </c>
      <c r="J537" s="107"/>
    </row>
    <row r="538" spans="1:10">
      <c r="A538" s="107" t="s">
        <v>876</v>
      </c>
      <c r="B538" s="107" t="s">
        <v>351</v>
      </c>
      <c r="C538" s="107" t="s">
        <v>361</v>
      </c>
      <c r="D538" s="107" t="s">
        <v>353</v>
      </c>
      <c r="E538">
        <v>3606</v>
      </c>
      <c r="F538" s="107" t="s">
        <v>889</v>
      </c>
      <c r="G538" s="107" t="s">
        <v>354</v>
      </c>
      <c r="H538" s="107" t="s">
        <v>420</v>
      </c>
      <c r="I538">
        <v>114</v>
      </c>
    </row>
    <row r="539" spans="1:10">
      <c r="A539" s="107" t="s">
        <v>876</v>
      </c>
      <c r="B539" s="107" t="s">
        <v>351</v>
      </c>
      <c r="C539" s="107" t="s">
        <v>352</v>
      </c>
      <c r="D539" s="107" t="s">
        <v>357</v>
      </c>
      <c r="E539">
        <v>3652</v>
      </c>
      <c r="F539" s="107" t="s">
        <v>1228</v>
      </c>
      <c r="G539" s="107" t="s">
        <v>366</v>
      </c>
      <c r="H539" s="107" t="s">
        <v>365</v>
      </c>
      <c r="I539">
        <v>132</v>
      </c>
    </row>
    <row r="540" spans="1:10">
      <c r="A540" s="107" t="s">
        <v>876</v>
      </c>
      <c r="B540" s="107" t="s">
        <v>351</v>
      </c>
      <c r="C540" s="107" t="s">
        <v>361</v>
      </c>
      <c r="D540" s="107" t="s">
        <v>357</v>
      </c>
      <c r="E540">
        <v>3719</v>
      </c>
      <c r="F540" s="107" t="s">
        <v>1229</v>
      </c>
      <c r="G540" s="107" t="s">
        <v>358</v>
      </c>
      <c r="H540" s="107" t="s">
        <v>365</v>
      </c>
      <c r="I540">
        <v>26</v>
      </c>
    </row>
    <row r="541" spans="1:10">
      <c r="A541" s="107" t="s">
        <v>876</v>
      </c>
      <c r="B541" s="107" t="s">
        <v>351</v>
      </c>
      <c r="C541" s="107" t="s">
        <v>363</v>
      </c>
      <c r="D541" s="107" t="s">
        <v>353</v>
      </c>
      <c r="E541">
        <v>3856</v>
      </c>
      <c r="F541" s="107" t="s">
        <v>890</v>
      </c>
      <c r="G541" s="107" t="s">
        <v>362</v>
      </c>
      <c r="H541" s="107" t="s">
        <v>379</v>
      </c>
      <c r="I541">
        <v>30</v>
      </c>
    </row>
    <row r="542" spans="1:10">
      <c r="A542" s="107" t="s">
        <v>876</v>
      </c>
      <c r="B542" s="107" t="s">
        <v>351</v>
      </c>
      <c r="C542" s="107" t="s">
        <v>352</v>
      </c>
      <c r="D542" s="107" t="s">
        <v>353</v>
      </c>
      <c r="E542">
        <v>3896</v>
      </c>
      <c r="F542" s="107" t="s">
        <v>891</v>
      </c>
      <c r="G542" s="107" t="s">
        <v>354</v>
      </c>
      <c r="H542" s="107" t="s">
        <v>422</v>
      </c>
      <c r="I542">
        <v>71</v>
      </c>
    </row>
    <row r="543" spans="1:10">
      <c r="A543" s="107" t="s">
        <v>876</v>
      </c>
      <c r="B543" s="107" t="s">
        <v>351</v>
      </c>
      <c r="C543" s="107" t="s">
        <v>361</v>
      </c>
      <c r="D543" s="107" t="s">
        <v>353</v>
      </c>
      <c r="E543">
        <v>3902</v>
      </c>
      <c r="F543" s="107" t="s">
        <v>892</v>
      </c>
      <c r="G543" s="107" t="s">
        <v>354</v>
      </c>
      <c r="H543" s="107" t="s">
        <v>365</v>
      </c>
      <c r="I543">
        <v>387</v>
      </c>
    </row>
    <row r="544" spans="1:10">
      <c r="A544" s="107" t="s">
        <v>876</v>
      </c>
      <c r="B544" s="107" t="s">
        <v>351</v>
      </c>
      <c r="C544" s="107" t="s">
        <v>352</v>
      </c>
      <c r="D544" s="107" t="s">
        <v>353</v>
      </c>
      <c r="E544">
        <v>3963</v>
      </c>
      <c r="F544" s="107" t="s">
        <v>893</v>
      </c>
      <c r="G544" s="107" t="s">
        <v>354</v>
      </c>
      <c r="H544" s="107" t="s">
        <v>365</v>
      </c>
      <c r="I544">
        <v>143</v>
      </c>
    </row>
    <row r="545" spans="1:10">
      <c r="A545" s="107" t="s">
        <v>876</v>
      </c>
      <c r="B545" s="107" t="s">
        <v>351</v>
      </c>
      <c r="C545" s="107" t="s">
        <v>361</v>
      </c>
      <c r="D545" s="107" t="s">
        <v>353</v>
      </c>
      <c r="E545">
        <v>4245</v>
      </c>
      <c r="F545" s="107" t="s">
        <v>894</v>
      </c>
      <c r="G545" s="107" t="s">
        <v>354</v>
      </c>
      <c r="H545" s="107" t="s">
        <v>367</v>
      </c>
      <c r="I545">
        <v>129</v>
      </c>
    </row>
    <row r="546" spans="1:10">
      <c r="A546" s="107" t="s">
        <v>876</v>
      </c>
      <c r="B546" s="107" t="s">
        <v>351</v>
      </c>
      <c r="C546" s="107" t="s">
        <v>361</v>
      </c>
      <c r="D546" s="107" t="s">
        <v>353</v>
      </c>
      <c r="E546">
        <v>4251</v>
      </c>
      <c r="F546" s="107" t="s">
        <v>895</v>
      </c>
      <c r="G546" s="107" t="s">
        <v>362</v>
      </c>
      <c r="H546" s="107" t="s">
        <v>367</v>
      </c>
      <c r="I546">
        <v>81</v>
      </c>
    </row>
    <row r="547" spans="1:10">
      <c r="A547" s="107" t="s">
        <v>876</v>
      </c>
      <c r="B547" s="107" t="s">
        <v>351</v>
      </c>
      <c r="C547" s="107" t="s">
        <v>352</v>
      </c>
      <c r="D547" s="107" t="s">
        <v>353</v>
      </c>
      <c r="E547">
        <v>4425</v>
      </c>
      <c r="F547" s="107" t="s">
        <v>896</v>
      </c>
      <c r="G547" s="107" t="s">
        <v>366</v>
      </c>
      <c r="H547" s="107" t="s">
        <v>365</v>
      </c>
      <c r="I547">
        <v>622</v>
      </c>
    </row>
    <row r="548" spans="1:10">
      <c r="A548" s="107" t="s">
        <v>876</v>
      </c>
      <c r="B548" s="107" t="s">
        <v>351</v>
      </c>
      <c r="C548" s="107" t="s">
        <v>352</v>
      </c>
      <c r="D548" s="107" t="s">
        <v>357</v>
      </c>
      <c r="E548">
        <v>4435</v>
      </c>
      <c r="F548" s="107" t="s">
        <v>897</v>
      </c>
      <c r="G548" s="107" t="s">
        <v>366</v>
      </c>
      <c r="H548" s="107" t="s">
        <v>365</v>
      </c>
      <c r="I548">
        <v>450</v>
      </c>
    </row>
    <row r="549" spans="1:10">
      <c r="A549" s="107" t="s">
        <v>876</v>
      </c>
      <c r="B549" s="107" t="s">
        <v>351</v>
      </c>
      <c r="C549" s="107" t="s">
        <v>352</v>
      </c>
      <c r="D549" s="107" t="s">
        <v>353</v>
      </c>
      <c r="E549">
        <v>4442</v>
      </c>
      <c r="F549" s="107" t="s">
        <v>898</v>
      </c>
      <c r="G549" s="107" t="s">
        <v>366</v>
      </c>
      <c r="H549" s="107" t="s">
        <v>365</v>
      </c>
      <c r="I549">
        <v>117</v>
      </c>
    </row>
    <row r="550" spans="1:10">
      <c r="A550" s="107" t="s">
        <v>876</v>
      </c>
      <c r="B550" s="107" t="s">
        <v>351</v>
      </c>
      <c r="C550" s="107" t="s">
        <v>361</v>
      </c>
      <c r="D550" s="107" t="s">
        <v>357</v>
      </c>
      <c r="E550">
        <v>4448</v>
      </c>
      <c r="F550" s="107" t="s">
        <v>899</v>
      </c>
      <c r="G550" s="107" t="s">
        <v>366</v>
      </c>
      <c r="H550" s="107" t="s">
        <v>365</v>
      </c>
      <c r="I550">
        <v>422</v>
      </c>
    </row>
    <row r="551" spans="1:10">
      <c r="A551" s="107" t="s">
        <v>876</v>
      </c>
      <c r="B551" s="107" t="s">
        <v>351</v>
      </c>
      <c r="C551" s="107" t="s">
        <v>361</v>
      </c>
      <c r="D551" s="107" t="s">
        <v>353</v>
      </c>
      <c r="E551">
        <v>4449</v>
      </c>
      <c r="F551" s="107" t="s">
        <v>900</v>
      </c>
      <c r="G551" s="107" t="s">
        <v>366</v>
      </c>
      <c r="H551" s="107" t="s">
        <v>365</v>
      </c>
      <c r="I551">
        <v>457</v>
      </c>
    </row>
    <row r="552" spans="1:10">
      <c r="A552" s="107" t="s">
        <v>876</v>
      </c>
      <c r="B552" s="107" t="s">
        <v>351</v>
      </c>
      <c r="C552" s="107" t="s">
        <v>361</v>
      </c>
      <c r="D552" s="107" t="s">
        <v>357</v>
      </c>
      <c r="E552">
        <v>4450</v>
      </c>
      <c r="F552" s="107" t="s">
        <v>901</v>
      </c>
      <c r="G552" s="107" t="s">
        <v>366</v>
      </c>
      <c r="H552" s="107" t="s">
        <v>365</v>
      </c>
      <c r="I552">
        <v>59</v>
      </c>
    </row>
    <row r="553" spans="1:10">
      <c r="A553" s="107" t="s">
        <v>876</v>
      </c>
      <c r="B553" s="107" t="s">
        <v>351</v>
      </c>
      <c r="C553" s="107" t="s">
        <v>356</v>
      </c>
      <c r="D553" s="107" t="s">
        <v>353</v>
      </c>
      <c r="E553">
        <v>4475</v>
      </c>
      <c r="F553" s="107" t="s">
        <v>902</v>
      </c>
      <c r="G553" s="107" t="s">
        <v>366</v>
      </c>
      <c r="H553" s="107" t="s">
        <v>365</v>
      </c>
      <c r="I553">
        <v>269</v>
      </c>
    </row>
    <row r="554" spans="1:10">
      <c r="A554" s="107" t="s">
        <v>876</v>
      </c>
      <c r="B554" s="107" t="s">
        <v>351</v>
      </c>
      <c r="C554" s="107" t="s">
        <v>361</v>
      </c>
      <c r="D554" s="107" t="s">
        <v>357</v>
      </c>
      <c r="E554">
        <v>4476</v>
      </c>
      <c r="F554" s="107" t="s">
        <v>903</v>
      </c>
      <c r="G554" s="107" t="s">
        <v>366</v>
      </c>
      <c r="H554" s="107" t="s">
        <v>365</v>
      </c>
      <c r="I554">
        <v>101</v>
      </c>
    </row>
    <row r="555" spans="1:10">
      <c r="A555" s="107" t="s">
        <v>876</v>
      </c>
      <c r="B555" s="107" t="s">
        <v>351</v>
      </c>
      <c r="C555" s="107" t="s">
        <v>361</v>
      </c>
      <c r="D555" s="107" t="s">
        <v>353</v>
      </c>
      <c r="E555">
        <v>4477</v>
      </c>
      <c r="F555" s="107" t="s">
        <v>904</v>
      </c>
      <c r="G555" s="107" t="s">
        <v>366</v>
      </c>
      <c r="H555" s="107" t="s">
        <v>365</v>
      </c>
      <c r="I555">
        <v>393</v>
      </c>
    </row>
    <row r="556" spans="1:10">
      <c r="A556" s="107" t="s">
        <v>876</v>
      </c>
      <c r="B556" s="107" t="s">
        <v>351</v>
      </c>
      <c r="C556" s="107" t="s">
        <v>361</v>
      </c>
      <c r="D556" s="107" t="s">
        <v>353</v>
      </c>
      <c r="E556">
        <v>4631</v>
      </c>
      <c r="F556" s="107" t="s">
        <v>905</v>
      </c>
      <c r="G556" s="107" t="s">
        <v>354</v>
      </c>
      <c r="H556" s="107" t="s">
        <v>367</v>
      </c>
      <c r="I556" s="107" t="s">
        <v>377</v>
      </c>
      <c r="J556" s="107" t="s">
        <v>1230</v>
      </c>
    </row>
    <row r="557" spans="1:10">
      <c r="A557" s="107" t="s">
        <v>876</v>
      </c>
      <c r="B557" s="107" t="s">
        <v>351</v>
      </c>
      <c r="C557" s="107" t="s">
        <v>352</v>
      </c>
      <c r="D557" s="107" t="s">
        <v>353</v>
      </c>
      <c r="E557">
        <v>4691</v>
      </c>
      <c r="F557" s="107" t="s">
        <v>906</v>
      </c>
      <c r="G557" s="107" t="s">
        <v>362</v>
      </c>
      <c r="H557" s="107" t="s">
        <v>359</v>
      </c>
      <c r="I557" s="107">
        <v>167</v>
      </c>
      <c r="J557" s="107"/>
    </row>
    <row r="558" spans="1:10">
      <c r="A558" s="107" t="s">
        <v>876</v>
      </c>
      <c r="B558" s="107" t="s">
        <v>351</v>
      </c>
      <c r="C558" s="107" t="s">
        <v>363</v>
      </c>
      <c r="D558" s="107" t="s">
        <v>353</v>
      </c>
      <c r="E558">
        <v>4845</v>
      </c>
      <c r="F558" s="107" t="s">
        <v>907</v>
      </c>
      <c r="G558" s="107" t="s">
        <v>354</v>
      </c>
      <c r="H558" s="107" t="s">
        <v>365</v>
      </c>
      <c r="I558">
        <v>136</v>
      </c>
    </row>
    <row r="559" spans="1:10">
      <c r="A559" s="107" t="s">
        <v>876</v>
      </c>
      <c r="B559" s="107" t="s">
        <v>351</v>
      </c>
      <c r="C559" s="107" t="s">
        <v>352</v>
      </c>
      <c r="D559" s="107" t="s">
        <v>353</v>
      </c>
      <c r="E559">
        <v>6082</v>
      </c>
      <c r="F559" s="107" t="s">
        <v>908</v>
      </c>
      <c r="G559" s="107" t="s">
        <v>354</v>
      </c>
      <c r="H559" s="107" t="s">
        <v>359</v>
      </c>
      <c r="I559">
        <v>218</v>
      </c>
    </row>
    <row r="560" spans="1:10">
      <c r="A560" s="107" t="s">
        <v>876</v>
      </c>
      <c r="B560" s="107" t="s">
        <v>351</v>
      </c>
      <c r="C560" s="107" t="s">
        <v>352</v>
      </c>
      <c r="D560" s="107" t="s">
        <v>353</v>
      </c>
      <c r="E560">
        <v>6408</v>
      </c>
      <c r="F560" s="107" t="s">
        <v>909</v>
      </c>
      <c r="G560" s="107" t="s">
        <v>358</v>
      </c>
      <c r="H560" s="107" t="s">
        <v>375</v>
      </c>
      <c r="I560">
        <v>48</v>
      </c>
    </row>
    <row r="561" spans="1:9">
      <c r="A561" s="107" t="s">
        <v>876</v>
      </c>
      <c r="B561" s="107" t="s">
        <v>351</v>
      </c>
      <c r="C561" s="107" t="s">
        <v>352</v>
      </c>
      <c r="D561" s="107" t="s">
        <v>353</v>
      </c>
      <c r="E561">
        <v>6424</v>
      </c>
      <c r="F561" s="107" t="s">
        <v>910</v>
      </c>
      <c r="G561" s="107" t="s">
        <v>358</v>
      </c>
      <c r="H561" s="107" t="s">
        <v>375</v>
      </c>
      <c r="I561">
        <v>61</v>
      </c>
    </row>
    <row r="562" spans="1:9">
      <c r="A562" s="107" t="s">
        <v>876</v>
      </c>
      <c r="B562" s="107" t="s">
        <v>351</v>
      </c>
      <c r="C562" s="107" t="s">
        <v>352</v>
      </c>
      <c r="D562" s="107" t="s">
        <v>353</v>
      </c>
      <c r="E562">
        <v>6517</v>
      </c>
      <c r="F562" s="107" t="s">
        <v>911</v>
      </c>
      <c r="G562" s="107" t="s">
        <v>354</v>
      </c>
      <c r="H562" s="107" t="s">
        <v>379</v>
      </c>
      <c r="I562">
        <v>507</v>
      </c>
    </row>
    <row r="563" spans="1:9">
      <c r="A563" s="107" t="s">
        <v>876</v>
      </c>
      <c r="B563" s="107" t="s">
        <v>351</v>
      </c>
      <c r="C563" s="107" t="s">
        <v>352</v>
      </c>
      <c r="D563" s="107" t="s">
        <v>353</v>
      </c>
      <c r="E563">
        <v>6574</v>
      </c>
      <c r="F563" s="107" t="s">
        <v>912</v>
      </c>
      <c r="G563" s="107" t="s">
        <v>366</v>
      </c>
      <c r="H563" s="107" t="s">
        <v>359</v>
      </c>
      <c r="I563">
        <v>32</v>
      </c>
    </row>
    <row r="564" spans="1:9">
      <c r="A564" s="107" t="s">
        <v>876</v>
      </c>
      <c r="B564" s="107" t="s">
        <v>351</v>
      </c>
      <c r="C564" s="107" t="s">
        <v>363</v>
      </c>
      <c r="D564" s="107" t="s">
        <v>357</v>
      </c>
      <c r="E564">
        <v>6597</v>
      </c>
      <c r="F564" s="107" t="s">
        <v>913</v>
      </c>
      <c r="G564" s="107" t="s">
        <v>366</v>
      </c>
      <c r="H564" s="107" t="s">
        <v>379</v>
      </c>
      <c r="I564">
        <v>78</v>
      </c>
    </row>
    <row r="565" spans="1:9">
      <c r="A565" s="107" t="s">
        <v>876</v>
      </c>
      <c r="B565" s="107" t="s">
        <v>351</v>
      </c>
      <c r="C565" s="107" t="s">
        <v>352</v>
      </c>
      <c r="D565" s="107" t="s">
        <v>353</v>
      </c>
      <c r="E565">
        <v>6706</v>
      </c>
      <c r="F565" s="107" t="s">
        <v>914</v>
      </c>
      <c r="G565" s="107" t="s">
        <v>354</v>
      </c>
      <c r="H565" s="107" t="s">
        <v>379</v>
      </c>
      <c r="I565">
        <v>446</v>
      </c>
    </row>
    <row r="566" spans="1:9">
      <c r="A566" s="107" t="s">
        <v>876</v>
      </c>
      <c r="B566" s="107" t="s">
        <v>351</v>
      </c>
      <c r="C566" s="107" t="s">
        <v>352</v>
      </c>
      <c r="D566" s="107" t="s">
        <v>353</v>
      </c>
      <c r="E566">
        <v>6819</v>
      </c>
      <c r="F566" s="107" t="s">
        <v>915</v>
      </c>
      <c r="G566" s="107" t="s">
        <v>358</v>
      </c>
      <c r="H566" s="107" t="s">
        <v>359</v>
      </c>
      <c r="I566">
        <v>36</v>
      </c>
    </row>
    <row r="567" spans="1:9">
      <c r="A567" s="107" t="s">
        <v>876</v>
      </c>
      <c r="B567" s="107" t="s">
        <v>351</v>
      </c>
      <c r="C567" s="107" t="s">
        <v>361</v>
      </c>
      <c r="D567" s="107" t="s">
        <v>353</v>
      </c>
      <c r="E567">
        <v>6870</v>
      </c>
      <c r="F567" s="107" t="s">
        <v>916</v>
      </c>
      <c r="G567" s="107" t="s">
        <v>362</v>
      </c>
      <c r="H567" s="107" t="s">
        <v>379</v>
      </c>
      <c r="I567">
        <v>90</v>
      </c>
    </row>
    <row r="568" spans="1:9">
      <c r="A568" s="107" t="s">
        <v>876</v>
      </c>
      <c r="B568" s="107" t="s">
        <v>351</v>
      </c>
      <c r="C568" s="107" t="s">
        <v>352</v>
      </c>
      <c r="D568" s="107" t="s">
        <v>353</v>
      </c>
      <c r="E568">
        <v>7059</v>
      </c>
      <c r="F568" s="107" t="s">
        <v>1231</v>
      </c>
      <c r="G568" s="107" t="s">
        <v>366</v>
      </c>
      <c r="H568" s="107" t="s">
        <v>359</v>
      </c>
      <c r="I568">
        <v>141</v>
      </c>
    </row>
    <row r="569" spans="1:9">
      <c r="A569" s="107" t="s">
        <v>876</v>
      </c>
      <c r="B569" s="107" t="s">
        <v>351</v>
      </c>
      <c r="C569" s="107" t="s">
        <v>352</v>
      </c>
      <c r="D569" s="107" t="s">
        <v>353</v>
      </c>
      <c r="E569">
        <v>7060</v>
      </c>
      <c r="F569" s="107" t="s">
        <v>917</v>
      </c>
      <c r="G569" s="107" t="s">
        <v>366</v>
      </c>
      <c r="H569" s="107" t="s">
        <v>359</v>
      </c>
      <c r="I569">
        <v>176</v>
      </c>
    </row>
    <row r="570" spans="1:9">
      <c r="A570" s="107" t="s">
        <v>876</v>
      </c>
      <c r="B570" s="107" t="s">
        <v>351</v>
      </c>
      <c r="C570" s="107" t="s">
        <v>363</v>
      </c>
      <c r="D570" s="107" t="s">
        <v>353</v>
      </c>
      <c r="E570">
        <v>7063</v>
      </c>
      <c r="F570" s="107" t="s">
        <v>918</v>
      </c>
      <c r="G570" s="107" t="s">
        <v>366</v>
      </c>
      <c r="H570" s="107" t="s">
        <v>359</v>
      </c>
      <c r="I570">
        <v>67</v>
      </c>
    </row>
    <row r="571" spans="1:9">
      <c r="A571" s="107" t="s">
        <v>876</v>
      </c>
      <c r="B571" s="107" t="s">
        <v>351</v>
      </c>
      <c r="C571" s="107" t="s">
        <v>352</v>
      </c>
      <c r="D571" s="107" t="s">
        <v>353</v>
      </c>
      <c r="E571">
        <v>7067</v>
      </c>
      <c r="F571" s="107" t="s">
        <v>919</v>
      </c>
      <c r="G571" s="107" t="s">
        <v>366</v>
      </c>
      <c r="H571" s="107" t="s">
        <v>359</v>
      </c>
      <c r="I571">
        <v>37</v>
      </c>
    </row>
    <row r="572" spans="1:9">
      <c r="A572" s="107" t="s">
        <v>876</v>
      </c>
      <c r="B572" s="107" t="s">
        <v>351</v>
      </c>
      <c r="C572" s="107" t="s">
        <v>356</v>
      </c>
      <c r="D572" s="107" t="s">
        <v>357</v>
      </c>
      <c r="E572">
        <v>7072</v>
      </c>
      <c r="F572" s="107" t="s">
        <v>920</v>
      </c>
      <c r="G572" s="107" t="s">
        <v>366</v>
      </c>
      <c r="H572" s="107" t="s">
        <v>359</v>
      </c>
      <c r="I572">
        <v>78</v>
      </c>
    </row>
    <row r="573" spans="1:9">
      <c r="A573" s="107" t="s">
        <v>876</v>
      </c>
      <c r="B573" s="107" t="s">
        <v>351</v>
      </c>
      <c r="C573" s="107" t="s">
        <v>352</v>
      </c>
      <c r="D573" s="107" t="s">
        <v>353</v>
      </c>
      <c r="E573">
        <v>7239</v>
      </c>
      <c r="F573" s="107" t="s">
        <v>921</v>
      </c>
      <c r="G573" s="107" t="s">
        <v>354</v>
      </c>
      <c r="H573" s="107" t="s">
        <v>405</v>
      </c>
      <c r="I573">
        <v>513</v>
      </c>
    </row>
    <row r="574" spans="1:9">
      <c r="A574" s="107" t="s">
        <v>876</v>
      </c>
      <c r="B574" s="107" t="s">
        <v>351</v>
      </c>
      <c r="C574" s="107" t="s">
        <v>352</v>
      </c>
      <c r="D574" s="107" t="s">
        <v>353</v>
      </c>
      <c r="E574">
        <v>7242</v>
      </c>
      <c r="F574" s="107" t="s">
        <v>922</v>
      </c>
      <c r="G574" s="107" t="s">
        <v>354</v>
      </c>
      <c r="H574" s="107" t="s">
        <v>405</v>
      </c>
      <c r="I574">
        <v>855</v>
      </c>
    </row>
    <row r="575" spans="1:9">
      <c r="A575" s="107" t="s">
        <v>876</v>
      </c>
      <c r="B575" s="107" t="s">
        <v>351</v>
      </c>
      <c r="C575" s="107" t="s">
        <v>363</v>
      </c>
      <c r="D575" s="107" t="s">
        <v>353</v>
      </c>
      <c r="E575">
        <v>7325</v>
      </c>
      <c r="F575" s="107" t="s">
        <v>1008</v>
      </c>
      <c r="G575" s="107" t="s">
        <v>366</v>
      </c>
      <c r="H575" s="107" t="s">
        <v>1009</v>
      </c>
      <c r="I575">
        <v>116</v>
      </c>
    </row>
    <row r="576" spans="1:9">
      <c r="A576" s="107" t="s">
        <v>876</v>
      </c>
      <c r="B576" s="107" t="s">
        <v>351</v>
      </c>
      <c r="C576" s="107" t="s">
        <v>352</v>
      </c>
      <c r="D576" s="107" t="s">
        <v>353</v>
      </c>
      <c r="E576">
        <v>7593</v>
      </c>
      <c r="F576" s="107" t="s">
        <v>1232</v>
      </c>
      <c r="G576" s="107" t="s">
        <v>354</v>
      </c>
      <c r="H576" s="107" t="s">
        <v>364</v>
      </c>
      <c r="I576">
        <v>566</v>
      </c>
    </row>
    <row r="577" spans="1:10">
      <c r="A577" s="107" t="s">
        <v>876</v>
      </c>
      <c r="B577" s="107" t="s">
        <v>351</v>
      </c>
      <c r="C577" s="107" t="s">
        <v>363</v>
      </c>
      <c r="D577" s="107" t="s">
        <v>357</v>
      </c>
      <c r="E577">
        <v>7674</v>
      </c>
      <c r="F577" s="107" t="s">
        <v>923</v>
      </c>
      <c r="G577" s="107" t="s">
        <v>366</v>
      </c>
      <c r="H577" s="107" t="s">
        <v>364</v>
      </c>
      <c r="I577">
        <v>74</v>
      </c>
    </row>
    <row r="578" spans="1:10">
      <c r="A578" s="107" t="s">
        <v>876</v>
      </c>
      <c r="B578" s="107" t="s">
        <v>351</v>
      </c>
      <c r="C578" s="107" t="s">
        <v>356</v>
      </c>
      <c r="D578" s="107" t="s">
        <v>357</v>
      </c>
      <c r="E578">
        <v>7676</v>
      </c>
      <c r="F578" s="107" t="s">
        <v>924</v>
      </c>
      <c r="G578" s="107" t="s">
        <v>366</v>
      </c>
      <c r="H578" s="107" t="s">
        <v>364</v>
      </c>
      <c r="I578">
        <v>45</v>
      </c>
    </row>
    <row r="579" spans="1:10">
      <c r="A579" s="107" t="s">
        <v>876</v>
      </c>
      <c r="B579" s="107" t="s">
        <v>351</v>
      </c>
      <c r="C579" s="107" t="s">
        <v>352</v>
      </c>
      <c r="D579" s="107" t="s">
        <v>353</v>
      </c>
      <c r="E579">
        <v>7677</v>
      </c>
      <c r="F579" s="107" t="s">
        <v>925</v>
      </c>
      <c r="G579" s="107" t="s">
        <v>362</v>
      </c>
      <c r="H579" s="107" t="s">
        <v>360</v>
      </c>
      <c r="I579">
        <v>52</v>
      </c>
    </row>
    <row r="580" spans="1:10">
      <c r="A580" s="107" t="s">
        <v>876</v>
      </c>
      <c r="B580" s="107" t="s">
        <v>351</v>
      </c>
      <c r="C580" s="107" t="s">
        <v>356</v>
      </c>
      <c r="D580" s="107" t="s">
        <v>353</v>
      </c>
      <c r="E580">
        <v>7681</v>
      </c>
      <c r="F580" s="107" t="s">
        <v>926</v>
      </c>
      <c r="G580" s="107" t="s">
        <v>362</v>
      </c>
      <c r="H580" s="107" t="s">
        <v>360</v>
      </c>
      <c r="I580">
        <v>66</v>
      </c>
    </row>
    <row r="581" spans="1:10">
      <c r="A581" s="107" t="s">
        <v>876</v>
      </c>
      <c r="B581" s="107" t="s">
        <v>351</v>
      </c>
      <c r="C581" s="107" t="s">
        <v>352</v>
      </c>
      <c r="D581" s="107" t="s">
        <v>353</v>
      </c>
      <c r="E581">
        <v>7749</v>
      </c>
      <c r="F581" s="107" t="s">
        <v>927</v>
      </c>
      <c r="G581" s="107" t="s">
        <v>358</v>
      </c>
      <c r="H581" s="107" t="s">
        <v>621</v>
      </c>
      <c r="I581">
        <v>661</v>
      </c>
    </row>
    <row r="582" spans="1:10">
      <c r="A582" s="107" t="s">
        <v>876</v>
      </c>
      <c r="B582" s="107" t="s">
        <v>351</v>
      </c>
      <c r="C582" s="107" t="s">
        <v>356</v>
      </c>
      <c r="D582" s="107" t="s">
        <v>357</v>
      </c>
      <c r="E582">
        <v>7800</v>
      </c>
      <c r="F582" s="107" t="s">
        <v>928</v>
      </c>
      <c r="G582" s="107" t="s">
        <v>358</v>
      </c>
      <c r="H582" s="107" t="s">
        <v>376</v>
      </c>
      <c r="I582">
        <v>33</v>
      </c>
    </row>
    <row r="583" spans="1:10">
      <c r="A583" s="107" t="s">
        <v>876</v>
      </c>
      <c r="B583" s="107" t="s">
        <v>351</v>
      </c>
      <c r="C583" s="107" t="s">
        <v>352</v>
      </c>
      <c r="D583" s="107" t="s">
        <v>353</v>
      </c>
      <c r="E583">
        <v>8152</v>
      </c>
      <c r="F583" s="107" t="s">
        <v>929</v>
      </c>
      <c r="G583" s="107" t="s">
        <v>362</v>
      </c>
      <c r="H583" s="107" t="s">
        <v>360</v>
      </c>
      <c r="I583">
        <v>35</v>
      </c>
    </row>
    <row r="584" spans="1:10">
      <c r="A584" s="107" t="s">
        <v>876</v>
      </c>
      <c r="B584" s="107" t="s">
        <v>351</v>
      </c>
      <c r="C584" s="107" t="s">
        <v>363</v>
      </c>
      <c r="D584" s="107" t="s">
        <v>353</v>
      </c>
      <c r="E584">
        <v>8928</v>
      </c>
      <c r="F584" s="107" t="s">
        <v>1010</v>
      </c>
      <c r="G584" s="107" t="s">
        <v>354</v>
      </c>
      <c r="H584" s="107" t="s">
        <v>380</v>
      </c>
      <c r="I584">
        <v>194</v>
      </c>
    </row>
    <row r="585" spans="1:10">
      <c r="A585" s="107" t="s">
        <v>876</v>
      </c>
      <c r="B585" s="107" t="s">
        <v>351</v>
      </c>
      <c r="C585" s="107" t="s">
        <v>361</v>
      </c>
      <c r="D585" s="107" t="s">
        <v>353</v>
      </c>
      <c r="E585">
        <v>9672</v>
      </c>
      <c r="F585" s="107" t="s">
        <v>930</v>
      </c>
      <c r="G585" s="107" t="s">
        <v>354</v>
      </c>
      <c r="H585" s="107" t="s">
        <v>359</v>
      </c>
      <c r="I585">
        <v>998</v>
      </c>
    </row>
    <row r="586" spans="1:10">
      <c r="A586" s="107" t="s">
        <v>1233</v>
      </c>
      <c r="B586" s="107" t="s">
        <v>351</v>
      </c>
      <c r="C586" s="107" t="s">
        <v>352</v>
      </c>
      <c r="D586" s="107" t="s">
        <v>353</v>
      </c>
      <c r="E586">
        <v>2910</v>
      </c>
      <c r="F586" s="107" t="s">
        <v>372</v>
      </c>
      <c r="G586" s="107" t="s">
        <v>354</v>
      </c>
      <c r="H586" s="107" t="s">
        <v>355</v>
      </c>
      <c r="I586">
        <v>407</v>
      </c>
    </row>
    <row r="587" spans="1:10">
      <c r="A587" s="107" t="s">
        <v>1233</v>
      </c>
      <c r="B587" s="107" t="s">
        <v>351</v>
      </c>
      <c r="C587" s="107" t="s">
        <v>352</v>
      </c>
      <c r="D587" s="107" t="s">
        <v>353</v>
      </c>
      <c r="E587">
        <v>3770</v>
      </c>
      <c r="F587" s="107" t="s">
        <v>373</v>
      </c>
      <c r="G587" s="107" t="s">
        <v>354</v>
      </c>
      <c r="H587" s="107" t="s">
        <v>365</v>
      </c>
      <c r="I587">
        <v>56</v>
      </c>
    </row>
    <row r="588" spans="1:10">
      <c r="A588" s="107" t="s">
        <v>931</v>
      </c>
      <c r="B588" s="107" t="s">
        <v>351</v>
      </c>
      <c r="C588" s="107" t="s">
        <v>361</v>
      </c>
      <c r="D588" s="107" t="s">
        <v>357</v>
      </c>
      <c r="E588">
        <v>3282</v>
      </c>
      <c r="F588" s="107" t="s">
        <v>932</v>
      </c>
      <c r="G588" s="107" t="s">
        <v>441</v>
      </c>
      <c r="H588" s="107" t="s">
        <v>442</v>
      </c>
      <c r="I588" s="107" t="s">
        <v>377</v>
      </c>
      <c r="J588" s="107" t="s">
        <v>979</v>
      </c>
    </row>
    <row r="589" spans="1:10">
      <c r="A589" s="107" t="s">
        <v>931</v>
      </c>
      <c r="B589" s="107" t="s">
        <v>351</v>
      </c>
      <c r="C589" s="107" t="s">
        <v>361</v>
      </c>
      <c r="D589" s="107" t="s">
        <v>357</v>
      </c>
      <c r="E589">
        <v>3463</v>
      </c>
      <c r="F589" s="107" t="s">
        <v>933</v>
      </c>
      <c r="G589" s="107" t="s">
        <v>441</v>
      </c>
      <c r="H589" s="107" t="s">
        <v>442</v>
      </c>
      <c r="I589" s="107">
        <v>338</v>
      </c>
      <c r="J589" s="107"/>
    </row>
    <row r="590" spans="1:10">
      <c r="A590" s="107" t="s">
        <v>934</v>
      </c>
      <c r="B590" s="107" t="s">
        <v>351</v>
      </c>
      <c r="C590" s="107" t="s">
        <v>361</v>
      </c>
      <c r="D590" s="107" t="s">
        <v>357</v>
      </c>
      <c r="E590">
        <v>3281</v>
      </c>
      <c r="F590" s="107" t="s">
        <v>935</v>
      </c>
      <c r="G590" s="107" t="s">
        <v>441</v>
      </c>
      <c r="H590" s="107" t="s">
        <v>442</v>
      </c>
      <c r="I590" s="107" t="s">
        <v>371</v>
      </c>
      <c r="J590" s="107" t="s">
        <v>799</v>
      </c>
    </row>
    <row r="591" spans="1:10">
      <c r="A591" s="107" t="s">
        <v>934</v>
      </c>
      <c r="B591" s="107" t="s">
        <v>351</v>
      </c>
      <c r="C591" s="107" t="s">
        <v>361</v>
      </c>
      <c r="D591" s="107" t="s">
        <v>357</v>
      </c>
      <c r="E591">
        <v>3466</v>
      </c>
      <c r="F591" s="107" t="s">
        <v>936</v>
      </c>
      <c r="G591" s="107" t="s">
        <v>441</v>
      </c>
      <c r="H591" s="107" t="s">
        <v>442</v>
      </c>
      <c r="I591" s="107" t="s">
        <v>377</v>
      </c>
      <c r="J591" s="107" t="s">
        <v>1234</v>
      </c>
    </row>
    <row r="592" spans="1:10">
      <c r="A592" s="107" t="s">
        <v>937</v>
      </c>
      <c r="B592" s="107" t="s">
        <v>351</v>
      </c>
      <c r="C592" s="107" t="s">
        <v>352</v>
      </c>
      <c r="D592" s="107" t="s">
        <v>353</v>
      </c>
      <c r="E592">
        <v>2354</v>
      </c>
      <c r="F592" s="107" t="s">
        <v>938</v>
      </c>
      <c r="G592" s="107" t="s">
        <v>362</v>
      </c>
      <c r="H592" s="107" t="s">
        <v>365</v>
      </c>
      <c r="I592" s="107">
        <v>103</v>
      </c>
      <c r="J592" s="107"/>
    </row>
    <row r="593" spans="1:10">
      <c r="A593" s="107" t="s">
        <v>937</v>
      </c>
      <c r="B593" s="107" t="s">
        <v>351</v>
      </c>
      <c r="C593" s="107" t="s">
        <v>363</v>
      </c>
      <c r="D593" s="107" t="s">
        <v>353</v>
      </c>
      <c r="E593">
        <v>3160</v>
      </c>
      <c r="F593" s="107" t="s">
        <v>939</v>
      </c>
      <c r="G593" s="107" t="s">
        <v>354</v>
      </c>
      <c r="H593" s="107" t="s">
        <v>360</v>
      </c>
      <c r="I593">
        <v>91</v>
      </c>
    </row>
    <row r="594" spans="1:10">
      <c r="A594" s="107" t="s">
        <v>937</v>
      </c>
      <c r="B594" s="107" t="s">
        <v>351</v>
      </c>
      <c r="C594" s="107" t="s">
        <v>352</v>
      </c>
      <c r="D594" s="107" t="s">
        <v>353</v>
      </c>
      <c r="E594">
        <v>7630</v>
      </c>
      <c r="F594" s="107" t="s">
        <v>940</v>
      </c>
      <c r="G594" s="107" t="s">
        <v>354</v>
      </c>
      <c r="H594" s="107" t="s">
        <v>364</v>
      </c>
      <c r="I594" s="107" t="s">
        <v>409</v>
      </c>
      <c r="J594" s="107" t="s">
        <v>1235</v>
      </c>
    </row>
    <row r="595" spans="1:10">
      <c r="A595" s="107" t="s">
        <v>937</v>
      </c>
      <c r="B595" s="107" t="s">
        <v>351</v>
      </c>
      <c r="C595" s="107" t="s">
        <v>363</v>
      </c>
      <c r="D595" s="107" t="s">
        <v>357</v>
      </c>
      <c r="E595">
        <v>8155</v>
      </c>
      <c r="F595" s="107" t="s">
        <v>941</v>
      </c>
      <c r="G595" s="107" t="s">
        <v>354</v>
      </c>
      <c r="H595" s="107" t="s">
        <v>369</v>
      </c>
      <c r="I595" s="107">
        <v>709</v>
      </c>
      <c r="J595" s="107"/>
    </row>
    <row r="596" spans="1:10">
      <c r="A596" s="107" t="s">
        <v>937</v>
      </c>
      <c r="B596" s="107" t="s">
        <v>351</v>
      </c>
      <c r="C596" s="107" t="s">
        <v>352</v>
      </c>
      <c r="D596" s="107" t="s">
        <v>353</v>
      </c>
      <c r="E596">
        <v>8217</v>
      </c>
      <c r="F596" s="107" t="s">
        <v>942</v>
      </c>
      <c r="G596" s="107" t="s">
        <v>354</v>
      </c>
      <c r="H596" s="107" t="s">
        <v>364</v>
      </c>
      <c r="I596">
        <v>637</v>
      </c>
    </row>
    <row r="597" spans="1:10">
      <c r="A597" s="107" t="s">
        <v>944</v>
      </c>
      <c r="B597" s="107" t="s">
        <v>351</v>
      </c>
      <c r="C597" s="107" t="s">
        <v>352</v>
      </c>
      <c r="D597" s="107" t="s">
        <v>353</v>
      </c>
      <c r="E597">
        <v>6757</v>
      </c>
      <c r="F597" s="107" t="s">
        <v>945</v>
      </c>
      <c r="G597" s="107" t="s">
        <v>358</v>
      </c>
      <c r="H597" s="107" t="s">
        <v>379</v>
      </c>
      <c r="I597">
        <v>127</v>
      </c>
    </row>
    <row r="598" spans="1:10">
      <c r="A598" s="107" t="s">
        <v>946</v>
      </c>
      <c r="B598" s="107" t="s">
        <v>351</v>
      </c>
      <c r="C598" s="107" t="s">
        <v>363</v>
      </c>
      <c r="D598" s="107" t="s">
        <v>353</v>
      </c>
      <c r="E598">
        <v>6905</v>
      </c>
      <c r="F598" s="107" t="s">
        <v>947</v>
      </c>
      <c r="G598" s="107" t="s">
        <v>354</v>
      </c>
      <c r="H598" s="107" t="s">
        <v>379</v>
      </c>
      <c r="I598">
        <v>444</v>
      </c>
    </row>
    <row r="599" spans="1:10">
      <c r="A599" s="107"/>
      <c r="B599" s="107"/>
      <c r="C599" s="107"/>
      <c r="D599" s="107"/>
      <c r="F599" s="107"/>
      <c r="G599" s="107"/>
      <c r="H599" s="107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G1058"/>
  <sheetViews>
    <sheetView topLeftCell="A619" workbookViewId="0">
      <selection activeCell="A639" sqref="A1:A1048576"/>
    </sheetView>
  </sheetViews>
  <sheetFormatPr defaultRowHeight="14.25"/>
  <sheetData>
    <row r="1" spans="1:7">
      <c r="A1" s="107" t="s">
        <v>1347</v>
      </c>
      <c r="B1" s="107" t="s">
        <v>1348</v>
      </c>
      <c r="C1" s="193">
        <v>43811</v>
      </c>
      <c r="D1" s="193">
        <v>43810</v>
      </c>
      <c r="E1" s="193">
        <v>43809</v>
      </c>
      <c r="F1" s="193">
        <v>43808</v>
      </c>
      <c r="G1" s="193">
        <v>43805</v>
      </c>
    </row>
    <row r="2" spans="1:7">
      <c r="A2" s="107">
        <v>1301</v>
      </c>
      <c r="B2" s="107" t="s">
        <v>1349</v>
      </c>
      <c r="C2" s="193">
        <v>0</v>
      </c>
      <c r="D2" s="193">
        <v>0</v>
      </c>
      <c r="E2" s="193">
        <v>0</v>
      </c>
      <c r="F2" s="193">
        <v>0</v>
      </c>
      <c r="G2" s="193">
        <v>0</v>
      </c>
    </row>
    <row r="3" spans="1:7">
      <c r="A3">
        <v>1379</v>
      </c>
      <c r="B3" s="107" t="s">
        <v>1350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>
      <c r="A4">
        <v>1419</v>
      </c>
      <c r="B4" s="107" t="s">
        <v>1351</v>
      </c>
      <c r="C4">
        <v>0.05</v>
      </c>
      <c r="D4">
        <v>0.3</v>
      </c>
      <c r="E4">
        <v>0.05</v>
      </c>
      <c r="F4">
        <v>0.05</v>
      </c>
      <c r="G4">
        <v>0.05</v>
      </c>
    </row>
    <row r="5" spans="1:7">
      <c r="A5">
        <v>1420</v>
      </c>
      <c r="B5" s="107" t="s">
        <v>1352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>
      <c r="A6">
        <v>1430</v>
      </c>
      <c r="B6" s="107" t="s">
        <v>1353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>
      <c r="A7">
        <v>1433</v>
      </c>
      <c r="B7" s="107" t="s">
        <v>1354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1605</v>
      </c>
      <c r="B8" s="107" t="s">
        <v>1355</v>
      </c>
      <c r="C8">
        <v>0</v>
      </c>
      <c r="D8">
        <v>0</v>
      </c>
      <c r="E8">
        <v>0.05</v>
      </c>
      <c r="F8">
        <v>0</v>
      </c>
      <c r="G8">
        <v>0</v>
      </c>
    </row>
    <row r="9" spans="1:7">
      <c r="A9">
        <v>1662</v>
      </c>
      <c r="B9" s="107" t="s">
        <v>1356</v>
      </c>
      <c r="C9">
        <v>0.05</v>
      </c>
      <c r="D9">
        <v>0.15</v>
      </c>
      <c r="E9">
        <v>0.05</v>
      </c>
      <c r="F9">
        <v>0.05</v>
      </c>
      <c r="G9">
        <v>0</v>
      </c>
    </row>
    <row r="10" spans="1:7">
      <c r="A10">
        <v>1663</v>
      </c>
      <c r="B10" s="107" t="s">
        <v>1357</v>
      </c>
      <c r="C10">
        <v>0.05</v>
      </c>
      <c r="D10">
        <v>0.15</v>
      </c>
      <c r="E10">
        <v>0.05</v>
      </c>
      <c r="F10">
        <v>0.05</v>
      </c>
      <c r="G10">
        <v>0.05</v>
      </c>
    </row>
    <row r="11" spans="1:7">
      <c r="A11">
        <v>1719</v>
      </c>
      <c r="B11" s="107" t="s">
        <v>1313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>
        <v>1722</v>
      </c>
      <c r="B12" s="107" t="s">
        <v>1358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>
      <c r="A13">
        <v>1766</v>
      </c>
      <c r="B13" s="107" t="s">
        <v>1359</v>
      </c>
      <c r="C13">
        <v>0.15</v>
      </c>
      <c r="D13">
        <v>0.45</v>
      </c>
      <c r="E13">
        <v>0.15</v>
      </c>
      <c r="F13">
        <v>0.15</v>
      </c>
      <c r="G13">
        <v>0.15</v>
      </c>
    </row>
    <row r="14" spans="1:7">
      <c r="A14">
        <v>1768</v>
      </c>
      <c r="B14" s="107" t="s">
        <v>1360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>
        <v>1780</v>
      </c>
      <c r="B15" s="107" t="s">
        <v>1361</v>
      </c>
      <c r="C15">
        <v>0.05</v>
      </c>
      <c r="D15">
        <v>0.15</v>
      </c>
      <c r="E15">
        <v>0.05</v>
      </c>
      <c r="F15">
        <v>0.05</v>
      </c>
      <c r="G15">
        <v>0.05</v>
      </c>
    </row>
    <row r="16" spans="1:7">
      <c r="A16">
        <v>1801</v>
      </c>
      <c r="B16" s="107" t="s">
        <v>1362</v>
      </c>
      <c r="C16">
        <v>0</v>
      </c>
      <c r="D16" s="107" t="s">
        <v>235</v>
      </c>
      <c r="E16" s="107" t="s">
        <v>235</v>
      </c>
      <c r="F16" s="107" t="s">
        <v>235</v>
      </c>
      <c r="G16" s="107" t="s">
        <v>235</v>
      </c>
    </row>
    <row r="17" spans="1:7">
      <c r="A17">
        <v>1803</v>
      </c>
      <c r="B17" s="107" t="s">
        <v>1314</v>
      </c>
      <c r="C17">
        <v>0</v>
      </c>
      <c r="D17" s="107">
        <v>0</v>
      </c>
      <c r="E17" s="107" t="s">
        <v>235</v>
      </c>
      <c r="F17" s="107" t="s">
        <v>235</v>
      </c>
      <c r="G17" s="107">
        <v>0</v>
      </c>
    </row>
    <row r="18" spans="1:7">
      <c r="A18">
        <v>1808</v>
      </c>
      <c r="B18" s="107" t="s">
        <v>1363</v>
      </c>
      <c r="C18">
        <v>0.05</v>
      </c>
      <c r="D18">
        <v>0.15</v>
      </c>
      <c r="E18" s="107">
        <v>0.05</v>
      </c>
      <c r="F18" s="107">
        <v>0.05</v>
      </c>
      <c r="G18">
        <v>0.05</v>
      </c>
    </row>
    <row r="19" spans="1:7">
      <c r="A19">
        <v>1810</v>
      </c>
      <c r="B19" s="107" t="s">
        <v>1364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>
        <v>1811</v>
      </c>
      <c r="B20" s="107" t="s">
        <v>1365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>
        <v>1814</v>
      </c>
      <c r="B21" s="107" t="s">
        <v>1366</v>
      </c>
      <c r="C21">
        <v>0</v>
      </c>
      <c r="D21" s="107" t="s">
        <v>235</v>
      </c>
      <c r="E21" s="107" t="s">
        <v>235</v>
      </c>
      <c r="F21" s="107" t="s">
        <v>235</v>
      </c>
      <c r="G21" s="107" t="s">
        <v>235</v>
      </c>
    </row>
    <row r="22" spans="1:7">
      <c r="A22">
        <v>1820</v>
      </c>
      <c r="B22" s="107" t="s">
        <v>122</v>
      </c>
      <c r="C22">
        <v>0</v>
      </c>
      <c r="D22" s="107">
        <v>0</v>
      </c>
      <c r="E22" s="107">
        <v>0</v>
      </c>
      <c r="F22" s="107">
        <v>0</v>
      </c>
      <c r="G22" s="107">
        <v>0</v>
      </c>
    </row>
    <row r="23" spans="1:7">
      <c r="A23">
        <v>1826</v>
      </c>
      <c r="B23" s="107" t="s">
        <v>1367</v>
      </c>
      <c r="C23">
        <v>0</v>
      </c>
      <c r="D23">
        <v>0</v>
      </c>
      <c r="E23">
        <v>0</v>
      </c>
      <c r="F23" s="107" t="s">
        <v>235</v>
      </c>
      <c r="G23" s="107" t="s">
        <v>235</v>
      </c>
    </row>
    <row r="24" spans="1:7">
      <c r="A24">
        <v>1848</v>
      </c>
      <c r="B24" s="107" t="s">
        <v>1368</v>
      </c>
      <c r="C24">
        <v>0</v>
      </c>
      <c r="D24">
        <v>0</v>
      </c>
      <c r="E24">
        <v>0</v>
      </c>
      <c r="F24" s="107">
        <v>0</v>
      </c>
      <c r="G24" s="107">
        <v>0.05</v>
      </c>
    </row>
    <row r="25" spans="1:7">
      <c r="A25">
        <v>1860</v>
      </c>
      <c r="B25" s="107" t="s">
        <v>111</v>
      </c>
      <c r="C25">
        <v>0</v>
      </c>
      <c r="D25">
        <v>0</v>
      </c>
      <c r="E25" s="107" t="s">
        <v>235</v>
      </c>
      <c r="F25" s="107" t="s">
        <v>235</v>
      </c>
      <c r="G25" s="107" t="s">
        <v>235</v>
      </c>
    </row>
    <row r="26" spans="1:7">
      <c r="A26">
        <v>1866</v>
      </c>
      <c r="B26" s="107" t="s">
        <v>1369</v>
      </c>
      <c r="C26">
        <v>0</v>
      </c>
      <c r="D26">
        <v>0</v>
      </c>
      <c r="E26" s="107">
        <v>0</v>
      </c>
      <c r="F26" s="107">
        <v>0</v>
      </c>
      <c r="G26" s="107">
        <v>0</v>
      </c>
    </row>
    <row r="27" spans="1:7">
      <c r="A27">
        <v>1867</v>
      </c>
      <c r="B27" s="107" t="s">
        <v>1370</v>
      </c>
      <c r="C27">
        <v>0</v>
      </c>
      <c r="D27" s="107" t="s">
        <v>235</v>
      </c>
      <c r="E27">
        <v>0.05</v>
      </c>
      <c r="F27" s="107" t="s">
        <v>235</v>
      </c>
      <c r="G27">
        <v>0.05</v>
      </c>
    </row>
    <row r="28" spans="1:7">
      <c r="A28">
        <v>1870</v>
      </c>
      <c r="B28" s="107" t="s">
        <v>1371</v>
      </c>
      <c r="C28">
        <v>0</v>
      </c>
      <c r="D28" s="107">
        <v>0</v>
      </c>
      <c r="E28">
        <v>0</v>
      </c>
      <c r="F28" s="107">
        <v>0</v>
      </c>
      <c r="G28" s="107" t="s">
        <v>235</v>
      </c>
    </row>
    <row r="29" spans="1:7">
      <c r="A29">
        <v>1878</v>
      </c>
      <c r="B29" s="107" t="s">
        <v>1372</v>
      </c>
      <c r="C29">
        <v>0.25</v>
      </c>
      <c r="D29">
        <v>0.75</v>
      </c>
      <c r="E29">
        <v>0.25</v>
      </c>
      <c r="F29">
        <v>0.25</v>
      </c>
      <c r="G29" s="107">
        <v>0.25</v>
      </c>
    </row>
    <row r="30" spans="1:7">
      <c r="A30">
        <v>1881</v>
      </c>
      <c r="B30" s="107" t="s">
        <v>1373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>
        <v>1883</v>
      </c>
      <c r="B31" s="107" t="s">
        <v>1374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>
      <c r="A32">
        <v>1884</v>
      </c>
      <c r="B32" s="107" t="s">
        <v>1375</v>
      </c>
      <c r="C32">
        <v>0.15</v>
      </c>
      <c r="D32">
        <v>0.45</v>
      </c>
      <c r="E32">
        <v>0.15</v>
      </c>
      <c r="F32">
        <v>0.15</v>
      </c>
      <c r="G32">
        <v>0.15</v>
      </c>
    </row>
    <row r="33" spans="1:7">
      <c r="A33">
        <v>1921</v>
      </c>
      <c r="B33" s="107" t="s">
        <v>1376</v>
      </c>
      <c r="C33">
        <v>0</v>
      </c>
      <c r="D33" s="107" t="s">
        <v>235</v>
      </c>
      <c r="E33">
        <v>0</v>
      </c>
      <c r="F33" s="107" t="s">
        <v>235</v>
      </c>
      <c r="G33">
        <v>0</v>
      </c>
    </row>
    <row r="34" spans="1:7">
      <c r="A34">
        <v>1928</v>
      </c>
      <c r="B34" s="107" t="s">
        <v>302</v>
      </c>
      <c r="C34">
        <v>0.05</v>
      </c>
      <c r="D34" s="107">
        <v>0.15</v>
      </c>
      <c r="E34">
        <v>0.05</v>
      </c>
      <c r="F34" s="107">
        <v>0.05</v>
      </c>
      <c r="G34">
        <v>0.05</v>
      </c>
    </row>
    <row r="35" spans="1:7">
      <c r="A35">
        <v>1929</v>
      </c>
      <c r="B35" s="107" t="s">
        <v>1377</v>
      </c>
      <c r="C35">
        <v>0</v>
      </c>
      <c r="D35" s="107" t="s">
        <v>235</v>
      </c>
      <c r="E35">
        <v>0</v>
      </c>
      <c r="F35" s="107" t="s">
        <v>235</v>
      </c>
      <c r="G35" s="107" t="s">
        <v>235</v>
      </c>
    </row>
    <row r="36" spans="1:7">
      <c r="A36">
        <v>1930</v>
      </c>
      <c r="B36" s="107" t="s">
        <v>1378</v>
      </c>
      <c r="C36">
        <v>0</v>
      </c>
      <c r="D36" s="107">
        <v>0</v>
      </c>
      <c r="E36">
        <v>0</v>
      </c>
      <c r="F36" s="107">
        <v>0</v>
      </c>
      <c r="G36" s="107">
        <v>0</v>
      </c>
    </row>
    <row r="37" spans="1:7">
      <c r="A37">
        <v>1939</v>
      </c>
      <c r="B37" s="107" t="s">
        <v>1379</v>
      </c>
      <c r="C37">
        <v>0.05</v>
      </c>
      <c r="D37" s="107" t="s">
        <v>235</v>
      </c>
      <c r="E37" s="107" t="s">
        <v>235</v>
      </c>
      <c r="F37">
        <v>0.05</v>
      </c>
      <c r="G37">
        <v>0.05</v>
      </c>
    </row>
    <row r="38" spans="1:7">
      <c r="A38">
        <v>1941</v>
      </c>
      <c r="B38" s="107" t="s">
        <v>1312</v>
      </c>
      <c r="C38">
        <v>0</v>
      </c>
      <c r="D38" s="107">
        <v>0</v>
      </c>
      <c r="E38" s="107" t="s">
        <v>235</v>
      </c>
      <c r="F38">
        <v>0</v>
      </c>
      <c r="G38">
        <v>0</v>
      </c>
    </row>
    <row r="39" spans="1:7">
      <c r="A39">
        <v>1944</v>
      </c>
      <c r="B39" s="107" t="s">
        <v>1380</v>
      </c>
      <c r="C39">
        <v>0</v>
      </c>
      <c r="D39">
        <v>0</v>
      </c>
      <c r="E39" s="107">
        <v>0</v>
      </c>
      <c r="F39">
        <v>0</v>
      </c>
      <c r="G39">
        <v>0</v>
      </c>
    </row>
    <row r="40" spans="1:7">
      <c r="A40">
        <v>1949</v>
      </c>
      <c r="B40" s="107" t="s">
        <v>1381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>
      <c r="A41">
        <v>1952</v>
      </c>
      <c r="B41" s="107" t="s">
        <v>1382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>
      <c r="A42">
        <v>1954</v>
      </c>
      <c r="B42" s="107" t="s">
        <v>1383</v>
      </c>
      <c r="C42">
        <v>0.1</v>
      </c>
      <c r="D42">
        <v>0.3</v>
      </c>
      <c r="E42">
        <v>0.1</v>
      </c>
      <c r="F42">
        <v>0.1</v>
      </c>
      <c r="G42">
        <v>0.1</v>
      </c>
    </row>
    <row r="43" spans="1:7">
      <c r="A43">
        <v>1961</v>
      </c>
      <c r="B43" s="107" t="s">
        <v>1384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1963</v>
      </c>
      <c r="B44" s="107" t="s">
        <v>1385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>
      <c r="A45">
        <v>1964</v>
      </c>
      <c r="B45" s="107" t="s">
        <v>1386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>
      <c r="A46">
        <v>1969</v>
      </c>
      <c r="B46" s="107" t="s">
        <v>1387</v>
      </c>
      <c r="C46">
        <v>0.05</v>
      </c>
      <c r="D46">
        <v>0.15</v>
      </c>
      <c r="E46">
        <v>0.05</v>
      </c>
      <c r="F46">
        <v>0</v>
      </c>
      <c r="G46">
        <v>0</v>
      </c>
    </row>
    <row r="47" spans="1:7">
      <c r="A47">
        <v>1975</v>
      </c>
      <c r="B47" s="107" t="s">
        <v>1388</v>
      </c>
      <c r="C47">
        <v>0</v>
      </c>
      <c r="D47">
        <v>0</v>
      </c>
      <c r="E47" s="107" t="s">
        <v>235</v>
      </c>
      <c r="F47">
        <v>0</v>
      </c>
      <c r="G47">
        <v>0</v>
      </c>
    </row>
    <row r="48" spans="1:7">
      <c r="A48">
        <v>1976</v>
      </c>
      <c r="B48" s="107" t="s">
        <v>1389</v>
      </c>
      <c r="C48">
        <v>0.05</v>
      </c>
      <c r="D48">
        <v>0.15</v>
      </c>
      <c r="E48" s="107">
        <v>0.05</v>
      </c>
      <c r="F48">
        <v>0.05</v>
      </c>
      <c r="G48">
        <v>0.05</v>
      </c>
    </row>
    <row r="49" spans="1:7">
      <c r="A49">
        <v>1979</v>
      </c>
      <c r="B49" s="107" t="s">
        <v>1390</v>
      </c>
      <c r="C49">
        <v>0</v>
      </c>
      <c r="D49">
        <v>0</v>
      </c>
      <c r="E49">
        <v>0.1</v>
      </c>
      <c r="F49">
        <v>0.1</v>
      </c>
      <c r="G49">
        <v>0.1</v>
      </c>
    </row>
    <row r="50" spans="1:7">
      <c r="A50">
        <v>1980</v>
      </c>
      <c r="B50" s="107" t="s">
        <v>1391</v>
      </c>
      <c r="C50">
        <v>0.05</v>
      </c>
      <c r="D50" s="107" t="s">
        <v>235</v>
      </c>
      <c r="E50" s="107" t="s">
        <v>235</v>
      </c>
      <c r="F50" s="107" t="s">
        <v>235</v>
      </c>
      <c r="G50" s="107" t="s">
        <v>235</v>
      </c>
    </row>
    <row r="51" spans="1:7">
      <c r="A51">
        <v>1982</v>
      </c>
      <c r="B51" s="107" t="s">
        <v>1392</v>
      </c>
      <c r="C51">
        <v>0</v>
      </c>
      <c r="D51" s="107" t="s">
        <v>235</v>
      </c>
      <c r="E51" s="107">
        <v>0</v>
      </c>
      <c r="F51" s="107" t="s">
        <v>235</v>
      </c>
      <c r="G51" s="107">
        <v>0</v>
      </c>
    </row>
    <row r="52" spans="1:7">
      <c r="A52">
        <v>1983</v>
      </c>
      <c r="B52" s="107" t="s">
        <v>1393</v>
      </c>
      <c r="C52">
        <v>0.05</v>
      </c>
      <c r="D52" s="107">
        <v>0.15</v>
      </c>
      <c r="E52">
        <v>0.05</v>
      </c>
      <c r="F52" s="107">
        <v>0.05</v>
      </c>
      <c r="G52" s="107" t="s">
        <v>235</v>
      </c>
    </row>
    <row r="53" spans="1:7">
      <c r="A53">
        <v>2004</v>
      </c>
      <c r="B53" s="107" t="s">
        <v>1394</v>
      </c>
      <c r="C53">
        <v>0.05</v>
      </c>
      <c r="D53">
        <v>0.15</v>
      </c>
      <c r="E53">
        <v>0.05</v>
      </c>
      <c r="F53">
        <v>0.05</v>
      </c>
      <c r="G53" s="107">
        <v>0.05</v>
      </c>
    </row>
    <row r="54" spans="1:7">
      <c r="A54">
        <v>2130</v>
      </c>
      <c r="B54" s="107" t="s">
        <v>1395</v>
      </c>
      <c r="C54">
        <v>0.05</v>
      </c>
      <c r="D54">
        <v>0</v>
      </c>
      <c r="E54">
        <v>0.05</v>
      </c>
      <c r="F54">
        <v>0.05</v>
      </c>
      <c r="G54">
        <v>0.05</v>
      </c>
    </row>
    <row r="55" spans="1:7">
      <c r="A55">
        <v>2139</v>
      </c>
      <c r="B55" s="107" t="s">
        <v>1396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>
      <c r="A56">
        <v>2146</v>
      </c>
      <c r="B56" s="107" t="s">
        <v>1397</v>
      </c>
      <c r="C56">
        <v>0.05</v>
      </c>
      <c r="D56">
        <v>0.15</v>
      </c>
      <c r="E56">
        <v>0.05</v>
      </c>
      <c r="F56">
        <v>0.05</v>
      </c>
      <c r="G56">
        <v>0.05</v>
      </c>
    </row>
    <row r="57" spans="1:7">
      <c r="A57">
        <v>2168</v>
      </c>
      <c r="B57" s="107" t="s">
        <v>1398</v>
      </c>
      <c r="C57">
        <v>0</v>
      </c>
      <c r="D57">
        <v>0.15</v>
      </c>
      <c r="E57">
        <v>0.05</v>
      </c>
      <c r="F57" s="107" t="s">
        <v>235</v>
      </c>
      <c r="G57">
        <v>0.05</v>
      </c>
    </row>
    <row r="58" spans="1:7">
      <c r="A58">
        <v>2170</v>
      </c>
      <c r="B58" s="107" t="s">
        <v>1399</v>
      </c>
      <c r="C58">
        <v>0.05</v>
      </c>
      <c r="D58">
        <v>0.15</v>
      </c>
      <c r="E58">
        <v>0.05</v>
      </c>
      <c r="F58" s="107">
        <v>0.05</v>
      </c>
      <c r="G58">
        <v>0.05</v>
      </c>
    </row>
    <row r="59" spans="1:7">
      <c r="A59">
        <v>2175</v>
      </c>
      <c r="B59" s="107" t="s">
        <v>327</v>
      </c>
      <c r="C59">
        <v>0.05</v>
      </c>
      <c r="D59">
        <v>0.15</v>
      </c>
      <c r="E59">
        <v>0.05</v>
      </c>
      <c r="F59">
        <v>0.05</v>
      </c>
      <c r="G59">
        <v>0.05</v>
      </c>
    </row>
    <row r="60" spans="1:7">
      <c r="A60">
        <v>2181</v>
      </c>
      <c r="B60" s="107" t="s">
        <v>1400</v>
      </c>
      <c r="C60">
        <v>0</v>
      </c>
      <c r="D60">
        <v>0</v>
      </c>
      <c r="E60">
        <v>0</v>
      </c>
      <c r="F60" s="107" t="s">
        <v>235</v>
      </c>
      <c r="G60" s="107" t="s">
        <v>235</v>
      </c>
    </row>
    <row r="61" spans="1:7">
      <c r="A61">
        <v>2193</v>
      </c>
      <c r="B61" s="107" t="s">
        <v>1401</v>
      </c>
      <c r="C61">
        <v>0.05</v>
      </c>
      <c r="D61">
        <v>0</v>
      </c>
      <c r="E61">
        <v>0.05</v>
      </c>
      <c r="F61" s="107">
        <v>0</v>
      </c>
      <c r="G61" s="107">
        <v>0.05</v>
      </c>
    </row>
    <row r="62" spans="1:7">
      <c r="A62">
        <v>2198</v>
      </c>
      <c r="B62" s="107" t="s">
        <v>1402</v>
      </c>
      <c r="C62">
        <v>0.05</v>
      </c>
      <c r="D62">
        <v>0.15</v>
      </c>
      <c r="E62">
        <v>0.05</v>
      </c>
      <c r="F62">
        <v>0.05</v>
      </c>
      <c r="G62">
        <v>0.05</v>
      </c>
    </row>
    <row r="63" spans="1:7">
      <c r="A63">
        <v>2201</v>
      </c>
      <c r="B63" s="107" t="s">
        <v>1403</v>
      </c>
      <c r="C63">
        <v>0.1</v>
      </c>
      <c r="D63">
        <v>0.3</v>
      </c>
      <c r="E63">
        <v>0.1</v>
      </c>
      <c r="F63">
        <v>0.1</v>
      </c>
      <c r="G63">
        <v>0.1</v>
      </c>
    </row>
    <row r="64" spans="1:7">
      <c r="A64">
        <v>2204</v>
      </c>
      <c r="B64" s="107" t="s">
        <v>1404</v>
      </c>
      <c r="C64">
        <v>0.1</v>
      </c>
      <c r="D64">
        <v>0.3</v>
      </c>
      <c r="E64">
        <v>0.1</v>
      </c>
      <c r="F64">
        <v>0.1</v>
      </c>
      <c r="G64">
        <v>0.1</v>
      </c>
    </row>
    <row r="65" spans="1:7">
      <c r="A65">
        <v>2206</v>
      </c>
      <c r="B65" s="107" t="s">
        <v>1405</v>
      </c>
      <c r="C65">
        <v>0</v>
      </c>
      <c r="D65">
        <v>0</v>
      </c>
      <c r="E65">
        <v>0</v>
      </c>
      <c r="F65">
        <v>0</v>
      </c>
      <c r="G65">
        <v>0.1</v>
      </c>
    </row>
    <row r="66" spans="1:7">
      <c r="A66">
        <v>2211</v>
      </c>
      <c r="B66" s="107" t="s">
        <v>1406</v>
      </c>
      <c r="C66">
        <v>0.05</v>
      </c>
      <c r="D66" s="107" t="s">
        <v>235</v>
      </c>
      <c r="E66">
        <v>0.05</v>
      </c>
      <c r="F66" s="107" t="s">
        <v>235</v>
      </c>
      <c r="G66">
        <v>0.05</v>
      </c>
    </row>
    <row r="67" spans="1:7">
      <c r="A67">
        <v>2212</v>
      </c>
      <c r="B67" s="107" t="s">
        <v>1407</v>
      </c>
      <c r="C67">
        <v>0.05</v>
      </c>
      <c r="D67" s="107">
        <v>0.15</v>
      </c>
      <c r="E67">
        <v>0.05</v>
      </c>
      <c r="F67" s="107">
        <v>0.05</v>
      </c>
      <c r="G67">
        <v>0.05</v>
      </c>
    </row>
    <row r="68" spans="1:7">
      <c r="A68">
        <v>2215</v>
      </c>
      <c r="B68" s="107" t="s">
        <v>1408</v>
      </c>
      <c r="C68">
        <v>0.05</v>
      </c>
      <c r="D68">
        <v>0.15</v>
      </c>
      <c r="E68">
        <v>0.05</v>
      </c>
      <c r="F68">
        <v>0</v>
      </c>
      <c r="G68">
        <v>0</v>
      </c>
    </row>
    <row r="69" spans="1:7">
      <c r="A69">
        <v>2217</v>
      </c>
      <c r="B69" s="107" t="s">
        <v>1409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>
      <c r="A70">
        <v>2220</v>
      </c>
      <c r="B70" s="107" t="s">
        <v>1410</v>
      </c>
      <c r="C70">
        <v>0</v>
      </c>
      <c r="D70">
        <v>0</v>
      </c>
      <c r="E70">
        <v>0</v>
      </c>
      <c r="F70" s="107" t="s">
        <v>235</v>
      </c>
      <c r="G70" s="107" t="s">
        <v>235</v>
      </c>
    </row>
    <row r="71" spans="1:7">
      <c r="A71">
        <v>2222</v>
      </c>
      <c r="B71" s="107" t="s">
        <v>1411</v>
      </c>
      <c r="C71">
        <v>0.15</v>
      </c>
      <c r="D71">
        <v>0.45</v>
      </c>
      <c r="E71">
        <v>0.15</v>
      </c>
      <c r="F71" s="107">
        <v>0.15</v>
      </c>
      <c r="G71" s="107">
        <v>0.15</v>
      </c>
    </row>
    <row r="72" spans="1:7">
      <c r="A72">
        <v>2229</v>
      </c>
      <c r="B72" s="107" t="s">
        <v>1412</v>
      </c>
      <c r="C72">
        <v>0.1</v>
      </c>
      <c r="D72">
        <v>0.3</v>
      </c>
      <c r="E72">
        <v>0.1</v>
      </c>
      <c r="F72">
        <v>0.1</v>
      </c>
      <c r="G72">
        <v>0.1</v>
      </c>
    </row>
    <row r="73" spans="1:7">
      <c r="A73">
        <v>2266</v>
      </c>
      <c r="B73" s="107" t="s">
        <v>1413</v>
      </c>
      <c r="C73">
        <v>0.05</v>
      </c>
      <c r="D73">
        <v>0.15</v>
      </c>
      <c r="E73">
        <v>0</v>
      </c>
      <c r="F73">
        <v>0.05</v>
      </c>
      <c r="G73">
        <v>0</v>
      </c>
    </row>
    <row r="74" spans="1:7">
      <c r="A74">
        <v>2281</v>
      </c>
      <c r="B74" s="107" t="s">
        <v>1414</v>
      </c>
      <c r="C74">
        <v>0.05</v>
      </c>
      <c r="D74" s="107" t="s">
        <v>235</v>
      </c>
      <c r="E74" s="107" t="s">
        <v>235</v>
      </c>
      <c r="F74" s="107" t="s">
        <v>235</v>
      </c>
      <c r="G74">
        <v>0.05</v>
      </c>
    </row>
    <row r="75" spans="1:7">
      <c r="A75">
        <v>2282</v>
      </c>
      <c r="B75" s="107" t="s">
        <v>1415</v>
      </c>
      <c r="C75">
        <v>0.1</v>
      </c>
      <c r="D75" s="107">
        <v>0.3</v>
      </c>
      <c r="E75" s="107">
        <v>0.1</v>
      </c>
      <c r="F75" s="107">
        <v>0.1</v>
      </c>
      <c r="G75">
        <v>0.1</v>
      </c>
    </row>
    <row r="76" spans="1:7">
      <c r="A76">
        <v>2288</v>
      </c>
      <c r="B76" s="107" t="s">
        <v>1416</v>
      </c>
      <c r="C76">
        <v>0.05</v>
      </c>
      <c r="D76" s="107" t="s">
        <v>235</v>
      </c>
      <c r="E76">
        <v>0.05</v>
      </c>
      <c r="F76" s="107" t="s">
        <v>235</v>
      </c>
      <c r="G76">
        <v>0.05</v>
      </c>
    </row>
    <row r="77" spans="1:7">
      <c r="A77">
        <v>2294</v>
      </c>
      <c r="B77" s="107" t="s">
        <v>1417</v>
      </c>
      <c r="C77">
        <v>0.05</v>
      </c>
      <c r="D77" s="107" t="s">
        <v>235</v>
      </c>
      <c r="E77">
        <v>0.05</v>
      </c>
      <c r="F77" s="107" t="s">
        <v>235</v>
      </c>
      <c r="G77">
        <v>0.1</v>
      </c>
    </row>
    <row r="78" spans="1:7">
      <c r="A78">
        <v>2296</v>
      </c>
      <c r="B78" s="107" t="s">
        <v>1418</v>
      </c>
      <c r="C78">
        <v>0</v>
      </c>
      <c r="D78" s="107">
        <v>0</v>
      </c>
      <c r="E78">
        <v>0</v>
      </c>
      <c r="F78" s="107">
        <v>0</v>
      </c>
      <c r="G78">
        <v>0</v>
      </c>
    </row>
    <row r="79" spans="1:7">
      <c r="A79">
        <v>2301</v>
      </c>
      <c r="B79" s="107" t="s">
        <v>1419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>
      <c r="A80">
        <v>2305</v>
      </c>
      <c r="B80" s="107" t="s">
        <v>1420</v>
      </c>
      <c r="C80">
        <v>0.05</v>
      </c>
      <c r="D80">
        <v>0.15</v>
      </c>
      <c r="E80">
        <v>0.05</v>
      </c>
      <c r="F80">
        <v>0.05</v>
      </c>
      <c r="G80">
        <v>0.05</v>
      </c>
    </row>
    <row r="81" spans="1:7">
      <c r="A81">
        <v>2325</v>
      </c>
      <c r="B81" s="107" t="s">
        <v>1421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2327</v>
      </c>
      <c r="B82" s="107" t="s">
        <v>1422</v>
      </c>
      <c r="C82">
        <v>0</v>
      </c>
      <c r="D82" s="107" t="s">
        <v>235</v>
      </c>
      <c r="E82" s="107" t="s">
        <v>235</v>
      </c>
      <c r="F82" s="107" t="s">
        <v>235</v>
      </c>
      <c r="G82" s="107" t="s">
        <v>235</v>
      </c>
    </row>
    <row r="83" spans="1:7">
      <c r="A83">
        <v>2337</v>
      </c>
      <c r="B83" s="107" t="s">
        <v>1423</v>
      </c>
      <c r="C83">
        <v>0.05</v>
      </c>
      <c r="D83" s="107">
        <v>0.15</v>
      </c>
      <c r="E83" s="107">
        <v>0.05</v>
      </c>
      <c r="F83" s="107">
        <v>0.05</v>
      </c>
      <c r="G83" s="107">
        <v>0.05</v>
      </c>
    </row>
    <row r="84" spans="1:7">
      <c r="A84">
        <v>2371</v>
      </c>
      <c r="B84" s="107" t="s">
        <v>1424</v>
      </c>
      <c r="C84">
        <v>0.05</v>
      </c>
      <c r="D84">
        <v>0.15</v>
      </c>
      <c r="E84">
        <v>0.05</v>
      </c>
      <c r="F84">
        <v>0.05</v>
      </c>
      <c r="G84">
        <v>0</v>
      </c>
    </row>
    <row r="85" spans="1:7">
      <c r="A85">
        <v>2379</v>
      </c>
      <c r="B85" s="107" t="s">
        <v>1027</v>
      </c>
      <c r="C85">
        <v>0.1</v>
      </c>
      <c r="D85">
        <v>0.3</v>
      </c>
      <c r="E85">
        <v>0.1</v>
      </c>
      <c r="F85">
        <v>0.1</v>
      </c>
      <c r="G85">
        <v>0.1</v>
      </c>
    </row>
    <row r="86" spans="1:7">
      <c r="A86">
        <v>2384</v>
      </c>
      <c r="B86" s="107" t="s">
        <v>1425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>
      <c r="A87">
        <v>2395</v>
      </c>
      <c r="B87" s="107" t="s">
        <v>1426</v>
      </c>
      <c r="C87">
        <v>0</v>
      </c>
      <c r="D87" s="107" t="s">
        <v>235</v>
      </c>
      <c r="E87">
        <v>0</v>
      </c>
      <c r="F87" s="107" t="s">
        <v>235</v>
      </c>
      <c r="G87">
        <v>0</v>
      </c>
    </row>
    <row r="88" spans="1:7">
      <c r="A88">
        <v>2410</v>
      </c>
      <c r="B88" s="107" t="s">
        <v>1427</v>
      </c>
      <c r="C88">
        <v>0</v>
      </c>
      <c r="D88" s="107" t="s">
        <v>235</v>
      </c>
      <c r="E88">
        <v>0</v>
      </c>
      <c r="F88" s="107" t="s">
        <v>235</v>
      </c>
      <c r="G88">
        <v>0</v>
      </c>
    </row>
    <row r="89" spans="1:7">
      <c r="A89">
        <v>2412</v>
      </c>
      <c r="B89" s="107" t="s">
        <v>1428</v>
      </c>
      <c r="C89">
        <v>0</v>
      </c>
      <c r="D89" s="107">
        <v>0</v>
      </c>
      <c r="E89">
        <v>0.05</v>
      </c>
      <c r="F89" s="107">
        <v>0</v>
      </c>
      <c r="G89">
        <v>0</v>
      </c>
    </row>
    <row r="90" spans="1:7">
      <c r="A90">
        <v>2413</v>
      </c>
      <c r="B90" s="107" t="s">
        <v>1271</v>
      </c>
      <c r="C90">
        <v>0.05</v>
      </c>
      <c r="D90">
        <v>0.15</v>
      </c>
      <c r="E90">
        <v>0.05</v>
      </c>
      <c r="F90">
        <v>0.05</v>
      </c>
      <c r="G90">
        <v>0.05</v>
      </c>
    </row>
    <row r="91" spans="1:7">
      <c r="A91">
        <v>2428</v>
      </c>
      <c r="B91" s="107" t="s">
        <v>1429</v>
      </c>
      <c r="C91">
        <v>0.05</v>
      </c>
      <c r="D91">
        <v>0</v>
      </c>
      <c r="E91">
        <v>0.05</v>
      </c>
      <c r="F91">
        <v>0.05</v>
      </c>
      <c r="G91">
        <v>0.05</v>
      </c>
    </row>
    <row r="92" spans="1:7">
      <c r="A92">
        <v>2433</v>
      </c>
      <c r="B92" s="107" t="s">
        <v>1430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>
      <c r="A93">
        <v>2440</v>
      </c>
      <c r="B93" s="107" t="s">
        <v>1431</v>
      </c>
      <c r="C93">
        <v>0.05</v>
      </c>
      <c r="D93">
        <v>0.15</v>
      </c>
      <c r="E93">
        <v>0.05</v>
      </c>
      <c r="F93">
        <v>0.05</v>
      </c>
      <c r="G93">
        <v>0.05</v>
      </c>
    </row>
    <row r="94" spans="1:7">
      <c r="A94">
        <v>2462</v>
      </c>
      <c r="B94" s="107" t="s">
        <v>1432</v>
      </c>
      <c r="C94">
        <v>0</v>
      </c>
      <c r="D94">
        <v>0</v>
      </c>
      <c r="E94">
        <v>0</v>
      </c>
      <c r="F94">
        <v>0.05</v>
      </c>
      <c r="G94">
        <v>0.05</v>
      </c>
    </row>
    <row r="95" spans="1:7">
      <c r="A95">
        <v>2471</v>
      </c>
      <c r="B95" s="107" t="s">
        <v>1433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>
      <c r="A96">
        <v>2487</v>
      </c>
      <c r="B96" s="107" t="s">
        <v>1434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>
      <c r="A97">
        <v>2492</v>
      </c>
      <c r="B97" s="107" t="s">
        <v>1435</v>
      </c>
      <c r="C97">
        <v>0.05</v>
      </c>
      <c r="D97">
        <v>0.15</v>
      </c>
      <c r="E97">
        <v>0.05</v>
      </c>
      <c r="F97">
        <v>0.05</v>
      </c>
      <c r="G97">
        <v>0.05</v>
      </c>
    </row>
    <row r="98" spans="1:7">
      <c r="A98">
        <v>2501</v>
      </c>
      <c r="B98" s="107" t="s">
        <v>1436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>
      <c r="A99">
        <v>2502</v>
      </c>
      <c r="B99" s="107" t="s">
        <v>1437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2590</v>
      </c>
      <c r="B100" s="107" t="s">
        <v>1438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>
      <c r="A101">
        <v>2593</v>
      </c>
      <c r="B101" s="107" t="s">
        <v>1439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>
      <c r="A102">
        <v>2594</v>
      </c>
      <c r="B102" s="107" t="s">
        <v>1440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>
      <c r="A103">
        <v>2599</v>
      </c>
      <c r="B103" s="107" t="s">
        <v>1441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>
      <c r="A104">
        <v>2602</v>
      </c>
      <c r="B104" s="107" t="s">
        <v>1327</v>
      </c>
      <c r="C104">
        <v>0.1</v>
      </c>
      <c r="D104">
        <v>0.3</v>
      </c>
      <c r="E104">
        <v>0.1</v>
      </c>
      <c r="F104">
        <v>0.1</v>
      </c>
      <c r="G104">
        <v>0.1</v>
      </c>
    </row>
    <row r="105" spans="1:7">
      <c r="A105">
        <v>2613</v>
      </c>
      <c r="B105" s="107" t="s">
        <v>1442</v>
      </c>
      <c r="C105">
        <v>0.1</v>
      </c>
      <c r="D105">
        <v>0.3</v>
      </c>
      <c r="E105">
        <v>0.1</v>
      </c>
      <c r="F105">
        <v>0</v>
      </c>
      <c r="G105">
        <v>0.05</v>
      </c>
    </row>
    <row r="106" spans="1:7">
      <c r="A106">
        <v>2651</v>
      </c>
      <c r="B106" s="107" t="s">
        <v>1443</v>
      </c>
      <c r="C106">
        <v>0.1</v>
      </c>
      <c r="D106">
        <v>0.3</v>
      </c>
      <c r="E106">
        <v>0.1</v>
      </c>
      <c r="F106">
        <v>0.1</v>
      </c>
      <c r="G106">
        <v>0.1</v>
      </c>
    </row>
    <row r="107" spans="1:7">
      <c r="A107">
        <v>2659</v>
      </c>
      <c r="B107" s="107" t="s">
        <v>1444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>
      <c r="A108">
        <v>2664</v>
      </c>
      <c r="B108" s="107" t="s">
        <v>1445</v>
      </c>
      <c r="C108">
        <v>0</v>
      </c>
      <c r="D108">
        <v>0</v>
      </c>
      <c r="E108">
        <v>0.05</v>
      </c>
      <c r="F108">
        <v>0</v>
      </c>
      <c r="G108">
        <v>0.05</v>
      </c>
    </row>
    <row r="109" spans="1:7">
      <c r="A109">
        <v>2670</v>
      </c>
      <c r="B109" s="107" t="s">
        <v>1446</v>
      </c>
      <c r="C109">
        <v>0.15</v>
      </c>
      <c r="D109">
        <v>0.45</v>
      </c>
      <c r="E109">
        <v>0.15</v>
      </c>
      <c r="F109">
        <v>0.15</v>
      </c>
      <c r="G109">
        <v>0.15</v>
      </c>
    </row>
    <row r="110" spans="1:7">
      <c r="A110">
        <v>2674</v>
      </c>
      <c r="B110" s="107" t="s">
        <v>1447</v>
      </c>
      <c r="C110">
        <v>0</v>
      </c>
      <c r="D110" s="107" t="s">
        <v>235</v>
      </c>
      <c r="E110" s="107" t="s">
        <v>235</v>
      </c>
      <c r="F110">
        <v>0</v>
      </c>
      <c r="G110">
        <v>0</v>
      </c>
    </row>
    <row r="111" spans="1:7">
      <c r="A111">
        <v>2678</v>
      </c>
      <c r="B111" s="107" t="s">
        <v>1448</v>
      </c>
      <c r="C111">
        <v>0.05</v>
      </c>
      <c r="D111" s="107">
        <v>0.15</v>
      </c>
      <c r="E111" s="107">
        <v>0.05</v>
      </c>
      <c r="F111">
        <v>0.05</v>
      </c>
      <c r="G111">
        <v>0.05</v>
      </c>
    </row>
    <row r="112" spans="1:7">
      <c r="A112">
        <v>2685</v>
      </c>
      <c r="B112" s="107" t="s">
        <v>1449</v>
      </c>
      <c r="C112">
        <v>0</v>
      </c>
      <c r="D112">
        <v>0.15</v>
      </c>
      <c r="E112">
        <v>0.05</v>
      </c>
      <c r="F112">
        <v>0</v>
      </c>
      <c r="G112">
        <v>0.05</v>
      </c>
    </row>
    <row r="113" spans="1:7">
      <c r="A113">
        <v>2687</v>
      </c>
      <c r="B113" s="107" t="s">
        <v>1450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>
      <c r="A114">
        <v>2692</v>
      </c>
      <c r="B114" s="107" t="s">
        <v>1451</v>
      </c>
      <c r="C114">
        <v>0.1</v>
      </c>
      <c r="D114">
        <v>0.3</v>
      </c>
      <c r="E114">
        <v>0.1</v>
      </c>
      <c r="F114">
        <v>0.1</v>
      </c>
      <c r="G114">
        <v>0.1</v>
      </c>
    </row>
    <row r="115" spans="1:7">
      <c r="A115">
        <v>2695</v>
      </c>
      <c r="B115" s="107" t="s">
        <v>1452</v>
      </c>
      <c r="C115">
        <v>0.1</v>
      </c>
      <c r="D115">
        <v>0</v>
      </c>
      <c r="E115">
        <v>0.1</v>
      </c>
      <c r="F115">
        <v>0</v>
      </c>
      <c r="G115">
        <v>0</v>
      </c>
    </row>
    <row r="116" spans="1:7">
      <c r="A116">
        <v>2698</v>
      </c>
      <c r="B116" s="107" t="s">
        <v>1453</v>
      </c>
      <c r="C116">
        <v>0.05</v>
      </c>
      <c r="D116">
        <v>0.15</v>
      </c>
      <c r="E116">
        <v>0.05</v>
      </c>
      <c r="F116">
        <v>0.05</v>
      </c>
      <c r="G116">
        <v>0.05</v>
      </c>
    </row>
    <row r="117" spans="1:7">
      <c r="A117">
        <v>2715</v>
      </c>
      <c r="B117" s="107" t="s">
        <v>1454</v>
      </c>
      <c r="C117">
        <v>0.05</v>
      </c>
      <c r="D117">
        <v>0</v>
      </c>
      <c r="E117">
        <v>0</v>
      </c>
      <c r="F117">
        <v>0</v>
      </c>
      <c r="G117">
        <v>0</v>
      </c>
    </row>
    <row r="118" spans="1:7">
      <c r="A118">
        <v>2729</v>
      </c>
      <c r="B118" s="107" t="s">
        <v>1455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>
      <c r="A119">
        <v>2730</v>
      </c>
      <c r="B119" s="107" t="s">
        <v>1456</v>
      </c>
      <c r="C119">
        <v>0.05</v>
      </c>
      <c r="D119">
        <v>0.15</v>
      </c>
      <c r="E119">
        <v>0.05</v>
      </c>
      <c r="F119">
        <v>0.05</v>
      </c>
      <c r="G119">
        <v>0.05</v>
      </c>
    </row>
    <row r="120" spans="1:7">
      <c r="A120">
        <v>2792</v>
      </c>
      <c r="B120" s="107" t="s">
        <v>1457</v>
      </c>
      <c r="C120">
        <v>0.05</v>
      </c>
      <c r="D120">
        <v>0.15</v>
      </c>
      <c r="E120">
        <v>0.05</v>
      </c>
      <c r="F120">
        <v>0.05</v>
      </c>
      <c r="G120">
        <v>0.05</v>
      </c>
    </row>
    <row r="121" spans="1:7">
      <c r="A121">
        <v>2801</v>
      </c>
      <c r="B121" s="107" t="s">
        <v>1458</v>
      </c>
      <c r="C121">
        <v>0.1</v>
      </c>
      <c r="D121">
        <v>0.3</v>
      </c>
      <c r="E121">
        <v>0.1</v>
      </c>
      <c r="F121">
        <v>0.1</v>
      </c>
      <c r="G121">
        <v>0.1</v>
      </c>
    </row>
    <row r="122" spans="1:7">
      <c r="A122">
        <v>2815</v>
      </c>
      <c r="B122" s="107" t="s">
        <v>1459</v>
      </c>
      <c r="C122">
        <v>0</v>
      </c>
      <c r="D122">
        <v>0</v>
      </c>
      <c r="E122">
        <v>0</v>
      </c>
      <c r="F122">
        <v>0.15</v>
      </c>
      <c r="G122">
        <v>0</v>
      </c>
    </row>
    <row r="123" spans="1:7">
      <c r="A123">
        <v>2819</v>
      </c>
      <c r="B123" s="107" t="s">
        <v>1460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>
      <c r="A124">
        <v>2875</v>
      </c>
      <c r="B124" s="107" t="s">
        <v>1461</v>
      </c>
      <c r="C124">
        <v>0.1</v>
      </c>
      <c r="D124">
        <v>0.3</v>
      </c>
      <c r="E124">
        <v>0.1</v>
      </c>
      <c r="F124">
        <v>0.1</v>
      </c>
      <c r="G124">
        <v>0.1</v>
      </c>
    </row>
    <row r="125" spans="1:7">
      <c r="A125">
        <v>2882</v>
      </c>
      <c r="B125" s="107" t="s">
        <v>1462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>
      <c r="A126">
        <v>2884</v>
      </c>
      <c r="B126" s="107" t="s">
        <v>1463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>
      <c r="A127">
        <v>2897</v>
      </c>
      <c r="B127" s="107" t="s">
        <v>1464</v>
      </c>
      <c r="C127">
        <v>0.15</v>
      </c>
      <c r="D127">
        <v>0.45</v>
      </c>
      <c r="E127">
        <v>0.15</v>
      </c>
      <c r="F127">
        <v>0.15</v>
      </c>
      <c r="G127">
        <v>0.15</v>
      </c>
    </row>
    <row r="128" spans="1:7">
      <c r="A128">
        <v>2904</v>
      </c>
      <c r="B128" s="107" t="s">
        <v>1465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>
      <c r="A129">
        <v>2908</v>
      </c>
      <c r="B129" s="107" t="s">
        <v>1466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>
      <c r="A130">
        <v>2910</v>
      </c>
      <c r="B130" s="107" t="s">
        <v>1467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>
      <c r="A131">
        <v>2914</v>
      </c>
      <c r="B131" s="107" t="s">
        <v>96</v>
      </c>
      <c r="C131">
        <v>0</v>
      </c>
      <c r="D131" s="107" t="s">
        <v>235</v>
      </c>
      <c r="E131">
        <v>0</v>
      </c>
      <c r="F131" s="107" t="s">
        <v>235</v>
      </c>
      <c r="G131" s="107" t="s">
        <v>235</v>
      </c>
    </row>
    <row r="132" spans="1:7">
      <c r="A132">
        <v>2915</v>
      </c>
      <c r="B132" s="107" t="s">
        <v>1468</v>
      </c>
      <c r="C132">
        <v>0.05</v>
      </c>
      <c r="D132" s="107">
        <v>0.15</v>
      </c>
      <c r="E132">
        <v>0.05</v>
      </c>
      <c r="F132" s="107">
        <v>0.05</v>
      </c>
      <c r="G132" s="107">
        <v>0.05</v>
      </c>
    </row>
    <row r="133" spans="1:7">
      <c r="A133">
        <v>2918</v>
      </c>
      <c r="B133" s="107" t="s">
        <v>1469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2922</v>
      </c>
      <c r="B134" s="107" t="s">
        <v>1470</v>
      </c>
      <c r="C134">
        <v>0.05</v>
      </c>
      <c r="D134">
        <v>0.15</v>
      </c>
      <c r="E134">
        <v>0.05</v>
      </c>
      <c r="F134">
        <v>0.05</v>
      </c>
      <c r="G134">
        <v>0.05</v>
      </c>
    </row>
    <row r="135" spans="1:7">
      <c r="A135">
        <v>2924</v>
      </c>
      <c r="B135" s="107" t="s">
        <v>1471</v>
      </c>
      <c r="C135">
        <v>0.05</v>
      </c>
      <c r="D135" s="107" t="s">
        <v>235</v>
      </c>
      <c r="E135">
        <v>0.05</v>
      </c>
      <c r="F135">
        <v>0</v>
      </c>
      <c r="G135" s="107" t="s">
        <v>235</v>
      </c>
    </row>
    <row r="136" spans="1:7">
      <c r="A136">
        <v>2930</v>
      </c>
      <c r="B136" s="107" t="s">
        <v>1472</v>
      </c>
      <c r="C136">
        <v>0</v>
      </c>
      <c r="D136" s="107">
        <v>0</v>
      </c>
      <c r="E136">
        <v>0</v>
      </c>
      <c r="F136">
        <v>0</v>
      </c>
      <c r="G136" s="107">
        <v>0</v>
      </c>
    </row>
    <row r="137" spans="1:7">
      <c r="A137">
        <v>2931</v>
      </c>
      <c r="B137" s="107" t="s">
        <v>1473</v>
      </c>
      <c r="C137">
        <v>0.05</v>
      </c>
      <c r="D137">
        <v>0.15</v>
      </c>
      <c r="E137">
        <v>0.05</v>
      </c>
      <c r="F137">
        <v>0.05</v>
      </c>
      <c r="G137">
        <v>0.05</v>
      </c>
    </row>
    <row r="138" spans="1:7">
      <c r="A138">
        <v>2975</v>
      </c>
      <c r="B138" s="107" t="s">
        <v>1474</v>
      </c>
      <c r="C138">
        <v>0.05</v>
      </c>
      <c r="D138">
        <v>0.15</v>
      </c>
      <c r="E138">
        <v>0.05</v>
      </c>
      <c r="F138">
        <v>0.05</v>
      </c>
      <c r="G138">
        <v>0.05</v>
      </c>
    </row>
    <row r="139" spans="1:7">
      <c r="A139">
        <v>3002</v>
      </c>
      <c r="B139" s="107" t="s">
        <v>1475</v>
      </c>
      <c r="C139">
        <v>0</v>
      </c>
      <c r="D139" s="107" t="s">
        <v>235</v>
      </c>
      <c r="E139">
        <v>0.1</v>
      </c>
      <c r="F139">
        <v>0.1</v>
      </c>
      <c r="G139" s="107" t="s">
        <v>235</v>
      </c>
    </row>
    <row r="140" spans="1:7">
      <c r="A140">
        <v>3003</v>
      </c>
      <c r="B140" s="107" t="s">
        <v>1325</v>
      </c>
      <c r="C140">
        <v>0.05</v>
      </c>
      <c r="D140" s="107">
        <v>0.15</v>
      </c>
      <c r="E140">
        <v>0.05</v>
      </c>
      <c r="F140">
        <v>0.05</v>
      </c>
      <c r="G140" s="107">
        <v>0.05</v>
      </c>
    </row>
    <row r="141" spans="1:7">
      <c r="A141">
        <v>3004</v>
      </c>
      <c r="B141" s="107" t="s">
        <v>1476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>
      <c r="A142">
        <v>3046</v>
      </c>
      <c r="B142" s="107" t="s">
        <v>1477</v>
      </c>
      <c r="C142">
        <v>0.15</v>
      </c>
      <c r="D142">
        <v>0.45</v>
      </c>
      <c r="E142">
        <v>0.15</v>
      </c>
      <c r="F142">
        <v>0.15</v>
      </c>
      <c r="G142">
        <v>0.15</v>
      </c>
    </row>
    <row r="143" spans="1:7">
      <c r="A143">
        <v>3048</v>
      </c>
      <c r="B143" s="107" t="s">
        <v>1478</v>
      </c>
      <c r="C143">
        <v>0</v>
      </c>
      <c r="D143">
        <v>0</v>
      </c>
      <c r="E143" s="107" t="s">
        <v>235</v>
      </c>
      <c r="F143" s="107" t="s">
        <v>235</v>
      </c>
      <c r="G143" s="107" t="s">
        <v>235</v>
      </c>
    </row>
    <row r="144" spans="1:7">
      <c r="A144">
        <v>3064</v>
      </c>
      <c r="B144" s="107" t="s">
        <v>1479</v>
      </c>
      <c r="C144">
        <v>0</v>
      </c>
      <c r="D144">
        <v>0</v>
      </c>
      <c r="E144" s="107">
        <v>0.05</v>
      </c>
      <c r="F144" s="107">
        <v>0.05</v>
      </c>
      <c r="G144" s="107">
        <v>0.05</v>
      </c>
    </row>
    <row r="145" spans="1:7">
      <c r="A145">
        <v>3067</v>
      </c>
      <c r="B145" s="107" t="s">
        <v>1480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>
      <c r="A146">
        <v>3079</v>
      </c>
      <c r="B146" s="107" t="s">
        <v>1481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>
      <c r="A147">
        <v>3082</v>
      </c>
      <c r="B147" s="107" t="s">
        <v>1482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>
      <c r="A148">
        <v>3086</v>
      </c>
      <c r="B148" s="107" t="s">
        <v>1483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>
      <c r="A149">
        <v>3088</v>
      </c>
      <c r="B149" s="107" t="s">
        <v>1484</v>
      </c>
      <c r="C149">
        <v>0.1</v>
      </c>
      <c r="D149">
        <v>0.3</v>
      </c>
      <c r="E149">
        <v>0.1</v>
      </c>
      <c r="F149">
        <v>0.1</v>
      </c>
      <c r="G149">
        <v>0.1</v>
      </c>
    </row>
    <row r="150" spans="1:7">
      <c r="A150">
        <v>3092</v>
      </c>
      <c r="B150" s="107" t="s">
        <v>1485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>
      <c r="A151">
        <v>3099</v>
      </c>
      <c r="B151" s="107" t="s">
        <v>64</v>
      </c>
      <c r="C151">
        <v>0</v>
      </c>
      <c r="D151">
        <v>0.15</v>
      </c>
      <c r="E151">
        <v>0</v>
      </c>
      <c r="F151">
        <v>0.05</v>
      </c>
      <c r="G151">
        <v>0</v>
      </c>
    </row>
    <row r="152" spans="1:7">
      <c r="A152">
        <v>3101</v>
      </c>
      <c r="B152" s="107" t="s">
        <v>1322</v>
      </c>
      <c r="C152">
        <v>0.05</v>
      </c>
      <c r="D152">
        <v>0.15</v>
      </c>
      <c r="E152">
        <v>0.05</v>
      </c>
      <c r="F152">
        <v>0</v>
      </c>
      <c r="G152">
        <v>0.05</v>
      </c>
    </row>
    <row r="153" spans="1:7">
      <c r="A153">
        <v>3103</v>
      </c>
      <c r="B153" s="107" t="s">
        <v>1486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>
      <c r="A154">
        <v>3104</v>
      </c>
      <c r="B154" s="107" t="s">
        <v>1487</v>
      </c>
      <c r="C154">
        <v>0.1</v>
      </c>
      <c r="D154">
        <v>0.3</v>
      </c>
      <c r="E154">
        <v>0.05</v>
      </c>
      <c r="F154">
        <v>0.1</v>
      </c>
      <c r="G154">
        <v>0.1</v>
      </c>
    </row>
    <row r="155" spans="1:7">
      <c r="A155">
        <v>3105</v>
      </c>
      <c r="B155" s="107" t="s">
        <v>90</v>
      </c>
      <c r="C155">
        <v>0</v>
      </c>
      <c r="D155">
        <v>0</v>
      </c>
      <c r="E155" s="107" t="s">
        <v>235</v>
      </c>
      <c r="F155" s="107" t="s">
        <v>235</v>
      </c>
      <c r="G155">
        <v>0.05</v>
      </c>
    </row>
    <row r="156" spans="1:7">
      <c r="A156">
        <v>3106</v>
      </c>
      <c r="B156" s="107" t="s">
        <v>1488</v>
      </c>
      <c r="C156">
        <v>0.05</v>
      </c>
      <c r="D156">
        <v>0.15</v>
      </c>
      <c r="E156" s="107">
        <v>0.05</v>
      </c>
      <c r="F156" s="107">
        <v>0.05</v>
      </c>
      <c r="G156">
        <v>0.05</v>
      </c>
    </row>
    <row r="157" spans="1:7">
      <c r="A157">
        <v>3110</v>
      </c>
      <c r="B157" s="107" t="s">
        <v>1301</v>
      </c>
      <c r="C157">
        <v>0.1</v>
      </c>
      <c r="D157">
        <v>0.3</v>
      </c>
      <c r="E157">
        <v>0.1</v>
      </c>
      <c r="F157">
        <v>0.1</v>
      </c>
      <c r="G157">
        <v>0.1</v>
      </c>
    </row>
    <row r="158" spans="1:7">
      <c r="A158">
        <v>3116</v>
      </c>
      <c r="B158" s="107" t="s">
        <v>125</v>
      </c>
      <c r="C158">
        <v>0.05</v>
      </c>
      <c r="D158">
        <v>0.15</v>
      </c>
      <c r="E158">
        <v>0.05</v>
      </c>
      <c r="F158">
        <v>0.05</v>
      </c>
      <c r="G158">
        <v>0.05</v>
      </c>
    </row>
    <row r="159" spans="1:7">
      <c r="A159">
        <v>3132</v>
      </c>
      <c r="B159" s="107" t="s">
        <v>1489</v>
      </c>
      <c r="C159">
        <v>0.05</v>
      </c>
      <c r="D159">
        <v>0.15</v>
      </c>
      <c r="E159">
        <v>0.05</v>
      </c>
      <c r="F159">
        <v>0.05</v>
      </c>
      <c r="G159">
        <v>0.05</v>
      </c>
    </row>
    <row r="160" spans="1:7">
      <c r="A160">
        <v>3141</v>
      </c>
      <c r="B160" s="107" t="s">
        <v>1490</v>
      </c>
      <c r="C160">
        <v>0.15</v>
      </c>
      <c r="D160">
        <v>0.45</v>
      </c>
      <c r="E160">
        <v>0.15</v>
      </c>
      <c r="F160">
        <v>0.15</v>
      </c>
      <c r="G160">
        <v>0.15</v>
      </c>
    </row>
    <row r="161" spans="1:7">
      <c r="A161">
        <v>3148</v>
      </c>
      <c r="B161" s="107" t="s">
        <v>1491</v>
      </c>
      <c r="C161">
        <v>0.05</v>
      </c>
      <c r="D161">
        <v>0.15</v>
      </c>
      <c r="E161">
        <v>0.05</v>
      </c>
      <c r="F161">
        <v>0.05</v>
      </c>
      <c r="G161">
        <v>0.05</v>
      </c>
    </row>
    <row r="162" spans="1:7">
      <c r="A162">
        <v>3151</v>
      </c>
      <c r="B162" s="107" t="s">
        <v>1492</v>
      </c>
      <c r="C162">
        <v>0.05</v>
      </c>
      <c r="D162">
        <v>0</v>
      </c>
      <c r="E162">
        <v>0.05</v>
      </c>
      <c r="F162">
        <v>0</v>
      </c>
      <c r="G162">
        <v>0</v>
      </c>
    </row>
    <row r="163" spans="1:7">
      <c r="A163">
        <v>3154</v>
      </c>
      <c r="B163" s="107" t="s">
        <v>1493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>
      <c r="A164">
        <v>3159</v>
      </c>
      <c r="B164" s="107" t="s">
        <v>1494</v>
      </c>
      <c r="C164">
        <v>0.05</v>
      </c>
      <c r="D164">
        <v>0.15</v>
      </c>
      <c r="E164">
        <v>0.05</v>
      </c>
      <c r="F164">
        <v>0.05</v>
      </c>
      <c r="G164">
        <v>0.05</v>
      </c>
    </row>
    <row r="165" spans="1:7">
      <c r="A165">
        <v>3160</v>
      </c>
      <c r="B165" s="107" t="s">
        <v>1495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>
      <c r="A166">
        <v>3166</v>
      </c>
      <c r="B166" s="107" t="s">
        <v>1496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>
      <c r="A167">
        <v>3167</v>
      </c>
      <c r="B167" s="107" t="s">
        <v>1497</v>
      </c>
      <c r="C167">
        <v>0.05</v>
      </c>
      <c r="D167">
        <v>0.15</v>
      </c>
      <c r="E167">
        <v>0.05</v>
      </c>
      <c r="F167">
        <v>0</v>
      </c>
      <c r="G167">
        <v>0</v>
      </c>
    </row>
    <row r="168" spans="1:7">
      <c r="A168">
        <v>3168</v>
      </c>
      <c r="B168" s="107" t="s">
        <v>1498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>
      <c r="A169">
        <v>3176</v>
      </c>
      <c r="B169" s="107" t="s">
        <v>1499</v>
      </c>
      <c r="C169">
        <v>0</v>
      </c>
      <c r="D169" s="107" t="s">
        <v>235</v>
      </c>
      <c r="E169">
        <v>0</v>
      </c>
      <c r="F169" s="107" t="s">
        <v>235</v>
      </c>
      <c r="G169" s="107" t="s">
        <v>235</v>
      </c>
    </row>
    <row r="170" spans="1:7">
      <c r="A170">
        <v>3178</v>
      </c>
      <c r="B170" s="107" t="s">
        <v>1500</v>
      </c>
      <c r="C170">
        <v>0</v>
      </c>
      <c r="D170" s="107">
        <v>0</v>
      </c>
      <c r="E170">
        <v>0</v>
      </c>
      <c r="F170" s="107">
        <v>0</v>
      </c>
      <c r="G170" s="107">
        <v>0</v>
      </c>
    </row>
    <row r="171" spans="1:7">
      <c r="A171">
        <v>3179</v>
      </c>
      <c r="B171" s="107" t="s">
        <v>1501</v>
      </c>
      <c r="C171">
        <v>0</v>
      </c>
      <c r="D171">
        <v>0</v>
      </c>
      <c r="E171">
        <v>0</v>
      </c>
      <c r="F171">
        <v>0</v>
      </c>
      <c r="G171" s="107" t="s">
        <v>235</v>
      </c>
    </row>
    <row r="172" spans="1:7">
      <c r="A172">
        <v>3180</v>
      </c>
      <c r="B172" s="107" t="s">
        <v>1502</v>
      </c>
      <c r="C172">
        <v>0</v>
      </c>
      <c r="D172">
        <v>0.15</v>
      </c>
      <c r="E172">
        <v>0.05</v>
      </c>
      <c r="F172">
        <v>0.05</v>
      </c>
      <c r="G172" s="107" t="s">
        <v>235</v>
      </c>
    </row>
    <row r="173" spans="1:7">
      <c r="A173">
        <v>3183</v>
      </c>
      <c r="B173" s="107" t="s">
        <v>1503</v>
      </c>
      <c r="C173">
        <v>0.05</v>
      </c>
      <c r="D173">
        <v>0.15</v>
      </c>
      <c r="E173">
        <v>0.05</v>
      </c>
      <c r="F173">
        <v>0.05</v>
      </c>
      <c r="G173" s="107">
        <v>0.05</v>
      </c>
    </row>
    <row r="174" spans="1:7">
      <c r="A174">
        <v>3186</v>
      </c>
      <c r="B174" s="107" t="s">
        <v>1504</v>
      </c>
      <c r="C174">
        <v>0.05</v>
      </c>
      <c r="D174">
        <v>0</v>
      </c>
      <c r="E174">
        <v>0.05</v>
      </c>
      <c r="F174">
        <v>0</v>
      </c>
      <c r="G174">
        <v>0.05</v>
      </c>
    </row>
    <row r="175" spans="1:7">
      <c r="A175">
        <v>3191</v>
      </c>
      <c r="B175" s="107" t="s">
        <v>1505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>
      <c r="A176">
        <v>3193</v>
      </c>
      <c r="B176" s="107" t="s">
        <v>1506</v>
      </c>
      <c r="C176">
        <v>0.5</v>
      </c>
      <c r="D176">
        <v>1.65</v>
      </c>
      <c r="E176">
        <v>0.1</v>
      </c>
      <c r="F176">
        <v>0.05</v>
      </c>
      <c r="G176">
        <v>0</v>
      </c>
    </row>
    <row r="177" spans="1:7">
      <c r="A177">
        <v>3197</v>
      </c>
      <c r="B177" s="107" t="s">
        <v>1507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>
      <c r="A178">
        <v>3201</v>
      </c>
      <c r="B178" s="107" t="s">
        <v>1508</v>
      </c>
      <c r="C178">
        <v>0.05</v>
      </c>
      <c r="D178">
        <v>0.15</v>
      </c>
      <c r="E178">
        <v>0.05</v>
      </c>
      <c r="F178">
        <v>0.05</v>
      </c>
      <c r="G178">
        <v>0.05</v>
      </c>
    </row>
    <row r="179" spans="1:7">
      <c r="A179">
        <v>3204</v>
      </c>
      <c r="B179" s="107" t="s">
        <v>1509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>
      <c r="A180">
        <v>3205</v>
      </c>
      <c r="B180" s="107" t="s">
        <v>1510</v>
      </c>
      <c r="C180">
        <v>0.05</v>
      </c>
      <c r="D180">
        <v>0.15</v>
      </c>
      <c r="E180">
        <v>0</v>
      </c>
      <c r="F180">
        <v>0.05</v>
      </c>
      <c r="G180">
        <v>0</v>
      </c>
    </row>
    <row r="181" spans="1:7">
      <c r="A181">
        <v>3222</v>
      </c>
      <c r="B181" s="107" t="s">
        <v>1511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>
      <c r="A182">
        <v>3231</v>
      </c>
      <c r="B182" s="107" t="s">
        <v>963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>
      <c r="A183">
        <v>3232</v>
      </c>
      <c r="B183" s="107" t="s">
        <v>1512</v>
      </c>
      <c r="C183">
        <v>0.05</v>
      </c>
      <c r="D183">
        <v>0.15</v>
      </c>
      <c r="E183">
        <v>0.05</v>
      </c>
      <c r="F183">
        <v>0</v>
      </c>
      <c r="G183">
        <v>0.05</v>
      </c>
    </row>
    <row r="184" spans="1:7">
      <c r="A184">
        <v>3244</v>
      </c>
      <c r="B184" s="107" t="s">
        <v>1513</v>
      </c>
      <c r="C184">
        <v>0</v>
      </c>
      <c r="D184" s="107" t="s">
        <v>235</v>
      </c>
      <c r="E184">
        <v>0</v>
      </c>
      <c r="F184">
        <v>0</v>
      </c>
      <c r="G184">
        <v>0</v>
      </c>
    </row>
    <row r="185" spans="1:7">
      <c r="A185">
        <v>3254</v>
      </c>
      <c r="B185" s="107" t="s">
        <v>1514</v>
      </c>
      <c r="C185">
        <v>0.05</v>
      </c>
      <c r="D185" s="107">
        <v>0.15</v>
      </c>
      <c r="E185">
        <v>0.05</v>
      </c>
      <c r="F185">
        <v>0.05</v>
      </c>
      <c r="G185">
        <v>0.05</v>
      </c>
    </row>
    <row r="186" spans="1:7">
      <c r="A186">
        <v>3271</v>
      </c>
      <c r="B186" s="107" t="s">
        <v>1515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3276</v>
      </c>
      <c r="B187" s="107" t="s">
        <v>1516</v>
      </c>
      <c r="C187">
        <v>0.05</v>
      </c>
      <c r="D187">
        <v>0.15</v>
      </c>
      <c r="E187">
        <v>0.05</v>
      </c>
      <c r="F187">
        <v>0.05</v>
      </c>
      <c r="G187">
        <v>0.05</v>
      </c>
    </row>
    <row r="188" spans="1:7">
      <c r="A188">
        <v>3284</v>
      </c>
      <c r="B188" s="107" t="s">
        <v>1517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>
      <c r="A189">
        <v>3289</v>
      </c>
      <c r="B189" s="107" t="s">
        <v>1518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>
      <c r="A190">
        <v>3291</v>
      </c>
      <c r="B190" s="107" t="s">
        <v>113</v>
      </c>
      <c r="C190">
        <v>0.05</v>
      </c>
      <c r="D190">
        <v>0.15</v>
      </c>
      <c r="E190">
        <v>0.05</v>
      </c>
      <c r="F190">
        <v>0.05</v>
      </c>
      <c r="G190">
        <v>0.05</v>
      </c>
    </row>
    <row r="191" spans="1:7">
      <c r="A191">
        <v>3294</v>
      </c>
      <c r="B191" s="107" t="s">
        <v>1519</v>
      </c>
      <c r="C191">
        <v>0</v>
      </c>
      <c r="D191" s="107" t="s">
        <v>235</v>
      </c>
      <c r="E191">
        <v>0</v>
      </c>
      <c r="F191" s="107" t="s">
        <v>235</v>
      </c>
      <c r="G191">
        <v>0</v>
      </c>
    </row>
    <row r="192" spans="1:7">
      <c r="A192">
        <v>3299</v>
      </c>
      <c r="B192" s="107" t="s">
        <v>1520</v>
      </c>
      <c r="C192">
        <v>0.05</v>
      </c>
      <c r="D192" s="107">
        <v>0.15</v>
      </c>
      <c r="E192">
        <v>0.05</v>
      </c>
      <c r="F192" s="107">
        <v>0.05</v>
      </c>
      <c r="G192">
        <v>0.05</v>
      </c>
    </row>
    <row r="193" spans="1:7">
      <c r="A193">
        <v>3349</v>
      </c>
      <c r="B193" s="107" t="s">
        <v>1521</v>
      </c>
      <c r="C193">
        <v>0.45</v>
      </c>
      <c r="D193">
        <v>1.35</v>
      </c>
      <c r="E193">
        <v>0.45</v>
      </c>
      <c r="F193">
        <v>0.4</v>
      </c>
      <c r="G193">
        <v>0.4</v>
      </c>
    </row>
    <row r="194" spans="1:7">
      <c r="A194">
        <v>3371</v>
      </c>
      <c r="B194" s="107" t="s">
        <v>1522</v>
      </c>
      <c r="C194">
        <v>0</v>
      </c>
      <c r="D194">
        <v>0</v>
      </c>
      <c r="E194" s="107" t="s">
        <v>235</v>
      </c>
      <c r="F194">
        <v>0</v>
      </c>
      <c r="G194" s="107" t="s">
        <v>235</v>
      </c>
    </row>
    <row r="195" spans="1:7">
      <c r="A195">
        <v>3382</v>
      </c>
      <c r="B195" s="107" t="s">
        <v>1523</v>
      </c>
      <c r="C195">
        <v>0</v>
      </c>
      <c r="D195">
        <v>0.3</v>
      </c>
      <c r="E195" s="107">
        <v>0</v>
      </c>
      <c r="F195">
        <v>0</v>
      </c>
      <c r="G195" s="107">
        <v>0</v>
      </c>
    </row>
    <row r="196" spans="1:7">
      <c r="A196">
        <v>3387</v>
      </c>
      <c r="B196" s="107" t="s">
        <v>1524</v>
      </c>
      <c r="C196">
        <v>0.05</v>
      </c>
      <c r="D196">
        <v>0.15</v>
      </c>
      <c r="E196">
        <v>0.05</v>
      </c>
      <c r="F196">
        <v>0.05</v>
      </c>
      <c r="G196">
        <v>0.05</v>
      </c>
    </row>
    <row r="197" spans="1:7">
      <c r="A197">
        <v>3391</v>
      </c>
      <c r="B197" s="107" t="s">
        <v>1525</v>
      </c>
      <c r="C197">
        <v>0.25</v>
      </c>
      <c r="D197">
        <v>0.75</v>
      </c>
      <c r="E197">
        <v>0.25</v>
      </c>
      <c r="F197">
        <v>0.25</v>
      </c>
      <c r="G197">
        <v>0.25</v>
      </c>
    </row>
    <row r="198" spans="1:7">
      <c r="A198">
        <v>3393</v>
      </c>
      <c r="B198" s="107" t="s">
        <v>1526</v>
      </c>
      <c r="C198">
        <v>0</v>
      </c>
      <c r="D198" s="107" t="s">
        <v>235</v>
      </c>
      <c r="E198" s="107" t="s">
        <v>235</v>
      </c>
      <c r="F198" s="107" t="s">
        <v>235</v>
      </c>
      <c r="G198" s="107" t="s">
        <v>235</v>
      </c>
    </row>
    <row r="199" spans="1:7">
      <c r="A199">
        <v>3397</v>
      </c>
      <c r="B199" s="107" t="s">
        <v>1527</v>
      </c>
      <c r="C199">
        <v>0.05</v>
      </c>
      <c r="D199" s="107">
        <v>0.15</v>
      </c>
      <c r="E199" s="107">
        <v>0.05</v>
      </c>
      <c r="F199" s="107">
        <v>0.05</v>
      </c>
      <c r="G199" s="107">
        <v>0.05</v>
      </c>
    </row>
    <row r="200" spans="1:7">
      <c r="A200">
        <v>3401</v>
      </c>
      <c r="B200" s="107" t="s">
        <v>1528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>
      <c r="A201">
        <v>3407</v>
      </c>
      <c r="B201" s="107" t="s">
        <v>1338</v>
      </c>
      <c r="C201">
        <v>0</v>
      </c>
      <c r="D201">
        <v>0</v>
      </c>
      <c r="E201">
        <v>0</v>
      </c>
      <c r="F201">
        <v>0</v>
      </c>
      <c r="G201" s="107" t="s">
        <v>235</v>
      </c>
    </row>
    <row r="202" spans="1:7">
      <c r="A202">
        <v>3415</v>
      </c>
      <c r="B202" s="107" t="s">
        <v>1529</v>
      </c>
      <c r="C202">
        <v>0</v>
      </c>
      <c r="D202">
        <v>0</v>
      </c>
      <c r="E202">
        <v>0</v>
      </c>
      <c r="F202">
        <v>0</v>
      </c>
      <c r="G202" s="107">
        <v>0</v>
      </c>
    </row>
    <row r="203" spans="1:7">
      <c r="A203">
        <v>3433</v>
      </c>
      <c r="B203" s="107" t="s">
        <v>1530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>
      <c r="A204">
        <v>3436</v>
      </c>
      <c r="B204" s="107" t="s">
        <v>1531</v>
      </c>
      <c r="C204">
        <v>0</v>
      </c>
      <c r="D204">
        <v>0</v>
      </c>
      <c r="E204" s="107" t="s">
        <v>235</v>
      </c>
      <c r="F204">
        <v>0</v>
      </c>
      <c r="G204" s="107" t="s">
        <v>235</v>
      </c>
    </row>
    <row r="205" spans="1:7">
      <c r="A205">
        <v>3454</v>
      </c>
      <c r="B205" s="107" t="s">
        <v>1532</v>
      </c>
      <c r="C205">
        <v>0</v>
      </c>
      <c r="D205">
        <v>0</v>
      </c>
      <c r="E205" s="107">
        <v>0</v>
      </c>
      <c r="F205">
        <v>0</v>
      </c>
      <c r="G205" s="107">
        <v>0</v>
      </c>
    </row>
    <row r="206" spans="1:7">
      <c r="A206">
        <v>3457</v>
      </c>
      <c r="B206" s="107" t="s">
        <v>1533</v>
      </c>
      <c r="C206">
        <v>0</v>
      </c>
      <c r="D206" s="107" t="s">
        <v>235</v>
      </c>
      <c r="E206">
        <v>0</v>
      </c>
      <c r="F206" s="107" t="s">
        <v>235</v>
      </c>
      <c r="G206" s="107" t="s">
        <v>235</v>
      </c>
    </row>
    <row r="207" spans="1:7">
      <c r="A207">
        <v>3484</v>
      </c>
      <c r="B207" s="107" t="s">
        <v>1534</v>
      </c>
      <c r="C207">
        <v>0.05</v>
      </c>
      <c r="D207" s="107">
        <v>0.15</v>
      </c>
      <c r="E207">
        <v>0.05</v>
      </c>
      <c r="F207" s="107">
        <v>0.05</v>
      </c>
      <c r="G207" s="107">
        <v>0.05</v>
      </c>
    </row>
    <row r="208" spans="1:7">
      <c r="A208">
        <v>3501</v>
      </c>
      <c r="B208" s="107" t="s">
        <v>1535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>
      <c r="A209">
        <v>3529</v>
      </c>
      <c r="B209" s="107" t="s">
        <v>1536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>
      <c r="A210">
        <v>3538</v>
      </c>
      <c r="B210" s="107" t="s">
        <v>1537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>
      <c r="A211">
        <v>3539</v>
      </c>
      <c r="B211" s="107" t="s">
        <v>1538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>
      <c r="A212">
        <v>3544</v>
      </c>
      <c r="B212" s="107" t="s">
        <v>1539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>
      <c r="A213">
        <v>3547</v>
      </c>
      <c r="B213" s="107" t="s">
        <v>1540</v>
      </c>
      <c r="C213">
        <v>0.05</v>
      </c>
      <c r="D213">
        <v>0.15</v>
      </c>
      <c r="E213">
        <v>0.05</v>
      </c>
      <c r="F213">
        <v>0.05</v>
      </c>
      <c r="G213">
        <v>0.05</v>
      </c>
    </row>
    <row r="214" spans="1:7">
      <c r="A214">
        <v>3549</v>
      </c>
      <c r="B214" s="107" t="s">
        <v>1541</v>
      </c>
      <c r="C214">
        <v>0</v>
      </c>
      <c r="D214">
        <v>0.15</v>
      </c>
      <c r="E214">
        <v>0.15</v>
      </c>
      <c r="F214">
        <v>0.15</v>
      </c>
      <c r="G214">
        <v>0.15</v>
      </c>
    </row>
    <row r="215" spans="1:7">
      <c r="A215">
        <v>3569</v>
      </c>
      <c r="B215" s="107" t="s">
        <v>1542</v>
      </c>
      <c r="C215">
        <v>0</v>
      </c>
      <c r="D215">
        <v>0</v>
      </c>
      <c r="E215">
        <v>0.05</v>
      </c>
      <c r="F215">
        <v>0.05</v>
      </c>
      <c r="G215">
        <v>0.05</v>
      </c>
    </row>
    <row r="216" spans="1:7">
      <c r="A216">
        <v>3571</v>
      </c>
      <c r="B216" s="107" t="s">
        <v>1543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>
      <c r="A217">
        <v>3580</v>
      </c>
      <c r="B217" s="107" t="s">
        <v>1544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>
      <c r="A218">
        <v>3591</v>
      </c>
      <c r="B218" s="107" t="s">
        <v>1545</v>
      </c>
      <c r="C218">
        <v>0.05</v>
      </c>
      <c r="D218">
        <v>0.15</v>
      </c>
      <c r="E218">
        <v>0.05</v>
      </c>
      <c r="F218">
        <v>0.05</v>
      </c>
      <c r="G218">
        <v>0.05</v>
      </c>
    </row>
    <row r="219" spans="1:7">
      <c r="A219">
        <v>3593</v>
      </c>
      <c r="B219" s="107" t="s">
        <v>1546</v>
      </c>
      <c r="C219">
        <v>0.1</v>
      </c>
      <c r="D219">
        <v>0.3</v>
      </c>
      <c r="E219">
        <v>0.1</v>
      </c>
      <c r="F219">
        <v>0.1</v>
      </c>
      <c r="G219">
        <v>0.1</v>
      </c>
    </row>
    <row r="220" spans="1:7">
      <c r="A220">
        <v>3606</v>
      </c>
      <c r="B220" s="107" t="s">
        <v>1547</v>
      </c>
      <c r="C220">
        <v>0</v>
      </c>
      <c r="D220">
        <v>0</v>
      </c>
      <c r="E220">
        <v>0</v>
      </c>
      <c r="F220">
        <v>0</v>
      </c>
      <c r="G220" s="107" t="s">
        <v>235</v>
      </c>
    </row>
    <row r="221" spans="1:7">
      <c r="A221">
        <v>3612</v>
      </c>
      <c r="B221" s="107" t="s">
        <v>1548</v>
      </c>
      <c r="C221">
        <v>0</v>
      </c>
      <c r="D221">
        <v>0.15</v>
      </c>
      <c r="E221">
        <v>0</v>
      </c>
      <c r="F221">
        <v>0.05</v>
      </c>
      <c r="G221" s="107">
        <v>0</v>
      </c>
    </row>
    <row r="222" spans="1:7">
      <c r="A222">
        <v>3627</v>
      </c>
      <c r="B222" s="107" t="s">
        <v>1549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>
      <c r="A223">
        <v>3632</v>
      </c>
      <c r="B223" s="107" t="s">
        <v>1550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>
      <c r="A224">
        <v>3635</v>
      </c>
      <c r="B224" s="107" t="s">
        <v>85</v>
      </c>
      <c r="C224">
        <v>0.05</v>
      </c>
      <c r="D224">
        <v>0.15</v>
      </c>
      <c r="E224">
        <v>0.05</v>
      </c>
      <c r="F224">
        <v>0.05</v>
      </c>
      <c r="G224" s="107" t="s">
        <v>235</v>
      </c>
    </row>
    <row r="225" spans="1:7">
      <c r="A225">
        <v>3639</v>
      </c>
      <c r="B225" s="107" t="s">
        <v>1551</v>
      </c>
      <c r="C225">
        <v>0</v>
      </c>
      <c r="D225" s="107" t="s">
        <v>235</v>
      </c>
      <c r="E225">
        <v>0</v>
      </c>
      <c r="F225">
        <v>0</v>
      </c>
      <c r="G225" s="107">
        <v>0</v>
      </c>
    </row>
    <row r="226" spans="1:7">
      <c r="A226">
        <v>3640</v>
      </c>
      <c r="B226" s="107" t="s">
        <v>1552</v>
      </c>
      <c r="C226">
        <v>0.05</v>
      </c>
      <c r="D226" s="107">
        <v>0.15</v>
      </c>
      <c r="E226">
        <v>0.05</v>
      </c>
      <c r="F226">
        <v>0.05</v>
      </c>
      <c r="G226">
        <v>0.05</v>
      </c>
    </row>
    <row r="227" spans="1:7">
      <c r="A227">
        <v>3648</v>
      </c>
      <c r="B227" s="107" t="s">
        <v>1553</v>
      </c>
      <c r="C227">
        <v>0</v>
      </c>
      <c r="D227">
        <v>0.15</v>
      </c>
      <c r="E227">
        <v>0</v>
      </c>
      <c r="F227">
        <v>0</v>
      </c>
      <c r="G227">
        <v>0</v>
      </c>
    </row>
    <row r="228" spans="1:7">
      <c r="A228">
        <v>3655</v>
      </c>
      <c r="B228" s="107" t="s">
        <v>1554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>
      <c r="A229">
        <v>3656</v>
      </c>
      <c r="B229" s="107" t="s">
        <v>1555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>
      <c r="A230">
        <v>3659</v>
      </c>
      <c r="B230" s="107" t="s">
        <v>1556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3660</v>
      </c>
      <c r="B231" s="107" t="s">
        <v>1557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>
      <c r="A232">
        <v>3661</v>
      </c>
      <c r="B232" s="107" t="s">
        <v>1558</v>
      </c>
      <c r="C232">
        <v>0.05</v>
      </c>
      <c r="D232">
        <v>0.3</v>
      </c>
      <c r="E232">
        <v>0.05</v>
      </c>
      <c r="F232">
        <v>0.05</v>
      </c>
      <c r="G232">
        <v>0.05</v>
      </c>
    </row>
    <row r="233" spans="1:7">
      <c r="A233">
        <v>3662</v>
      </c>
      <c r="B233" s="107" t="s">
        <v>1559</v>
      </c>
      <c r="C233">
        <v>0</v>
      </c>
      <c r="D233" s="107" t="s">
        <v>235</v>
      </c>
      <c r="E233">
        <v>0.05</v>
      </c>
      <c r="F233">
        <v>0</v>
      </c>
      <c r="G233">
        <v>0</v>
      </c>
    </row>
    <row r="234" spans="1:7">
      <c r="A234">
        <v>3668</v>
      </c>
      <c r="B234" s="107" t="s">
        <v>1560</v>
      </c>
      <c r="C234">
        <v>0.05</v>
      </c>
      <c r="D234" s="107">
        <v>0.15</v>
      </c>
      <c r="E234">
        <v>0.05</v>
      </c>
      <c r="F234">
        <v>0.05</v>
      </c>
      <c r="G234">
        <v>0.05</v>
      </c>
    </row>
    <row r="235" spans="1:7">
      <c r="A235">
        <v>3678</v>
      </c>
      <c r="B235" s="107" t="s">
        <v>1561</v>
      </c>
      <c r="C235">
        <v>0.1</v>
      </c>
      <c r="D235">
        <v>0.3</v>
      </c>
      <c r="E235">
        <v>0.1</v>
      </c>
      <c r="F235">
        <v>0.1</v>
      </c>
      <c r="G235">
        <v>0.1</v>
      </c>
    </row>
    <row r="236" spans="1:7">
      <c r="A236">
        <v>3681</v>
      </c>
      <c r="B236" s="107" t="s">
        <v>1562</v>
      </c>
      <c r="C236">
        <v>0.05</v>
      </c>
      <c r="D236">
        <v>0</v>
      </c>
      <c r="E236">
        <v>0.05</v>
      </c>
      <c r="F236">
        <v>0.05</v>
      </c>
      <c r="G236">
        <v>0.05</v>
      </c>
    </row>
    <row r="237" spans="1:7">
      <c r="A237">
        <v>3683</v>
      </c>
      <c r="B237" s="107" t="s">
        <v>1563</v>
      </c>
      <c r="C237">
        <v>0</v>
      </c>
      <c r="D237" s="107" t="s">
        <v>235</v>
      </c>
      <c r="E237">
        <v>0</v>
      </c>
      <c r="F237" s="107" t="s">
        <v>235</v>
      </c>
      <c r="G237" s="107" t="s">
        <v>235</v>
      </c>
    </row>
    <row r="238" spans="1:7">
      <c r="A238">
        <v>3694</v>
      </c>
      <c r="B238" s="107" t="s">
        <v>1564</v>
      </c>
      <c r="C238">
        <v>0.05</v>
      </c>
      <c r="D238" s="107">
        <v>0.15</v>
      </c>
      <c r="E238">
        <v>0.05</v>
      </c>
      <c r="F238" s="107">
        <v>0.1</v>
      </c>
      <c r="G238" s="107">
        <v>0.05</v>
      </c>
    </row>
    <row r="239" spans="1:7">
      <c r="A239">
        <v>3697</v>
      </c>
      <c r="B239" s="107" t="s">
        <v>1565</v>
      </c>
      <c r="C239">
        <v>0.15</v>
      </c>
      <c r="D239">
        <v>0.6</v>
      </c>
      <c r="E239">
        <v>0.15</v>
      </c>
      <c r="F239">
        <v>0.15</v>
      </c>
      <c r="G239">
        <v>0.15</v>
      </c>
    </row>
    <row r="240" spans="1:7">
      <c r="A240">
        <v>3708</v>
      </c>
      <c r="B240" s="107" t="s">
        <v>1566</v>
      </c>
      <c r="C240">
        <v>0.1</v>
      </c>
      <c r="D240">
        <v>0.3</v>
      </c>
      <c r="E240">
        <v>0.1</v>
      </c>
      <c r="F240">
        <v>0.1</v>
      </c>
      <c r="G240">
        <v>0.1</v>
      </c>
    </row>
    <row r="241" spans="1:7">
      <c r="A241">
        <v>3738</v>
      </c>
      <c r="B241" s="107" t="s">
        <v>1567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>
      <c r="A242">
        <v>3774</v>
      </c>
      <c r="B242" s="107" t="s">
        <v>1568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>
      <c r="A243">
        <v>3778</v>
      </c>
      <c r="B243" s="107" t="s">
        <v>1569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>
      <c r="A244">
        <v>3822</v>
      </c>
      <c r="B244" s="107" t="s">
        <v>1570</v>
      </c>
      <c r="C244">
        <v>0.05</v>
      </c>
      <c r="D244">
        <v>0.3</v>
      </c>
      <c r="E244">
        <v>0.05</v>
      </c>
      <c r="F244">
        <v>0.05</v>
      </c>
      <c r="G244">
        <v>0</v>
      </c>
    </row>
    <row r="245" spans="1:7">
      <c r="A245">
        <v>3844</v>
      </c>
      <c r="B245" s="107" t="s">
        <v>1571</v>
      </c>
      <c r="C245">
        <v>0</v>
      </c>
      <c r="D245" s="107" t="s">
        <v>235</v>
      </c>
      <c r="E245" s="107" t="s">
        <v>235</v>
      </c>
      <c r="F245" s="107" t="s">
        <v>235</v>
      </c>
      <c r="G245" s="107" t="s">
        <v>235</v>
      </c>
    </row>
    <row r="246" spans="1:7">
      <c r="A246">
        <v>3861</v>
      </c>
      <c r="B246" s="107" t="s">
        <v>65</v>
      </c>
      <c r="C246">
        <v>0</v>
      </c>
      <c r="D246" s="107">
        <v>0</v>
      </c>
      <c r="E246" s="107">
        <v>0</v>
      </c>
      <c r="F246" s="107">
        <v>0</v>
      </c>
      <c r="G246" s="107">
        <v>0</v>
      </c>
    </row>
    <row r="247" spans="1:7">
      <c r="A247">
        <v>3865</v>
      </c>
      <c r="B247" s="107" t="s">
        <v>1572</v>
      </c>
      <c r="C247">
        <v>0</v>
      </c>
      <c r="D247">
        <v>0</v>
      </c>
      <c r="E247">
        <v>0</v>
      </c>
      <c r="F247">
        <v>0</v>
      </c>
      <c r="G247" s="107" t="s">
        <v>235</v>
      </c>
    </row>
    <row r="248" spans="1:7">
      <c r="A248">
        <v>3877</v>
      </c>
      <c r="B248" s="107" t="s">
        <v>1573</v>
      </c>
      <c r="C248">
        <v>0</v>
      </c>
      <c r="D248">
        <v>0</v>
      </c>
      <c r="E248">
        <v>0</v>
      </c>
      <c r="F248">
        <v>0</v>
      </c>
      <c r="G248" s="107" t="s">
        <v>235</v>
      </c>
    </row>
    <row r="249" spans="1:7">
      <c r="A249">
        <v>3878</v>
      </c>
      <c r="B249" s="107" t="s">
        <v>1574</v>
      </c>
      <c r="C249">
        <v>0</v>
      </c>
      <c r="D249">
        <v>0.15</v>
      </c>
      <c r="E249">
        <v>0.05</v>
      </c>
      <c r="F249">
        <v>0.05</v>
      </c>
      <c r="G249" s="107">
        <v>0.05</v>
      </c>
    </row>
    <row r="250" spans="1:7">
      <c r="A250">
        <v>3921</v>
      </c>
      <c r="B250" s="107" t="s">
        <v>1575</v>
      </c>
      <c r="C250">
        <v>0</v>
      </c>
      <c r="D250" s="107" t="s">
        <v>235</v>
      </c>
      <c r="E250" s="107" t="s">
        <v>235</v>
      </c>
      <c r="F250" s="107" t="s">
        <v>235</v>
      </c>
      <c r="G250" s="107" t="s">
        <v>235</v>
      </c>
    </row>
    <row r="251" spans="1:7">
      <c r="A251">
        <v>3946</v>
      </c>
      <c r="B251" s="107" t="s">
        <v>1576</v>
      </c>
      <c r="C251">
        <v>0</v>
      </c>
      <c r="D251" s="107">
        <v>0</v>
      </c>
      <c r="E251" s="107" t="s">
        <v>235</v>
      </c>
      <c r="F251" s="107">
        <v>0</v>
      </c>
      <c r="G251" s="107" t="s">
        <v>235</v>
      </c>
    </row>
    <row r="252" spans="1:7">
      <c r="A252">
        <v>3964</v>
      </c>
      <c r="B252" s="107" t="s">
        <v>1577</v>
      </c>
      <c r="C252">
        <v>0.05</v>
      </c>
      <c r="D252">
        <v>0.15</v>
      </c>
      <c r="E252" s="107">
        <v>0.05</v>
      </c>
      <c r="F252">
        <v>0.05</v>
      </c>
      <c r="G252" s="107">
        <v>0.05</v>
      </c>
    </row>
    <row r="253" spans="1:7">
      <c r="A253">
        <v>3968</v>
      </c>
      <c r="B253" s="107" t="s">
        <v>1578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>
      <c r="A254">
        <v>3975</v>
      </c>
      <c r="B254" s="107" t="s">
        <v>1579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>
      <c r="A255">
        <v>3983</v>
      </c>
      <c r="B255" s="107" t="s">
        <v>1580</v>
      </c>
      <c r="C255">
        <v>0.1</v>
      </c>
      <c r="D255">
        <v>1.65</v>
      </c>
      <c r="E255">
        <v>0.1</v>
      </c>
      <c r="F255">
        <v>0.1</v>
      </c>
      <c r="G255">
        <v>0.1</v>
      </c>
    </row>
    <row r="256" spans="1:7">
      <c r="A256">
        <v>3996</v>
      </c>
      <c r="B256" s="107" t="s">
        <v>1581</v>
      </c>
      <c r="C256">
        <v>9.8000000000000007</v>
      </c>
      <c r="D256">
        <v>55.5</v>
      </c>
      <c r="E256">
        <v>20.8</v>
      </c>
      <c r="F256">
        <v>20.8</v>
      </c>
      <c r="G256">
        <v>22.4</v>
      </c>
    </row>
    <row r="257" spans="1:7">
      <c r="A257">
        <v>4022</v>
      </c>
      <c r="B257" s="107" t="s">
        <v>1582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>
      <c r="A258">
        <v>4025</v>
      </c>
      <c r="B258" s="107" t="s">
        <v>1583</v>
      </c>
      <c r="C258">
        <v>0.05</v>
      </c>
      <c r="D258">
        <v>0.15</v>
      </c>
      <c r="E258">
        <v>0.05</v>
      </c>
      <c r="F258">
        <v>0.1</v>
      </c>
      <c r="G258">
        <v>0.05</v>
      </c>
    </row>
    <row r="259" spans="1:7">
      <c r="A259">
        <v>4031</v>
      </c>
      <c r="B259" s="107" t="s">
        <v>1584</v>
      </c>
      <c r="C259">
        <v>0</v>
      </c>
      <c r="D259">
        <v>0</v>
      </c>
      <c r="E259" s="107" t="s">
        <v>235</v>
      </c>
      <c r="F259" s="107" t="s">
        <v>235</v>
      </c>
      <c r="G259" s="107" t="s">
        <v>235</v>
      </c>
    </row>
    <row r="260" spans="1:7">
      <c r="A260">
        <v>4041</v>
      </c>
      <c r="B260" s="107" t="s">
        <v>1585</v>
      </c>
      <c r="C260">
        <v>0.05</v>
      </c>
      <c r="D260">
        <v>0.15</v>
      </c>
      <c r="E260" s="107">
        <v>0</v>
      </c>
      <c r="F260" s="107">
        <v>0.05</v>
      </c>
      <c r="G260" s="107">
        <v>0.05</v>
      </c>
    </row>
    <row r="261" spans="1:7">
      <c r="A261">
        <v>4042</v>
      </c>
      <c r="B261" s="107" t="s">
        <v>1310</v>
      </c>
      <c r="C261">
        <v>0</v>
      </c>
      <c r="D261">
        <v>0.15</v>
      </c>
      <c r="E261">
        <v>0.05</v>
      </c>
      <c r="F261">
        <v>0.05</v>
      </c>
      <c r="G261">
        <v>0.05</v>
      </c>
    </row>
    <row r="262" spans="1:7">
      <c r="A262">
        <v>4043</v>
      </c>
      <c r="B262" s="107" t="s">
        <v>1586</v>
      </c>
      <c r="C262">
        <v>0.05</v>
      </c>
      <c r="D262">
        <v>0.15</v>
      </c>
      <c r="E262">
        <v>0</v>
      </c>
      <c r="F262">
        <v>0.05</v>
      </c>
      <c r="G262">
        <v>0.05</v>
      </c>
    </row>
    <row r="263" spans="1:7">
      <c r="A263">
        <v>4044</v>
      </c>
      <c r="B263" s="107" t="s">
        <v>1587</v>
      </c>
      <c r="C263">
        <v>0.05</v>
      </c>
      <c r="D263">
        <v>0</v>
      </c>
      <c r="E263">
        <v>0</v>
      </c>
      <c r="F263">
        <v>0.05</v>
      </c>
      <c r="G263">
        <v>0.05</v>
      </c>
    </row>
    <row r="264" spans="1:7">
      <c r="A264">
        <v>4045</v>
      </c>
      <c r="B264" s="107" t="s">
        <v>1588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>
      <c r="A265">
        <v>4046</v>
      </c>
      <c r="B265" s="107" t="s">
        <v>1589</v>
      </c>
      <c r="C265">
        <v>0.05</v>
      </c>
      <c r="D265" s="107" t="s">
        <v>235</v>
      </c>
      <c r="E265" s="107" t="s">
        <v>235</v>
      </c>
      <c r="F265" s="107" t="s">
        <v>235</v>
      </c>
      <c r="G265" s="107" t="s">
        <v>235</v>
      </c>
    </row>
    <row r="266" spans="1:7">
      <c r="A266">
        <v>4047</v>
      </c>
      <c r="B266" s="107" t="s">
        <v>1590</v>
      </c>
      <c r="C266">
        <v>0.05</v>
      </c>
      <c r="D266" s="107">
        <v>0</v>
      </c>
      <c r="E266" s="107">
        <v>0.05</v>
      </c>
      <c r="F266" s="107">
        <v>0.05</v>
      </c>
      <c r="G266" s="107">
        <v>0.05</v>
      </c>
    </row>
    <row r="267" spans="1:7">
      <c r="A267">
        <v>4062</v>
      </c>
      <c r="B267" s="107" t="s">
        <v>326</v>
      </c>
      <c r="C267">
        <v>0.05</v>
      </c>
      <c r="D267">
        <v>0.15</v>
      </c>
      <c r="E267">
        <v>0.05</v>
      </c>
      <c r="F267">
        <v>0.05</v>
      </c>
      <c r="G267">
        <v>0.05</v>
      </c>
    </row>
    <row r="268" spans="1:7">
      <c r="A268">
        <v>4091</v>
      </c>
      <c r="B268" s="107" t="s">
        <v>1591</v>
      </c>
      <c r="C268">
        <v>0.05</v>
      </c>
      <c r="D268">
        <v>0</v>
      </c>
      <c r="E268">
        <v>0</v>
      </c>
      <c r="F268">
        <v>0.05</v>
      </c>
      <c r="G268">
        <v>0</v>
      </c>
    </row>
    <row r="269" spans="1:7">
      <c r="A269">
        <v>4092</v>
      </c>
      <c r="B269" s="107" t="s">
        <v>1592</v>
      </c>
      <c r="C269">
        <v>0</v>
      </c>
      <c r="D269">
        <v>0.15</v>
      </c>
      <c r="E269" s="107" t="s">
        <v>235</v>
      </c>
      <c r="F269">
        <v>0.05</v>
      </c>
      <c r="G269">
        <v>0</v>
      </c>
    </row>
    <row r="270" spans="1:7">
      <c r="A270">
        <v>4097</v>
      </c>
      <c r="B270" s="107" t="s">
        <v>1593</v>
      </c>
      <c r="C270">
        <v>0.05</v>
      </c>
      <c r="D270" s="107" t="s">
        <v>235</v>
      </c>
      <c r="E270" s="107" t="s">
        <v>235</v>
      </c>
      <c r="F270" s="107" t="s">
        <v>235</v>
      </c>
      <c r="G270" s="107" t="s">
        <v>235</v>
      </c>
    </row>
    <row r="271" spans="1:7">
      <c r="A271">
        <v>4100</v>
      </c>
      <c r="B271" s="107" t="s">
        <v>1594</v>
      </c>
      <c r="C271">
        <v>0</v>
      </c>
      <c r="D271" s="107">
        <v>0</v>
      </c>
      <c r="E271" s="107">
        <v>0</v>
      </c>
      <c r="F271" s="107">
        <v>0</v>
      </c>
      <c r="G271" s="107">
        <v>0</v>
      </c>
    </row>
    <row r="272" spans="1:7">
      <c r="A272">
        <v>4112</v>
      </c>
      <c r="B272" s="107" t="s">
        <v>1595</v>
      </c>
      <c r="C272">
        <v>0.1</v>
      </c>
      <c r="D272">
        <v>0.3</v>
      </c>
      <c r="E272">
        <v>0.1</v>
      </c>
      <c r="F272">
        <v>0.1</v>
      </c>
      <c r="G272">
        <v>0.1</v>
      </c>
    </row>
    <row r="273" spans="1:7">
      <c r="A273">
        <v>4114</v>
      </c>
      <c r="B273" s="107" t="s">
        <v>1596</v>
      </c>
      <c r="C273">
        <v>0.1</v>
      </c>
      <c r="D273">
        <v>0</v>
      </c>
      <c r="E273">
        <v>0</v>
      </c>
      <c r="F273">
        <v>0</v>
      </c>
      <c r="G273" s="107" t="s">
        <v>235</v>
      </c>
    </row>
    <row r="274" spans="1:7">
      <c r="A274">
        <v>4116</v>
      </c>
      <c r="B274" s="107" t="s">
        <v>1597</v>
      </c>
      <c r="C274">
        <v>0</v>
      </c>
      <c r="D274">
        <v>0</v>
      </c>
      <c r="E274">
        <v>0</v>
      </c>
      <c r="F274">
        <v>0</v>
      </c>
      <c r="G274" s="107">
        <v>0</v>
      </c>
    </row>
    <row r="275" spans="1:7">
      <c r="A275">
        <v>4151</v>
      </c>
      <c r="B275" s="107" t="s">
        <v>1598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>
      <c r="A276">
        <v>4182</v>
      </c>
      <c r="B276" s="107" t="s">
        <v>88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>
      <c r="A277">
        <v>4183</v>
      </c>
      <c r="B277" s="107" t="s">
        <v>301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>
      <c r="A278">
        <v>4186</v>
      </c>
      <c r="B278" s="107" t="s">
        <v>1599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>
      <c r="A279">
        <v>4189</v>
      </c>
      <c r="B279" s="107" t="s">
        <v>1600</v>
      </c>
      <c r="C279">
        <v>0</v>
      </c>
      <c r="D279">
        <v>0</v>
      </c>
      <c r="E279">
        <v>0</v>
      </c>
      <c r="F279">
        <v>0</v>
      </c>
      <c r="G279" s="107" t="s">
        <v>235</v>
      </c>
    </row>
    <row r="280" spans="1:7">
      <c r="A280">
        <v>4202</v>
      </c>
      <c r="B280" s="107" t="s">
        <v>89</v>
      </c>
      <c r="C280">
        <v>0.05</v>
      </c>
      <c r="D280">
        <v>0</v>
      </c>
      <c r="E280">
        <v>0</v>
      </c>
      <c r="F280">
        <v>0</v>
      </c>
      <c r="G280" s="107">
        <v>0</v>
      </c>
    </row>
    <row r="281" spans="1:7">
      <c r="A281">
        <v>4203</v>
      </c>
      <c r="B281" s="107" t="s">
        <v>1601</v>
      </c>
      <c r="C281">
        <v>0.1</v>
      </c>
      <c r="D281">
        <v>0.3</v>
      </c>
      <c r="E281">
        <v>0.1</v>
      </c>
      <c r="F281">
        <v>0.1</v>
      </c>
      <c r="G281">
        <v>0.1</v>
      </c>
    </row>
    <row r="282" spans="1:7">
      <c r="A282">
        <v>4204</v>
      </c>
      <c r="B282" s="107" t="s">
        <v>324</v>
      </c>
      <c r="C282">
        <v>0.05</v>
      </c>
      <c r="D282">
        <v>0</v>
      </c>
      <c r="E282">
        <v>0.05</v>
      </c>
      <c r="F282">
        <v>0</v>
      </c>
      <c r="G282">
        <v>0.05</v>
      </c>
    </row>
    <row r="283" spans="1:7">
      <c r="A283">
        <v>4205</v>
      </c>
      <c r="B283" s="107" t="s">
        <v>1602</v>
      </c>
      <c r="C283">
        <v>0.05</v>
      </c>
      <c r="D283">
        <v>0.15</v>
      </c>
      <c r="E283">
        <v>0.05</v>
      </c>
      <c r="F283">
        <v>0.05</v>
      </c>
      <c r="G283">
        <v>0.05</v>
      </c>
    </row>
    <row r="284" spans="1:7">
      <c r="A284">
        <v>4208</v>
      </c>
      <c r="B284" s="107" t="s">
        <v>98</v>
      </c>
      <c r="C284">
        <v>0.05</v>
      </c>
      <c r="D284">
        <v>0.15</v>
      </c>
      <c r="E284">
        <v>0</v>
      </c>
      <c r="F284">
        <v>0.05</v>
      </c>
      <c r="G284">
        <v>0.05</v>
      </c>
    </row>
    <row r="285" spans="1:7">
      <c r="A285">
        <v>4212</v>
      </c>
      <c r="B285" s="107" t="s">
        <v>1603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>
      <c r="A286">
        <v>4216</v>
      </c>
      <c r="B286" s="107" t="s">
        <v>1604</v>
      </c>
      <c r="C286">
        <v>0.05</v>
      </c>
      <c r="D286">
        <v>0.15</v>
      </c>
      <c r="E286">
        <v>0.05</v>
      </c>
      <c r="F286">
        <v>0.05</v>
      </c>
      <c r="G286">
        <v>0</v>
      </c>
    </row>
    <row r="287" spans="1:7">
      <c r="A287">
        <v>4217</v>
      </c>
      <c r="B287" s="107" t="s">
        <v>1605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4218</v>
      </c>
      <c r="B288" s="107" t="s">
        <v>1606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>
      <c r="A289">
        <v>4272</v>
      </c>
      <c r="B289" s="107" t="s">
        <v>1607</v>
      </c>
      <c r="C289">
        <v>0</v>
      </c>
      <c r="D289">
        <v>0</v>
      </c>
      <c r="E289">
        <v>0</v>
      </c>
      <c r="F289">
        <v>0</v>
      </c>
      <c r="G289">
        <v>0.05</v>
      </c>
    </row>
    <row r="290" spans="1:7">
      <c r="A290">
        <v>4286</v>
      </c>
      <c r="B290" s="107" t="s">
        <v>1608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>
      <c r="A291">
        <v>4290</v>
      </c>
      <c r="B291" s="107" t="s">
        <v>1609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>
      <c r="A292">
        <v>4299</v>
      </c>
      <c r="B292" s="107" t="s">
        <v>1610</v>
      </c>
      <c r="C292">
        <v>0.05</v>
      </c>
      <c r="D292">
        <v>0.15</v>
      </c>
      <c r="E292">
        <v>0.05</v>
      </c>
      <c r="F292">
        <v>0.05</v>
      </c>
      <c r="G292">
        <v>0.05</v>
      </c>
    </row>
    <row r="293" spans="1:7">
      <c r="A293">
        <v>4307</v>
      </c>
      <c r="B293" s="107" t="s">
        <v>1611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>
      <c r="A294">
        <v>4310</v>
      </c>
      <c r="B294" s="107" t="s">
        <v>1612</v>
      </c>
      <c r="C294">
        <v>0.05</v>
      </c>
      <c r="D294">
        <v>0.15</v>
      </c>
      <c r="E294">
        <v>0.05</v>
      </c>
      <c r="F294">
        <v>0</v>
      </c>
      <c r="G294">
        <v>0</v>
      </c>
    </row>
    <row r="295" spans="1:7">
      <c r="A295">
        <v>4321</v>
      </c>
      <c r="B295" s="107" t="s">
        <v>1613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>
      <c r="A296">
        <v>4324</v>
      </c>
      <c r="B296" s="107" t="s">
        <v>1614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>
      <c r="A297">
        <v>4337</v>
      </c>
      <c r="B297" s="107" t="s">
        <v>1615</v>
      </c>
      <c r="C297">
        <v>0.1</v>
      </c>
      <c r="D297">
        <v>0.3</v>
      </c>
      <c r="E297">
        <v>0.1</v>
      </c>
      <c r="F297">
        <v>0.1</v>
      </c>
      <c r="G297">
        <v>0.1</v>
      </c>
    </row>
    <row r="298" spans="1:7">
      <c r="A298">
        <v>4344</v>
      </c>
      <c r="B298" s="107" t="s">
        <v>1616</v>
      </c>
      <c r="C298">
        <v>0.05</v>
      </c>
      <c r="D298">
        <v>0.15</v>
      </c>
      <c r="E298">
        <v>0.05</v>
      </c>
      <c r="F298">
        <v>0.05</v>
      </c>
      <c r="G298">
        <v>0.05</v>
      </c>
    </row>
    <row r="299" spans="1:7">
      <c r="A299">
        <v>4345</v>
      </c>
      <c r="B299" s="107" t="s">
        <v>1617</v>
      </c>
      <c r="C299">
        <v>0</v>
      </c>
      <c r="D299">
        <v>0</v>
      </c>
      <c r="E299">
        <v>0</v>
      </c>
      <c r="F299">
        <v>0</v>
      </c>
      <c r="G299" s="107" t="s">
        <v>235</v>
      </c>
    </row>
    <row r="300" spans="1:7">
      <c r="A300">
        <v>4368</v>
      </c>
      <c r="B300" s="107" t="s">
        <v>1618</v>
      </c>
      <c r="C300">
        <v>0.05</v>
      </c>
      <c r="D300">
        <v>0.15</v>
      </c>
      <c r="E300">
        <v>0.05</v>
      </c>
      <c r="F300">
        <v>0.05</v>
      </c>
      <c r="G300" s="107">
        <v>0.05</v>
      </c>
    </row>
    <row r="301" spans="1:7">
      <c r="A301">
        <v>4401</v>
      </c>
      <c r="B301" s="107" t="s">
        <v>317</v>
      </c>
      <c r="C301">
        <v>0.05</v>
      </c>
      <c r="D301">
        <v>0.15</v>
      </c>
      <c r="E301">
        <v>0.05</v>
      </c>
      <c r="F301">
        <v>0.05</v>
      </c>
      <c r="G301">
        <v>0.05</v>
      </c>
    </row>
    <row r="302" spans="1:7">
      <c r="A302">
        <v>4403</v>
      </c>
      <c r="B302" s="107" t="s">
        <v>1619</v>
      </c>
      <c r="C302">
        <v>0.05</v>
      </c>
      <c r="D302">
        <v>0</v>
      </c>
      <c r="E302" s="107" t="s">
        <v>235</v>
      </c>
      <c r="F302">
        <v>0.05</v>
      </c>
      <c r="G302">
        <v>0</v>
      </c>
    </row>
    <row r="303" spans="1:7">
      <c r="A303">
        <v>4404</v>
      </c>
      <c r="B303" s="107" t="s">
        <v>1620</v>
      </c>
      <c r="C303">
        <v>0</v>
      </c>
      <c r="D303">
        <v>0</v>
      </c>
      <c r="E303" s="107">
        <v>0</v>
      </c>
      <c r="F303">
        <v>0</v>
      </c>
      <c r="G303">
        <v>0</v>
      </c>
    </row>
    <row r="304" spans="1:7">
      <c r="A304">
        <v>4410</v>
      </c>
      <c r="B304" s="107" t="s">
        <v>1621</v>
      </c>
      <c r="C304">
        <v>0</v>
      </c>
      <c r="D304">
        <v>0</v>
      </c>
      <c r="E304">
        <v>0.05</v>
      </c>
      <c r="F304">
        <v>0.05</v>
      </c>
      <c r="G304">
        <v>0.05</v>
      </c>
    </row>
    <row r="305" spans="1:7">
      <c r="A305">
        <v>4452</v>
      </c>
      <c r="B305" s="107" t="s">
        <v>1622</v>
      </c>
      <c r="C305">
        <v>0</v>
      </c>
      <c r="D305" s="107" t="s">
        <v>235</v>
      </c>
      <c r="E305">
        <v>0.15</v>
      </c>
      <c r="F305">
        <v>0.15</v>
      </c>
      <c r="G305">
        <v>0</v>
      </c>
    </row>
    <row r="306" spans="1:7">
      <c r="A306">
        <v>4461</v>
      </c>
      <c r="B306" s="107" t="s">
        <v>1623</v>
      </c>
      <c r="C306">
        <v>0.1</v>
      </c>
      <c r="D306" s="107">
        <v>0.75</v>
      </c>
      <c r="E306">
        <v>0.55000000000000004</v>
      </c>
      <c r="F306">
        <v>0.1</v>
      </c>
      <c r="G306">
        <v>0.1</v>
      </c>
    </row>
    <row r="307" spans="1:7">
      <c r="A307">
        <v>4462</v>
      </c>
      <c r="B307" s="107" t="s">
        <v>1624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>
      <c r="A308">
        <v>4503</v>
      </c>
      <c r="B308" s="107" t="s">
        <v>1625</v>
      </c>
      <c r="C308">
        <v>0.05</v>
      </c>
      <c r="D308">
        <v>0.15</v>
      </c>
      <c r="E308">
        <v>0.05</v>
      </c>
      <c r="F308">
        <v>0.05</v>
      </c>
      <c r="G308">
        <v>0.05</v>
      </c>
    </row>
    <row r="309" spans="1:7">
      <c r="A309">
        <v>4512</v>
      </c>
      <c r="B309" s="107" t="s">
        <v>1626</v>
      </c>
      <c r="C309">
        <v>0</v>
      </c>
      <c r="D309">
        <v>0</v>
      </c>
      <c r="E309">
        <v>0.05</v>
      </c>
      <c r="F309">
        <v>0.05</v>
      </c>
      <c r="G309">
        <v>0.05</v>
      </c>
    </row>
    <row r="310" spans="1:7">
      <c r="A310">
        <v>4519</v>
      </c>
      <c r="B310" s="107" t="s">
        <v>954</v>
      </c>
      <c r="C310">
        <v>0.2</v>
      </c>
      <c r="D310">
        <v>0.6</v>
      </c>
      <c r="E310">
        <v>0.2</v>
      </c>
      <c r="F310">
        <v>0.2</v>
      </c>
      <c r="G310">
        <v>0.2</v>
      </c>
    </row>
    <row r="311" spans="1:7">
      <c r="A311">
        <v>4521</v>
      </c>
      <c r="B311" s="107" t="s">
        <v>1627</v>
      </c>
      <c r="C311">
        <v>0.1</v>
      </c>
      <c r="D311">
        <v>0.3</v>
      </c>
      <c r="E311">
        <v>0.1</v>
      </c>
      <c r="F311">
        <v>0.1</v>
      </c>
      <c r="G311">
        <v>0.1</v>
      </c>
    </row>
    <row r="312" spans="1:7">
      <c r="A312">
        <v>4526</v>
      </c>
      <c r="B312" s="107" t="s">
        <v>1628</v>
      </c>
      <c r="C312">
        <v>0.1</v>
      </c>
      <c r="D312">
        <v>0.3</v>
      </c>
      <c r="E312">
        <v>0.1</v>
      </c>
      <c r="F312">
        <v>0.1</v>
      </c>
      <c r="G312">
        <v>0.1</v>
      </c>
    </row>
    <row r="313" spans="1:7">
      <c r="A313">
        <v>4527</v>
      </c>
      <c r="B313" s="107" t="s">
        <v>1629</v>
      </c>
      <c r="C313">
        <v>0</v>
      </c>
      <c r="D313">
        <v>0</v>
      </c>
      <c r="E313">
        <v>0</v>
      </c>
      <c r="F313">
        <v>0</v>
      </c>
      <c r="G313">
        <v>0.1</v>
      </c>
    </row>
    <row r="314" spans="1:7">
      <c r="A314">
        <v>4528</v>
      </c>
      <c r="B314" s="107" t="s">
        <v>1630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>
      <c r="A315">
        <v>4531</v>
      </c>
      <c r="B315" s="107" t="s">
        <v>1631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>
      <c r="A316">
        <v>4534</v>
      </c>
      <c r="B316" s="107" t="s">
        <v>1632</v>
      </c>
      <c r="C316">
        <v>0.1</v>
      </c>
      <c r="D316">
        <v>0.3</v>
      </c>
      <c r="E316">
        <v>0.1</v>
      </c>
      <c r="F316">
        <v>0</v>
      </c>
      <c r="G316">
        <v>0</v>
      </c>
    </row>
    <row r="317" spans="1:7">
      <c r="A317">
        <v>4536</v>
      </c>
      <c r="B317" s="107" t="s">
        <v>1633</v>
      </c>
      <c r="C317">
        <v>0.05</v>
      </c>
      <c r="D317">
        <v>0.15</v>
      </c>
      <c r="E317">
        <v>0.05</v>
      </c>
      <c r="F317">
        <v>0.05</v>
      </c>
      <c r="G317">
        <v>0.05</v>
      </c>
    </row>
    <row r="318" spans="1:7">
      <c r="A318">
        <v>4538</v>
      </c>
      <c r="B318" s="107" t="s">
        <v>1634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4540</v>
      </c>
      <c r="B319" s="107" t="s">
        <v>1635</v>
      </c>
      <c r="C319">
        <v>0.05</v>
      </c>
      <c r="D319">
        <v>0</v>
      </c>
      <c r="E319">
        <v>0.05</v>
      </c>
      <c r="F319" s="107" t="s">
        <v>235</v>
      </c>
      <c r="G319">
        <v>0</v>
      </c>
    </row>
    <row r="320" spans="1:7">
      <c r="A320">
        <v>4543</v>
      </c>
      <c r="B320" s="107" t="s">
        <v>1636</v>
      </c>
      <c r="C320">
        <v>0</v>
      </c>
      <c r="D320">
        <v>0</v>
      </c>
      <c r="E320">
        <v>0</v>
      </c>
      <c r="F320" s="107" t="s">
        <v>235</v>
      </c>
      <c r="G320">
        <v>0</v>
      </c>
    </row>
    <row r="321" spans="1:7">
      <c r="A321">
        <v>4547</v>
      </c>
      <c r="B321" s="107" t="s">
        <v>1637</v>
      </c>
      <c r="C321">
        <v>0.1</v>
      </c>
      <c r="D321">
        <v>0.15</v>
      </c>
      <c r="E321">
        <v>0.05</v>
      </c>
      <c r="F321" s="107">
        <v>0.05</v>
      </c>
      <c r="G321">
        <v>0.05</v>
      </c>
    </row>
    <row r="322" spans="1:7">
      <c r="A322">
        <v>4553</v>
      </c>
      <c r="B322" s="107" t="s">
        <v>1638</v>
      </c>
      <c r="C322">
        <v>0.05</v>
      </c>
      <c r="D322">
        <v>0</v>
      </c>
      <c r="E322">
        <v>0.05</v>
      </c>
      <c r="F322">
        <v>0</v>
      </c>
      <c r="G322">
        <v>0.05</v>
      </c>
    </row>
    <row r="323" spans="1:7">
      <c r="A323">
        <v>4554</v>
      </c>
      <c r="B323" s="107" t="s">
        <v>1639</v>
      </c>
      <c r="C323">
        <v>0.05</v>
      </c>
      <c r="D323">
        <v>0.15</v>
      </c>
      <c r="E323">
        <v>0.05</v>
      </c>
      <c r="F323">
        <v>0.05</v>
      </c>
      <c r="G323">
        <v>0.05</v>
      </c>
    </row>
    <row r="324" spans="1:7">
      <c r="A324">
        <v>4555</v>
      </c>
      <c r="B324" s="107" t="s">
        <v>1640</v>
      </c>
      <c r="C324">
        <v>0.15</v>
      </c>
      <c r="D324">
        <v>0.45</v>
      </c>
      <c r="E324">
        <v>0.15</v>
      </c>
      <c r="F324">
        <v>0.15</v>
      </c>
      <c r="G324">
        <v>0.15</v>
      </c>
    </row>
    <row r="325" spans="1:7">
      <c r="A325">
        <v>4559</v>
      </c>
      <c r="B325" s="107" t="s">
        <v>1641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>
      <c r="A326">
        <v>4568</v>
      </c>
      <c r="B326" s="107" t="s">
        <v>1642</v>
      </c>
      <c r="C326">
        <v>0.15</v>
      </c>
      <c r="D326">
        <v>0.45</v>
      </c>
      <c r="E326">
        <v>0.15</v>
      </c>
      <c r="F326" s="107" t="s">
        <v>235</v>
      </c>
      <c r="G326">
        <v>0</v>
      </c>
    </row>
    <row r="327" spans="1:7">
      <c r="A327">
        <v>4574</v>
      </c>
      <c r="B327" s="107" t="s">
        <v>1643</v>
      </c>
      <c r="C327">
        <v>0.05</v>
      </c>
      <c r="D327">
        <v>0.3</v>
      </c>
      <c r="E327">
        <v>0.1</v>
      </c>
      <c r="F327" s="107">
        <v>0.1</v>
      </c>
      <c r="G327">
        <v>0.1</v>
      </c>
    </row>
    <row r="328" spans="1:7">
      <c r="A328">
        <v>4578</v>
      </c>
      <c r="B328" s="107" t="s">
        <v>1644</v>
      </c>
      <c r="C328">
        <v>0.1</v>
      </c>
      <c r="D328">
        <v>0.3</v>
      </c>
      <c r="E328">
        <v>0</v>
      </c>
      <c r="F328">
        <v>0</v>
      </c>
      <c r="G328">
        <v>0.1</v>
      </c>
    </row>
    <row r="329" spans="1:7">
      <c r="A329">
        <v>4612</v>
      </c>
      <c r="B329" s="107" t="s">
        <v>1645</v>
      </c>
      <c r="C329">
        <v>0.1</v>
      </c>
      <c r="D329">
        <v>0.3</v>
      </c>
      <c r="E329">
        <v>0.1</v>
      </c>
      <c r="F329">
        <v>0.1</v>
      </c>
      <c r="G329">
        <v>0.1</v>
      </c>
    </row>
    <row r="330" spans="1:7">
      <c r="A330">
        <v>4613</v>
      </c>
      <c r="B330" s="107" t="s">
        <v>320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>
      <c r="A331">
        <v>4617</v>
      </c>
      <c r="B331" s="107" t="s">
        <v>1646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>
      <c r="A332">
        <v>4620</v>
      </c>
      <c r="B332" s="107" t="s">
        <v>1647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>
      <c r="A333">
        <v>4633</v>
      </c>
      <c r="B333" s="107" t="s">
        <v>1648</v>
      </c>
      <c r="C333">
        <v>0.05</v>
      </c>
      <c r="D333">
        <v>0.15</v>
      </c>
      <c r="E333">
        <v>0.05</v>
      </c>
      <c r="F333">
        <v>0.05</v>
      </c>
      <c r="G333">
        <v>0.05</v>
      </c>
    </row>
    <row r="334" spans="1:7">
      <c r="A334">
        <v>4634</v>
      </c>
      <c r="B334" s="107" t="s">
        <v>140</v>
      </c>
      <c r="C334">
        <v>0.05</v>
      </c>
      <c r="D334">
        <v>0.15</v>
      </c>
      <c r="E334">
        <v>0.05</v>
      </c>
      <c r="F334">
        <v>0.05</v>
      </c>
      <c r="G334">
        <v>0.05</v>
      </c>
    </row>
    <row r="335" spans="1:7">
      <c r="A335">
        <v>4658</v>
      </c>
      <c r="B335" s="107" t="s">
        <v>1649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>
      <c r="A336">
        <v>4665</v>
      </c>
      <c r="B336" s="107" t="s">
        <v>1650</v>
      </c>
      <c r="C336">
        <v>0.05</v>
      </c>
      <c r="D336">
        <v>0.15</v>
      </c>
      <c r="E336">
        <v>0.05</v>
      </c>
      <c r="F336">
        <v>0.05</v>
      </c>
      <c r="G336">
        <v>0.05</v>
      </c>
    </row>
    <row r="337" spans="1:7">
      <c r="A337">
        <v>4666</v>
      </c>
      <c r="B337" s="107" t="s">
        <v>1651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>
      <c r="A338">
        <v>4668</v>
      </c>
      <c r="B338" s="107" t="s">
        <v>1652</v>
      </c>
      <c r="C338">
        <v>0.05</v>
      </c>
      <c r="D338">
        <v>0</v>
      </c>
      <c r="E338">
        <v>0.05</v>
      </c>
      <c r="F338">
        <v>0.05</v>
      </c>
      <c r="G338">
        <v>0.05</v>
      </c>
    </row>
    <row r="339" spans="1:7">
      <c r="A339">
        <v>4671</v>
      </c>
      <c r="B339" s="107" t="s">
        <v>1653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>
      <c r="A340">
        <v>4676</v>
      </c>
      <c r="B340" s="107" t="s">
        <v>1654</v>
      </c>
      <c r="C340">
        <v>0.05</v>
      </c>
      <c r="D340">
        <v>0</v>
      </c>
      <c r="E340">
        <v>0</v>
      </c>
      <c r="F340">
        <v>0</v>
      </c>
      <c r="G340">
        <v>0</v>
      </c>
    </row>
    <row r="341" spans="1:7">
      <c r="A341">
        <v>4681</v>
      </c>
      <c r="B341" s="107" t="s">
        <v>1655</v>
      </c>
      <c r="C341">
        <v>0.05</v>
      </c>
      <c r="D341">
        <v>0.15</v>
      </c>
      <c r="E341">
        <v>0.05</v>
      </c>
      <c r="F341">
        <v>0.05</v>
      </c>
      <c r="G341">
        <v>0.05</v>
      </c>
    </row>
    <row r="342" spans="1:7">
      <c r="A342">
        <v>4687</v>
      </c>
      <c r="B342" s="107" t="s">
        <v>1656</v>
      </c>
      <c r="C342">
        <v>0</v>
      </c>
      <c r="D342" s="107" t="s">
        <v>235</v>
      </c>
      <c r="E342">
        <v>0</v>
      </c>
      <c r="F342" s="107" t="s">
        <v>235</v>
      </c>
      <c r="G342">
        <v>0</v>
      </c>
    </row>
    <row r="343" spans="1:7">
      <c r="A343">
        <v>4696</v>
      </c>
      <c r="B343" s="107" t="s">
        <v>1657</v>
      </c>
      <c r="C343">
        <v>0</v>
      </c>
      <c r="D343" s="107">
        <v>0</v>
      </c>
      <c r="E343">
        <v>0</v>
      </c>
      <c r="F343" s="107">
        <v>0</v>
      </c>
      <c r="G343">
        <v>0</v>
      </c>
    </row>
    <row r="344" spans="1:7">
      <c r="A344">
        <v>4716</v>
      </c>
      <c r="B344" s="107" t="s">
        <v>1658</v>
      </c>
      <c r="C344">
        <v>0.2</v>
      </c>
      <c r="D344">
        <v>0.6</v>
      </c>
      <c r="E344">
        <v>0.2</v>
      </c>
      <c r="F344">
        <v>0.2</v>
      </c>
      <c r="G344">
        <v>0.2</v>
      </c>
    </row>
    <row r="345" spans="1:7">
      <c r="A345">
        <v>4719</v>
      </c>
      <c r="B345" s="107" t="s">
        <v>1659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>
      <c r="A346">
        <v>4725</v>
      </c>
      <c r="B346" s="107" t="s">
        <v>1660</v>
      </c>
      <c r="C346">
        <v>0.05</v>
      </c>
      <c r="D346">
        <v>0.15</v>
      </c>
      <c r="E346">
        <v>0.05</v>
      </c>
      <c r="F346">
        <v>0.05</v>
      </c>
      <c r="G346" s="107" t="s">
        <v>235</v>
      </c>
    </row>
    <row r="347" spans="1:7">
      <c r="A347">
        <v>4732</v>
      </c>
      <c r="B347" s="107" t="s">
        <v>1661</v>
      </c>
      <c r="C347">
        <v>0.05</v>
      </c>
      <c r="D347">
        <v>0.15</v>
      </c>
      <c r="E347">
        <v>0.05</v>
      </c>
      <c r="F347">
        <v>0.05</v>
      </c>
      <c r="G347" s="107">
        <v>0.05</v>
      </c>
    </row>
    <row r="348" spans="1:7">
      <c r="A348">
        <v>4812</v>
      </c>
      <c r="B348" s="107" t="s">
        <v>1662</v>
      </c>
      <c r="C348">
        <v>0</v>
      </c>
      <c r="D348">
        <v>0</v>
      </c>
      <c r="E348">
        <v>0</v>
      </c>
      <c r="F348">
        <v>0</v>
      </c>
      <c r="G348">
        <v>0.05</v>
      </c>
    </row>
    <row r="349" spans="1:7">
      <c r="A349">
        <v>4820</v>
      </c>
      <c r="B349" s="107" t="s">
        <v>1663</v>
      </c>
      <c r="C349">
        <v>0.05</v>
      </c>
      <c r="D349">
        <v>0.45</v>
      </c>
      <c r="E349">
        <v>0.05</v>
      </c>
      <c r="F349">
        <v>0.05</v>
      </c>
      <c r="G349">
        <v>0.05</v>
      </c>
    </row>
    <row r="350" spans="1:7">
      <c r="A350">
        <v>4825</v>
      </c>
      <c r="B350" s="107" t="s">
        <v>1664</v>
      </c>
      <c r="C350">
        <v>0.1</v>
      </c>
      <c r="D350">
        <v>0.3</v>
      </c>
      <c r="E350">
        <v>0.1</v>
      </c>
      <c r="F350">
        <v>0.1</v>
      </c>
      <c r="G350">
        <v>0.1</v>
      </c>
    </row>
    <row r="351" spans="1:7">
      <c r="A351">
        <v>4826</v>
      </c>
      <c r="B351" s="107" t="s">
        <v>1665</v>
      </c>
      <c r="C351">
        <v>0.05</v>
      </c>
      <c r="D351">
        <v>0</v>
      </c>
      <c r="E351">
        <v>0.05</v>
      </c>
      <c r="F351">
        <v>0</v>
      </c>
      <c r="G351">
        <v>0.05</v>
      </c>
    </row>
    <row r="352" spans="1:7">
      <c r="A352">
        <v>4828</v>
      </c>
      <c r="B352" s="107" t="s">
        <v>1666</v>
      </c>
      <c r="C352">
        <v>0</v>
      </c>
      <c r="D352" s="107" t="s">
        <v>235</v>
      </c>
      <c r="E352" s="107" t="s">
        <v>235</v>
      </c>
      <c r="F352">
        <v>0</v>
      </c>
      <c r="G352">
        <v>0</v>
      </c>
    </row>
    <row r="353" spans="1:7">
      <c r="A353">
        <v>4839</v>
      </c>
      <c r="B353" s="107" t="s">
        <v>1667</v>
      </c>
      <c r="C353">
        <v>0</v>
      </c>
      <c r="D353" s="107">
        <v>0</v>
      </c>
      <c r="E353" s="107">
        <v>0</v>
      </c>
      <c r="F353">
        <v>0</v>
      </c>
      <c r="G353">
        <v>0</v>
      </c>
    </row>
    <row r="354" spans="1:7">
      <c r="A354">
        <v>4848</v>
      </c>
      <c r="B354" s="107" t="s">
        <v>1668</v>
      </c>
      <c r="C354">
        <v>0.05</v>
      </c>
      <c r="D354">
        <v>0.3</v>
      </c>
      <c r="E354">
        <v>0.05</v>
      </c>
      <c r="F354">
        <v>0.05</v>
      </c>
      <c r="G354">
        <v>0.05</v>
      </c>
    </row>
    <row r="355" spans="1:7">
      <c r="A355">
        <v>4849</v>
      </c>
      <c r="B355" s="107" t="s">
        <v>1317</v>
      </c>
      <c r="C355">
        <v>0.1</v>
      </c>
      <c r="D355">
        <v>0.3</v>
      </c>
      <c r="E355">
        <v>0.1</v>
      </c>
      <c r="F355">
        <v>0.1</v>
      </c>
      <c r="G355">
        <v>0.1</v>
      </c>
    </row>
    <row r="356" spans="1:7">
      <c r="A356">
        <v>4917</v>
      </c>
      <c r="B356" s="107" t="s">
        <v>1669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>
      <c r="A357">
        <v>4919</v>
      </c>
      <c r="B357" s="107" t="s">
        <v>1670</v>
      </c>
      <c r="C357">
        <v>0.1</v>
      </c>
      <c r="D357">
        <v>0.3</v>
      </c>
      <c r="E357">
        <v>0.1</v>
      </c>
      <c r="F357">
        <v>0.1</v>
      </c>
      <c r="G357">
        <v>0.1</v>
      </c>
    </row>
    <row r="358" spans="1:7">
      <c r="A358">
        <v>4928</v>
      </c>
      <c r="B358" s="107" t="s">
        <v>1671</v>
      </c>
      <c r="C358">
        <v>0.05</v>
      </c>
      <c r="D358" s="107" t="s">
        <v>235</v>
      </c>
      <c r="E358" s="107" t="s">
        <v>235</v>
      </c>
      <c r="F358" s="107" t="s">
        <v>235</v>
      </c>
      <c r="G358">
        <v>0.1</v>
      </c>
    </row>
    <row r="359" spans="1:7">
      <c r="A359">
        <v>4929</v>
      </c>
      <c r="B359" s="107" t="s">
        <v>1672</v>
      </c>
      <c r="C359">
        <v>0.05</v>
      </c>
      <c r="D359" s="107">
        <v>0.15</v>
      </c>
      <c r="E359" s="107">
        <v>0.05</v>
      </c>
      <c r="F359" s="107">
        <v>0.05</v>
      </c>
      <c r="G359">
        <v>0.05</v>
      </c>
    </row>
    <row r="360" spans="1:7">
      <c r="A360">
        <v>4951</v>
      </c>
      <c r="B360" s="107" t="s">
        <v>1673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4955</v>
      </c>
      <c r="B361" s="107" t="s">
        <v>1674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>
      <c r="A362">
        <v>4958</v>
      </c>
      <c r="B362" s="107" t="s">
        <v>1675</v>
      </c>
      <c r="C362">
        <v>0.05</v>
      </c>
      <c r="D362">
        <v>0.15</v>
      </c>
      <c r="E362">
        <v>0.05</v>
      </c>
      <c r="F362">
        <v>0.05</v>
      </c>
      <c r="G362">
        <v>0.05</v>
      </c>
    </row>
    <row r="363" spans="1:7">
      <c r="A363">
        <v>4963</v>
      </c>
      <c r="B363" s="107" t="s">
        <v>1676</v>
      </c>
      <c r="C363">
        <v>0</v>
      </c>
      <c r="D363" s="107" t="s">
        <v>235</v>
      </c>
      <c r="E363">
        <v>0</v>
      </c>
      <c r="F363" s="107" t="s">
        <v>235</v>
      </c>
      <c r="G363">
        <v>0</v>
      </c>
    </row>
    <row r="364" spans="1:7">
      <c r="A364">
        <v>4967</v>
      </c>
      <c r="B364" s="107" t="s">
        <v>1677</v>
      </c>
      <c r="C364">
        <v>0.15</v>
      </c>
      <c r="D364" s="107">
        <v>0.45</v>
      </c>
      <c r="E364">
        <v>0.15</v>
      </c>
      <c r="F364" s="107">
        <v>0.15</v>
      </c>
      <c r="G364">
        <v>0.15</v>
      </c>
    </row>
    <row r="365" spans="1:7">
      <c r="A365">
        <v>4968</v>
      </c>
      <c r="B365" s="107" t="s">
        <v>1678</v>
      </c>
      <c r="C365">
        <v>0</v>
      </c>
      <c r="D365">
        <v>0</v>
      </c>
      <c r="E365">
        <v>0</v>
      </c>
      <c r="F365" s="107" t="s">
        <v>235</v>
      </c>
      <c r="G365">
        <v>0</v>
      </c>
    </row>
    <row r="366" spans="1:7">
      <c r="A366">
        <v>4971</v>
      </c>
      <c r="B366" s="107" t="s">
        <v>1679</v>
      </c>
      <c r="C366">
        <v>0.05</v>
      </c>
      <c r="D366">
        <v>0.15</v>
      </c>
      <c r="E366">
        <v>0.05</v>
      </c>
      <c r="F366" s="107">
        <v>0.05</v>
      </c>
      <c r="G366">
        <v>0.05</v>
      </c>
    </row>
    <row r="367" spans="1:7">
      <c r="A367">
        <v>4975</v>
      </c>
      <c r="B367" s="107" t="s">
        <v>1680</v>
      </c>
      <c r="C367">
        <v>0.1</v>
      </c>
      <c r="D367">
        <v>0.15</v>
      </c>
      <c r="E367">
        <v>0.1</v>
      </c>
      <c r="F367">
        <v>0.1</v>
      </c>
      <c r="G367">
        <v>0.05</v>
      </c>
    </row>
    <row r="368" spans="1:7">
      <c r="A368">
        <v>4977</v>
      </c>
      <c r="B368" s="107" t="s">
        <v>1681</v>
      </c>
      <c r="C368">
        <v>0</v>
      </c>
      <c r="D368" s="107" t="s">
        <v>235</v>
      </c>
      <c r="E368" s="107" t="s">
        <v>235</v>
      </c>
      <c r="F368" s="107" t="s">
        <v>235</v>
      </c>
      <c r="G368" s="107" t="s">
        <v>235</v>
      </c>
    </row>
    <row r="369" spans="1:7">
      <c r="A369">
        <v>4985</v>
      </c>
      <c r="B369" s="107" t="s">
        <v>1682</v>
      </c>
      <c r="C369">
        <v>0.1</v>
      </c>
      <c r="D369" s="107">
        <v>0.3</v>
      </c>
      <c r="E369" s="107">
        <v>0.1</v>
      </c>
      <c r="F369" s="107">
        <v>0.1</v>
      </c>
      <c r="G369" s="107">
        <v>0.1</v>
      </c>
    </row>
    <row r="370" spans="1:7">
      <c r="A370">
        <v>4994</v>
      </c>
      <c r="B370" s="107" t="s">
        <v>1683</v>
      </c>
      <c r="C370">
        <v>0.05</v>
      </c>
      <c r="D370" s="107" t="s">
        <v>235</v>
      </c>
      <c r="E370">
        <v>0.05</v>
      </c>
      <c r="F370" s="107" t="s">
        <v>235</v>
      </c>
      <c r="G370" s="107" t="s">
        <v>235</v>
      </c>
    </row>
    <row r="371" spans="1:7">
      <c r="A371">
        <v>4996</v>
      </c>
      <c r="B371" s="107" t="s">
        <v>328</v>
      </c>
      <c r="C371">
        <v>0.05</v>
      </c>
      <c r="D371" s="107">
        <v>0</v>
      </c>
      <c r="E371">
        <v>0.05</v>
      </c>
      <c r="F371" s="107">
        <v>0</v>
      </c>
      <c r="G371" s="107">
        <v>0.05</v>
      </c>
    </row>
    <row r="372" spans="1:7">
      <c r="A372">
        <v>4997</v>
      </c>
      <c r="B372" s="107" t="s">
        <v>1684</v>
      </c>
      <c r="C372">
        <v>0</v>
      </c>
      <c r="D372">
        <v>0.15</v>
      </c>
      <c r="E372">
        <v>0.05</v>
      </c>
      <c r="F372">
        <v>0.05</v>
      </c>
      <c r="G372">
        <v>0.05</v>
      </c>
    </row>
    <row r="373" spans="1:7">
      <c r="A373">
        <v>5009</v>
      </c>
      <c r="B373" s="107" t="s">
        <v>1685</v>
      </c>
      <c r="C373">
        <v>0</v>
      </c>
      <c r="D373">
        <v>0</v>
      </c>
      <c r="E373" s="107" t="s">
        <v>235</v>
      </c>
      <c r="F373">
        <v>0</v>
      </c>
      <c r="G373" s="107" t="s">
        <v>235</v>
      </c>
    </row>
    <row r="374" spans="1:7">
      <c r="A374">
        <v>5018</v>
      </c>
      <c r="B374" s="107" t="s">
        <v>1686</v>
      </c>
      <c r="C374">
        <v>0</v>
      </c>
      <c r="D374">
        <v>0</v>
      </c>
      <c r="E374" s="107">
        <v>0</v>
      </c>
      <c r="F374">
        <v>0</v>
      </c>
      <c r="G374" s="107">
        <v>0</v>
      </c>
    </row>
    <row r="375" spans="1:7">
      <c r="A375">
        <v>5021</v>
      </c>
      <c r="B375" s="107" t="s">
        <v>1687</v>
      </c>
      <c r="C375">
        <v>0</v>
      </c>
      <c r="D375">
        <v>0</v>
      </c>
      <c r="E375" s="107" t="s">
        <v>235</v>
      </c>
      <c r="F375">
        <v>0.05</v>
      </c>
      <c r="G375">
        <v>0</v>
      </c>
    </row>
    <row r="376" spans="1:7">
      <c r="A376">
        <v>5105</v>
      </c>
      <c r="B376" s="107" t="s">
        <v>1688</v>
      </c>
      <c r="C376">
        <v>0.05</v>
      </c>
      <c r="D376">
        <v>0.15</v>
      </c>
      <c r="E376" s="107">
        <v>0.05</v>
      </c>
      <c r="F376">
        <v>0.05</v>
      </c>
      <c r="G376">
        <v>0.05</v>
      </c>
    </row>
    <row r="377" spans="1:7">
      <c r="A377">
        <v>5108</v>
      </c>
      <c r="B377" s="107" t="s">
        <v>1689</v>
      </c>
      <c r="C377">
        <v>0</v>
      </c>
      <c r="D377">
        <v>0</v>
      </c>
      <c r="E377">
        <v>0</v>
      </c>
      <c r="F377" s="107" t="s">
        <v>235</v>
      </c>
      <c r="G377" s="107" t="s">
        <v>235</v>
      </c>
    </row>
    <row r="378" spans="1:7">
      <c r="A378">
        <v>5110</v>
      </c>
      <c r="B378" s="107" t="s">
        <v>128</v>
      </c>
      <c r="C378">
        <v>0</v>
      </c>
      <c r="D378">
        <v>0</v>
      </c>
      <c r="E378">
        <v>0.05</v>
      </c>
      <c r="F378" s="107">
        <v>0.05</v>
      </c>
      <c r="G378" s="107">
        <v>0</v>
      </c>
    </row>
    <row r="379" spans="1:7">
      <c r="A379">
        <v>5121</v>
      </c>
      <c r="B379" s="107" t="s">
        <v>1690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>
      <c r="A380">
        <v>5142</v>
      </c>
      <c r="B380" s="107" t="s">
        <v>1691</v>
      </c>
      <c r="C380">
        <v>0.05</v>
      </c>
      <c r="D380" s="107" t="s">
        <v>235</v>
      </c>
      <c r="E380">
        <v>0.05</v>
      </c>
      <c r="F380" s="107" t="s">
        <v>235</v>
      </c>
      <c r="G380">
        <v>0.05</v>
      </c>
    </row>
    <row r="381" spans="1:7">
      <c r="A381">
        <v>5185</v>
      </c>
      <c r="B381" s="107" t="s">
        <v>1692</v>
      </c>
      <c r="C381">
        <v>0.05</v>
      </c>
      <c r="D381" s="107">
        <v>0</v>
      </c>
      <c r="E381">
        <v>0.05</v>
      </c>
      <c r="F381" s="107">
        <v>0</v>
      </c>
      <c r="G381">
        <v>0.05</v>
      </c>
    </row>
    <row r="382" spans="1:7">
      <c r="A382">
        <v>5186</v>
      </c>
      <c r="B382" s="107" t="s">
        <v>1693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>
      <c r="A383">
        <v>5191</v>
      </c>
      <c r="B383" s="107" t="s">
        <v>1694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>
      <c r="A384">
        <v>5192</v>
      </c>
      <c r="B384" s="107" t="s">
        <v>1695</v>
      </c>
      <c r="C384">
        <v>0.05</v>
      </c>
      <c r="D384">
        <v>0.15</v>
      </c>
      <c r="E384">
        <v>0.05</v>
      </c>
      <c r="F384">
        <v>0.05</v>
      </c>
      <c r="G384">
        <v>0.05</v>
      </c>
    </row>
    <row r="385" spans="1:7">
      <c r="A385">
        <v>5195</v>
      </c>
      <c r="B385" s="107" t="s">
        <v>1696</v>
      </c>
      <c r="C385">
        <v>0</v>
      </c>
      <c r="D385" s="107" t="s">
        <v>235</v>
      </c>
      <c r="E385" s="107" t="s">
        <v>235</v>
      </c>
      <c r="F385">
        <v>0</v>
      </c>
      <c r="G385">
        <v>0</v>
      </c>
    </row>
    <row r="386" spans="1:7">
      <c r="A386">
        <v>5201</v>
      </c>
      <c r="B386" s="107" t="s">
        <v>1697</v>
      </c>
      <c r="C386">
        <v>0.1</v>
      </c>
      <c r="D386" s="107">
        <v>0.3</v>
      </c>
      <c r="E386" s="107">
        <v>0.1</v>
      </c>
      <c r="F386">
        <v>0.1</v>
      </c>
      <c r="G386">
        <v>0.1</v>
      </c>
    </row>
    <row r="387" spans="1:7">
      <c r="A387">
        <v>5202</v>
      </c>
      <c r="B387" s="107" t="s">
        <v>1698</v>
      </c>
      <c r="C387">
        <v>0</v>
      </c>
      <c r="D387">
        <v>0</v>
      </c>
      <c r="E387">
        <v>0</v>
      </c>
      <c r="F387" s="107" t="s">
        <v>235</v>
      </c>
      <c r="G387">
        <v>0</v>
      </c>
    </row>
    <row r="388" spans="1:7">
      <c r="A388">
        <v>5204</v>
      </c>
      <c r="B388" s="107" t="s">
        <v>1699</v>
      </c>
      <c r="C388">
        <v>0</v>
      </c>
      <c r="D388">
        <v>0</v>
      </c>
      <c r="E388" s="107" t="s">
        <v>235</v>
      </c>
      <c r="F388" s="107" t="s">
        <v>235</v>
      </c>
      <c r="G388" s="107" t="s">
        <v>235</v>
      </c>
    </row>
    <row r="389" spans="1:7">
      <c r="A389">
        <v>5208</v>
      </c>
      <c r="B389" s="107" t="s">
        <v>1700</v>
      </c>
      <c r="C389">
        <v>0</v>
      </c>
      <c r="D389">
        <v>0</v>
      </c>
      <c r="E389" s="107" t="s">
        <v>235</v>
      </c>
      <c r="F389" s="107" t="s">
        <v>235</v>
      </c>
      <c r="G389" s="107" t="s">
        <v>235</v>
      </c>
    </row>
    <row r="390" spans="1:7">
      <c r="A390">
        <v>5210</v>
      </c>
      <c r="B390" s="107" t="s">
        <v>1701</v>
      </c>
      <c r="C390">
        <v>0</v>
      </c>
      <c r="D390">
        <v>0</v>
      </c>
      <c r="E390" s="107">
        <v>0</v>
      </c>
      <c r="F390" s="107">
        <v>0</v>
      </c>
      <c r="G390" s="107">
        <v>0</v>
      </c>
    </row>
    <row r="391" spans="1:7">
      <c r="A391">
        <v>5218</v>
      </c>
      <c r="B391" s="107" t="s">
        <v>1702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5232</v>
      </c>
      <c r="B392" s="107" t="s">
        <v>1703</v>
      </c>
      <c r="C392">
        <v>0.1</v>
      </c>
      <c r="D392">
        <v>0.3</v>
      </c>
      <c r="E392">
        <v>0.1</v>
      </c>
      <c r="F392">
        <v>0.1</v>
      </c>
      <c r="G392">
        <v>0.1</v>
      </c>
    </row>
    <row r="393" spans="1:7">
      <c r="A393">
        <v>5273</v>
      </c>
      <c r="B393" s="107" t="s">
        <v>1704</v>
      </c>
      <c r="C393">
        <v>0.1</v>
      </c>
      <c r="D393">
        <v>0.3</v>
      </c>
      <c r="E393">
        <v>0.1</v>
      </c>
      <c r="F393">
        <v>0.1</v>
      </c>
      <c r="G393">
        <v>0.1</v>
      </c>
    </row>
    <row r="394" spans="1:7">
      <c r="A394">
        <v>5301</v>
      </c>
      <c r="B394" s="107" t="s">
        <v>1705</v>
      </c>
      <c r="C394">
        <v>0.05</v>
      </c>
      <c r="D394">
        <v>0.15</v>
      </c>
      <c r="E394">
        <v>0.05</v>
      </c>
      <c r="F394">
        <v>0.05</v>
      </c>
      <c r="G394">
        <v>0.05</v>
      </c>
    </row>
    <row r="395" spans="1:7">
      <c r="A395">
        <v>5302</v>
      </c>
      <c r="B395" s="107" t="s">
        <v>1706</v>
      </c>
      <c r="C395">
        <v>0.1</v>
      </c>
      <c r="D395">
        <v>0.3</v>
      </c>
      <c r="E395">
        <v>0.15</v>
      </c>
      <c r="F395">
        <v>0.1</v>
      </c>
      <c r="G395">
        <v>0.1</v>
      </c>
    </row>
    <row r="396" spans="1:7">
      <c r="A396">
        <v>5310</v>
      </c>
      <c r="B396" s="107" t="s">
        <v>1707</v>
      </c>
      <c r="C396">
        <v>0</v>
      </c>
      <c r="D396">
        <v>0</v>
      </c>
      <c r="E396">
        <v>0</v>
      </c>
      <c r="F396">
        <v>0</v>
      </c>
      <c r="G396" s="107" t="s">
        <v>235</v>
      </c>
    </row>
    <row r="397" spans="1:7">
      <c r="A397">
        <v>5332</v>
      </c>
      <c r="B397" s="107" t="s">
        <v>1708</v>
      </c>
      <c r="C397">
        <v>0.1</v>
      </c>
      <c r="D397">
        <v>0.3</v>
      </c>
      <c r="E397">
        <v>0.1</v>
      </c>
      <c r="F397">
        <v>0.1</v>
      </c>
      <c r="G397" s="107">
        <v>0.1</v>
      </c>
    </row>
    <row r="398" spans="1:7">
      <c r="A398">
        <v>5344</v>
      </c>
      <c r="B398" s="107" t="s">
        <v>1709</v>
      </c>
      <c r="C398">
        <v>0.15</v>
      </c>
      <c r="D398">
        <v>0.45</v>
      </c>
      <c r="E398">
        <v>0.15</v>
      </c>
      <c r="F398">
        <v>0.15</v>
      </c>
      <c r="G398">
        <v>0.15</v>
      </c>
    </row>
    <row r="399" spans="1:7">
      <c r="A399">
        <v>5352</v>
      </c>
      <c r="B399" s="107" t="s">
        <v>1710</v>
      </c>
      <c r="C399">
        <v>0.15</v>
      </c>
      <c r="D399">
        <v>0.45</v>
      </c>
      <c r="E399">
        <v>0.15</v>
      </c>
      <c r="F399">
        <v>0.15</v>
      </c>
      <c r="G399">
        <v>0.15</v>
      </c>
    </row>
    <row r="400" spans="1:7">
      <c r="A400">
        <v>5358</v>
      </c>
      <c r="B400" s="107" t="s">
        <v>1711</v>
      </c>
      <c r="C400">
        <v>0</v>
      </c>
      <c r="D400">
        <v>0</v>
      </c>
      <c r="E400">
        <v>0</v>
      </c>
      <c r="F400">
        <v>0</v>
      </c>
      <c r="G400">
        <v>0.05</v>
      </c>
    </row>
    <row r="401" spans="1:7">
      <c r="A401">
        <v>5363</v>
      </c>
      <c r="B401" s="107" t="s">
        <v>1712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5384</v>
      </c>
      <c r="B402" s="107" t="s">
        <v>1713</v>
      </c>
      <c r="C402">
        <v>0.05</v>
      </c>
      <c r="D402">
        <v>0</v>
      </c>
      <c r="E402">
        <v>0</v>
      </c>
      <c r="F402">
        <v>0</v>
      </c>
      <c r="G402">
        <v>0</v>
      </c>
    </row>
    <row r="403" spans="1:7">
      <c r="A403">
        <v>5393</v>
      </c>
      <c r="B403" s="107" t="s">
        <v>333</v>
      </c>
      <c r="C403">
        <v>0.05</v>
      </c>
      <c r="D403">
        <v>0.15</v>
      </c>
      <c r="E403">
        <v>0.05</v>
      </c>
      <c r="F403">
        <v>0.05</v>
      </c>
      <c r="G403">
        <v>0.05</v>
      </c>
    </row>
    <row r="404" spans="1:7">
      <c r="A404">
        <v>5401</v>
      </c>
      <c r="B404" s="107" t="s">
        <v>1714</v>
      </c>
      <c r="C404">
        <v>0</v>
      </c>
      <c r="D404" s="107" t="s">
        <v>235</v>
      </c>
      <c r="E404">
        <v>0.05</v>
      </c>
      <c r="F404">
        <v>0</v>
      </c>
      <c r="G404">
        <v>0</v>
      </c>
    </row>
    <row r="405" spans="1:7">
      <c r="A405">
        <v>5406</v>
      </c>
      <c r="B405" s="107" t="s">
        <v>1715</v>
      </c>
      <c r="C405">
        <v>0</v>
      </c>
      <c r="D405" s="107">
        <v>0</v>
      </c>
      <c r="E405">
        <v>0</v>
      </c>
      <c r="F405">
        <v>0</v>
      </c>
      <c r="G405">
        <v>0</v>
      </c>
    </row>
    <row r="406" spans="1:7">
      <c r="A406">
        <v>5408</v>
      </c>
      <c r="B406" s="107" t="s">
        <v>1716</v>
      </c>
      <c r="C406">
        <v>0</v>
      </c>
      <c r="D406">
        <v>0</v>
      </c>
      <c r="E406">
        <v>0</v>
      </c>
      <c r="F406" s="107" t="s">
        <v>235</v>
      </c>
      <c r="G406" s="107" t="s">
        <v>235</v>
      </c>
    </row>
    <row r="407" spans="1:7">
      <c r="A407">
        <v>5410</v>
      </c>
      <c r="B407" s="107" t="s">
        <v>1717</v>
      </c>
      <c r="C407">
        <v>0.05</v>
      </c>
      <c r="D407">
        <v>0.15</v>
      </c>
      <c r="E407">
        <v>0.05</v>
      </c>
      <c r="F407" s="107">
        <v>0.05</v>
      </c>
      <c r="G407" s="107">
        <v>0.05</v>
      </c>
    </row>
    <row r="408" spans="1:7">
      <c r="A408">
        <v>5411</v>
      </c>
      <c r="B408" s="107" t="s">
        <v>1718</v>
      </c>
      <c r="C408">
        <v>0</v>
      </c>
      <c r="D408">
        <v>0</v>
      </c>
      <c r="E408" s="107" t="s">
        <v>235</v>
      </c>
      <c r="F408">
        <v>0</v>
      </c>
      <c r="G408">
        <v>0</v>
      </c>
    </row>
    <row r="409" spans="1:7">
      <c r="A409">
        <v>5440</v>
      </c>
      <c r="B409" s="107" t="s">
        <v>1719</v>
      </c>
      <c r="C409">
        <v>0</v>
      </c>
      <c r="D409">
        <v>0</v>
      </c>
      <c r="E409" s="107">
        <v>0.05</v>
      </c>
      <c r="F409">
        <v>0</v>
      </c>
      <c r="G409">
        <v>0</v>
      </c>
    </row>
    <row r="410" spans="1:7">
      <c r="A410">
        <v>5451</v>
      </c>
      <c r="B410" s="107" t="s">
        <v>1720</v>
      </c>
      <c r="C410">
        <v>0.05</v>
      </c>
      <c r="D410">
        <v>0.15</v>
      </c>
      <c r="E410">
        <v>0.05</v>
      </c>
      <c r="F410">
        <v>0.05</v>
      </c>
      <c r="G410">
        <v>0.05</v>
      </c>
    </row>
    <row r="411" spans="1:7">
      <c r="A411">
        <v>5463</v>
      </c>
      <c r="B411" s="107" t="s">
        <v>142</v>
      </c>
      <c r="C411">
        <v>0.05</v>
      </c>
      <c r="D411">
        <v>0.15</v>
      </c>
      <c r="E411">
        <v>0.05</v>
      </c>
      <c r="F411">
        <v>0.05</v>
      </c>
      <c r="G411">
        <v>0.05</v>
      </c>
    </row>
    <row r="412" spans="1:7">
      <c r="A412">
        <v>5464</v>
      </c>
      <c r="B412" s="107" t="s">
        <v>1721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>
      <c r="A413">
        <v>5471</v>
      </c>
      <c r="B413" s="107" t="s">
        <v>303</v>
      </c>
      <c r="C413">
        <v>0.1</v>
      </c>
      <c r="D413">
        <v>0.3</v>
      </c>
      <c r="E413">
        <v>0.1</v>
      </c>
      <c r="F413">
        <v>0.1</v>
      </c>
      <c r="G413">
        <v>0.1</v>
      </c>
    </row>
    <row r="414" spans="1:7">
      <c r="A414">
        <v>5476</v>
      </c>
      <c r="B414" s="107" t="s">
        <v>1722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>
      <c r="A415">
        <v>5480</v>
      </c>
      <c r="B415" s="107" t="s">
        <v>1723</v>
      </c>
      <c r="C415">
        <v>0.05</v>
      </c>
      <c r="D415">
        <v>0</v>
      </c>
      <c r="E415">
        <v>0.05</v>
      </c>
      <c r="F415" s="107" t="s">
        <v>235</v>
      </c>
      <c r="G415">
        <v>0.05</v>
      </c>
    </row>
    <row r="416" spans="1:7">
      <c r="A416">
        <v>5481</v>
      </c>
      <c r="B416" s="107" t="s">
        <v>1724</v>
      </c>
      <c r="C416">
        <v>0</v>
      </c>
      <c r="D416">
        <v>0</v>
      </c>
      <c r="E416">
        <v>0</v>
      </c>
      <c r="F416" s="107">
        <v>0</v>
      </c>
      <c r="G416" s="107" t="s">
        <v>235</v>
      </c>
    </row>
    <row r="417" spans="1:7">
      <c r="A417">
        <v>5482</v>
      </c>
      <c r="B417" s="107" t="s">
        <v>1725</v>
      </c>
      <c r="C417">
        <v>0</v>
      </c>
      <c r="D417">
        <v>0</v>
      </c>
      <c r="E417">
        <v>0</v>
      </c>
      <c r="F417">
        <v>0</v>
      </c>
      <c r="G417" s="107">
        <v>0</v>
      </c>
    </row>
    <row r="418" spans="1:7">
      <c r="A418">
        <v>5486</v>
      </c>
      <c r="B418" s="107" t="s">
        <v>1726</v>
      </c>
      <c r="C418">
        <v>0.05</v>
      </c>
      <c r="D418">
        <v>0.15</v>
      </c>
      <c r="E418">
        <v>0.05</v>
      </c>
      <c r="F418">
        <v>0.05</v>
      </c>
      <c r="G418">
        <v>0.05</v>
      </c>
    </row>
    <row r="419" spans="1:7">
      <c r="A419">
        <v>5602</v>
      </c>
      <c r="B419" s="107" t="s">
        <v>1727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>
      <c r="A420">
        <v>5603</v>
      </c>
      <c r="B420" s="107" t="s">
        <v>1728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>
      <c r="A421">
        <v>5631</v>
      </c>
      <c r="B421" s="107" t="s">
        <v>1729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>
      <c r="A422">
        <v>5632</v>
      </c>
      <c r="B422" s="107" t="s">
        <v>1730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>
      <c r="A423">
        <v>5659</v>
      </c>
      <c r="B423" s="107" t="s">
        <v>1731</v>
      </c>
      <c r="C423">
        <v>0</v>
      </c>
      <c r="D423">
        <v>0</v>
      </c>
      <c r="E423">
        <v>0.05</v>
      </c>
      <c r="F423">
        <v>0.05</v>
      </c>
      <c r="G423">
        <v>0.05</v>
      </c>
    </row>
    <row r="424" spans="1:7">
      <c r="A424">
        <v>5706</v>
      </c>
      <c r="B424" s="107" t="s">
        <v>1732</v>
      </c>
      <c r="C424">
        <v>0</v>
      </c>
      <c r="D424">
        <v>0</v>
      </c>
      <c r="E424">
        <v>0</v>
      </c>
      <c r="F424">
        <v>0</v>
      </c>
      <c r="G424" s="107" t="s">
        <v>235</v>
      </c>
    </row>
    <row r="425" spans="1:7">
      <c r="A425">
        <v>5711</v>
      </c>
      <c r="B425" s="107" t="s">
        <v>1733</v>
      </c>
      <c r="C425">
        <v>0.05</v>
      </c>
      <c r="D425" s="107" t="s">
        <v>235</v>
      </c>
      <c r="E425">
        <v>0.05</v>
      </c>
      <c r="F425" s="107" t="s">
        <v>235</v>
      </c>
      <c r="G425" s="107">
        <v>0.05</v>
      </c>
    </row>
    <row r="426" spans="1:7">
      <c r="A426">
        <v>5714</v>
      </c>
      <c r="B426" s="107" t="s">
        <v>1734</v>
      </c>
      <c r="C426">
        <v>0</v>
      </c>
      <c r="D426" s="107">
        <v>0</v>
      </c>
      <c r="E426">
        <v>0.1</v>
      </c>
      <c r="F426" s="107">
        <v>0</v>
      </c>
      <c r="G426">
        <v>0</v>
      </c>
    </row>
    <row r="427" spans="1:7">
      <c r="A427">
        <v>5741</v>
      </c>
      <c r="B427" s="107" t="s">
        <v>1735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>
      <c r="A428">
        <v>5803</v>
      </c>
      <c r="B428" s="107" t="s">
        <v>28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5805</v>
      </c>
      <c r="B429" s="107" t="s">
        <v>1736</v>
      </c>
      <c r="C429">
        <v>0.05</v>
      </c>
      <c r="D429">
        <v>0.15</v>
      </c>
      <c r="E429">
        <v>0.05</v>
      </c>
      <c r="F429">
        <v>0.05</v>
      </c>
      <c r="G429">
        <v>0</v>
      </c>
    </row>
    <row r="430" spans="1:7">
      <c r="A430">
        <v>5807</v>
      </c>
      <c r="B430" s="107" t="s">
        <v>1737</v>
      </c>
      <c r="C430">
        <v>0.05</v>
      </c>
      <c r="D430">
        <v>0.15</v>
      </c>
      <c r="E430">
        <v>0.05</v>
      </c>
      <c r="F430">
        <v>0.05</v>
      </c>
      <c r="G430">
        <v>0.05</v>
      </c>
    </row>
    <row r="431" spans="1:7">
      <c r="A431">
        <v>5809</v>
      </c>
      <c r="B431" s="107" t="s">
        <v>1738</v>
      </c>
      <c r="C431">
        <v>0</v>
      </c>
      <c r="D431">
        <v>0</v>
      </c>
      <c r="E431">
        <v>0</v>
      </c>
      <c r="F431" s="107" t="s">
        <v>235</v>
      </c>
      <c r="G431" s="107" t="s">
        <v>235</v>
      </c>
    </row>
    <row r="432" spans="1:7">
      <c r="A432">
        <v>5852</v>
      </c>
      <c r="B432" s="107" t="s">
        <v>1739</v>
      </c>
      <c r="C432">
        <v>0</v>
      </c>
      <c r="D432">
        <v>0</v>
      </c>
      <c r="E432">
        <v>0</v>
      </c>
      <c r="F432" s="107" t="s">
        <v>235</v>
      </c>
      <c r="G432" s="107" t="s">
        <v>235</v>
      </c>
    </row>
    <row r="433" spans="1:7">
      <c r="A433">
        <v>5902</v>
      </c>
      <c r="B433" s="107" t="s">
        <v>1740</v>
      </c>
      <c r="C433">
        <v>0.05</v>
      </c>
      <c r="D433">
        <v>0.15</v>
      </c>
      <c r="E433">
        <v>0.05</v>
      </c>
      <c r="F433" s="107">
        <v>0.05</v>
      </c>
      <c r="G433" s="107">
        <v>0.05</v>
      </c>
    </row>
    <row r="434" spans="1:7">
      <c r="A434">
        <v>5911</v>
      </c>
      <c r="B434" s="107" t="s">
        <v>1741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>
      <c r="A435">
        <v>5932</v>
      </c>
      <c r="B435" s="107" t="s">
        <v>1742</v>
      </c>
      <c r="C435">
        <v>0.05</v>
      </c>
      <c r="D435">
        <v>0.15</v>
      </c>
      <c r="E435">
        <v>0.05</v>
      </c>
      <c r="F435">
        <v>0.05</v>
      </c>
      <c r="G435">
        <v>0.05</v>
      </c>
    </row>
    <row r="436" spans="1:7">
      <c r="A436">
        <v>5933</v>
      </c>
      <c r="B436" s="107" t="s">
        <v>1743</v>
      </c>
      <c r="C436">
        <v>0</v>
      </c>
      <c r="D436">
        <v>0</v>
      </c>
      <c r="E436">
        <v>0</v>
      </c>
      <c r="F436">
        <v>0</v>
      </c>
      <c r="G436" s="107" t="s">
        <v>235</v>
      </c>
    </row>
    <row r="437" spans="1:7">
      <c r="A437">
        <v>5936</v>
      </c>
      <c r="B437" s="107" t="s">
        <v>1744</v>
      </c>
      <c r="C437">
        <v>0</v>
      </c>
      <c r="D437" s="107" t="s">
        <v>235</v>
      </c>
      <c r="E437" s="107" t="s">
        <v>235</v>
      </c>
      <c r="F437" s="107" t="s">
        <v>235</v>
      </c>
      <c r="G437" s="107" t="s">
        <v>235</v>
      </c>
    </row>
    <row r="438" spans="1:7">
      <c r="A438">
        <v>5938</v>
      </c>
      <c r="B438" s="107" t="s">
        <v>1745</v>
      </c>
      <c r="C438">
        <v>0.05</v>
      </c>
      <c r="D438" s="107">
        <v>0</v>
      </c>
      <c r="E438" s="107" t="s">
        <v>235</v>
      </c>
      <c r="F438" s="107">
        <v>0.05</v>
      </c>
      <c r="G438" s="107" t="s">
        <v>235</v>
      </c>
    </row>
    <row r="439" spans="1:7">
      <c r="A439">
        <v>5943</v>
      </c>
      <c r="B439" s="107" t="s">
        <v>1746</v>
      </c>
      <c r="C439">
        <v>0.05</v>
      </c>
      <c r="D439" s="107" t="s">
        <v>235</v>
      </c>
      <c r="E439" s="107">
        <v>0.05</v>
      </c>
      <c r="F439">
        <v>0</v>
      </c>
      <c r="G439" s="107">
        <v>0</v>
      </c>
    </row>
    <row r="440" spans="1:7">
      <c r="A440">
        <v>5946</v>
      </c>
      <c r="B440" s="107" t="s">
        <v>1747</v>
      </c>
      <c r="C440">
        <v>0</v>
      </c>
      <c r="D440" s="107">
        <v>0</v>
      </c>
      <c r="E440">
        <v>0.05</v>
      </c>
      <c r="F440">
        <v>0.05</v>
      </c>
      <c r="G440">
        <v>0.05</v>
      </c>
    </row>
    <row r="441" spans="1:7">
      <c r="A441">
        <v>5947</v>
      </c>
      <c r="B441" s="107" t="s">
        <v>325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>
      <c r="A442">
        <v>5949</v>
      </c>
      <c r="B442" s="107" t="s">
        <v>1748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>
      <c r="A443">
        <v>5951</v>
      </c>
      <c r="B443" s="107" t="s">
        <v>1749</v>
      </c>
      <c r="C443">
        <v>0.05</v>
      </c>
      <c r="D443">
        <v>0.15</v>
      </c>
      <c r="E443">
        <v>0.05</v>
      </c>
      <c r="F443">
        <v>0.05</v>
      </c>
      <c r="G443">
        <v>0.05</v>
      </c>
    </row>
    <row r="444" spans="1:7">
      <c r="A444">
        <v>5957</v>
      </c>
      <c r="B444" s="107" t="s">
        <v>1750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>
      <c r="A445">
        <v>5958</v>
      </c>
      <c r="B445" s="107" t="s">
        <v>1751</v>
      </c>
      <c r="C445">
        <v>0</v>
      </c>
      <c r="D445">
        <v>0</v>
      </c>
      <c r="E445">
        <v>0</v>
      </c>
      <c r="F445">
        <v>0</v>
      </c>
      <c r="G445" s="107" t="s">
        <v>235</v>
      </c>
    </row>
    <row r="446" spans="1:7">
      <c r="A446">
        <v>5976</v>
      </c>
      <c r="B446" s="107" t="s">
        <v>1752</v>
      </c>
      <c r="C446">
        <v>0</v>
      </c>
      <c r="D446">
        <v>0</v>
      </c>
      <c r="E446">
        <v>0</v>
      </c>
      <c r="F446">
        <v>0</v>
      </c>
      <c r="G446" s="107">
        <v>0</v>
      </c>
    </row>
    <row r="447" spans="1:7">
      <c r="A447">
        <v>5981</v>
      </c>
      <c r="B447" s="107" t="s">
        <v>1753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>
      <c r="A448">
        <v>5988</v>
      </c>
      <c r="B448" s="107" t="s">
        <v>1754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>
      <c r="A449">
        <v>5991</v>
      </c>
      <c r="B449" s="107" t="s">
        <v>1755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>
      <c r="A450">
        <v>5998</v>
      </c>
      <c r="B450" s="107" t="s">
        <v>1756</v>
      </c>
      <c r="C450">
        <v>0</v>
      </c>
      <c r="D450">
        <v>0.15</v>
      </c>
      <c r="E450">
        <v>0</v>
      </c>
      <c r="F450">
        <v>0.05</v>
      </c>
      <c r="G450">
        <v>0</v>
      </c>
    </row>
    <row r="451" spans="1:7">
      <c r="A451">
        <v>6005</v>
      </c>
      <c r="B451" s="107" t="s">
        <v>1757</v>
      </c>
      <c r="C451">
        <v>0.1</v>
      </c>
      <c r="D451">
        <v>0.3</v>
      </c>
      <c r="E451">
        <v>0.1</v>
      </c>
      <c r="F451">
        <v>0.1</v>
      </c>
      <c r="G451">
        <v>0.1</v>
      </c>
    </row>
    <row r="452" spans="1:7">
      <c r="A452">
        <v>6028</v>
      </c>
      <c r="B452" s="107" t="s">
        <v>1329</v>
      </c>
      <c r="C452">
        <v>0.15</v>
      </c>
      <c r="D452">
        <v>0.45</v>
      </c>
      <c r="E452">
        <v>0.15</v>
      </c>
      <c r="F452">
        <v>0.15</v>
      </c>
      <c r="G452">
        <v>0.15</v>
      </c>
    </row>
    <row r="453" spans="1:7">
      <c r="A453">
        <v>6037</v>
      </c>
      <c r="B453" s="107" t="s">
        <v>1758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>
      <c r="A454">
        <v>6047</v>
      </c>
      <c r="B454" s="107" t="s">
        <v>1759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6048</v>
      </c>
      <c r="B455" s="107" t="s">
        <v>1760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6054</v>
      </c>
      <c r="B456" s="107" t="s">
        <v>1761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6055</v>
      </c>
      <c r="B457" s="107" t="s">
        <v>1762</v>
      </c>
      <c r="C457">
        <v>0.05</v>
      </c>
      <c r="D457" s="107" t="s">
        <v>235</v>
      </c>
      <c r="E457">
        <v>0</v>
      </c>
      <c r="F457">
        <v>0</v>
      </c>
      <c r="G457" s="107" t="s">
        <v>235</v>
      </c>
    </row>
    <row r="458" spans="1:7">
      <c r="A458">
        <v>6058</v>
      </c>
      <c r="B458" s="107" t="s">
        <v>1763</v>
      </c>
      <c r="C458">
        <v>0.05</v>
      </c>
      <c r="D458" s="107">
        <v>0.15</v>
      </c>
      <c r="E458">
        <v>0.05</v>
      </c>
      <c r="F458">
        <v>0.05</v>
      </c>
      <c r="G458" s="107">
        <v>0.05</v>
      </c>
    </row>
    <row r="459" spans="1:7">
      <c r="A459">
        <v>6071</v>
      </c>
      <c r="B459" s="107" t="s">
        <v>1764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>
      <c r="A460">
        <v>6073</v>
      </c>
      <c r="B460" s="107" t="s">
        <v>1765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>
      <c r="A461">
        <v>6088</v>
      </c>
      <c r="B461" s="107" t="s">
        <v>1766</v>
      </c>
      <c r="C461">
        <v>0.05</v>
      </c>
      <c r="D461">
        <v>1.65</v>
      </c>
      <c r="E461">
        <v>0.05</v>
      </c>
      <c r="F461">
        <v>0.05</v>
      </c>
      <c r="G461">
        <v>0.05</v>
      </c>
    </row>
    <row r="462" spans="1:7">
      <c r="A462">
        <v>6093</v>
      </c>
      <c r="B462" s="107" t="s">
        <v>1767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6098</v>
      </c>
      <c r="B463" s="107" t="s">
        <v>339</v>
      </c>
      <c r="C463">
        <v>0.1</v>
      </c>
      <c r="D463">
        <v>0.3</v>
      </c>
      <c r="E463">
        <v>0.1</v>
      </c>
      <c r="F463">
        <v>0.1</v>
      </c>
      <c r="G463">
        <v>0.1</v>
      </c>
    </row>
    <row r="464" spans="1:7">
      <c r="A464">
        <v>6099</v>
      </c>
      <c r="B464" s="107" t="s">
        <v>1768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>
      <c r="A465">
        <v>6101</v>
      </c>
      <c r="B465" s="107" t="s">
        <v>1769</v>
      </c>
      <c r="C465">
        <v>0.05</v>
      </c>
      <c r="D465">
        <v>0.15</v>
      </c>
      <c r="E465">
        <v>0.05</v>
      </c>
      <c r="F465">
        <v>0.05</v>
      </c>
      <c r="G465">
        <v>0.05</v>
      </c>
    </row>
    <row r="466" spans="1:7">
      <c r="A466">
        <v>6103</v>
      </c>
      <c r="B466" s="107" t="s">
        <v>1770</v>
      </c>
      <c r="C466">
        <v>0.1</v>
      </c>
      <c r="D466">
        <v>0.3</v>
      </c>
      <c r="E466">
        <v>0.15</v>
      </c>
      <c r="F466">
        <v>0.15</v>
      </c>
      <c r="G466">
        <v>0.1</v>
      </c>
    </row>
    <row r="467" spans="1:7">
      <c r="A467">
        <v>6104</v>
      </c>
      <c r="B467" s="107" t="s">
        <v>1771</v>
      </c>
      <c r="C467">
        <v>0</v>
      </c>
      <c r="D467" s="107" t="s">
        <v>235</v>
      </c>
      <c r="E467" s="107" t="s">
        <v>235</v>
      </c>
      <c r="F467" s="107" t="s">
        <v>235</v>
      </c>
      <c r="G467" s="107" t="s">
        <v>235</v>
      </c>
    </row>
    <row r="468" spans="1:7">
      <c r="A468">
        <v>6118</v>
      </c>
      <c r="B468" s="107" t="s">
        <v>1772</v>
      </c>
      <c r="C468">
        <v>0</v>
      </c>
      <c r="D468" s="107">
        <v>0</v>
      </c>
      <c r="E468" s="107">
        <v>0</v>
      </c>
      <c r="F468" s="107" t="s">
        <v>235</v>
      </c>
      <c r="G468" s="107" t="s">
        <v>235</v>
      </c>
    </row>
    <row r="469" spans="1:7">
      <c r="A469">
        <v>6134</v>
      </c>
      <c r="B469" s="107" t="s">
        <v>949</v>
      </c>
      <c r="C469">
        <v>0.05</v>
      </c>
      <c r="D469">
        <v>0.15</v>
      </c>
      <c r="E469">
        <v>0.05</v>
      </c>
      <c r="F469" s="107">
        <v>0.05</v>
      </c>
      <c r="G469" s="107">
        <v>0.05</v>
      </c>
    </row>
    <row r="470" spans="1:7">
      <c r="A470">
        <v>6135</v>
      </c>
      <c r="B470" s="107" t="s">
        <v>308</v>
      </c>
      <c r="C470">
        <v>0.1</v>
      </c>
      <c r="D470">
        <v>0.3</v>
      </c>
      <c r="E470">
        <v>0.1</v>
      </c>
      <c r="F470">
        <v>0.1</v>
      </c>
      <c r="G470">
        <v>0.1</v>
      </c>
    </row>
    <row r="471" spans="1:7">
      <c r="A471">
        <v>6136</v>
      </c>
      <c r="B471" s="107" t="s">
        <v>1773</v>
      </c>
      <c r="C471">
        <v>0.05</v>
      </c>
      <c r="D471">
        <v>0.15</v>
      </c>
      <c r="E471">
        <v>0.05</v>
      </c>
      <c r="F471">
        <v>0.05</v>
      </c>
      <c r="G471">
        <v>0.05</v>
      </c>
    </row>
    <row r="472" spans="1:7">
      <c r="A472">
        <v>6140</v>
      </c>
      <c r="B472" s="107" t="s">
        <v>1774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>
      <c r="A473">
        <v>6143</v>
      </c>
      <c r="B473" s="107" t="s">
        <v>1775</v>
      </c>
      <c r="C473">
        <v>0.05</v>
      </c>
      <c r="D473">
        <v>0</v>
      </c>
      <c r="E473">
        <v>0.05</v>
      </c>
      <c r="F473">
        <v>0</v>
      </c>
      <c r="G473">
        <v>0.05</v>
      </c>
    </row>
    <row r="474" spans="1:7">
      <c r="A474">
        <v>6146</v>
      </c>
      <c r="B474" s="107" t="s">
        <v>1776</v>
      </c>
      <c r="C474">
        <v>0.45</v>
      </c>
      <c r="D474">
        <v>1.2</v>
      </c>
      <c r="E474">
        <v>0.4</v>
      </c>
      <c r="F474">
        <v>0.4</v>
      </c>
      <c r="G474">
        <v>0.4</v>
      </c>
    </row>
    <row r="475" spans="1:7">
      <c r="A475">
        <v>6151</v>
      </c>
      <c r="B475" s="107" t="s">
        <v>1777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6157</v>
      </c>
      <c r="B476" s="107" t="s">
        <v>1778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>
      <c r="A477">
        <v>6165</v>
      </c>
      <c r="B477" s="107" t="s">
        <v>1779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>
      <c r="A478">
        <v>6184</v>
      </c>
      <c r="B478" s="107" t="s">
        <v>1780</v>
      </c>
      <c r="C478">
        <v>0.05</v>
      </c>
      <c r="D478">
        <v>0.15</v>
      </c>
      <c r="E478">
        <v>0.05</v>
      </c>
      <c r="F478">
        <v>0.2</v>
      </c>
      <c r="G478">
        <v>0.2</v>
      </c>
    </row>
    <row r="479" spans="1:7">
      <c r="A479">
        <v>6187</v>
      </c>
      <c r="B479" s="107" t="s">
        <v>1781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6194</v>
      </c>
      <c r="B480" s="107" t="s">
        <v>1782</v>
      </c>
      <c r="C480">
        <v>0.1</v>
      </c>
      <c r="D480">
        <v>0.3</v>
      </c>
      <c r="E480">
        <v>0.1</v>
      </c>
      <c r="F480">
        <v>0.1</v>
      </c>
      <c r="G480">
        <v>0.1</v>
      </c>
    </row>
    <row r="481" spans="1:7">
      <c r="A481">
        <v>6196</v>
      </c>
      <c r="B481" s="107" t="s">
        <v>1783</v>
      </c>
      <c r="C481">
        <v>0.1</v>
      </c>
      <c r="D481">
        <v>0.3</v>
      </c>
      <c r="E481">
        <v>0.1</v>
      </c>
      <c r="F481">
        <v>0.1</v>
      </c>
      <c r="G481">
        <v>0.1</v>
      </c>
    </row>
    <row r="482" spans="1:7">
      <c r="A482">
        <v>6200</v>
      </c>
      <c r="B482" s="107" t="s">
        <v>1784</v>
      </c>
      <c r="C482">
        <v>0.1</v>
      </c>
      <c r="D482">
        <v>0.6</v>
      </c>
      <c r="E482">
        <v>0.1</v>
      </c>
      <c r="F482">
        <v>0.1</v>
      </c>
      <c r="G482">
        <v>0.1</v>
      </c>
    </row>
    <row r="483" spans="1:7">
      <c r="A483">
        <v>6205</v>
      </c>
      <c r="B483" s="107" t="s">
        <v>1785</v>
      </c>
      <c r="C483">
        <v>0</v>
      </c>
      <c r="D483">
        <v>0.15</v>
      </c>
      <c r="E483">
        <v>0</v>
      </c>
      <c r="F483">
        <v>0.05</v>
      </c>
      <c r="G483" s="107" t="s">
        <v>235</v>
      </c>
    </row>
    <row r="484" spans="1:7">
      <c r="A484">
        <v>6217</v>
      </c>
      <c r="B484" s="107" t="s">
        <v>1786</v>
      </c>
      <c r="C484">
        <v>0</v>
      </c>
      <c r="D484">
        <v>0</v>
      </c>
      <c r="E484">
        <v>0</v>
      </c>
      <c r="F484">
        <v>0</v>
      </c>
      <c r="G484" s="107">
        <v>0</v>
      </c>
    </row>
    <row r="485" spans="1:7">
      <c r="A485">
        <v>6218</v>
      </c>
      <c r="B485" s="107" t="s">
        <v>1787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>
      <c r="A486">
        <v>6222</v>
      </c>
      <c r="B486" s="107" t="s">
        <v>1788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>
      <c r="A487">
        <v>6237</v>
      </c>
      <c r="B487" s="107" t="s">
        <v>1789</v>
      </c>
      <c r="C487">
        <v>0.05</v>
      </c>
      <c r="D487">
        <v>0.15</v>
      </c>
      <c r="E487">
        <v>0.05</v>
      </c>
      <c r="F487">
        <v>0.05</v>
      </c>
      <c r="G487">
        <v>0.05</v>
      </c>
    </row>
    <row r="488" spans="1:7">
      <c r="A488">
        <v>6240</v>
      </c>
      <c r="B488" s="107" t="s">
        <v>1790</v>
      </c>
      <c r="C488">
        <v>0.05</v>
      </c>
      <c r="D488">
        <v>0.15</v>
      </c>
      <c r="E488">
        <v>0.05</v>
      </c>
      <c r="F488">
        <v>0.05</v>
      </c>
      <c r="G488">
        <v>0.05</v>
      </c>
    </row>
    <row r="489" spans="1:7">
      <c r="A489">
        <v>6247</v>
      </c>
      <c r="B489" s="107" t="s">
        <v>1791</v>
      </c>
      <c r="C489">
        <v>0</v>
      </c>
      <c r="D489" s="107" t="s">
        <v>235</v>
      </c>
      <c r="E489">
        <v>0.05</v>
      </c>
      <c r="F489" s="107" t="s">
        <v>235</v>
      </c>
      <c r="G489">
        <v>0.05</v>
      </c>
    </row>
    <row r="490" spans="1:7">
      <c r="A490">
        <v>6250</v>
      </c>
      <c r="B490" s="107" t="s">
        <v>1792</v>
      </c>
      <c r="C490">
        <v>0</v>
      </c>
      <c r="D490" s="107">
        <v>0</v>
      </c>
      <c r="E490" s="107" t="s">
        <v>235</v>
      </c>
      <c r="F490" s="107" t="s">
        <v>235</v>
      </c>
      <c r="G490">
        <v>0</v>
      </c>
    </row>
    <row r="491" spans="1:7">
      <c r="A491">
        <v>6258</v>
      </c>
      <c r="B491" s="107" t="s">
        <v>1793</v>
      </c>
      <c r="C491">
        <v>0.2</v>
      </c>
      <c r="D491">
        <v>0.6</v>
      </c>
      <c r="E491" s="107">
        <v>0.2</v>
      </c>
      <c r="F491" s="107">
        <v>0.2</v>
      </c>
      <c r="G491">
        <v>0.2</v>
      </c>
    </row>
    <row r="492" spans="1:7">
      <c r="A492">
        <v>6262</v>
      </c>
      <c r="B492" s="107" t="s">
        <v>1794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6264</v>
      </c>
      <c r="B493" s="107" t="s">
        <v>1795</v>
      </c>
      <c r="C493">
        <v>0</v>
      </c>
      <c r="D493" s="107" t="s">
        <v>235</v>
      </c>
      <c r="E493" s="107" t="s">
        <v>235</v>
      </c>
      <c r="F493" s="107" t="s">
        <v>235</v>
      </c>
      <c r="G493">
        <v>0</v>
      </c>
    </row>
    <row r="494" spans="1:7">
      <c r="A494">
        <v>6268</v>
      </c>
      <c r="B494" s="107" t="s">
        <v>1796</v>
      </c>
      <c r="C494">
        <v>0</v>
      </c>
      <c r="D494" s="107">
        <v>0</v>
      </c>
      <c r="E494" s="107" t="s">
        <v>235</v>
      </c>
      <c r="F494" s="107" t="s">
        <v>235</v>
      </c>
      <c r="G494" s="107" t="s">
        <v>235</v>
      </c>
    </row>
    <row r="495" spans="1:7">
      <c r="A495">
        <v>6269</v>
      </c>
      <c r="B495" s="107" t="s">
        <v>1797</v>
      </c>
      <c r="C495">
        <v>0</v>
      </c>
      <c r="D495">
        <v>0</v>
      </c>
      <c r="E495" s="107">
        <v>0</v>
      </c>
      <c r="F495" s="107" t="s">
        <v>235</v>
      </c>
      <c r="G495" s="107">
        <v>0</v>
      </c>
    </row>
    <row r="496" spans="1:7">
      <c r="A496">
        <v>6273</v>
      </c>
      <c r="B496" s="107" t="s">
        <v>1798</v>
      </c>
      <c r="C496">
        <v>0.85</v>
      </c>
      <c r="D496">
        <v>2.5499999999999998</v>
      </c>
      <c r="E496">
        <v>0.85</v>
      </c>
      <c r="F496" s="107">
        <v>0.85</v>
      </c>
      <c r="G496">
        <v>0.85</v>
      </c>
    </row>
    <row r="497" spans="1:7">
      <c r="A497">
        <v>6274</v>
      </c>
      <c r="B497" s="107" t="s">
        <v>1799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6278</v>
      </c>
      <c r="B498" s="107" t="s">
        <v>1800</v>
      </c>
      <c r="C498">
        <v>0.05</v>
      </c>
      <c r="D498">
        <v>0.15</v>
      </c>
      <c r="E498">
        <v>0.05</v>
      </c>
      <c r="F498">
        <v>0.05</v>
      </c>
      <c r="G498">
        <v>0.05</v>
      </c>
    </row>
    <row r="499" spans="1:7">
      <c r="A499">
        <v>6284</v>
      </c>
      <c r="B499" s="107" t="s">
        <v>1801</v>
      </c>
      <c r="C499">
        <v>0.1</v>
      </c>
      <c r="D499">
        <v>0.3</v>
      </c>
      <c r="E499">
        <v>0.1</v>
      </c>
      <c r="F499">
        <v>0.1</v>
      </c>
      <c r="G499">
        <v>0.1</v>
      </c>
    </row>
    <row r="500" spans="1:7">
      <c r="A500">
        <v>6287</v>
      </c>
      <c r="B500" s="107" t="s">
        <v>951</v>
      </c>
      <c r="C500">
        <v>0.1</v>
      </c>
      <c r="D500">
        <v>0.3</v>
      </c>
      <c r="E500">
        <v>0.1</v>
      </c>
      <c r="F500">
        <v>0.1</v>
      </c>
      <c r="G500">
        <v>0.1</v>
      </c>
    </row>
    <row r="501" spans="1:7">
      <c r="A501">
        <v>6301</v>
      </c>
      <c r="B501" s="107" t="s">
        <v>109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>
      <c r="A502">
        <v>6305</v>
      </c>
      <c r="B502" s="107" t="s">
        <v>33</v>
      </c>
      <c r="C502">
        <v>0.1</v>
      </c>
      <c r="D502">
        <v>0.3</v>
      </c>
      <c r="E502">
        <v>0.1</v>
      </c>
      <c r="F502">
        <v>0.1</v>
      </c>
      <c r="G502">
        <v>0.05</v>
      </c>
    </row>
    <row r="503" spans="1:7">
      <c r="A503">
        <v>6310</v>
      </c>
      <c r="B503" s="107" t="s">
        <v>1802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>
      <c r="A504">
        <v>6315</v>
      </c>
      <c r="B504" s="107" t="s">
        <v>1803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>
      <c r="A505">
        <v>6316</v>
      </c>
      <c r="B505" s="107" t="s">
        <v>1804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>
      <c r="A506">
        <v>6325</v>
      </c>
      <c r="B506" s="107" t="s">
        <v>1805</v>
      </c>
      <c r="C506">
        <v>0</v>
      </c>
      <c r="D506" s="107" t="s">
        <v>235</v>
      </c>
      <c r="E506" s="107" t="s">
        <v>235</v>
      </c>
      <c r="F506" s="107" t="s">
        <v>235</v>
      </c>
      <c r="G506" s="107" t="s">
        <v>235</v>
      </c>
    </row>
    <row r="507" spans="1:7">
      <c r="A507">
        <v>6326</v>
      </c>
      <c r="B507" s="107" t="s">
        <v>1806</v>
      </c>
      <c r="C507">
        <v>0</v>
      </c>
      <c r="D507" s="107">
        <v>0</v>
      </c>
      <c r="E507" s="107" t="s">
        <v>235</v>
      </c>
      <c r="F507" s="107" t="s">
        <v>235</v>
      </c>
      <c r="G507" s="107">
        <v>0</v>
      </c>
    </row>
    <row r="508" spans="1:7">
      <c r="A508">
        <v>6330</v>
      </c>
      <c r="B508" s="107" t="s">
        <v>1807</v>
      </c>
      <c r="C508">
        <v>0.05</v>
      </c>
      <c r="D508">
        <v>0</v>
      </c>
      <c r="E508" s="107">
        <v>0.05</v>
      </c>
      <c r="F508" s="107">
        <v>0</v>
      </c>
      <c r="G508">
        <v>0.05</v>
      </c>
    </row>
    <row r="509" spans="1:7">
      <c r="A509">
        <v>6331</v>
      </c>
      <c r="B509" s="107" t="s">
        <v>1808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>
      <c r="A510">
        <v>6332</v>
      </c>
      <c r="B510" s="107" t="s">
        <v>1809</v>
      </c>
      <c r="C510">
        <v>0.05</v>
      </c>
      <c r="D510">
        <v>0.15</v>
      </c>
      <c r="E510">
        <v>0.05</v>
      </c>
      <c r="F510">
        <v>0.05</v>
      </c>
      <c r="G510">
        <v>0.05</v>
      </c>
    </row>
    <row r="511" spans="1:7">
      <c r="A511">
        <v>6349</v>
      </c>
      <c r="B511" s="107" t="s">
        <v>1810</v>
      </c>
      <c r="C511">
        <v>0.05</v>
      </c>
      <c r="D511">
        <v>0.15</v>
      </c>
      <c r="E511">
        <v>0.05</v>
      </c>
      <c r="F511">
        <v>0.05</v>
      </c>
      <c r="G511">
        <v>0.05</v>
      </c>
    </row>
    <row r="512" spans="1:7">
      <c r="A512">
        <v>6351</v>
      </c>
      <c r="B512" s="107" t="s">
        <v>1811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>
      <c r="A513">
        <v>6358</v>
      </c>
      <c r="B513" s="107" t="s">
        <v>1812</v>
      </c>
      <c r="C513">
        <v>0.05</v>
      </c>
      <c r="D513">
        <v>0.15</v>
      </c>
      <c r="E513">
        <v>0</v>
      </c>
      <c r="F513">
        <v>0.05</v>
      </c>
      <c r="G513">
        <v>0</v>
      </c>
    </row>
    <row r="514" spans="1:7">
      <c r="A514">
        <v>6361</v>
      </c>
      <c r="B514" s="107" t="s">
        <v>1813</v>
      </c>
      <c r="C514">
        <v>0.1</v>
      </c>
      <c r="D514">
        <v>0.3</v>
      </c>
      <c r="E514">
        <v>0.05</v>
      </c>
      <c r="F514">
        <v>0.1</v>
      </c>
      <c r="G514">
        <v>0.1</v>
      </c>
    </row>
    <row r="515" spans="1:7">
      <c r="A515">
        <v>6362</v>
      </c>
      <c r="B515" s="107" t="s">
        <v>1814</v>
      </c>
      <c r="C515">
        <v>0.05</v>
      </c>
      <c r="D515">
        <v>0.15</v>
      </c>
      <c r="E515">
        <v>0.05</v>
      </c>
      <c r="F515">
        <v>0.05</v>
      </c>
      <c r="G515">
        <v>0.05</v>
      </c>
    </row>
    <row r="516" spans="1:7">
      <c r="A516">
        <v>6363</v>
      </c>
      <c r="B516" s="107" t="s">
        <v>1815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6367</v>
      </c>
      <c r="B517" s="107" t="s">
        <v>1816</v>
      </c>
      <c r="C517">
        <v>0.3</v>
      </c>
      <c r="D517">
        <v>0.9</v>
      </c>
      <c r="E517">
        <v>0.3</v>
      </c>
      <c r="F517">
        <v>0.3</v>
      </c>
      <c r="G517">
        <v>0.3</v>
      </c>
    </row>
    <row r="518" spans="1:7">
      <c r="A518">
        <v>6368</v>
      </c>
      <c r="B518" s="107" t="s">
        <v>1817</v>
      </c>
      <c r="C518">
        <v>0</v>
      </c>
      <c r="D518" s="107" t="s">
        <v>235</v>
      </c>
      <c r="E518" s="107" t="s">
        <v>235</v>
      </c>
      <c r="F518">
        <v>0</v>
      </c>
      <c r="G518">
        <v>0</v>
      </c>
    </row>
    <row r="519" spans="1:7">
      <c r="A519">
        <v>6370</v>
      </c>
      <c r="B519" s="107" t="s">
        <v>1818</v>
      </c>
      <c r="C519">
        <v>0</v>
      </c>
      <c r="D519" s="107">
        <v>0</v>
      </c>
      <c r="E519" s="107">
        <v>0</v>
      </c>
      <c r="F519">
        <v>0</v>
      </c>
      <c r="G519">
        <v>0.05</v>
      </c>
    </row>
    <row r="520" spans="1:7">
      <c r="A520">
        <v>6371</v>
      </c>
      <c r="B520" s="107" t="s">
        <v>108</v>
      </c>
      <c r="C520">
        <v>0</v>
      </c>
      <c r="D520" s="107" t="s">
        <v>235</v>
      </c>
      <c r="E520" s="107" t="s">
        <v>235</v>
      </c>
      <c r="F520">
        <v>0.1</v>
      </c>
      <c r="G520">
        <v>0.1</v>
      </c>
    </row>
    <row r="521" spans="1:7">
      <c r="A521">
        <v>6373</v>
      </c>
      <c r="B521" s="107" t="s">
        <v>1819</v>
      </c>
      <c r="C521">
        <v>0</v>
      </c>
      <c r="D521" s="107">
        <v>0</v>
      </c>
      <c r="E521" s="107">
        <v>0</v>
      </c>
      <c r="F521">
        <v>0</v>
      </c>
      <c r="G521">
        <v>0</v>
      </c>
    </row>
    <row r="522" spans="1:7">
      <c r="A522">
        <v>6381</v>
      </c>
      <c r="B522" s="107" t="s">
        <v>1820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>
      <c r="A523">
        <v>6383</v>
      </c>
      <c r="B523" s="107" t="s">
        <v>1340</v>
      </c>
      <c r="C523">
        <v>0.15</v>
      </c>
      <c r="D523">
        <v>0.45</v>
      </c>
      <c r="E523">
        <v>0.15</v>
      </c>
      <c r="F523">
        <v>0.15</v>
      </c>
      <c r="G523">
        <v>0.15</v>
      </c>
    </row>
    <row r="524" spans="1:7">
      <c r="A524">
        <v>6393</v>
      </c>
      <c r="B524" s="107" t="s">
        <v>1821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>
      <c r="A525">
        <v>6395</v>
      </c>
      <c r="B525" s="107" t="s">
        <v>1822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>
      <c r="A526">
        <v>6407</v>
      </c>
      <c r="B526" s="107" t="s">
        <v>1823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>
      <c r="A527">
        <v>6412</v>
      </c>
      <c r="B527" s="107" t="s">
        <v>1824</v>
      </c>
      <c r="C527">
        <v>0</v>
      </c>
      <c r="D527" s="107" t="s">
        <v>235</v>
      </c>
      <c r="E527">
        <v>0.05</v>
      </c>
      <c r="F527">
        <v>0</v>
      </c>
      <c r="G527">
        <v>0</v>
      </c>
    </row>
    <row r="528" spans="1:7">
      <c r="A528">
        <v>6413</v>
      </c>
      <c r="B528" s="107" t="s">
        <v>1825</v>
      </c>
      <c r="C528">
        <v>0.05</v>
      </c>
      <c r="D528" s="107">
        <v>0.15</v>
      </c>
      <c r="E528">
        <v>0.05</v>
      </c>
      <c r="F528">
        <v>0.05</v>
      </c>
      <c r="G528">
        <v>0.05</v>
      </c>
    </row>
    <row r="529" spans="1:7">
      <c r="A529">
        <v>6428</v>
      </c>
      <c r="B529" s="107" t="s">
        <v>1826</v>
      </c>
      <c r="C529">
        <v>0.05</v>
      </c>
      <c r="D529">
        <v>0.15</v>
      </c>
      <c r="E529">
        <v>0.05</v>
      </c>
      <c r="F529">
        <v>0.05</v>
      </c>
      <c r="G529">
        <v>0.05</v>
      </c>
    </row>
    <row r="530" spans="1:7">
      <c r="A530">
        <v>6430</v>
      </c>
      <c r="B530" s="107" t="s">
        <v>1827</v>
      </c>
      <c r="C530">
        <v>0.05</v>
      </c>
      <c r="D530">
        <v>0.15</v>
      </c>
      <c r="E530">
        <v>0.05</v>
      </c>
      <c r="F530" s="107" t="s">
        <v>235</v>
      </c>
      <c r="G530">
        <v>0.05</v>
      </c>
    </row>
    <row r="531" spans="1:7">
      <c r="A531">
        <v>6436</v>
      </c>
      <c r="B531" s="107" t="s">
        <v>1828</v>
      </c>
      <c r="C531">
        <v>0</v>
      </c>
      <c r="D531">
        <v>0</v>
      </c>
      <c r="E531">
        <v>0</v>
      </c>
      <c r="F531" s="107">
        <v>0</v>
      </c>
      <c r="G531">
        <v>0</v>
      </c>
    </row>
    <row r="532" spans="1:7">
      <c r="A532">
        <v>6444</v>
      </c>
      <c r="B532" s="107" t="s">
        <v>1829</v>
      </c>
      <c r="C532">
        <v>0.05</v>
      </c>
      <c r="D532">
        <v>0.15</v>
      </c>
      <c r="E532">
        <v>0.05</v>
      </c>
      <c r="F532">
        <v>0.05</v>
      </c>
      <c r="G532">
        <v>0.05</v>
      </c>
    </row>
    <row r="533" spans="1:7">
      <c r="A533">
        <v>6448</v>
      </c>
      <c r="B533" s="107" t="s">
        <v>961</v>
      </c>
      <c r="C533">
        <v>0.05</v>
      </c>
      <c r="D533">
        <v>0</v>
      </c>
      <c r="E533">
        <v>0.05</v>
      </c>
      <c r="F533">
        <v>0.05</v>
      </c>
      <c r="G533">
        <v>0.05</v>
      </c>
    </row>
    <row r="534" spans="1:7">
      <c r="A534">
        <v>6454</v>
      </c>
      <c r="B534" s="107" t="s">
        <v>1830</v>
      </c>
      <c r="C534">
        <v>0.05</v>
      </c>
      <c r="D534">
        <v>0.15</v>
      </c>
      <c r="E534">
        <v>0.05</v>
      </c>
      <c r="F534">
        <v>0.05</v>
      </c>
      <c r="G534">
        <v>0.05</v>
      </c>
    </row>
    <row r="535" spans="1:7">
      <c r="A535">
        <v>6457</v>
      </c>
      <c r="B535" s="107" t="s">
        <v>314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6459</v>
      </c>
      <c r="B536" s="107" t="s">
        <v>1831</v>
      </c>
      <c r="C536">
        <v>0.05</v>
      </c>
      <c r="D536">
        <v>0.15</v>
      </c>
      <c r="E536" s="107" t="s">
        <v>235</v>
      </c>
      <c r="F536">
        <v>0.05</v>
      </c>
      <c r="G536" s="107" t="s">
        <v>235</v>
      </c>
    </row>
    <row r="537" spans="1:7">
      <c r="A537">
        <v>6463</v>
      </c>
      <c r="B537" s="107" t="s">
        <v>1832</v>
      </c>
      <c r="C537">
        <v>0.05</v>
      </c>
      <c r="D537">
        <v>0.15</v>
      </c>
      <c r="E537" s="107">
        <v>0.05</v>
      </c>
      <c r="F537">
        <v>0.05</v>
      </c>
      <c r="G537" s="107">
        <v>0.05</v>
      </c>
    </row>
    <row r="538" spans="1:7">
      <c r="A538">
        <v>6465</v>
      </c>
      <c r="B538" s="107" t="s">
        <v>952</v>
      </c>
      <c r="C538">
        <v>0.2</v>
      </c>
      <c r="D538">
        <v>0.6</v>
      </c>
      <c r="E538">
        <v>0.2</v>
      </c>
      <c r="F538">
        <v>0.2</v>
      </c>
      <c r="G538">
        <v>0.2</v>
      </c>
    </row>
    <row r="539" spans="1:7">
      <c r="A539">
        <v>6472</v>
      </c>
      <c r="B539" s="107" t="s">
        <v>134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>
      <c r="A540">
        <v>6474</v>
      </c>
      <c r="B540" s="107" t="s">
        <v>315</v>
      </c>
      <c r="C540">
        <v>0.05</v>
      </c>
      <c r="D540">
        <v>0</v>
      </c>
      <c r="E540">
        <v>0.1</v>
      </c>
      <c r="F540">
        <v>0.1</v>
      </c>
      <c r="G540">
        <v>0.1</v>
      </c>
    </row>
    <row r="541" spans="1:7">
      <c r="A541">
        <v>6479</v>
      </c>
      <c r="B541" s="107" t="s">
        <v>1321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>
      <c r="A542">
        <v>6480</v>
      </c>
      <c r="B542" s="107" t="s">
        <v>1833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6481</v>
      </c>
      <c r="B543" s="107" t="s">
        <v>1834</v>
      </c>
      <c r="C543">
        <v>0</v>
      </c>
      <c r="D543">
        <v>0</v>
      </c>
      <c r="E543">
        <v>0</v>
      </c>
      <c r="F543">
        <v>0.05</v>
      </c>
      <c r="G543">
        <v>0</v>
      </c>
    </row>
    <row r="544" spans="1:7">
      <c r="A544">
        <v>6482</v>
      </c>
      <c r="B544" s="107" t="s">
        <v>1835</v>
      </c>
      <c r="C544">
        <v>0.05</v>
      </c>
      <c r="D544">
        <v>0</v>
      </c>
      <c r="E544">
        <v>0</v>
      </c>
      <c r="F544">
        <v>0.05</v>
      </c>
      <c r="G544">
        <v>0.05</v>
      </c>
    </row>
    <row r="545" spans="1:7">
      <c r="A545">
        <v>6490</v>
      </c>
      <c r="B545" s="107" t="s">
        <v>1836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>
      <c r="A546">
        <v>6505</v>
      </c>
      <c r="B546" s="107" t="s">
        <v>1837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6506</v>
      </c>
      <c r="B547" s="107" t="s">
        <v>1838</v>
      </c>
      <c r="C547">
        <v>0.1</v>
      </c>
      <c r="D547">
        <v>0.3</v>
      </c>
      <c r="E547">
        <v>0.1</v>
      </c>
      <c r="F547">
        <v>0.1</v>
      </c>
      <c r="G547">
        <v>0.1</v>
      </c>
    </row>
    <row r="548" spans="1:7">
      <c r="A548">
        <v>6508</v>
      </c>
      <c r="B548" s="107" t="s">
        <v>1839</v>
      </c>
      <c r="C548">
        <v>0.05</v>
      </c>
      <c r="D548">
        <v>0</v>
      </c>
      <c r="E548">
        <v>0.05</v>
      </c>
      <c r="F548">
        <v>0.05</v>
      </c>
      <c r="G548">
        <v>0.05</v>
      </c>
    </row>
    <row r="549" spans="1:7">
      <c r="A549">
        <v>6516</v>
      </c>
      <c r="B549" s="107" t="s">
        <v>1840</v>
      </c>
      <c r="C549">
        <v>0</v>
      </c>
      <c r="D549" s="107" t="s">
        <v>235</v>
      </c>
      <c r="E549">
        <v>0</v>
      </c>
      <c r="F549" s="107" t="s">
        <v>235</v>
      </c>
      <c r="G549" s="107" t="s">
        <v>235</v>
      </c>
    </row>
    <row r="550" spans="1:7">
      <c r="A550">
        <v>6535</v>
      </c>
      <c r="B550" s="107" t="s">
        <v>1841</v>
      </c>
      <c r="C550">
        <v>0</v>
      </c>
      <c r="D550" s="107">
        <v>0</v>
      </c>
      <c r="E550">
        <v>0</v>
      </c>
      <c r="F550" s="107">
        <v>0.05</v>
      </c>
      <c r="G550" s="107">
        <v>0</v>
      </c>
    </row>
    <row r="551" spans="1:7">
      <c r="A551">
        <v>6547</v>
      </c>
      <c r="B551" s="107" t="s">
        <v>1842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>
      <c r="A552">
        <v>6551</v>
      </c>
      <c r="B552" s="107" t="s">
        <v>1843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>
      <c r="A553">
        <v>6552</v>
      </c>
      <c r="B553" s="107" t="s">
        <v>1844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6586</v>
      </c>
      <c r="B554" s="107" t="s">
        <v>1845</v>
      </c>
      <c r="C554">
        <v>0</v>
      </c>
      <c r="D554">
        <v>0</v>
      </c>
      <c r="E554">
        <v>0</v>
      </c>
      <c r="F554">
        <v>0</v>
      </c>
      <c r="G554">
        <v>0.05</v>
      </c>
    </row>
    <row r="555" spans="1:7">
      <c r="A555">
        <v>6588</v>
      </c>
      <c r="B555" s="107" t="s">
        <v>955</v>
      </c>
      <c r="C555">
        <v>0.05</v>
      </c>
      <c r="D555">
        <v>0.3</v>
      </c>
      <c r="E555" s="107" t="s">
        <v>235</v>
      </c>
      <c r="F555">
        <v>0.1</v>
      </c>
      <c r="G555">
        <v>0.1</v>
      </c>
    </row>
    <row r="556" spans="1:7">
      <c r="A556">
        <v>6590</v>
      </c>
      <c r="B556" s="107" t="s">
        <v>1846</v>
      </c>
      <c r="C556">
        <v>0</v>
      </c>
      <c r="D556">
        <v>0</v>
      </c>
      <c r="E556" s="107">
        <v>0</v>
      </c>
      <c r="F556">
        <v>0</v>
      </c>
      <c r="G556">
        <v>0</v>
      </c>
    </row>
    <row r="557" spans="1:7">
      <c r="A557">
        <v>6617</v>
      </c>
      <c r="B557" s="107" t="s">
        <v>1847</v>
      </c>
      <c r="C557">
        <v>0.05</v>
      </c>
      <c r="D557" s="107" t="s">
        <v>235</v>
      </c>
      <c r="E557">
        <v>0.05</v>
      </c>
      <c r="F557" s="107" t="s">
        <v>235</v>
      </c>
      <c r="G557">
        <v>0.05</v>
      </c>
    </row>
    <row r="558" spans="1:7">
      <c r="A558">
        <v>6622</v>
      </c>
      <c r="B558" s="107" t="s">
        <v>1848</v>
      </c>
      <c r="C558">
        <v>0.1</v>
      </c>
      <c r="D558" s="107">
        <v>0.3</v>
      </c>
      <c r="E558">
        <v>0.1</v>
      </c>
      <c r="F558" s="107">
        <v>0.1</v>
      </c>
      <c r="G558">
        <v>0.1</v>
      </c>
    </row>
    <row r="559" spans="1:7">
      <c r="A559">
        <v>6640</v>
      </c>
      <c r="B559" s="107" t="s">
        <v>1849</v>
      </c>
      <c r="C559">
        <v>0.1</v>
      </c>
      <c r="D559">
        <v>0.3</v>
      </c>
      <c r="E559">
        <v>0.05</v>
      </c>
      <c r="F559">
        <v>0.05</v>
      </c>
      <c r="G559">
        <v>6</v>
      </c>
    </row>
    <row r="560" spans="1:7">
      <c r="A560">
        <v>6641</v>
      </c>
      <c r="B560" s="107" t="s">
        <v>1850</v>
      </c>
      <c r="C560">
        <v>0</v>
      </c>
      <c r="D560">
        <v>0.15</v>
      </c>
      <c r="E560">
        <v>0</v>
      </c>
      <c r="F560" s="107" t="s">
        <v>235</v>
      </c>
      <c r="G560" s="107" t="s">
        <v>235</v>
      </c>
    </row>
    <row r="561" spans="1:7">
      <c r="A561">
        <v>6645</v>
      </c>
      <c r="B561" s="107" t="s">
        <v>1851</v>
      </c>
      <c r="C561">
        <v>0.15</v>
      </c>
      <c r="D561">
        <v>0.45</v>
      </c>
      <c r="E561">
        <v>0.15</v>
      </c>
      <c r="F561" s="107">
        <v>0.15</v>
      </c>
      <c r="G561" s="107">
        <v>0.15</v>
      </c>
    </row>
    <row r="562" spans="1:7">
      <c r="A562">
        <v>6652</v>
      </c>
      <c r="B562" s="107" t="s">
        <v>1852</v>
      </c>
      <c r="C562">
        <v>0.05</v>
      </c>
      <c r="D562">
        <v>0.15</v>
      </c>
      <c r="E562">
        <v>0.05</v>
      </c>
      <c r="F562">
        <v>0.05</v>
      </c>
      <c r="G562">
        <v>0.05</v>
      </c>
    </row>
    <row r="563" spans="1:7">
      <c r="A563">
        <v>6653</v>
      </c>
      <c r="B563" s="107" t="s">
        <v>1853</v>
      </c>
      <c r="C563">
        <v>0.05</v>
      </c>
      <c r="D563">
        <v>0.15</v>
      </c>
      <c r="E563">
        <v>0.05</v>
      </c>
      <c r="F563">
        <v>0.05</v>
      </c>
      <c r="G563">
        <v>0.05</v>
      </c>
    </row>
    <row r="564" spans="1:7">
      <c r="A564">
        <v>6654</v>
      </c>
      <c r="B564" s="107" t="s">
        <v>1854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6674</v>
      </c>
      <c r="B565" s="107" t="s">
        <v>330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>
      <c r="A566">
        <v>6676</v>
      </c>
      <c r="B566" s="107" t="s">
        <v>1855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>
      <c r="A567">
        <v>6702</v>
      </c>
      <c r="B567" s="107" t="s">
        <v>332</v>
      </c>
      <c r="C567">
        <v>0.2</v>
      </c>
      <c r="D567">
        <v>0.6</v>
      </c>
      <c r="E567">
        <v>0.2</v>
      </c>
      <c r="F567">
        <v>0.2</v>
      </c>
      <c r="G567">
        <v>0.2</v>
      </c>
    </row>
    <row r="568" spans="1:7">
      <c r="A568">
        <v>6704</v>
      </c>
      <c r="B568" s="107" t="s">
        <v>1856</v>
      </c>
      <c r="C568">
        <v>0.05</v>
      </c>
      <c r="D568">
        <v>0.15</v>
      </c>
      <c r="E568">
        <v>0.05</v>
      </c>
      <c r="F568">
        <v>0.05</v>
      </c>
      <c r="G568">
        <v>0.05</v>
      </c>
    </row>
    <row r="569" spans="1:7">
      <c r="A569">
        <v>6706</v>
      </c>
      <c r="B569" s="107" t="s">
        <v>1857</v>
      </c>
      <c r="C569">
        <v>0</v>
      </c>
      <c r="D569">
        <v>0</v>
      </c>
      <c r="E569">
        <v>0</v>
      </c>
      <c r="F569">
        <v>0</v>
      </c>
      <c r="G569" s="107" t="s">
        <v>235</v>
      </c>
    </row>
    <row r="570" spans="1:7">
      <c r="A570">
        <v>6707</v>
      </c>
      <c r="B570" s="107" t="s">
        <v>1858</v>
      </c>
      <c r="C570">
        <v>0</v>
      </c>
      <c r="D570">
        <v>0</v>
      </c>
      <c r="E570" s="107" t="s">
        <v>235</v>
      </c>
      <c r="F570" s="107" t="s">
        <v>235</v>
      </c>
      <c r="G570" s="107" t="s">
        <v>235</v>
      </c>
    </row>
    <row r="571" spans="1:7">
      <c r="A571">
        <v>6715</v>
      </c>
      <c r="B571" s="107" t="s">
        <v>1859</v>
      </c>
      <c r="C571">
        <v>0</v>
      </c>
      <c r="D571">
        <v>0.15</v>
      </c>
      <c r="E571" s="107">
        <v>0</v>
      </c>
      <c r="F571" s="107">
        <v>0</v>
      </c>
      <c r="G571" s="107">
        <v>0</v>
      </c>
    </row>
    <row r="572" spans="1:7">
      <c r="A572">
        <v>6723</v>
      </c>
      <c r="B572" s="107" t="s">
        <v>1860</v>
      </c>
      <c r="C572">
        <v>0.05</v>
      </c>
      <c r="D572">
        <v>0</v>
      </c>
      <c r="E572" s="107" t="s">
        <v>235</v>
      </c>
      <c r="F572">
        <v>0.05</v>
      </c>
      <c r="G572">
        <v>0</v>
      </c>
    </row>
    <row r="573" spans="1:7">
      <c r="A573">
        <v>6724</v>
      </c>
      <c r="B573" s="107" t="s">
        <v>1861</v>
      </c>
      <c r="C573">
        <v>0.05</v>
      </c>
      <c r="D573">
        <v>0.15</v>
      </c>
      <c r="E573" s="107">
        <v>0.05</v>
      </c>
      <c r="F573">
        <v>0.05</v>
      </c>
      <c r="G573">
        <v>0.05</v>
      </c>
    </row>
    <row r="574" spans="1:7">
      <c r="A574">
        <v>6742</v>
      </c>
      <c r="B574" s="107" t="s">
        <v>1862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>
      <c r="A575">
        <v>6748</v>
      </c>
      <c r="B575" s="107" t="s">
        <v>1863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>
      <c r="A576">
        <v>6750</v>
      </c>
      <c r="B576" s="107" t="s">
        <v>1864</v>
      </c>
      <c r="C576">
        <v>0</v>
      </c>
      <c r="D576">
        <v>0</v>
      </c>
      <c r="E576" s="107" t="s">
        <v>235</v>
      </c>
      <c r="F576" s="107" t="s">
        <v>235</v>
      </c>
      <c r="G576" s="107" t="s">
        <v>235</v>
      </c>
    </row>
    <row r="577" spans="1:7">
      <c r="A577">
        <v>6753</v>
      </c>
      <c r="B577" s="107" t="s">
        <v>1865</v>
      </c>
      <c r="C577">
        <v>0</v>
      </c>
      <c r="D577">
        <v>0</v>
      </c>
      <c r="E577" s="107" t="s">
        <v>235</v>
      </c>
      <c r="F577" s="107">
        <v>0.05</v>
      </c>
      <c r="G577" s="107" t="s">
        <v>235</v>
      </c>
    </row>
    <row r="578" spans="1:7">
      <c r="A578">
        <v>6754</v>
      </c>
      <c r="B578" s="107" t="s">
        <v>1866</v>
      </c>
      <c r="C578">
        <v>0.05</v>
      </c>
      <c r="D578">
        <v>0.15</v>
      </c>
      <c r="E578" s="107">
        <v>0.05</v>
      </c>
      <c r="F578">
        <v>0</v>
      </c>
      <c r="G578" s="107">
        <v>0.05</v>
      </c>
    </row>
    <row r="579" spans="1:7">
      <c r="A579">
        <v>6755</v>
      </c>
      <c r="B579" s="107" t="s">
        <v>1274</v>
      </c>
      <c r="C579">
        <v>0.05</v>
      </c>
      <c r="D579">
        <v>0.15</v>
      </c>
      <c r="E579">
        <v>0.05</v>
      </c>
      <c r="F579">
        <v>0.05</v>
      </c>
      <c r="G579">
        <v>0.05</v>
      </c>
    </row>
    <row r="580" spans="1:7">
      <c r="A580">
        <v>6758</v>
      </c>
      <c r="B580" s="107" t="s">
        <v>1867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6762</v>
      </c>
      <c r="B581" s="107" t="s">
        <v>1868</v>
      </c>
      <c r="C581">
        <v>0.2</v>
      </c>
      <c r="D581">
        <v>0.6</v>
      </c>
      <c r="E581">
        <v>0.2</v>
      </c>
      <c r="F581">
        <v>0.25</v>
      </c>
      <c r="G581">
        <v>0.25</v>
      </c>
    </row>
    <row r="582" spans="1:7">
      <c r="A582">
        <v>6763</v>
      </c>
      <c r="B582" s="107" t="s">
        <v>1869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>
      <c r="A583">
        <v>6770</v>
      </c>
      <c r="B583" s="107" t="s">
        <v>26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>
      <c r="A584">
        <v>6785</v>
      </c>
      <c r="B584" s="107" t="s">
        <v>1870</v>
      </c>
      <c r="C584">
        <v>0.05</v>
      </c>
      <c r="D584">
        <v>0</v>
      </c>
      <c r="E584">
        <v>0.05</v>
      </c>
      <c r="F584" s="107" t="s">
        <v>235</v>
      </c>
      <c r="G584">
        <v>0.05</v>
      </c>
    </row>
    <row r="585" spans="1:7">
      <c r="A585">
        <v>6794</v>
      </c>
      <c r="B585" s="107" t="s">
        <v>1871</v>
      </c>
      <c r="C585">
        <v>0.05</v>
      </c>
      <c r="D585">
        <v>0.15</v>
      </c>
      <c r="E585">
        <v>0.05</v>
      </c>
      <c r="F585" s="107">
        <v>0.05</v>
      </c>
      <c r="G585">
        <v>0.05</v>
      </c>
    </row>
    <row r="586" spans="1:7">
      <c r="A586">
        <v>6798</v>
      </c>
      <c r="B586" s="107" t="s">
        <v>1872</v>
      </c>
      <c r="C586">
        <v>0.05</v>
      </c>
      <c r="D586">
        <v>0.15</v>
      </c>
      <c r="E586">
        <v>0.05</v>
      </c>
      <c r="F586">
        <v>0.05</v>
      </c>
      <c r="G586">
        <v>0.05</v>
      </c>
    </row>
    <row r="587" spans="1:7">
      <c r="A587">
        <v>6804</v>
      </c>
      <c r="B587" s="107" t="s">
        <v>1873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>
      <c r="A588">
        <v>6806</v>
      </c>
      <c r="B588" s="107" t="s">
        <v>1874</v>
      </c>
      <c r="C588">
        <v>0.25</v>
      </c>
      <c r="D588">
        <v>0.75</v>
      </c>
      <c r="E588">
        <v>0.25</v>
      </c>
      <c r="F588">
        <v>0.25</v>
      </c>
      <c r="G588">
        <v>0.25</v>
      </c>
    </row>
    <row r="589" spans="1:7">
      <c r="A589">
        <v>6807</v>
      </c>
      <c r="B589" s="107" t="s">
        <v>335</v>
      </c>
      <c r="C589">
        <v>0.05</v>
      </c>
      <c r="D589">
        <v>0.15</v>
      </c>
      <c r="E589">
        <v>0.05</v>
      </c>
      <c r="F589">
        <v>0.05</v>
      </c>
      <c r="G589">
        <v>0.05</v>
      </c>
    </row>
    <row r="590" spans="1:7">
      <c r="A590">
        <v>6814</v>
      </c>
      <c r="B590" s="107" t="s">
        <v>1875</v>
      </c>
      <c r="C590">
        <v>0.05</v>
      </c>
      <c r="D590" s="107" t="s">
        <v>235</v>
      </c>
      <c r="E590">
        <v>0.05</v>
      </c>
      <c r="F590">
        <v>0</v>
      </c>
      <c r="G590">
        <v>0</v>
      </c>
    </row>
    <row r="591" spans="1:7">
      <c r="A591">
        <v>6817</v>
      </c>
      <c r="B591" s="107" t="s">
        <v>1876</v>
      </c>
      <c r="C591">
        <v>0</v>
      </c>
      <c r="D591" s="107">
        <v>0</v>
      </c>
      <c r="E591">
        <v>0.05</v>
      </c>
      <c r="F591">
        <v>0</v>
      </c>
      <c r="G591">
        <v>0.05</v>
      </c>
    </row>
    <row r="592" spans="1:7">
      <c r="A592">
        <v>6823</v>
      </c>
      <c r="B592" s="107" t="s">
        <v>1877</v>
      </c>
      <c r="C592">
        <v>0</v>
      </c>
      <c r="D592">
        <v>0</v>
      </c>
      <c r="E592">
        <v>0.05</v>
      </c>
      <c r="F592">
        <v>0</v>
      </c>
      <c r="G592">
        <v>0</v>
      </c>
    </row>
    <row r="593" spans="1:7">
      <c r="A593">
        <v>6839</v>
      </c>
      <c r="B593" s="107" t="s">
        <v>1878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>
      <c r="A594">
        <v>6845</v>
      </c>
      <c r="B594" s="107" t="s">
        <v>307</v>
      </c>
      <c r="C594">
        <v>0.05</v>
      </c>
      <c r="D594">
        <v>0.15</v>
      </c>
      <c r="E594">
        <v>0.05</v>
      </c>
      <c r="F594">
        <v>0.05</v>
      </c>
      <c r="G594">
        <v>0</v>
      </c>
    </row>
    <row r="595" spans="1:7">
      <c r="A595">
        <v>6848</v>
      </c>
      <c r="B595" s="107" t="s">
        <v>1879</v>
      </c>
      <c r="C595">
        <v>0</v>
      </c>
      <c r="D595">
        <v>0.15</v>
      </c>
      <c r="E595">
        <v>0.05</v>
      </c>
      <c r="F595">
        <v>0</v>
      </c>
      <c r="G595">
        <v>0</v>
      </c>
    </row>
    <row r="596" spans="1:7">
      <c r="A596">
        <v>6853</v>
      </c>
      <c r="B596" s="107" t="s">
        <v>1880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>
      <c r="A597">
        <v>6856</v>
      </c>
      <c r="B597" s="107" t="s">
        <v>331</v>
      </c>
      <c r="C597">
        <v>0.15</v>
      </c>
      <c r="D597">
        <v>0.45</v>
      </c>
      <c r="E597">
        <v>0.15</v>
      </c>
      <c r="F597">
        <v>0.15</v>
      </c>
      <c r="G597">
        <v>0.15</v>
      </c>
    </row>
    <row r="598" spans="1:7">
      <c r="A598">
        <v>6857</v>
      </c>
      <c r="B598" s="107" t="s">
        <v>1881</v>
      </c>
      <c r="C598">
        <v>0.1</v>
      </c>
      <c r="D598">
        <v>0</v>
      </c>
      <c r="E598">
        <v>0</v>
      </c>
      <c r="F598" s="107" t="s">
        <v>235</v>
      </c>
      <c r="G598">
        <v>0.1</v>
      </c>
    </row>
    <row r="599" spans="1:7">
      <c r="A599">
        <v>6861</v>
      </c>
      <c r="B599" s="107" t="s">
        <v>1882</v>
      </c>
      <c r="C599">
        <v>0.65</v>
      </c>
      <c r="D599">
        <v>1.95</v>
      </c>
      <c r="E599">
        <v>0.65</v>
      </c>
      <c r="F599" s="107">
        <v>0.7</v>
      </c>
      <c r="G599">
        <v>0.65</v>
      </c>
    </row>
    <row r="600" spans="1:7">
      <c r="A600">
        <v>6871</v>
      </c>
      <c r="B600" s="107" t="s">
        <v>1883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>
      <c r="A601">
        <v>6875</v>
      </c>
      <c r="B601" s="107" t="s">
        <v>1884</v>
      </c>
      <c r="C601">
        <v>0</v>
      </c>
      <c r="D601">
        <v>0.15</v>
      </c>
      <c r="E601">
        <v>0.05</v>
      </c>
      <c r="F601">
        <v>0.05</v>
      </c>
      <c r="G601">
        <v>0.05</v>
      </c>
    </row>
    <row r="602" spans="1:7">
      <c r="A602">
        <v>6879</v>
      </c>
      <c r="B602" s="107" t="s">
        <v>1885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>
      <c r="A603">
        <v>6901</v>
      </c>
      <c r="B603" s="107" t="s">
        <v>1886</v>
      </c>
      <c r="C603">
        <v>0</v>
      </c>
      <c r="D603" s="107" t="s">
        <v>235</v>
      </c>
      <c r="E603" s="107" t="s">
        <v>235</v>
      </c>
      <c r="F603" s="107" t="s">
        <v>235</v>
      </c>
      <c r="G603" s="107" t="s">
        <v>235</v>
      </c>
    </row>
    <row r="604" spans="1:7">
      <c r="A604">
        <v>6902</v>
      </c>
      <c r="B604" s="107" t="s">
        <v>1887</v>
      </c>
      <c r="C604">
        <v>0</v>
      </c>
      <c r="D604" s="107">
        <v>0.15</v>
      </c>
      <c r="E604" s="107">
        <v>0</v>
      </c>
      <c r="F604" s="107">
        <v>0</v>
      </c>
      <c r="G604" s="107">
        <v>0.1</v>
      </c>
    </row>
    <row r="605" spans="1:7">
      <c r="A605">
        <v>6915</v>
      </c>
      <c r="B605" s="107" t="s">
        <v>1888</v>
      </c>
      <c r="C605">
        <v>0</v>
      </c>
      <c r="D605">
        <v>0</v>
      </c>
      <c r="E605">
        <v>0.05</v>
      </c>
      <c r="F605">
        <v>0</v>
      </c>
      <c r="G605">
        <v>0.05</v>
      </c>
    </row>
    <row r="606" spans="1:7">
      <c r="A606">
        <v>6916</v>
      </c>
      <c r="B606" s="107" t="s">
        <v>1889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>
      <c r="A607">
        <v>6920</v>
      </c>
      <c r="B607" s="107" t="s">
        <v>86</v>
      </c>
      <c r="C607">
        <v>0</v>
      </c>
      <c r="D607">
        <v>0</v>
      </c>
      <c r="E607" s="107" t="s">
        <v>235</v>
      </c>
      <c r="F607" s="107" t="s">
        <v>235</v>
      </c>
      <c r="G607">
        <v>0</v>
      </c>
    </row>
    <row r="608" spans="1:7">
      <c r="A608">
        <v>6923</v>
      </c>
      <c r="B608" s="107" t="s">
        <v>112</v>
      </c>
      <c r="C608">
        <v>0.05</v>
      </c>
      <c r="D608">
        <v>0.15</v>
      </c>
      <c r="E608" s="107">
        <v>0.05</v>
      </c>
      <c r="F608" s="107">
        <v>0.05</v>
      </c>
      <c r="G608">
        <v>0.05</v>
      </c>
    </row>
    <row r="609" spans="1:7">
      <c r="A609">
        <v>6926</v>
      </c>
      <c r="B609" s="107" t="s">
        <v>1890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>
      <c r="A610">
        <v>6929</v>
      </c>
      <c r="B610" s="107" t="s">
        <v>1891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>
      <c r="A611">
        <v>6941</v>
      </c>
      <c r="B611" s="107" t="s">
        <v>1892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>
      <c r="A612">
        <v>6947</v>
      </c>
      <c r="B612" s="107" t="s">
        <v>1893</v>
      </c>
      <c r="C612">
        <v>0.05</v>
      </c>
      <c r="D612">
        <v>0.15</v>
      </c>
      <c r="E612">
        <v>0.05</v>
      </c>
      <c r="F612">
        <v>0.05</v>
      </c>
      <c r="G612">
        <v>0.05</v>
      </c>
    </row>
    <row r="613" spans="1:7">
      <c r="A613">
        <v>6951</v>
      </c>
      <c r="B613" s="107" t="s">
        <v>323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>
      <c r="A614">
        <v>6952</v>
      </c>
      <c r="B614" s="107" t="s">
        <v>957</v>
      </c>
      <c r="C614">
        <v>0.05</v>
      </c>
      <c r="D614">
        <v>0.15</v>
      </c>
      <c r="E614">
        <v>0.05</v>
      </c>
      <c r="F614">
        <v>0.05</v>
      </c>
      <c r="G614">
        <v>0.05</v>
      </c>
    </row>
    <row r="615" spans="1:7">
      <c r="A615">
        <v>6954</v>
      </c>
      <c r="B615" s="107" t="s">
        <v>1894</v>
      </c>
      <c r="C615">
        <v>0.35</v>
      </c>
      <c r="D615">
        <v>1.05</v>
      </c>
      <c r="E615">
        <v>0.35</v>
      </c>
      <c r="F615">
        <v>0.35</v>
      </c>
      <c r="G615">
        <v>0.35</v>
      </c>
    </row>
    <row r="616" spans="1:7">
      <c r="A616">
        <v>6958</v>
      </c>
      <c r="B616" s="107" t="s">
        <v>1895</v>
      </c>
      <c r="C616">
        <v>0.05</v>
      </c>
      <c r="D616">
        <v>0.15</v>
      </c>
      <c r="E616">
        <v>0.05</v>
      </c>
      <c r="F616">
        <v>0.05</v>
      </c>
      <c r="G616">
        <v>0.05</v>
      </c>
    </row>
    <row r="617" spans="1:7">
      <c r="A617">
        <v>6961</v>
      </c>
      <c r="B617" s="107" t="s">
        <v>1896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>
      <c r="A618">
        <v>6962</v>
      </c>
      <c r="B618" s="107" t="s">
        <v>1897</v>
      </c>
      <c r="C618">
        <v>0.05</v>
      </c>
      <c r="D618">
        <v>6.6</v>
      </c>
      <c r="E618">
        <v>0.05</v>
      </c>
      <c r="F618">
        <v>0.1</v>
      </c>
      <c r="G618">
        <v>0.05</v>
      </c>
    </row>
    <row r="619" spans="1:7">
      <c r="A619">
        <v>6966</v>
      </c>
      <c r="B619" s="107" t="s">
        <v>1898</v>
      </c>
      <c r="C619">
        <v>0.05</v>
      </c>
      <c r="D619">
        <v>1.65</v>
      </c>
      <c r="E619">
        <v>0.05</v>
      </c>
      <c r="F619">
        <v>0.05</v>
      </c>
      <c r="G619">
        <v>0.05</v>
      </c>
    </row>
    <row r="620" spans="1:7">
      <c r="A620">
        <v>6967</v>
      </c>
      <c r="B620" s="107" t="s">
        <v>1899</v>
      </c>
      <c r="C620">
        <v>0.05</v>
      </c>
      <c r="D620">
        <v>0.15</v>
      </c>
      <c r="E620">
        <v>0.05</v>
      </c>
      <c r="F620">
        <v>0.05</v>
      </c>
      <c r="G620">
        <v>0.05</v>
      </c>
    </row>
    <row r="621" spans="1:7">
      <c r="A621">
        <v>6971</v>
      </c>
      <c r="B621" s="107" t="s">
        <v>1900</v>
      </c>
      <c r="C621">
        <v>0.15</v>
      </c>
      <c r="D621">
        <v>0.45</v>
      </c>
      <c r="E621">
        <v>0.15</v>
      </c>
      <c r="F621">
        <v>0.15</v>
      </c>
      <c r="G621">
        <v>0.15</v>
      </c>
    </row>
    <row r="622" spans="1:7">
      <c r="A622">
        <v>6976</v>
      </c>
      <c r="B622" s="107" t="s">
        <v>1901</v>
      </c>
      <c r="C622">
        <v>0.1</v>
      </c>
      <c r="D622">
        <v>0.15</v>
      </c>
      <c r="E622">
        <v>0.05</v>
      </c>
      <c r="F622">
        <v>0.05</v>
      </c>
      <c r="G622">
        <v>0.1</v>
      </c>
    </row>
    <row r="623" spans="1:7">
      <c r="A623">
        <v>6986</v>
      </c>
      <c r="B623" s="107" t="s">
        <v>1902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>
      <c r="A624">
        <v>6988</v>
      </c>
      <c r="B624" s="107" t="s">
        <v>139</v>
      </c>
      <c r="C624">
        <v>0.1</v>
      </c>
      <c r="D624">
        <v>0</v>
      </c>
      <c r="E624">
        <v>0</v>
      </c>
      <c r="F624">
        <v>0</v>
      </c>
      <c r="G624">
        <v>0.15</v>
      </c>
    </row>
    <row r="625" spans="1:7">
      <c r="A625">
        <v>6989</v>
      </c>
      <c r="B625" s="107" t="s">
        <v>1903</v>
      </c>
      <c r="C625">
        <v>0</v>
      </c>
      <c r="D625">
        <v>0</v>
      </c>
      <c r="E625">
        <v>0</v>
      </c>
      <c r="F625" s="107" t="s">
        <v>235</v>
      </c>
      <c r="G625" s="107" t="s">
        <v>235</v>
      </c>
    </row>
    <row r="626" spans="1:7">
      <c r="A626">
        <v>6995</v>
      </c>
      <c r="B626" s="107" t="s">
        <v>91</v>
      </c>
      <c r="C626">
        <v>0.05</v>
      </c>
      <c r="D626">
        <v>0.15</v>
      </c>
      <c r="E626">
        <v>0.05</v>
      </c>
      <c r="F626" s="107">
        <v>0.05</v>
      </c>
      <c r="G626" s="107">
        <v>0.05</v>
      </c>
    </row>
    <row r="627" spans="1:7">
      <c r="A627">
        <v>7003</v>
      </c>
      <c r="B627" s="107" t="s">
        <v>1904</v>
      </c>
      <c r="C627">
        <v>0.05</v>
      </c>
      <c r="D627">
        <v>0.15</v>
      </c>
      <c r="E627">
        <v>0</v>
      </c>
      <c r="F627">
        <v>0.05</v>
      </c>
      <c r="G627">
        <v>0</v>
      </c>
    </row>
    <row r="628" spans="1:7">
      <c r="A628">
        <v>7004</v>
      </c>
      <c r="B628" s="107" t="s">
        <v>1905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>
      <c r="A629">
        <v>7012</v>
      </c>
      <c r="B629" s="107" t="s">
        <v>1906</v>
      </c>
      <c r="C629">
        <v>0.05</v>
      </c>
      <c r="D629">
        <v>0.15</v>
      </c>
      <c r="E629">
        <v>0.05</v>
      </c>
      <c r="F629">
        <v>0.05</v>
      </c>
      <c r="G629">
        <v>0</v>
      </c>
    </row>
    <row r="630" spans="1:7">
      <c r="A630">
        <v>7014</v>
      </c>
      <c r="B630" s="107" t="s">
        <v>1907</v>
      </c>
      <c r="C630">
        <v>0</v>
      </c>
      <c r="D630" s="107" t="s">
        <v>235</v>
      </c>
      <c r="E630">
        <v>0</v>
      </c>
      <c r="F630">
        <v>0</v>
      </c>
      <c r="G630">
        <v>0</v>
      </c>
    </row>
    <row r="631" spans="1:7">
      <c r="A631">
        <v>7022</v>
      </c>
      <c r="B631" s="107" t="s">
        <v>1908</v>
      </c>
      <c r="C631">
        <v>0</v>
      </c>
      <c r="D631" s="107" t="s">
        <v>235</v>
      </c>
      <c r="E631" s="107" t="s">
        <v>235</v>
      </c>
      <c r="F631" s="107" t="s">
        <v>235</v>
      </c>
      <c r="G631" s="107" t="s">
        <v>235</v>
      </c>
    </row>
    <row r="632" spans="1:7">
      <c r="A632">
        <v>7030</v>
      </c>
      <c r="B632" s="107" t="s">
        <v>1909</v>
      </c>
      <c r="C632">
        <v>0</v>
      </c>
      <c r="D632" s="107">
        <v>0</v>
      </c>
      <c r="E632" s="107">
        <v>0</v>
      </c>
      <c r="F632" s="107">
        <v>0</v>
      </c>
      <c r="G632" s="107">
        <v>0</v>
      </c>
    </row>
    <row r="633" spans="1:7">
      <c r="A633">
        <v>7102</v>
      </c>
      <c r="B633" s="107" t="s">
        <v>1910</v>
      </c>
      <c r="C633">
        <v>0.05</v>
      </c>
      <c r="D633">
        <v>0.15</v>
      </c>
      <c r="E633">
        <v>0.05</v>
      </c>
      <c r="F633">
        <v>0.05</v>
      </c>
      <c r="G633">
        <v>0.05</v>
      </c>
    </row>
    <row r="634" spans="1:7">
      <c r="A634">
        <v>7105</v>
      </c>
      <c r="B634" s="107" t="s">
        <v>1911</v>
      </c>
      <c r="C634">
        <v>0.05</v>
      </c>
      <c r="D634">
        <v>0.3</v>
      </c>
      <c r="E634">
        <v>0.05</v>
      </c>
      <c r="F634">
        <v>0.05</v>
      </c>
      <c r="G634">
        <v>0.05</v>
      </c>
    </row>
    <row r="635" spans="1:7">
      <c r="A635">
        <v>7150</v>
      </c>
      <c r="B635" s="107" t="s">
        <v>1912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>
      <c r="A636">
        <v>7164</v>
      </c>
      <c r="B636" s="107" t="s">
        <v>1913</v>
      </c>
      <c r="C636">
        <v>0</v>
      </c>
      <c r="D636" s="107" t="s">
        <v>235</v>
      </c>
      <c r="E636" s="107" t="s">
        <v>235</v>
      </c>
      <c r="F636" s="107" t="s">
        <v>235</v>
      </c>
      <c r="G636" s="107" t="s">
        <v>235</v>
      </c>
    </row>
    <row r="637" spans="1:7">
      <c r="A637">
        <v>7173</v>
      </c>
      <c r="B637" s="107" t="s">
        <v>1914</v>
      </c>
      <c r="C637">
        <v>0</v>
      </c>
      <c r="D637" s="107">
        <v>0</v>
      </c>
      <c r="E637" s="107">
        <v>0</v>
      </c>
      <c r="F637" s="107">
        <v>0</v>
      </c>
      <c r="G637" s="107">
        <v>0</v>
      </c>
    </row>
    <row r="638" spans="1:7">
      <c r="A638">
        <v>7180</v>
      </c>
      <c r="B638" s="107" t="s">
        <v>1915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7181</v>
      </c>
      <c r="B639" s="107" t="s">
        <v>137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>
      <c r="A640">
        <v>7184</v>
      </c>
      <c r="B640" s="107" t="s">
        <v>1916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7186</v>
      </c>
      <c r="B641" s="107" t="s">
        <v>1308</v>
      </c>
      <c r="C641">
        <v>0</v>
      </c>
      <c r="D641">
        <v>0.15</v>
      </c>
      <c r="E641">
        <v>0</v>
      </c>
      <c r="F641">
        <v>0.05</v>
      </c>
      <c r="G641">
        <v>0</v>
      </c>
    </row>
    <row r="642" spans="1:7">
      <c r="A642">
        <v>7187</v>
      </c>
      <c r="B642" s="107" t="s">
        <v>1917</v>
      </c>
      <c r="C642">
        <v>0</v>
      </c>
      <c r="D642">
        <v>0</v>
      </c>
      <c r="E642" s="107" t="s">
        <v>235</v>
      </c>
      <c r="F642" s="107" t="s">
        <v>235</v>
      </c>
      <c r="G642" s="107" t="s">
        <v>235</v>
      </c>
    </row>
    <row r="643" spans="1:7">
      <c r="A643">
        <v>7189</v>
      </c>
      <c r="B643" s="107" t="s">
        <v>81</v>
      </c>
      <c r="C643">
        <v>0</v>
      </c>
      <c r="D643">
        <v>0</v>
      </c>
      <c r="E643" s="107">
        <v>0.05</v>
      </c>
      <c r="F643" s="107">
        <v>0</v>
      </c>
      <c r="G643" s="107">
        <v>0.05</v>
      </c>
    </row>
    <row r="644" spans="1:7">
      <c r="A644">
        <v>7190</v>
      </c>
      <c r="B644" s="107" t="s">
        <v>1918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7191</v>
      </c>
      <c r="B645" s="107" t="s">
        <v>1919</v>
      </c>
      <c r="C645">
        <v>0</v>
      </c>
      <c r="D645" s="107" t="s">
        <v>235</v>
      </c>
      <c r="E645">
        <v>0</v>
      </c>
      <c r="F645">
        <v>0</v>
      </c>
      <c r="G645">
        <v>0</v>
      </c>
    </row>
    <row r="646" spans="1:7">
      <c r="A646">
        <v>7201</v>
      </c>
      <c r="B646" s="107" t="s">
        <v>1920</v>
      </c>
      <c r="C646">
        <v>0</v>
      </c>
      <c r="D646" s="107">
        <v>0</v>
      </c>
      <c r="E646">
        <v>0</v>
      </c>
      <c r="F646">
        <v>0</v>
      </c>
      <c r="G646">
        <v>0</v>
      </c>
    </row>
    <row r="647" spans="1:7">
      <c r="A647">
        <v>7202</v>
      </c>
      <c r="B647" s="107" t="s">
        <v>1921</v>
      </c>
      <c r="C647">
        <v>0.05</v>
      </c>
      <c r="D647">
        <v>0</v>
      </c>
      <c r="E647">
        <v>0.05</v>
      </c>
      <c r="F647">
        <v>0</v>
      </c>
      <c r="G647">
        <v>0.05</v>
      </c>
    </row>
    <row r="648" spans="1:7">
      <c r="A648">
        <v>7203</v>
      </c>
      <c r="B648" s="107" t="s">
        <v>329</v>
      </c>
      <c r="C648">
        <v>0.15</v>
      </c>
      <c r="D648">
        <v>0.45</v>
      </c>
      <c r="E648">
        <v>0.15</v>
      </c>
      <c r="F648">
        <v>0.15</v>
      </c>
      <c r="G648">
        <v>0.15</v>
      </c>
    </row>
    <row r="649" spans="1:7">
      <c r="A649">
        <v>7205</v>
      </c>
      <c r="B649" s="107" t="s">
        <v>117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>
      <c r="A650">
        <v>7220</v>
      </c>
      <c r="B650" s="107" t="s">
        <v>1922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>
      <c r="A651">
        <v>7222</v>
      </c>
      <c r="B651" s="107" t="s">
        <v>1923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>
      <c r="A652">
        <v>7224</v>
      </c>
      <c r="B652" s="107" t="s">
        <v>1924</v>
      </c>
      <c r="C652">
        <v>0</v>
      </c>
      <c r="D652">
        <v>0</v>
      </c>
      <c r="E652">
        <v>0</v>
      </c>
      <c r="F652">
        <v>0.05</v>
      </c>
      <c r="G652">
        <v>0.05</v>
      </c>
    </row>
    <row r="653" spans="1:7">
      <c r="A653">
        <v>7226</v>
      </c>
      <c r="B653" s="107" t="s">
        <v>1925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>
      <c r="A654">
        <v>7231</v>
      </c>
      <c r="B654" s="107" t="s">
        <v>1926</v>
      </c>
      <c r="C654">
        <v>0</v>
      </c>
      <c r="D654">
        <v>0</v>
      </c>
      <c r="E654">
        <v>0</v>
      </c>
      <c r="F654">
        <v>0.05</v>
      </c>
      <c r="G654">
        <v>0</v>
      </c>
    </row>
    <row r="655" spans="1:7">
      <c r="A655">
        <v>7236</v>
      </c>
      <c r="B655" s="107" t="s">
        <v>1927</v>
      </c>
      <c r="C655">
        <v>0</v>
      </c>
      <c r="D655">
        <v>0</v>
      </c>
      <c r="E655" s="107" t="s">
        <v>235</v>
      </c>
      <c r="F655">
        <v>0</v>
      </c>
      <c r="G655">
        <v>0</v>
      </c>
    </row>
    <row r="656" spans="1:7">
      <c r="A656">
        <v>7239</v>
      </c>
      <c r="B656" s="107" t="s">
        <v>1928</v>
      </c>
      <c r="C656">
        <v>0.05</v>
      </c>
      <c r="D656">
        <v>0.15</v>
      </c>
      <c r="E656" s="107">
        <v>0.05</v>
      </c>
      <c r="F656">
        <v>0.05</v>
      </c>
      <c r="G656">
        <v>0.05</v>
      </c>
    </row>
    <row r="657" spans="1:7">
      <c r="A657">
        <v>7240</v>
      </c>
      <c r="B657" s="107" t="s">
        <v>1929</v>
      </c>
      <c r="C657">
        <v>0.05</v>
      </c>
      <c r="D657">
        <v>0.15</v>
      </c>
      <c r="E657">
        <v>0.05</v>
      </c>
      <c r="F657">
        <v>0.05</v>
      </c>
      <c r="G657">
        <v>0.05</v>
      </c>
    </row>
    <row r="658" spans="1:7">
      <c r="A658">
        <v>7244</v>
      </c>
      <c r="B658" s="107" t="s">
        <v>1930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>
      <c r="A659">
        <v>7261</v>
      </c>
      <c r="B659" s="107" t="s">
        <v>1331</v>
      </c>
      <c r="C659">
        <v>0</v>
      </c>
      <c r="D659">
        <v>0</v>
      </c>
      <c r="E659">
        <v>0</v>
      </c>
      <c r="F659">
        <v>0.05</v>
      </c>
      <c r="G659">
        <v>0</v>
      </c>
    </row>
    <row r="660" spans="1:7">
      <c r="A660">
        <v>7272</v>
      </c>
      <c r="B660" s="107" t="s">
        <v>300</v>
      </c>
      <c r="C660">
        <v>0</v>
      </c>
      <c r="D660">
        <v>0.15</v>
      </c>
      <c r="E660">
        <v>0.05</v>
      </c>
      <c r="F660">
        <v>0.05</v>
      </c>
      <c r="G660">
        <v>0.05</v>
      </c>
    </row>
    <row r="661" spans="1:7">
      <c r="A661">
        <v>7277</v>
      </c>
      <c r="B661" s="107" t="s">
        <v>1931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7278</v>
      </c>
      <c r="B662" s="107" t="s">
        <v>83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>
      <c r="A663">
        <v>7280</v>
      </c>
      <c r="B663" s="107" t="s">
        <v>1932</v>
      </c>
      <c r="C663">
        <v>0.05</v>
      </c>
      <c r="D663">
        <v>0.15</v>
      </c>
      <c r="E663">
        <v>0.05</v>
      </c>
      <c r="F663">
        <v>0.05</v>
      </c>
      <c r="G663">
        <v>0.05</v>
      </c>
    </row>
    <row r="664" spans="1:7">
      <c r="A664">
        <v>7282</v>
      </c>
      <c r="B664" s="107" t="s">
        <v>953</v>
      </c>
      <c r="C664">
        <v>0.05</v>
      </c>
      <c r="D664">
        <v>0.15</v>
      </c>
      <c r="E664">
        <v>0.05</v>
      </c>
      <c r="F664">
        <v>0.05</v>
      </c>
      <c r="G664">
        <v>0.05</v>
      </c>
    </row>
    <row r="665" spans="1:7">
      <c r="A665">
        <v>7283</v>
      </c>
      <c r="B665" s="107" t="s">
        <v>1933</v>
      </c>
      <c r="C665">
        <v>0</v>
      </c>
      <c r="D665" s="107" t="s">
        <v>235</v>
      </c>
      <c r="E665">
        <v>0.05</v>
      </c>
      <c r="F665" s="107" t="s">
        <v>235</v>
      </c>
      <c r="G665" s="107" t="s">
        <v>235</v>
      </c>
    </row>
    <row r="666" spans="1:7">
      <c r="A666">
        <v>7296</v>
      </c>
      <c r="B666" s="107" t="s">
        <v>1934</v>
      </c>
      <c r="C666">
        <v>0</v>
      </c>
      <c r="D666" s="107">
        <v>0</v>
      </c>
      <c r="E666" s="107" t="s">
        <v>235</v>
      </c>
      <c r="F666" s="107">
        <v>0.05</v>
      </c>
      <c r="G666" s="107" t="s">
        <v>235</v>
      </c>
    </row>
    <row r="667" spans="1:7">
      <c r="A667">
        <v>7309</v>
      </c>
      <c r="B667" s="107" t="s">
        <v>1935</v>
      </c>
      <c r="C667">
        <v>0.3</v>
      </c>
      <c r="D667">
        <v>0.9</v>
      </c>
      <c r="E667" s="107">
        <v>0.3</v>
      </c>
      <c r="F667">
        <v>0.3</v>
      </c>
      <c r="G667" s="107">
        <v>0.3</v>
      </c>
    </row>
    <row r="668" spans="1:7">
      <c r="A668">
        <v>7313</v>
      </c>
      <c r="B668" s="107" t="s">
        <v>1936</v>
      </c>
      <c r="C668">
        <v>0.1</v>
      </c>
      <c r="D668">
        <v>0.3</v>
      </c>
      <c r="E668">
        <v>0.1</v>
      </c>
      <c r="F668">
        <v>0.1</v>
      </c>
      <c r="G668">
        <v>0.1</v>
      </c>
    </row>
    <row r="669" spans="1:7">
      <c r="A669">
        <v>7321</v>
      </c>
      <c r="B669" s="107" t="s">
        <v>1937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>
      <c r="A670">
        <v>7416</v>
      </c>
      <c r="B670" s="107" t="s">
        <v>1938</v>
      </c>
      <c r="C670">
        <v>0.05</v>
      </c>
      <c r="D670">
        <v>0.15</v>
      </c>
      <c r="E670">
        <v>0.05</v>
      </c>
      <c r="F670">
        <v>0.05</v>
      </c>
      <c r="G670">
        <v>0.05</v>
      </c>
    </row>
    <row r="671" spans="1:7">
      <c r="A671">
        <v>7417</v>
      </c>
      <c r="B671" s="107" t="s">
        <v>1939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>
      <c r="A672">
        <v>7420</v>
      </c>
      <c r="B672" s="107" t="s">
        <v>1940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>
      <c r="A673">
        <v>7427</v>
      </c>
      <c r="B673" s="107" t="s">
        <v>1941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>
      <c r="A674">
        <v>7442</v>
      </c>
      <c r="B674" s="107" t="s">
        <v>1942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>
      <c r="A675">
        <v>7445</v>
      </c>
      <c r="B675" s="107" t="s">
        <v>1943</v>
      </c>
      <c r="C675">
        <v>0.05</v>
      </c>
      <c r="D675">
        <v>0.15</v>
      </c>
      <c r="E675">
        <v>0.05</v>
      </c>
      <c r="F675">
        <v>0.05</v>
      </c>
      <c r="G675">
        <v>0.05</v>
      </c>
    </row>
    <row r="676" spans="1:7">
      <c r="A676">
        <v>7447</v>
      </c>
      <c r="B676" s="107" t="s">
        <v>1944</v>
      </c>
      <c r="C676">
        <v>0.05</v>
      </c>
      <c r="D676">
        <v>0</v>
      </c>
      <c r="E676">
        <v>0</v>
      </c>
      <c r="F676">
        <v>0.05</v>
      </c>
      <c r="G676">
        <v>0.05</v>
      </c>
    </row>
    <row r="677" spans="1:7">
      <c r="A677">
        <v>7451</v>
      </c>
      <c r="B677" s="107" t="s">
        <v>1945</v>
      </c>
      <c r="C677">
        <v>0</v>
      </c>
      <c r="D677">
        <v>0</v>
      </c>
      <c r="E677">
        <v>0.05</v>
      </c>
      <c r="F677">
        <v>0.05</v>
      </c>
      <c r="G677">
        <v>0.05</v>
      </c>
    </row>
    <row r="678" spans="1:7">
      <c r="A678">
        <v>7453</v>
      </c>
      <c r="B678" s="107" t="s">
        <v>104</v>
      </c>
      <c r="C678">
        <v>0</v>
      </c>
      <c r="D678" s="107" t="s">
        <v>235</v>
      </c>
      <c r="E678">
        <v>0</v>
      </c>
      <c r="F678">
        <v>0</v>
      </c>
      <c r="G678">
        <v>0</v>
      </c>
    </row>
    <row r="679" spans="1:7">
      <c r="A679">
        <v>7458</v>
      </c>
      <c r="B679" s="107" t="s">
        <v>1946</v>
      </c>
      <c r="C679">
        <v>0.1</v>
      </c>
      <c r="D679" s="107">
        <v>0</v>
      </c>
      <c r="E679">
        <v>0.1</v>
      </c>
      <c r="F679">
        <v>0.1</v>
      </c>
      <c r="G679">
        <v>0.1</v>
      </c>
    </row>
    <row r="680" spans="1:7">
      <c r="A680">
        <v>7459</v>
      </c>
      <c r="B680" s="107" t="s">
        <v>1947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>
      <c r="A681">
        <v>7463</v>
      </c>
      <c r="B681" s="107" t="s">
        <v>1948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>
      <c r="A682">
        <v>7475</v>
      </c>
      <c r="B682" s="107" t="s">
        <v>1949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>
      <c r="A683">
        <v>7476</v>
      </c>
      <c r="B683" s="107" t="s">
        <v>1950</v>
      </c>
      <c r="C683">
        <v>0</v>
      </c>
      <c r="D683">
        <v>0</v>
      </c>
      <c r="E683">
        <v>0.2</v>
      </c>
      <c r="F683">
        <v>0</v>
      </c>
      <c r="G683">
        <v>0</v>
      </c>
    </row>
    <row r="684" spans="1:7">
      <c r="A684">
        <v>7480</v>
      </c>
      <c r="B684" s="107" t="s">
        <v>1951</v>
      </c>
      <c r="C684">
        <v>0.05</v>
      </c>
      <c r="D684">
        <v>0.15</v>
      </c>
      <c r="E684">
        <v>0.05</v>
      </c>
      <c r="F684">
        <v>0.05</v>
      </c>
      <c r="G684">
        <v>0.05</v>
      </c>
    </row>
    <row r="685" spans="1:7">
      <c r="A685">
        <v>7482</v>
      </c>
      <c r="B685" s="107" t="s">
        <v>1952</v>
      </c>
      <c r="C685">
        <v>0.05</v>
      </c>
      <c r="D685">
        <v>0.15</v>
      </c>
      <c r="E685">
        <v>0.05</v>
      </c>
      <c r="F685">
        <v>0.05</v>
      </c>
      <c r="G685">
        <v>0.05</v>
      </c>
    </row>
    <row r="686" spans="1:7">
      <c r="A686">
        <v>7487</v>
      </c>
      <c r="B686" s="107" t="s">
        <v>1953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>
      <c r="A687">
        <v>7494</v>
      </c>
      <c r="B687" s="107" t="s">
        <v>1954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>
      <c r="A688">
        <v>7506</v>
      </c>
      <c r="B688" s="107" t="s">
        <v>1955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>
      <c r="A689">
        <v>7510</v>
      </c>
      <c r="B689" s="107" t="s">
        <v>1956</v>
      </c>
      <c r="C689">
        <v>0</v>
      </c>
      <c r="D689">
        <v>0.15</v>
      </c>
      <c r="E689">
        <v>0.05</v>
      </c>
      <c r="F689">
        <v>0</v>
      </c>
      <c r="G689" s="107" t="s">
        <v>235</v>
      </c>
    </row>
    <row r="690" spans="1:7">
      <c r="A690">
        <v>7518</v>
      </c>
      <c r="B690" s="107" t="s">
        <v>1957</v>
      </c>
      <c r="C690">
        <v>0</v>
      </c>
      <c r="D690">
        <v>0</v>
      </c>
      <c r="E690">
        <v>0</v>
      </c>
      <c r="F690">
        <v>0</v>
      </c>
      <c r="G690" s="107">
        <v>0</v>
      </c>
    </row>
    <row r="691" spans="1:7">
      <c r="A691">
        <v>7522</v>
      </c>
      <c r="B691" s="107" t="s">
        <v>1958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7524</v>
      </c>
      <c r="B692" s="107" t="s">
        <v>1959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7525</v>
      </c>
      <c r="B693" s="107" t="s">
        <v>1960</v>
      </c>
      <c r="C693">
        <v>0</v>
      </c>
      <c r="D693">
        <v>0</v>
      </c>
      <c r="E693">
        <v>0.05</v>
      </c>
      <c r="F693">
        <v>0</v>
      </c>
      <c r="G693">
        <v>0.05</v>
      </c>
    </row>
    <row r="694" spans="1:7">
      <c r="A694">
        <v>7532</v>
      </c>
      <c r="B694" s="107" t="s">
        <v>1961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7545</v>
      </c>
      <c r="B695" s="107" t="s">
        <v>1962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>
      <c r="A696">
        <v>7550</v>
      </c>
      <c r="B696" s="107" t="s">
        <v>1963</v>
      </c>
      <c r="C696">
        <v>0</v>
      </c>
      <c r="D696">
        <v>0</v>
      </c>
      <c r="E696">
        <v>0</v>
      </c>
      <c r="F696">
        <v>0</v>
      </c>
      <c r="G696" s="107" t="s">
        <v>235</v>
      </c>
    </row>
    <row r="697" spans="1:7">
      <c r="A697">
        <v>7570</v>
      </c>
      <c r="B697" s="107" t="s">
        <v>1964</v>
      </c>
      <c r="C697">
        <v>0.05</v>
      </c>
      <c r="D697">
        <v>0.15</v>
      </c>
      <c r="E697">
        <v>0.05</v>
      </c>
      <c r="F697">
        <v>0</v>
      </c>
      <c r="G697" s="107">
        <v>0</v>
      </c>
    </row>
    <row r="698" spans="1:7">
      <c r="A698">
        <v>7593</v>
      </c>
      <c r="B698" s="107" t="s">
        <v>1965</v>
      </c>
      <c r="C698">
        <v>0</v>
      </c>
      <c r="D698">
        <v>0</v>
      </c>
      <c r="E698">
        <v>0</v>
      </c>
      <c r="F698">
        <v>0.05</v>
      </c>
      <c r="G698">
        <v>0.05</v>
      </c>
    </row>
    <row r="699" spans="1:7">
      <c r="A699">
        <v>7599</v>
      </c>
      <c r="B699" s="107" t="s">
        <v>1966</v>
      </c>
      <c r="C699">
        <v>0</v>
      </c>
      <c r="D699">
        <v>0.15</v>
      </c>
      <c r="E699">
        <v>0.05</v>
      </c>
      <c r="F699">
        <v>0</v>
      </c>
      <c r="G699">
        <v>0.05</v>
      </c>
    </row>
    <row r="700" spans="1:7">
      <c r="A700">
        <v>7601</v>
      </c>
      <c r="B700" s="107" t="s">
        <v>1967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>
      <c r="A701">
        <v>7605</v>
      </c>
      <c r="B701" s="107" t="s">
        <v>1968</v>
      </c>
      <c r="C701">
        <v>0</v>
      </c>
      <c r="D701" s="107" t="s">
        <v>235</v>
      </c>
      <c r="E701" s="107" t="s">
        <v>235</v>
      </c>
      <c r="F701" s="107" t="s">
        <v>235</v>
      </c>
      <c r="G701" s="107" t="s">
        <v>235</v>
      </c>
    </row>
    <row r="702" spans="1:7">
      <c r="A702">
        <v>7611</v>
      </c>
      <c r="B702" s="107" t="s">
        <v>1969</v>
      </c>
      <c r="C702">
        <v>0.05</v>
      </c>
      <c r="D702" s="107">
        <v>0.15</v>
      </c>
      <c r="E702" s="107">
        <v>0.05</v>
      </c>
      <c r="F702" s="107">
        <v>0.05</v>
      </c>
      <c r="G702" s="107">
        <v>0.05</v>
      </c>
    </row>
    <row r="703" spans="1:7">
      <c r="A703">
        <v>7613</v>
      </c>
      <c r="B703" s="107" t="s">
        <v>1970</v>
      </c>
      <c r="C703">
        <v>0</v>
      </c>
      <c r="D703">
        <v>0.15</v>
      </c>
      <c r="E703">
        <v>0.05</v>
      </c>
      <c r="F703">
        <v>0</v>
      </c>
      <c r="G703">
        <v>0</v>
      </c>
    </row>
    <row r="704" spans="1:7">
      <c r="A704">
        <v>7615</v>
      </c>
      <c r="B704" s="107" t="s">
        <v>1971</v>
      </c>
      <c r="C704">
        <v>0</v>
      </c>
      <c r="D704">
        <v>0</v>
      </c>
      <c r="E704">
        <v>0</v>
      </c>
      <c r="F704">
        <v>0.05</v>
      </c>
      <c r="G704">
        <v>0</v>
      </c>
    </row>
    <row r="705" spans="1:7">
      <c r="A705">
        <v>7616</v>
      </c>
      <c r="B705" s="107" t="s">
        <v>1972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>
      <c r="A706">
        <v>7628</v>
      </c>
      <c r="B706" s="107" t="s">
        <v>1973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7630</v>
      </c>
      <c r="B707" s="107" t="s">
        <v>1974</v>
      </c>
      <c r="C707">
        <v>0.1</v>
      </c>
      <c r="D707">
        <v>0.3</v>
      </c>
      <c r="E707">
        <v>0.1</v>
      </c>
      <c r="F707">
        <v>0.1</v>
      </c>
      <c r="G707">
        <v>0.1</v>
      </c>
    </row>
    <row r="708" spans="1:7">
      <c r="A708">
        <v>7637</v>
      </c>
      <c r="B708" s="107" t="s">
        <v>1975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>
      <c r="A709">
        <v>7640</v>
      </c>
      <c r="B709" s="107" t="s">
        <v>1976</v>
      </c>
      <c r="C709">
        <v>0</v>
      </c>
      <c r="D709">
        <v>0</v>
      </c>
      <c r="E709">
        <v>0</v>
      </c>
      <c r="F709">
        <v>0</v>
      </c>
      <c r="G709" s="107" t="s">
        <v>235</v>
      </c>
    </row>
    <row r="710" spans="1:7">
      <c r="A710">
        <v>7701</v>
      </c>
      <c r="B710" s="107" t="s">
        <v>1977</v>
      </c>
      <c r="C710">
        <v>0.05</v>
      </c>
      <c r="D710">
        <v>0.3</v>
      </c>
      <c r="E710">
        <v>0.05</v>
      </c>
      <c r="F710">
        <v>0.1</v>
      </c>
      <c r="G710" s="107">
        <v>0.05</v>
      </c>
    </row>
    <row r="711" spans="1:7">
      <c r="A711">
        <v>7702</v>
      </c>
      <c r="B711" s="107" t="s">
        <v>1978</v>
      </c>
      <c r="C711">
        <v>0</v>
      </c>
      <c r="D711">
        <v>0</v>
      </c>
      <c r="E711">
        <v>0</v>
      </c>
      <c r="F711" s="107" t="s">
        <v>235</v>
      </c>
      <c r="G711">
        <v>0</v>
      </c>
    </row>
    <row r="712" spans="1:7">
      <c r="A712">
        <v>7723</v>
      </c>
      <c r="B712" s="107" t="s">
        <v>1979</v>
      </c>
      <c r="C712">
        <v>0</v>
      </c>
      <c r="D712">
        <v>0</v>
      </c>
      <c r="E712">
        <v>0</v>
      </c>
      <c r="F712" s="107">
        <v>0.05</v>
      </c>
      <c r="G712">
        <v>0</v>
      </c>
    </row>
    <row r="713" spans="1:7">
      <c r="A713">
        <v>7727</v>
      </c>
      <c r="B713" s="107" t="s">
        <v>1980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>
      <c r="A714">
        <v>7729</v>
      </c>
      <c r="B714" s="107" t="s">
        <v>1311</v>
      </c>
      <c r="C714">
        <v>0.1</v>
      </c>
      <c r="D714">
        <v>0.3</v>
      </c>
      <c r="E714">
        <v>0.05</v>
      </c>
      <c r="F714">
        <v>0.1</v>
      </c>
      <c r="G714">
        <v>0.1</v>
      </c>
    </row>
    <row r="715" spans="1:7">
      <c r="A715">
        <v>7730</v>
      </c>
      <c r="B715" s="107" t="s">
        <v>1981</v>
      </c>
      <c r="C715">
        <v>0</v>
      </c>
      <c r="D715">
        <v>0</v>
      </c>
      <c r="E715">
        <v>0.05</v>
      </c>
      <c r="F715">
        <v>0.05</v>
      </c>
      <c r="G715">
        <v>0.05</v>
      </c>
    </row>
    <row r="716" spans="1:7">
      <c r="A716">
        <v>7733</v>
      </c>
      <c r="B716" s="107" t="s">
        <v>1982</v>
      </c>
      <c r="C716">
        <v>0.05</v>
      </c>
      <c r="D716">
        <v>0.15</v>
      </c>
      <c r="E716">
        <v>0.05</v>
      </c>
      <c r="F716">
        <v>0.05</v>
      </c>
      <c r="G716">
        <v>0.05</v>
      </c>
    </row>
    <row r="717" spans="1:7">
      <c r="A717">
        <v>7740</v>
      </c>
      <c r="B717" s="107" t="s">
        <v>1983</v>
      </c>
      <c r="C717">
        <v>0.05</v>
      </c>
      <c r="D717">
        <v>0.15</v>
      </c>
      <c r="E717">
        <v>0.05</v>
      </c>
      <c r="F717">
        <v>0.05</v>
      </c>
      <c r="G717">
        <v>0.05</v>
      </c>
    </row>
    <row r="718" spans="1:7">
      <c r="A718">
        <v>7743</v>
      </c>
      <c r="B718" s="107" t="s">
        <v>1984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>
      <c r="A719">
        <v>7747</v>
      </c>
      <c r="B719" s="107" t="s">
        <v>1985</v>
      </c>
      <c r="C719">
        <v>0.1</v>
      </c>
      <c r="D719">
        <v>0.3</v>
      </c>
      <c r="E719">
        <v>0.05</v>
      </c>
      <c r="F719">
        <v>0.05</v>
      </c>
      <c r="G719">
        <v>0.05</v>
      </c>
    </row>
    <row r="720" spans="1:7">
      <c r="A720">
        <v>7752</v>
      </c>
      <c r="B720" s="107" t="s">
        <v>1986</v>
      </c>
      <c r="C720">
        <v>0.05</v>
      </c>
      <c r="D720">
        <v>0.15</v>
      </c>
      <c r="E720">
        <v>0.05</v>
      </c>
      <c r="F720">
        <v>0.05</v>
      </c>
      <c r="G720">
        <v>0.05</v>
      </c>
    </row>
    <row r="721" spans="1:7">
      <c r="A721">
        <v>7762</v>
      </c>
      <c r="B721" s="107" t="s">
        <v>107</v>
      </c>
      <c r="C721">
        <v>0</v>
      </c>
      <c r="D721">
        <v>0.15</v>
      </c>
      <c r="E721">
        <v>0</v>
      </c>
      <c r="F721">
        <v>0.05</v>
      </c>
      <c r="G721">
        <v>0.05</v>
      </c>
    </row>
    <row r="722" spans="1:7">
      <c r="A722">
        <v>7769</v>
      </c>
      <c r="B722" s="107" t="s">
        <v>1987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7782</v>
      </c>
      <c r="B723" s="107" t="s">
        <v>1988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7819</v>
      </c>
      <c r="B724" s="107" t="s">
        <v>1989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>
      <c r="A725">
        <v>7822</v>
      </c>
      <c r="B725" s="107" t="s">
        <v>1990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7832</v>
      </c>
      <c r="B726" s="107" t="s">
        <v>1991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>
      <c r="A727">
        <v>7840</v>
      </c>
      <c r="B727" s="107" t="s">
        <v>1992</v>
      </c>
      <c r="C727">
        <v>0.05</v>
      </c>
      <c r="D727">
        <v>0.15</v>
      </c>
      <c r="E727">
        <v>0.05</v>
      </c>
      <c r="F727">
        <v>0.05</v>
      </c>
      <c r="G727">
        <v>0.05</v>
      </c>
    </row>
    <row r="728" spans="1:7">
      <c r="A728">
        <v>7844</v>
      </c>
      <c r="B728" s="107" t="s">
        <v>1993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7846</v>
      </c>
      <c r="B729" s="107" t="s">
        <v>1994</v>
      </c>
      <c r="C729">
        <v>0.1</v>
      </c>
      <c r="D729">
        <v>0.3</v>
      </c>
      <c r="E729">
        <v>0.1</v>
      </c>
      <c r="F729">
        <v>0.1</v>
      </c>
      <c r="G729">
        <v>0.1</v>
      </c>
    </row>
    <row r="730" spans="1:7">
      <c r="A730">
        <v>7856</v>
      </c>
      <c r="B730" s="107" t="s">
        <v>1995</v>
      </c>
      <c r="C730">
        <v>0</v>
      </c>
      <c r="D730">
        <v>0</v>
      </c>
      <c r="E730">
        <v>0</v>
      </c>
      <c r="F730" s="107" t="s">
        <v>235</v>
      </c>
      <c r="G730" s="107" t="s">
        <v>235</v>
      </c>
    </row>
    <row r="731" spans="1:7">
      <c r="A731">
        <v>7860</v>
      </c>
      <c r="B731" s="107" t="s">
        <v>1996</v>
      </c>
      <c r="C731">
        <v>0</v>
      </c>
      <c r="D731">
        <v>0.15</v>
      </c>
      <c r="E731">
        <v>0.05</v>
      </c>
      <c r="F731" s="107">
        <v>0.05</v>
      </c>
      <c r="G731" s="107">
        <v>0.05</v>
      </c>
    </row>
    <row r="732" spans="1:7">
      <c r="A732">
        <v>7862</v>
      </c>
      <c r="B732" s="107" t="s">
        <v>1997</v>
      </c>
      <c r="C732">
        <v>0.05</v>
      </c>
      <c r="D732" s="107" t="s">
        <v>235</v>
      </c>
      <c r="E732" s="107" t="s">
        <v>235</v>
      </c>
      <c r="F732" s="107" t="s">
        <v>235</v>
      </c>
      <c r="G732">
        <v>0.05</v>
      </c>
    </row>
    <row r="733" spans="1:7">
      <c r="A733">
        <v>7885</v>
      </c>
      <c r="B733" s="107" t="s">
        <v>1998</v>
      </c>
      <c r="C733">
        <v>0.05</v>
      </c>
      <c r="D733" s="107">
        <v>0.15</v>
      </c>
      <c r="E733" s="107">
        <v>0.05</v>
      </c>
      <c r="F733" s="107">
        <v>0.05</v>
      </c>
      <c r="G733">
        <v>0.05</v>
      </c>
    </row>
    <row r="734" spans="1:7">
      <c r="A734">
        <v>7898</v>
      </c>
      <c r="B734" s="107" t="s">
        <v>1999</v>
      </c>
      <c r="C734">
        <v>0.05</v>
      </c>
      <c r="D734">
        <v>0</v>
      </c>
      <c r="E734">
        <v>0.05</v>
      </c>
      <c r="F734">
        <v>0</v>
      </c>
      <c r="G734">
        <v>0.05</v>
      </c>
    </row>
    <row r="735" spans="1:7">
      <c r="A735">
        <v>7911</v>
      </c>
      <c r="B735" s="107" t="s">
        <v>2000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>
      <c r="A736">
        <v>7912</v>
      </c>
      <c r="B736" s="107" t="s">
        <v>2001</v>
      </c>
      <c r="C736">
        <v>0.05</v>
      </c>
      <c r="D736">
        <v>0.15</v>
      </c>
      <c r="E736">
        <v>0.05</v>
      </c>
      <c r="F736">
        <v>0.05</v>
      </c>
      <c r="G736">
        <v>0.05</v>
      </c>
    </row>
    <row r="737" spans="1:7">
      <c r="A737">
        <v>7916</v>
      </c>
      <c r="B737" s="107" t="s">
        <v>2002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>
      <c r="A738">
        <v>7917</v>
      </c>
      <c r="B738" s="107" t="s">
        <v>2003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>
      <c r="A739">
        <v>7931</v>
      </c>
      <c r="B739" s="107" t="s">
        <v>2004</v>
      </c>
      <c r="C739">
        <v>0</v>
      </c>
      <c r="D739">
        <v>0</v>
      </c>
      <c r="E739" s="107" t="s">
        <v>235</v>
      </c>
      <c r="F739">
        <v>0.05</v>
      </c>
      <c r="G739" s="107" t="s">
        <v>235</v>
      </c>
    </row>
    <row r="740" spans="1:7">
      <c r="A740">
        <v>7936</v>
      </c>
      <c r="B740" s="107" t="s">
        <v>2005</v>
      </c>
      <c r="C740">
        <v>0.05</v>
      </c>
      <c r="D740">
        <v>0</v>
      </c>
      <c r="E740" s="107">
        <v>0.05</v>
      </c>
      <c r="F740">
        <v>0.05</v>
      </c>
      <c r="G740" s="107">
        <v>0.05</v>
      </c>
    </row>
    <row r="741" spans="1:7">
      <c r="A741">
        <v>7937</v>
      </c>
      <c r="B741" s="107" t="s">
        <v>2006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>
      <c r="A742">
        <v>7949</v>
      </c>
      <c r="B742" s="107" t="s">
        <v>2007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>
      <c r="A743">
        <v>7951</v>
      </c>
      <c r="B743" s="107" t="s">
        <v>2008</v>
      </c>
      <c r="C743">
        <v>0.1</v>
      </c>
      <c r="D743">
        <v>0.3</v>
      </c>
      <c r="E743">
        <v>0.15</v>
      </c>
      <c r="F743">
        <v>0.15</v>
      </c>
      <c r="G743">
        <v>0.15</v>
      </c>
    </row>
    <row r="744" spans="1:7">
      <c r="A744">
        <v>7952</v>
      </c>
      <c r="B744" s="107" t="s">
        <v>2009</v>
      </c>
      <c r="C744">
        <v>0.1</v>
      </c>
      <c r="D744">
        <v>0.3</v>
      </c>
      <c r="E744">
        <v>0.1</v>
      </c>
      <c r="F744">
        <v>0.1</v>
      </c>
      <c r="G744">
        <v>0.1</v>
      </c>
    </row>
    <row r="745" spans="1:7">
      <c r="A745">
        <v>7955</v>
      </c>
      <c r="B745" s="107" t="s">
        <v>2010</v>
      </c>
      <c r="C745">
        <v>0</v>
      </c>
      <c r="D745" s="107" t="s">
        <v>235</v>
      </c>
      <c r="E745">
        <v>0</v>
      </c>
      <c r="F745" s="107" t="s">
        <v>235</v>
      </c>
      <c r="G745" s="107" t="s">
        <v>235</v>
      </c>
    </row>
    <row r="746" spans="1:7">
      <c r="A746">
        <v>7962</v>
      </c>
      <c r="B746" s="107" t="s">
        <v>2011</v>
      </c>
      <c r="C746">
        <v>0.05</v>
      </c>
      <c r="D746" s="107">
        <v>0.15</v>
      </c>
      <c r="E746">
        <v>0.05</v>
      </c>
      <c r="F746" s="107">
        <v>0.05</v>
      </c>
      <c r="G746" s="107">
        <v>0.05</v>
      </c>
    </row>
    <row r="747" spans="1:7">
      <c r="A747">
        <v>7965</v>
      </c>
      <c r="B747" s="107" t="s">
        <v>2012</v>
      </c>
      <c r="C747">
        <v>0.05</v>
      </c>
      <c r="D747">
        <v>0.3</v>
      </c>
      <c r="E747">
        <v>0.05</v>
      </c>
      <c r="F747">
        <v>0.1</v>
      </c>
      <c r="G747">
        <v>0.05</v>
      </c>
    </row>
    <row r="748" spans="1:7">
      <c r="A748">
        <v>7970</v>
      </c>
      <c r="B748" s="107" t="s">
        <v>2013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>
      <c r="A749">
        <v>7979</v>
      </c>
      <c r="B749" s="107" t="s">
        <v>2014</v>
      </c>
      <c r="C749">
        <v>0</v>
      </c>
      <c r="D749" s="107" t="s">
        <v>235</v>
      </c>
      <c r="E749">
        <v>0</v>
      </c>
      <c r="F749" s="107" t="s">
        <v>235</v>
      </c>
      <c r="G749">
        <v>0</v>
      </c>
    </row>
    <row r="750" spans="1:7">
      <c r="A750">
        <v>7981</v>
      </c>
      <c r="B750" s="107" t="s">
        <v>2015</v>
      </c>
      <c r="C750">
        <v>0</v>
      </c>
      <c r="D750" s="107">
        <v>0</v>
      </c>
      <c r="E750">
        <v>0</v>
      </c>
      <c r="F750" s="107">
        <v>0</v>
      </c>
      <c r="G750">
        <v>0</v>
      </c>
    </row>
    <row r="751" spans="1:7">
      <c r="A751">
        <v>7984</v>
      </c>
      <c r="B751" s="107" t="s">
        <v>2016</v>
      </c>
      <c r="C751">
        <v>0.05</v>
      </c>
      <c r="D751">
        <v>0.15</v>
      </c>
      <c r="E751">
        <v>0.05</v>
      </c>
      <c r="F751" s="107" t="s">
        <v>235</v>
      </c>
      <c r="G751">
        <v>0.05</v>
      </c>
    </row>
    <row r="752" spans="1:7">
      <c r="A752">
        <v>7988</v>
      </c>
      <c r="B752" s="107" t="s">
        <v>2017</v>
      </c>
      <c r="C752">
        <v>0.05</v>
      </c>
      <c r="D752">
        <v>0.15</v>
      </c>
      <c r="E752">
        <v>0.1</v>
      </c>
      <c r="F752" s="107">
        <v>0.1</v>
      </c>
      <c r="G752">
        <v>0.05</v>
      </c>
    </row>
    <row r="753" spans="1:7">
      <c r="A753">
        <v>7994</v>
      </c>
      <c r="B753" s="107" t="s">
        <v>2018</v>
      </c>
      <c r="C753">
        <v>0</v>
      </c>
      <c r="D753">
        <v>0</v>
      </c>
      <c r="E753">
        <v>0</v>
      </c>
      <c r="F753" s="107" t="s">
        <v>235</v>
      </c>
      <c r="G753" s="107" t="s">
        <v>235</v>
      </c>
    </row>
    <row r="754" spans="1:7">
      <c r="A754">
        <v>7999</v>
      </c>
      <c r="B754" s="107" t="s">
        <v>2019</v>
      </c>
      <c r="C754">
        <v>0.05</v>
      </c>
      <c r="D754">
        <v>0.15</v>
      </c>
      <c r="E754">
        <v>0.05</v>
      </c>
      <c r="F754" s="107">
        <v>0.05</v>
      </c>
      <c r="G754" s="107">
        <v>0.05</v>
      </c>
    </row>
    <row r="755" spans="1:7">
      <c r="A755">
        <v>8001</v>
      </c>
      <c r="B755" s="107" t="s">
        <v>2020</v>
      </c>
      <c r="C755">
        <v>0.05</v>
      </c>
      <c r="D755">
        <v>0.15</v>
      </c>
      <c r="E755" s="107" t="s">
        <v>235</v>
      </c>
      <c r="F755">
        <v>0</v>
      </c>
      <c r="G755" s="107" t="s">
        <v>235</v>
      </c>
    </row>
    <row r="756" spans="1:7">
      <c r="A756">
        <v>8008</v>
      </c>
      <c r="B756" s="107" t="s">
        <v>2021</v>
      </c>
      <c r="C756">
        <v>0.05</v>
      </c>
      <c r="D756">
        <v>0.15</v>
      </c>
      <c r="E756" s="107">
        <v>0.05</v>
      </c>
      <c r="F756">
        <v>0.05</v>
      </c>
      <c r="G756" s="107">
        <v>0.05</v>
      </c>
    </row>
    <row r="757" spans="1:7">
      <c r="A757">
        <v>8011</v>
      </c>
      <c r="B757" s="107" t="s">
        <v>2022</v>
      </c>
      <c r="C757">
        <v>0.05</v>
      </c>
      <c r="D757">
        <v>0.15</v>
      </c>
      <c r="E757">
        <v>0.05</v>
      </c>
      <c r="F757">
        <v>0.05</v>
      </c>
      <c r="G757">
        <v>0.05</v>
      </c>
    </row>
    <row r="758" spans="1:7">
      <c r="A758">
        <v>8015</v>
      </c>
      <c r="B758" s="107" t="s">
        <v>2023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>
      <c r="A759">
        <v>8016</v>
      </c>
      <c r="B759" s="107" t="s">
        <v>2024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>
      <c r="A760">
        <v>8028</v>
      </c>
      <c r="B760" s="107" t="s">
        <v>2025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>
      <c r="A761">
        <v>8031</v>
      </c>
      <c r="B761" s="107" t="s">
        <v>2026</v>
      </c>
      <c r="C761">
        <v>0.05</v>
      </c>
      <c r="D761">
        <v>0.15</v>
      </c>
      <c r="E761">
        <v>0.05</v>
      </c>
      <c r="F761">
        <v>0.05</v>
      </c>
      <c r="G761">
        <v>0.05</v>
      </c>
    </row>
    <row r="762" spans="1:7">
      <c r="A762">
        <v>8032</v>
      </c>
      <c r="B762" s="107" t="s">
        <v>2027</v>
      </c>
      <c r="C762">
        <v>0</v>
      </c>
      <c r="D762">
        <v>0</v>
      </c>
      <c r="E762">
        <v>0</v>
      </c>
      <c r="F762" s="107" t="s">
        <v>235</v>
      </c>
      <c r="G762" s="107" t="s">
        <v>235</v>
      </c>
    </row>
    <row r="763" spans="1:7">
      <c r="A763">
        <v>8035</v>
      </c>
      <c r="B763" s="107" t="s">
        <v>2028</v>
      </c>
      <c r="C763">
        <v>0.4</v>
      </c>
      <c r="D763">
        <v>1.2</v>
      </c>
      <c r="E763">
        <v>0.4</v>
      </c>
      <c r="F763" s="107">
        <v>0.4</v>
      </c>
      <c r="G763" s="107">
        <v>0.4</v>
      </c>
    </row>
    <row r="764" spans="1:7">
      <c r="A764">
        <v>8041</v>
      </c>
      <c r="B764" s="107" t="s">
        <v>2029</v>
      </c>
      <c r="C764">
        <v>0.05</v>
      </c>
      <c r="D764">
        <v>0.15</v>
      </c>
      <c r="E764">
        <v>0.05</v>
      </c>
      <c r="F764">
        <v>0.05</v>
      </c>
      <c r="G764">
        <v>0.05</v>
      </c>
    </row>
    <row r="765" spans="1:7">
      <c r="A765">
        <v>8043</v>
      </c>
      <c r="B765" s="107" t="s">
        <v>2030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8050</v>
      </c>
      <c r="B766" s="107" t="s">
        <v>2031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>
      <c r="A767">
        <v>8057</v>
      </c>
      <c r="B767" s="107" t="s">
        <v>2032</v>
      </c>
      <c r="C767">
        <v>0.15</v>
      </c>
      <c r="D767">
        <v>0.6</v>
      </c>
      <c r="E767">
        <v>0.15</v>
      </c>
      <c r="F767">
        <v>0.15</v>
      </c>
      <c r="G767">
        <v>0.15</v>
      </c>
    </row>
    <row r="768" spans="1:7">
      <c r="A768">
        <v>8059</v>
      </c>
      <c r="B768" s="107" t="s">
        <v>2033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8060</v>
      </c>
      <c r="B769" s="107" t="s">
        <v>2034</v>
      </c>
      <c r="C769">
        <v>0</v>
      </c>
      <c r="D769">
        <v>0</v>
      </c>
      <c r="E769">
        <v>0.05</v>
      </c>
      <c r="F769" s="107" t="s">
        <v>235</v>
      </c>
      <c r="G769">
        <v>0.05</v>
      </c>
    </row>
    <row r="770" spans="1:7">
      <c r="A770">
        <v>8068</v>
      </c>
      <c r="B770" s="107" t="s">
        <v>2035</v>
      </c>
      <c r="C770">
        <v>0</v>
      </c>
      <c r="D770">
        <v>0</v>
      </c>
      <c r="E770" s="107" t="s">
        <v>235</v>
      </c>
      <c r="F770" s="107" t="s">
        <v>235</v>
      </c>
      <c r="G770" s="107" t="s">
        <v>235</v>
      </c>
    </row>
    <row r="771" spans="1:7">
      <c r="A771">
        <v>8074</v>
      </c>
      <c r="B771" s="107" t="s">
        <v>2036</v>
      </c>
      <c r="C771">
        <v>0</v>
      </c>
      <c r="D771">
        <v>0</v>
      </c>
      <c r="E771" s="107">
        <v>0.1</v>
      </c>
      <c r="F771" s="107">
        <v>0</v>
      </c>
      <c r="G771" s="107">
        <v>0</v>
      </c>
    </row>
    <row r="772" spans="1:7">
      <c r="A772">
        <v>8075</v>
      </c>
      <c r="B772" s="107" t="s">
        <v>2037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>
      <c r="A773">
        <v>8077</v>
      </c>
      <c r="B773" s="107" t="s">
        <v>2038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8079</v>
      </c>
      <c r="B774" s="107" t="s">
        <v>2039</v>
      </c>
      <c r="C774">
        <v>0.1</v>
      </c>
      <c r="D774">
        <v>0.3</v>
      </c>
      <c r="E774">
        <v>0.1</v>
      </c>
      <c r="F774">
        <v>0.1</v>
      </c>
      <c r="G774">
        <v>0.1</v>
      </c>
    </row>
    <row r="775" spans="1:7">
      <c r="A775">
        <v>8086</v>
      </c>
      <c r="B775" s="107" t="s">
        <v>1319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>
      <c r="A776">
        <v>8089</v>
      </c>
      <c r="B776" s="107" t="s">
        <v>2040</v>
      </c>
      <c r="C776">
        <v>0.05</v>
      </c>
      <c r="D776">
        <v>0.15</v>
      </c>
      <c r="E776">
        <v>0.05</v>
      </c>
      <c r="F776">
        <v>0.05</v>
      </c>
      <c r="G776">
        <v>0.05</v>
      </c>
    </row>
    <row r="777" spans="1:7">
      <c r="A777">
        <v>8093</v>
      </c>
      <c r="B777" s="107" t="s">
        <v>2041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>
      <c r="A778">
        <v>8097</v>
      </c>
      <c r="B778" s="107" t="s">
        <v>2042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>
      <c r="A779">
        <v>8098</v>
      </c>
      <c r="B779" s="107" t="s">
        <v>2043</v>
      </c>
      <c r="C779">
        <v>0.05</v>
      </c>
      <c r="D779">
        <v>0.15</v>
      </c>
      <c r="E779">
        <v>0.05</v>
      </c>
      <c r="F779">
        <v>0.05</v>
      </c>
      <c r="G779">
        <v>0.05</v>
      </c>
    </row>
    <row r="780" spans="1:7">
      <c r="A780">
        <v>8101</v>
      </c>
      <c r="B780" s="107" t="s">
        <v>2044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>
      <c r="A781">
        <v>8103</v>
      </c>
      <c r="B781" s="107" t="s">
        <v>2045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>
      <c r="A782">
        <v>8113</v>
      </c>
      <c r="B782" s="107" t="s">
        <v>2046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>
      <c r="A783">
        <v>8114</v>
      </c>
      <c r="B783" s="107" t="s">
        <v>2047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>
      <c r="A784">
        <v>8130</v>
      </c>
      <c r="B784" s="107" t="s">
        <v>2048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>
      <c r="A785">
        <v>8131</v>
      </c>
      <c r="B785" s="107" t="s">
        <v>2049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>
      <c r="A786">
        <v>8132</v>
      </c>
      <c r="B786" s="107" t="s">
        <v>2050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8137</v>
      </c>
      <c r="B787" s="107" t="s">
        <v>2051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>
      <c r="A788">
        <v>8140</v>
      </c>
      <c r="B788" s="107" t="s">
        <v>2052</v>
      </c>
      <c r="C788">
        <v>0.05</v>
      </c>
      <c r="D788">
        <v>0.15</v>
      </c>
      <c r="E788">
        <v>0.05</v>
      </c>
      <c r="F788">
        <v>0</v>
      </c>
      <c r="G788">
        <v>0</v>
      </c>
    </row>
    <row r="789" spans="1:7">
      <c r="A789">
        <v>8141</v>
      </c>
      <c r="B789" s="107" t="s">
        <v>2053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>
      <c r="A790">
        <v>8142</v>
      </c>
      <c r="B790" s="107" t="s">
        <v>2054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>
      <c r="A791">
        <v>8150</v>
      </c>
      <c r="B791" s="107" t="s">
        <v>2055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>
      <c r="A792">
        <v>8153</v>
      </c>
      <c r="B792" s="107" t="s">
        <v>2056</v>
      </c>
      <c r="C792">
        <v>0.1</v>
      </c>
      <c r="D792">
        <v>0.3</v>
      </c>
      <c r="E792">
        <v>0.1</v>
      </c>
      <c r="F792">
        <v>0.1</v>
      </c>
      <c r="G792">
        <v>0.1</v>
      </c>
    </row>
    <row r="793" spans="1:7">
      <c r="A793">
        <v>8158</v>
      </c>
      <c r="B793" s="107" t="s">
        <v>2057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>
      <c r="A794">
        <v>8160</v>
      </c>
      <c r="B794" s="107" t="s">
        <v>2058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>
      <c r="A795">
        <v>8163</v>
      </c>
      <c r="B795" s="107" t="s">
        <v>2059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>
      <c r="A796">
        <v>8165</v>
      </c>
      <c r="B796" s="107" t="s">
        <v>2060</v>
      </c>
      <c r="C796">
        <v>0</v>
      </c>
      <c r="D796">
        <v>0.15</v>
      </c>
      <c r="E796">
        <v>0</v>
      </c>
      <c r="F796">
        <v>0.05</v>
      </c>
      <c r="G796">
        <v>0</v>
      </c>
    </row>
    <row r="797" spans="1:7">
      <c r="A797">
        <v>8168</v>
      </c>
      <c r="B797" s="107" t="s">
        <v>2061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8173</v>
      </c>
      <c r="B798" s="107" t="s">
        <v>2062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>
      <c r="A799">
        <v>8174</v>
      </c>
      <c r="B799" s="107" t="s">
        <v>2063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>
      <c r="A800">
        <v>8179</v>
      </c>
      <c r="B800" s="107" t="s">
        <v>2064</v>
      </c>
      <c r="C800">
        <v>0</v>
      </c>
      <c r="D800">
        <v>0</v>
      </c>
      <c r="E800">
        <v>0</v>
      </c>
      <c r="F800">
        <v>0</v>
      </c>
      <c r="G800" s="107" t="s">
        <v>235</v>
      </c>
    </row>
    <row r="801" spans="1:7">
      <c r="A801">
        <v>8182</v>
      </c>
      <c r="B801" s="107" t="s">
        <v>2065</v>
      </c>
      <c r="C801">
        <v>0.05</v>
      </c>
      <c r="D801">
        <v>0.15</v>
      </c>
      <c r="E801">
        <v>0.05</v>
      </c>
      <c r="F801">
        <v>0.05</v>
      </c>
      <c r="G801" s="107">
        <v>0.05</v>
      </c>
    </row>
    <row r="802" spans="1:7">
      <c r="A802">
        <v>8184</v>
      </c>
      <c r="B802" s="107" t="s">
        <v>2066</v>
      </c>
      <c r="C802">
        <v>0.1</v>
      </c>
      <c r="D802">
        <v>0.15</v>
      </c>
      <c r="E802">
        <v>0.05</v>
      </c>
      <c r="F802">
        <v>0.05</v>
      </c>
      <c r="G802">
        <v>0.05</v>
      </c>
    </row>
    <row r="803" spans="1:7">
      <c r="A803">
        <v>8185</v>
      </c>
      <c r="B803" s="107" t="s">
        <v>2067</v>
      </c>
      <c r="C803">
        <v>0.05</v>
      </c>
      <c r="D803">
        <v>0.15</v>
      </c>
      <c r="E803">
        <v>0.05</v>
      </c>
      <c r="F803">
        <v>0.05</v>
      </c>
      <c r="G803">
        <v>0.05</v>
      </c>
    </row>
    <row r="804" spans="1:7">
      <c r="A804">
        <v>8194</v>
      </c>
      <c r="B804" s="107" t="s">
        <v>2068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>
      <c r="A805">
        <v>8200</v>
      </c>
      <c r="B805" s="107" t="s">
        <v>2069</v>
      </c>
      <c r="C805">
        <v>0</v>
      </c>
      <c r="D805">
        <v>0</v>
      </c>
      <c r="E805">
        <v>0.05</v>
      </c>
      <c r="F805">
        <v>0.05</v>
      </c>
      <c r="G805">
        <v>0.05</v>
      </c>
    </row>
    <row r="806" spans="1:7">
      <c r="A806">
        <v>8203</v>
      </c>
      <c r="B806" s="107" t="s">
        <v>2070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8214</v>
      </c>
      <c r="B807" s="107" t="s">
        <v>2071</v>
      </c>
      <c r="C807">
        <v>0.05</v>
      </c>
      <c r="D807">
        <v>0</v>
      </c>
      <c r="E807">
        <v>0</v>
      </c>
      <c r="F807">
        <v>0</v>
      </c>
      <c r="G807">
        <v>0</v>
      </c>
    </row>
    <row r="808" spans="1:7">
      <c r="A808">
        <v>8217</v>
      </c>
      <c r="B808" s="107" t="s">
        <v>2072</v>
      </c>
      <c r="C808">
        <v>0.05</v>
      </c>
      <c r="D808">
        <v>0.15</v>
      </c>
      <c r="E808">
        <v>0.05</v>
      </c>
      <c r="F808">
        <v>0.05</v>
      </c>
      <c r="G808">
        <v>0.05</v>
      </c>
    </row>
    <row r="809" spans="1:7">
      <c r="A809">
        <v>8227</v>
      </c>
      <c r="B809" s="107" t="s">
        <v>2073</v>
      </c>
      <c r="C809">
        <v>0.2</v>
      </c>
      <c r="D809">
        <v>0.45</v>
      </c>
      <c r="E809">
        <v>0.2</v>
      </c>
      <c r="F809">
        <v>0.2</v>
      </c>
      <c r="G809">
        <v>0.2</v>
      </c>
    </row>
    <row r="810" spans="1:7">
      <c r="A810">
        <v>8230</v>
      </c>
      <c r="B810" s="107" t="s">
        <v>2074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>
      <c r="A811">
        <v>8233</v>
      </c>
      <c r="B811" s="107" t="s">
        <v>2075</v>
      </c>
      <c r="C811">
        <v>0</v>
      </c>
      <c r="D811">
        <v>0.15</v>
      </c>
      <c r="E811">
        <v>0.05</v>
      </c>
      <c r="F811">
        <v>0.05</v>
      </c>
      <c r="G811">
        <v>0.05</v>
      </c>
    </row>
    <row r="812" spans="1:7">
      <c r="A812">
        <v>8237</v>
      </c>
      <c r="B812" s="107" t="s">
        <v>2076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>
      <c r="A813">
        <v>8242</v>
      </c>
      <c r="B813" s="107" t="s">
        <v>2077</v>
      </c>
      <c r="C813">
        <v>0</v>
      </c>
      <c r="D813">
        <v>0.15</v>
      </c>
      <c r="E813">
        <v>0.05</v>
      </c>
      <c r="F813">
        <v>0</v>
      </c>
      <c r="G813">
        <v>0</v>
      </c>
    </row>
    <row r="814" spans="1:7">
      <c r="A814">
        <v>8244</v>
      </c>
      <c r="B814" s="107" t="s">
        <v>2078</v>
      </c>
      <c r="C814">
        <v>0.1</v>
      </c>
      <c r="D814">
        <v>0.3</v>
      </c>
      <c r="E814">
        <v>0.1</v>
      </c>
      <c r="F814">
        <v>0.1</v>
      </c>
      <c r="G814">
        <v>0.1</v>
      </c>
    </row>
    <row r="815" spans="1:7">
      <c r="A815">
        <v>8251</v>
      </c>
      <c r="B815" s="107" t="s">
        <v>2079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>
      <c r="A816">
        <v>8252</v>
      </c>
      <c r="B816" s="107" t="s">
        <v>2080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>
      <c r="A817">
        <v>8253</v>
      </c>
      <c r="B817" s="107" t="s">
        <v>1273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>
      <c r="A818">
        <v>8267</v>
      </c>
      <c r="B818" s="107" t="s">
        <v>304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>
      <c r="A819">
        <v>8275</v>
      </c>
      <c r="B819" s="107" t="s">
        <v>2081</v>
      </c>
      <c r="C819">
        <v>0</v>
      </c>
      <c r="D819">
        <v>0</v>
      </c>
      <c r="E819">
        <v>0</v>
      </c>
      <c r="F819" s="107" t="s">
        <v>235</v>
      </c>
      <c r="G819" s="107" t="s">
        <v>235</v>
      </c>
    </row>
    <row r="820" spans="1:7">
      <c r="A820">
        <v>8276</v>
      </c>
      <c r="B820" s="107" t="s">
        <v>2082</v>
      </c>
      <c r="C820">
        <v>0.05</v>
      </c>
      <c r="D820">
        <v>0.15</v>
      </c>
      <c r="E820">
        <v>0.05</v>
      </c>
      <c r="F820" s="107">
        <v>0.05</v>
      </c>
      <c r="G820" s="107">
        <v>0.05</v>
      </c>
    </row>
    <row r="821" spans="1:7">
      <c r="A821">
        <v>8278</v>
      </c>
      <c r="B821" s="107" t="s">
        <v>2083</v>
      </c>
      <c r="C821">
        <v>0</v>
      </c>
      <c r="D821">
        <v>0.15</v>
      </c>
      <c r="E821">
        <v>0.05</v>
      </c>
      <c r="F821">
        <v>0</v>
      </c>
      <c r="G821">
        <v>0.05</v>
      </c>
    </row>
    <row r="822" spans="1:7">
      <c r="A822">
        <v>8279</v>
      </c>
      <c r="B822" s="107" t="s">
        <v>2084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>
      <c r="A823">
        <v>8281</v>
      </c>
      <c r="B823" s="107" t="s">
        <v>2085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>
      <c r="A824">
        <v>8282</v>
      </c>
      <c r="B824" s="107" t="s">
        <v>2086</v>
      </c>
      <c r="C824">
        <v>0.05</v>
      </c>
      <c r="D824">
        <v>0.15</v>
      </c>
      <c r="E824">
        <v>0.05</v>
      </c>
      <c r="F824">
        <v>0.05</v>
      </c>
      <c r="G824">
        <v>0.05</v>
      </c>
    </row>
    <row r="825" spans="1:7">
      <c r="A825">
        <v>8283</v>
      </c>
      <c r="B825" s="107" t="s">
        <v>2087</v>
      </c>
      <c r="C825">
        <v>0.1</v>
      </c>
      <c r="D825">
        <v>0</v>
      </c>
      <c r="E825">
        <v>0</v>
      </c>
      <c r="F825">
        <v>0.1</v>
      </c>
      <c r="G825">
        <v>0.1</v>
      </c>
    </row>
    <row r="826" spans="1:7">
      <c r="A826">
        <v>8289</v>
      </c>
      <c r="B826" s="107" t="s">
        <v>2088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>
      <c r="A827">
        <v>8303</v>
      </c>
      <c r="B827" s="107" t="s">
        <v>2089</v>
      </c>
      <c r="C827">
        <v>0.05</v>
      </c>
      <c r="D827">
        <v>0.15</v>
      </c>
      <c r="E827">
        <v>0.05</v>
      </c>
      <c r="F827">
        <v>0.05</v>
      </c>
      <c r="G827">
        <v>0.05</v>
      </c>
    </row>
    <row r="828" spans="1:7">
      <c r="A828">
        <v>8308</v>
      </c>
      <c r="B828" s="107" t="s">
        <v>102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>
      <c r="A829">
        <v>8309</v>
      </c>
      <c r="B829" s="107" t="s">
        <v>2090</v>
      </c>
      <c r="C829">
        <v>0.1</v>
      </c>
      <c r="D829">
        <v>0.3</v>
      </c>
      <c r="E829">
        <v>0.1</v>
      </c>
      <c r="F829">
        <v>0.1</v>
      </c>
      <c r="G829">
        <v>0.1</v>
      </c>
    </row>
    <row r="830" spans="1:7">
      <c r="A830">
        <v>8316</v>
      </c>
      <c r="B830" s="107" t="s">
        <v>1275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>
      <c r="A831">
        <v>8331</v>
      </c>
      <c r="B831" s="107" t="s">
        <v>2091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>
      <c r="A832">
        <v>8334</v>
      </c>
      <c r="B832" s="107" t="s">
        <v>2092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>
      <c r="A833">
        <v>8337</v>
      </c>
      <c r="B833" s="107" t="s">
        <v>2093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8338</v>
      </c>
      <c r="B834" s="107" t="s">
        <v>2094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>
      <c r="A835">
        <v>8341</v>
      </c>
      <c r="B835" s="107" t="s">
        <v>2095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>
      <c r="A836">
        <v>8342</v>
      </c>
      <c r="B836" s="107" t="s">
        <v>2096</v>
      </c>
      <c r="C836">
        <v>0.05</v>
      </c>
      <c r="D836">
        <v>0.15</v>
      </c>
      <c r="E836">
        <v>0.05</v>
      </c>
      <c r="F836">
        <v>0.05</v>
      </c>
      <c r="G836">
        <v>0.05</v>
      </c>
    </row>
    <row r="837" spans="1:7">
      <c r="A837">
        <v>8343</v>
      </c>
      <c r="B837" s="107" t="s">
        <v>2097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>
      <c r="A838">
        <v>8344</v>
      </c>
      <c r="B838" s="107" t="s">
        <v>2098</v>
      </c>
      <c r="C838">
        <v>0.05</v>
      </c>
      <c r="D838">
        <v>0.15</v>
      </c>
      <c r="E838">
        <v>0.05</v>
      </c>
      <c r="F838">
        <v>0.05</v>
      </c>
      <c r="G838">
        <v>0.05</v>
      </c>
    </row>
    <row r="839" spans="1:7">
      <c r="A839">
        <v>8345</v>
      </c>
      <c r="B839" s="107" t="s">
        <v>2099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>
      <c r="A840">
        <v>8346</v>
      </c>
      <c r="B840" s="107" t="s">
        <v>2100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>
      <c r="A841">
        <v>8350</v>
      </c>
      <c r="B841" s="107" t="s">
        <v>2101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>
      <c r="A842">
        <v>8355</v>
      </c>
      <c r="B842" s="107" t="s">
        <v>2102</v>
      </c>
      <c r="C842">
        <v>0.05</v>
      </c>
      <c r="D842">
        <v>0.15</v>
      </c>
      <c r="E842">
        <v>0</v>
      </c>
      <c r="F842">
        <v>0.05</v>
      </c>
      <c r="G842">
        <v>0.05</v>
      </c>
    </row>
    <row r="843" spans="1:7">
      <c r="A843">
        <v>8356</v>
      </c>
      <c r="B843" s="107" t="s">
        <v>2103</v>
      </c>
      <c r="C843">
        <v>0.05</v>
      </c>
      <c r="D843">
        <v>0.15</v>
      </c>
      <c r="E843">
        <v>0.05</v>
      </c>
      <c r="F843">
        <v>0.05</v>
      </c>
      <c r="G843">
        <v>0.05</v>
      </c>
    </row>
    <row r="844" spans="1:7">
      <c r="A844">
        <v>8358</v>
      </c>
      <c r="B844" s="107" t="s">
        <v>2104</v>
      </c>
      <c r="C844">
        <v>0</v>
      </c>
      <c r="D844">
        <v>0</v>
      </c>
      <c r="E844">
        <v>0.05</v>
      </c>
      <c r="F844">
        <v>0</v>
      </c>
      <c r="G844">
        <v>0</v>
      </c>
    </row>
    <row r="845" spans="1:7">
      <c r="A845">
        <v>8359</v>
      </c>
      <c r="B845" s="107" t="s">
        <v>1339</v>
      </c>
      <c r="C845">
        <v>0.05</v>
      </c>
      <c r="D845">
        <v>0.15</v>
      </c>
      <c r="E845">
        <v>0.05</v>
      </c>
      <c r="F845">
        <v>0.05</v>
      </c>
      <c r="G845">
        <v>0.05</v>
      </c>
    </row>
    <row r="846" spans="1:7">
      <c r="A846">
        <v>8361</v>
      </c>
      <c r="B846" s="107" t="s">
        <v>2105</v>
      </c>
      <c r="C846">
        <v>0</v>
      </c>
      <c r="D846">
        <v>0</v>
      </c>
      <c r="E846">
        <v>0</v>
      </c>
      <c r="F846" s="107" t="s">
        <v>235</v>
      </c>
      <c r="G846" s="107" t="s">
        <v>235</v>
      </c>
    </row>
    <row r="847" spans="1:7">
      <c r="A847">
        <v>8362</v>
      </c>
      <c r="B847" s="107" t="s">
        <v>2106</v>
      </c>
      <c r="C847">
        <v>0.05</v>
      </c>
      <c r="D847">
        <v>0.15</v>
      </c>
      <c r="E847">
        <v>0.05</v>
      </c>
      <c r="F847" s="107">
        <v>0.05</v>
      </c>
      <c r="G847" s="107">
        <v>0.05</v>
      </c>
    </row>
    <row r="848" spans="1:7">
      <c r="A848">
        <v>8363</v>
      </c>
      <c r="B848" s="107" t="s">
        <v>2107</v>
      </c>
      <c r="C848">
        <v>0.1</v>
      </c>
      <c r="D848">
        <v>0.3</v>
      </c>
      <c r="E848">
        <v>0.1</v>
      </c>
      <c r="F848">
        <v>0.1</v>
      </c>
      <c r="G848">
        <v>0.1</v>
      </c>
    </row>
    <row r="849" spans="1:7">
      <c r="A849">
        <v>8364</v>
      </c>
      <c r="B849" s="107" t="s">
        <v>2108</v>
      </c>
      <c r="C849">
        <v>0.05</v>
      </c>
      <c r="D849">
        <v>0</v>
      </c>
      <c r="E849">
        <v>0.05</v>
      </c>
      <c r="F849" s="107" t="s">
        <v>235</v>
      </c>
      <c r="G849">
        <v>0.05</v>
      </c>
    </row>
    <row r="850" spans="1:7">
      <c r="A850">
        <v>8365</v>
      </c>
      <c r="B850" s="107" t="s">
        <v>2109</v>
      </c>
      <c r="C850">
        <v>0.05</v>
      </c>
      <c r="D850">
        <v>0.15</v>
      </c>
      <c r="E850">
        <v>0.05</v>
      </c>
      <c r="F850" s="107">
        <v>0.05</v>
      </c>
      <c r="G850">
        <v>0.05</v>
      </c>
    </row>
    <row r="851" spans="1:7">
      <c r="A851">
        <v>8366</v>
      </c>
      <c r="B851" s="107" t="s">
        <v>2110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>
      <c r="A852">
        <v>8367</v>
      </c>
      <c r="B852" s="107" t="s">
        <v>2111</v>
      </c>
      <c r="C852">
        <v>0.05</v>
      </c>
      <c r="D852">
        <v>0.15</v>
      </c>
      <c r="E852">
        <v>0.05</v>
      </c>
      <c r="F852">
        <v>0</v>
      </c>
      <c r="G852">
        <v>0</v>
      </c>
    </row>
    <row r="853" spans="1:7">
      <c r="A853">
        <v>8369</v>
      </c>
      <c r="B853" s="107" t="s">
        <v>2112</v>
      </c>
      <c r="C853">
        <v>0.1</v>
      </c>
      <c r="D853">
        <v>0.3</v>
      </c>
      <c r="E853">
        <v>0.1</v>
      </c>
      <c r="F853">
        <v>0.1</v>
      </c>
      <c r="G853">
        <v>0.1</v>
      </c>
    </row>
    <row r="854" spans="1:7">
      <c r="A854">
        <v>8370</v>
      </c>
      <c r="B854" s="107" t="s">
        <v>2113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>
      <c r="A855">
        <v>8379</v>
      </c>
      <c r="B855" s="107" t="s">
        <v>2114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>
      <c r="A856">
        <v>8382</v>
      </c>
      <c r="B856" s="107" t="s">
        <v>2115</v>
      </c>
      <c r="C856">
        <v>0.05</v>
      </c>
      <c r="D856">
        <v>0.15</v>
      </c>
      <c r="E856">
        <v>0.05</v>
      </c>
      <c r="F856">
        <v>0.05</v>
      </c>
      <c r="G856">
        <v>0.05</v>
      </c>
    </row>
    <row r="857" spans="1:7">
      <c r="A857">
        <v>8383</v>
      </c>
      <c r="B857" s="107" t="s">
        <v>2116</v>
      </c>
      <c r="C857">
        <v>0.05</v>
      </c>
      <c r="D857">
        <v>0</v>
      </c>
      <c r="E857">
        <v>0.05</v>
      </c>
      <c r="F857" s="107" t="s">
        <v>235</v>
      </c>
      <c r="G857">
        <v>0.05</v>
      </c>
    </row>
    <row r="858" spans="1:7">
      <c r="A858">
        <v>8385</v>
      </c>
      <c r="B858" s="107" t="s">
        <v>2117</v>
      </c>
      <c r="C858">
        <v>0</v>
      </c>
      <c r="D858">
        <v>0</v>
      </c>
      <c r="E858">
        <v>0</v>
      </c>
      <c r="F858" s="107">
        <v>0.05</v>
      </c>
      <c r="G858">
        <v>0.05</v>
      </c>
    </row>
    <row r="859" spans="1:7">
      <c r="A859">
        <v>8386</v>
      </c>
      <c r="B859" s="107" t="s">
        <v>2118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>
      <c r="A860">
        <v>8387</v>
      </c>
      <c r="B860" s="107" t="s">
        <v>2119</v>
      </c>
      <c r="C860">
        <v>0.05</v>
      </c>
      <c r="D860">
        <v>0.15</v>
      </c>
      <c r="E860">
        <v>0.05</v>
      </c>
      <c r="F860" s="107" t="s">
        <v>235</v>
      </c>
      <c r="G860">
        <v>0.05</v>
      </c>
    </row>
    <row r="861" spans="1:7">
      <c r="A861">
        <v>8388</v>
      </c>
      <c r="B861" s="107" t="s">
        <v>2120</v>
      </c>
      <c r="C861">
        <v>0.05</v>
      </c>
      <c r="D861">
        <v>0.15</v>
      </c>
      <c r="E861">
        <v>0.05</v>
      </c>
      <c r="F861" s="107">
        <v>0.05</v>
      </c>
      <c r="G861">
        <v>0.05</v>
      </c>
    </row>
    <row r="862" spans="1:7">
      <c r="A862">
        <v>8393</v>
      </c>
      <c r="B862" s="107" t="s">
        <v>2121</v>
      </c>
      <c r="C862">
        <v>0.05</v>
      </c>
      <c r="D862">
        <v>0.15</v>
      </c>
      <c r="E862">
        <v>0</v>
      </c>
      <c r="F862">
        <v>0</v>
      </c>
      <c r="G862">
        <v>0</v>
      </c>
    </row>
    <row r="863" spans="1:7">
      <c r="A863">
        <v>8395</v>
      </c>
      <c r="B863" s="107" t="s">
        <v>2122</v>
      </c>
      <c r="C863">
        <v>0.05</v>
      </c>
      <c r="D863">
        <v>0</v>
      </c>
      <c r="E863">
        <v>0.05</v>
      </c>
      <c r="F863">
        <v>0.05</v>
      </c>
      <c r="G863">
        <v>0</v>
      </c>
    </row>
    <row r="864" spans="1:7">
      <c r="A864">
        <v>8397</v>
      </c>
      <c r="B864" s="107" t="s">
        <v>2123</v>
      </c>
      <c r="C864">
        <v>0.1</v>
      </c>
      <c r="D864">
        <v>0.3</v>
      </c>
      <c r="E864">
        <v>0.1</v>
      </c>
      <c r="F864">
        <v>0.1</v>
      </c>
      <c r="G864">
        <v>0.1</v>
      </c>
    </row>
    <row r="865" spans="1:7">
      <c r="A865">
        <v>8399</v>
      </c>
      <c r="B865" s="107" t="s">
        <v>2124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>
      <c r="A866">
        <v>8410</v>
      </c>
      <c r="B866" s="107" t="s">
        <v>1324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>
      <c r="A867">
        <v>8416</v>
      </c>
      <c r="B867" s="107" t="s">
        <v>2125</v>
      </c>
      <c r="C867">
        <v>0</v>
      </c>
      <c r="D867">
        <v>0.15</v>
      </c>
      <c r="E867">
        <v>0.05</v>
      </c>
      <c r="F867">
        <v>0.05</v>
      </c>
      <c r="G867">
        <v>0.05</v>
      </c>
    </row>
    <row r="868" spans="1:7">
      <c r="A868">
        <v>8424</v>
      </c>
      <c r="B868" s="107" t="s">
        <v>2126</v>
      </c>
      <c r="C868">
        <v>0</v>
      </c>
      <c r="D868" s="107" t="s">
        <v>235</v>
      </c>
      <c r="E868">
        <v>0</v>
      </c>
      <c r="F868" s="107" t="s">
        <v>235</v>
      </c>
      <c r="G868">
        <v>0</v>
      </c>
    </row>
    <row r="869" spans="1:7">
      <c r="A869">
        <v>8425</v>
      </c>
      <c r="B869" s="107" t="s">
        <v>2127</v>
      </c>
      <c r="C869">
        <v>0.05</v>
      </c>
      <c r="D869" s="107" t="s">
        <v>235</v>
      </c>
      <c r="E869">
        <v>0.05</v>
      </c>
      <c r="F869" s="107" t="s">
        <v>235</v>
      </c>
      <c r="G869">
        <v>0.05</v>
      </c>
    </row>
    <row r="870" spans="1:7">
      <c r="A870">
        <v>8439</v>
      </c>
      <c r="B870" s="107" t="s">
        <v>2128</v>
      </c>
      <c r="C870">
        <v>0.1</v>
      </c>
      <c r="D870" s="107">
        <v>0.3</v>
      </c>
      <c r="E870">
        <v>0.1</v>
      </c>
      <c r="F870" s="107">
        <v>0.1</v>
      </c>
      <c r="G870">
        <v>0.1</v>
      </c>
    </row>
    <row r="871" spans="1:7">
      <c r="A871">
        <v>8521</v>
      </c>
      <c r="B871" s="107" t="s">
        <v>2129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>
      <c r="A872">
        <v>8522</v>
      </c>
      <c r="B872" s="107" t="s">
        <v>2130</v>
      </c>
      <c r="C872">
        <v>0.05</v>
      </c>
      <c r="D872">
        <v>0.15</v>
      </c>
      <c r="E872">
        <v>0.1</v>
      </c>
      <c r="F872">
        <v>0.1</v>
      </c>
      <c r="G872">
        <v>0.1</v>
      </c>
    </row>
    <row r="873" spans="1:7">
      <c r="A873">
        <v>8530</v>
      </c>
      <c r="B873" s="107" t="s">
        <v>2131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>
      <c r="A874">
        <v>8537</v>
      </c>
      <c r="B874" s="107" t="s">
        <v>2132</v>
      </c>
      <c r="C874">
        <v>0.05</v>
      </c>
      <c r="D874">
        <v>0.15</v>
      </c>
      <c r="E874">
        <v>0.05</v>
      </c>
      <c r="F874" s="107" t="s">
        <v>235</v>
      </c>
      <c r="G874">
        <v>0.05</v>
      </c>
    </row>
    <row r="875" spans="1:7">
      <c r="A875">
        <v>8541</v>
      </c>
      <c r="B875" s="107" t="s">
        <v>2133</v>
      </c>
      <c r="C875">
        <v>0.05</v>
      </c>
      <c r="D875">
        <v>0.15</v>
      </c>
      <c r="E875">
        <v>0.05</v>
      </c>
      <c r="F875" s="107">
        <v>0.05</v>
      </c>
      <c r="G875">
        <v>0.05</v>
      </c>
    </row>
    <row r="876" spans="1:7">
      <c r="A876">
        <v>8542</v>
      </c>
      <c r="B876" s="107" t="s">
        <v>2134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>
      <c r="A877">
        <v>8544</v>
      </c>
      <c r="B877" s="107" t="s">
        <v>2135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8551</v>
      </c>
      <c r="B878" s="107" t="s">
        <v>2136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>
      <c r="A879">
        <v>8558</v>
      </c>
      <c r="B879" s="107" t="s">
        <v>2137</v>
      </c>
      <c r="C879">
        <v>0.05</v>
      </c>
      <c r="D879">
        <v>0.15</v>
      </c>
      <c r="E879">
        <v>0.05</v>
      </c>
      <c r="F879">
        <v>0.05</v>
      </c>
      <c r="G879">
        <v>0</v>
      </c>
    </row>
    <row r="880" spans="1:7">
      <c r="A880">
        <v>8562</v>
      </c>
      <c r="B880" s="107" t="s">
        <v>2138</v>
      </c>
      <c r="C880">
        <v>0</v>
      </c>
      <c r="D880">
        <v>0</v>
      </c>
      <c r="E880">
        <v>0</v>
      </c>
      <c r="F880" s="107" t="s">
        <v>235</v>
      </c>
      <c r="G880" s="107" t="s">
        <v>235</v>
      </c>
    </row>
    <row r="881" spans="1:7">
      <c r="A881">
        <v>8563</v>
      </c>
      <c r="B881" s="107" t="s">
        <v>2139</v>
      </c>
      <c r="C881">
        <v>0</v>
      </c>
      <c r="D881">
        <v>0</v>
      </c>
      <c r="E881" s="107" t="s">
        <v>235</v>
      </c>
      <c r="F881" s="107" t="s">
        <v>235</v>
      </c>
      <c r="G881" s="107" t="s">
        <v>235</v>
      </c>
    </row>
    <row r="882" spans="1:7">
      <c r="A882">
        <v>8566</v>
      </c>
      <c r="B882" s="107" t="s">
        <v>2140</v>
      </c>
      <c r="C882">
        <v>0.1</v>
      </c>
      <c r="D882">
        <v>0.3</v>
      </c>
      <c r="E882" s="107">
        <v>0.1</v>
      </c>
      <c r="F882" s="107">
        <v>0.1</v>
      </c>
      <c r="G882" s="107">
        <v>0.1</v>
      </c>
    </row>
    <row r="883" spans="1:7">
      <c r="A883">
        <v>8584</v>
      </c>
      <c r="B883" s="107" t="s">
        <v>2141</v>
      </c>
      <c r="C883">
        <v>0</v>
      </c>
      <c r="D883">
        <v>0</v>
      </c>
      <c r="E883">
        <v>0</v>
      </c>
      <c r="F883">
        <v>0</v>
      </c>
      <c r="G883" s="107" t="s">
        <v>235</v>
      </c>
    </row>
    <row r="884" spans="1:7">
      <c r="A884">
        <v>8589</v>
      </c>
      <c r="B884" s="107" t="s">
        <v>2142</v>
      </c>
      <c r="C884">
        <v>0</v>
      </c>
      <c r="D884">
        <v>0</v>
      </c>
      <c r="E884">
        <v>0</v>
      </c>
      <c r="F884">
        <v>0</v>
      </c>
      <c r="G884" s="107">
        <v>0</v>
      </c>
    </row>
    <row r="885" spans="1:7">
      <c r="A885">
        <v>8593</v>
      </c>
      <c r="B885" s="107" t="s">
        <v>311</v>
      </c>
      <c r="C885">
        <v>0.05</v>
      </c>
      <c r="D885">
        <v>0.15</v>
      </c>
      <c r="E885">
        <v>0.05</v>
      </c>
      <c r="F885">
        <v>0.05</v>
      </c>
      <c r="G885">
        <v>0.05</v>
      </c>
    </row>
    <row r="886" spans="1:7">
      <c r="A886">
        <v>8595</v>
      </c>
      <c r="B886" s="107" t="s">
        <v>2143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8604</v>
      </c>
      <c r="B887" s="107" t="s">
        <v>958</v>
      </c>
      <c r="C887">
        <v>0</v>
      </c>
      <c r="D887" s="107" t="s">
        <v>235</v>
      </c>
      <c r="E887">
        <v>0</v>
      </c>
      <c r="F887" s="107" t="s">
        <v>235</v>
      </c>
      <c r="G887" s="107" t="s">
        <v>235</v>
      </c>
    </row>
    <row r="888" spans="1:7">
      <c r="A888">
        <v>8613</v>
      </c>
      <c r="B888" s="107" t="s">
        <v>2144</v>
      </c>
      <c r="C888">
        <v>0</v>
      </c>
      <c r="D888" s="107">
        <v>0</v>
      </c>
      <c r="E888">
        <v>0.05</v>
      </c>
      <c r="F888" s="107">
        <v>0.05</v>
      </c>
      <c r="G888" s="107">
        <v>0.05</v>
      </c>
    </row>
    <row r="889" spans="1:7">
      <c r="A889">
        <v>8622</v>
      </c>
      <c r="B889" s="107" t="s">
        <v>2145</v>
      </c>
      <c r="C889">
        <v>0.05</v>
      </c>
      <c r="D889">
        <v>0</v>
      </c>
      <c r="E889">
        <v>0.05</v>
      </c>
      <c r="F889">
        <v>0.05</v>
      </c>
      <c r="G889">
        <v>0.05</v>
      </c>
    </row>
    <row r="890" spans="1:7">
      <c r="A890">
        <v>8624</v>
      </c>
      <c r="B890" s="107" t="s">
        <v>2146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>
      <c r="A891">
        <v>8628</v>
      </c>
      <c r="B891" s="107" t="s">
        <v>2147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>
      <c r="A892">
        <v>8630</v>
      </c>
      <c r="B892" s="107" t="s">
        <v>2148</v>
      </c>
      <c r="C892">
        <v>0.1</v>
      </c>
      <c r="D892">
        <v>0.3</v>
      </c>
      <c r="E892">
        <v>0.1</v>
      </c>
      <c r="F892">
        <v>0.1</v>
      </c>
      <c r="G892">
        <v>0</v>
      </c>
    </row>
    <row r="893" spans="1:7">
      <c r="A893">
        <v>8692</v>
      </c>
      <c r="B893" s="107" t="s">
        <v>2149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>
      <c r="A894">
        <v>8697</v>
      </c>
      <c r="B894" s="107" t="s">
        <v>2150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>
      <c r="A895">
        <v>8698</v>
      </c>
      <c r="B895" s="107" t="s">
        <v>2151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>
      <c r="A896">
        <v>8708</v>
      </c>
      <c r="B896" s="107" t="s">
        <v>2152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>
      <c r="A897">
        <v>8714</v>
      </c>
      <c r="B897" s="107" t="s">
        <v>2153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>
      <c r="A898">
        <v>8715</v>
      </c>
      <c r="B898" s="107" t="s">
        <v>2154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>
      <c r="A899">
        <v>8725</v>
      </c>
      <c r="B899" s="107" t="s">
        <v>2155</v>
      </c>
      <c r="C899">
        <v>0</v>
      </c>
      <c r="D899">
        <v>0</v>
      </c>
      <c r="E899">
        <v>0</v>
      </c>
      <c r="F899">
        <v>0.05</v>
      </c>
      <c r="G899">
        <v>0.1</v>
      </c>
    </row>
    <row r="900" spans="1:7">
      <c r="A900">
        <v>8729</v>
      </c>
      <c r="B900" s="107" t="s">
        <v>2156</v>
      </c>
      <c r="C900">
        <v>0.05</v>
      </c>
      <c r="D900">
        <v>0.15</v>
      </c>
      <c r="E900">
        <v>0.05</v>
      </c>
      <c r="F900">
        <v>0.05</v>
      </c>
      <c r="G900">
        <v>0.05</v>
      </c>
    </row>
    <row r="901" spans="1:7">
      <c r="A901">
        <v>8766</v>
      </c>
      <c r="B901" s="107" t="s">
        <v>2157</v>
      </c>
      <c r="C901">
        <v>0.1</v>
      </c>
      <c r="D901">
        <v>0.3</v>
      </c>
      <c r="E901">
        <v>0.1</v>
      </c>
      <c r="F901">
        <v>0.1</v>
      </c>
      <c r="G901">
        <v>0.1</v>
      </c>
    </row>
    <row r="902" spans="1:7">
      <c r="A902">
        <v>8795</v>
      </c>
      <c r="B902" s="107" t="s">
        <v>135</v>
      </c>
      <c r="C902">
        <v>0.05</v>
      </c>
      <c r="D902">
        <v>0.15</v>
      </c>
      <c r="E902">
        <v>0.05</v>
      </c>
      <c r="F902">
        <v>0.05</v>
      </c>
      <c r="G902">
        <v>0.05</v>
      </c>
    </row>
    <row r="903" spans="1:7">
      <c r="A903">
        <v>8798</v>
      </c>
      <c r="B903" s="107" t="s">
        <v>2158</v>
      </c>
      <c r="C903">
        <v>0</v>
      </c>
      <c r="D903">
        <v>0</v>
      </c>
      <c r="E903">
        <v>0.05</v>
      </c>
      <c r="F903">
        <v>0</v>
      </c>
      <c r="G903">
        <v>0.05</v>
      </c>
    </row>
    <row r="904" spans="1:7">
      <c r="A904">
        <v>8803</v>
      </c>
      <c r="B904" s="107" t="s">
        <v>2159</v>
      </c>
      <c r="C904">
        <v>0.05</v>
      </c>
      <c r="D904">
        <v>0.15</v>
      </c>
      <c r="E904">
        <v>0.05</v>
      </c>
      <c r="F904">
        <v>0</v>
      </c>
      <c r="G904" s="107" t="s">
        <v>235</v>
      </c>
    </row>
    <row r="905" spans="1:7">
      <c r="A905">
        <v>8804</v>
      </c>
      <c r="B905" s="107" t="s">
        <v>2160</v>
      </c>
      <c r="C905">
        <v>0.05</v>
      </c>
      <c r="D905">
        <v>0.15</v>
      </c>
      <c r="E905">
        <v>0.05</v>
      </c>
      <c r="F905">
        <v>0.05</v>
      </c>
      <c r="G905" s="107">
        <v>0.05</v>
      </c>
    </row>
    <row r="906" spans="1:7">
      <c r="A906">
        <v>8806</v>
      </c>
      <c r="B906" s="107" t="s">
        <v>2161</v>
      </c>
      <c r="C906">
        <v>0</v>
      </c>
      <c r="D906">
        <v>0</v>
      </c>
      <c r="E906">
        <v>0</v>
      </c>
      <c r="F906" s="107" t="s">
        <v>235</v>
      </c>
      <c r="G906" s="107" t="s">
        <v>235</v>
      </c>
    </row>
    <row r="907" spans="1:7">
      <c r="A907">
        <v>8830</v>
      </c>
      <c r="B907" s="107" t="s">
        <v>2162</v>
      </c>
      <c r="C907">
        <v>0</v>
      </c>
      <c r="D907">
        <v>0</v>
      </c>
      <c r="E907">
        <v>0</v>
      </c>
      <c r="F907" s="107">
        <v>0</v>
      </c>
      <c r="G907" s="107">
        <v>0</v>
      </c>
    </row>
    <row r="908" spans="1:7">
      <c r="A908">
        <v>8841</v>
      </c>
      <c r="B908" s="107" t="s">
        <v>2163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>
      <c r="A909">
        <v>8848</v>
      </c>
      <c r="B909" s="107" t="s">
        <v>2164</v>
      </c>
      <c r="C909">
        <v>0</v>
      </c>
      <c r="D909" s="107" t="s">
        <v>235</v>
      </c>
      <c r="E909">
        <v>0</v>
      </c>
      <c r="F909" s="107" t="s">
        <v>235</v>
      </c>
      <c r="G909" s="107" t="s">
        <v>235</v>
      </c>
    </row>
    <row r="910" spans="1:7">
      <c r="A910">
        <v>8871</v>
      </c>
      <c r="B910" s="107" t="s">
        <v>2165</v>
      </c>
      <c r="C910">
        <v>0.05</v>
      </c>
      <c r="D910" s="107" t="s">
        <v>235</v>
      </c>
      <c r="E910">
        <v>0.05</v>
      </c>
      <c r="F910" s="107">
        <v>0</v>
      </c>
      <c r="G910" s="107">
        <v>0.05</v>
      </c>
    </row>
    <row r="911" spans="1:7">
      <c r="A911">
        <v>8876</v>
      </c>
      <c r="B911" s="107" t="s">
        <v>2166</v>
      </c>
      <c r="C911">
        <v>0.05</v>
      </c>
      <c r="D911" s="107">
        <v>0.15</v>
      </c>
      <c r="E911">
        <v>0.05</v>
      </c>
      <c r="F911">
        <v>0.05</v>
      </c>
      <c r="G911">
        <v>0.05</v>
      </c>
    </row>
    <row r="912" spans="1:7">
      <c r="A912">
        <v>8892</v>
      </c>
      <c r="B912" s="107" t="s">
        <v>2167</v>
      </c>
      <c r="C912">
        <v>0.05</v>
      </c>
      <c r="D912">
        <v>0</v>
      </c>
      <c r="E912">
        <v>0.05</v>
      </c>
      <c r="F912">
        <v>0</v>
      </c>
      <c r="G912">
        <v>0.05</v>
      </c>
    </row>
    <row r="913" spans="1:7">
      <c r="A913">
        <v>8897</v>
      </c>
      <c r="B913" s="107" t="s">
        <v>2168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>
      <c r="A914">
        <v>8904</v>
      </c>
      <c r="B914" s="107" t="s">
        <v>2169</v>
      </c>
      <c r="C914">
        <v>0.05</v>
      </c>
      <c r="D914">
        <v>0.15</v>
      </c>
      <c r="E914">
        <v>0.05</v>
      </c>
      <c r="F914">
        <v>0.05</v>
      </c>
      <c r="G914">
        <v>0</v>
      </c>
    </row>
    <row r="915" spans="1:7">
      <c r="A915">
        <v>8917</v>
      </c>
      <c r="B915" s="107" t="s">
        <v>2170</v>
      </c>
      <c r="C915">
        <v>0</v>
      </c>
      <c r="D915">
        <v>0.15</v>
      </c>
      <c r="E915">
        <v>0.05</v>
      </c>
      <c r="F915">
        <v>0.05</v>
      </c>
      <c r="G915">
        <v>0.05</v>
      </c>
    </row>
    <row r="916" spans="1:7">
      <c r="A916">
        <v>8923</v>
      </c>
      <c r="B916" s="107" t="s">
        <v>2171</v>
      </c>
      <c r="C916">
        <v>0.05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8928</v>
      </c>
      <c r="B917" s="107" t="s">
        <v>2172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>
      <c r="A918">
        <v>8940</v>
      </c>
      <c r="B918" s="107" t="s">
        <v>2173</v>
      </c>
      <c r="C918">
        <v>0.05</v>
      </c>
      <c r="D918">
        <v>0.15</v>
      </c>
      <c r="E918">
        <v>0.05</v>
      </c>
      <c r="F918">
        <v>0.05</v>
      </c>
      <c r="G918">
        <v>0.05</v>
      </c>
    </row>
    <row r="919" spans="1:7">
      <c r="A919">
        <v>8999</v>
      </c>
      <c r="B919" s="107" t="s">
        <v>2174</v>
      </c>
      <c r="C919">
        <v>0</v>
      </c>
      <c r="D919">
        <v>0</v>
      </c>
      <c r="E919" s="107" t="s">
        <v>235</v>
      </c>
      <c r="F919" s="107" t="s">
        <v>235</v>
      </c>
      <c r="G919" s="107" t="s">
        <v>235</v>
      </c>
    </row>
    <row r="920" spans="1:7">
      <c r="A920">
        <v>9001</v>
      </c>
      <c r="B920" s="107" t="s">
        <v>2175</v>
      </c>
      <c r="C920">
        <v>0.1</v>
      </c>
      <c r="D920">
        <v>0.3</v>
      </c>
      <c r="E920" s="107">
        <v>0.1</v>
      </c>
      <c r="F920" s="107">
        <v>0.1</v>
      </c>
      <c r="G920" s="107">
        <v>0.1</v>
      </c>
    </row>
    <row r="921" spans="1:7">
      <c r="A921">
        <v>9003</v>
      </c>
      <c r="B921" s="107" t="s">
        <v>2176</v>
      </c>
      <c r="C921">
        <v>0</v>
      </c>
      <c r="D921" s="107" t="s">
        <v>235</v>
      </c>
      <c r="E921">
        <v>0</v>
      </c>
      <c r="F921">
        <v>0</v>
      </c>
      <c r="G921" s="107" t="s">
        <v>235</v>
      </c>
    </row>
    <row r="922" spans="1:7">
      <c r="A922">
        <v>9005</v>
      </c>
      <c r="B922" s="107" t="s">
        <v>2177</v>
      </c>
      <c r="C922">
        <v>0.05</v>
      </c>
      <c r="D922" s="107">
        <v>0.15</v>
      </c>
      <c r="E922">
        <v>0.05</v>
      </c>
      <c r="F922">
        <v>0.05</v>
      </c>
      <c r="G922" s="107">
        <v>0.05</v>
      </c>
    </row>
    <row r="923" spans="1:7">
      <c r="A923">
        <v>9006</v>
      </c>
      <c r="B923" s="107" t="s">
        <v>2178</v>
      </c>
      <c r="C923">
        <v>0.05</v>
      </c>
      <c r="D923">
        <v>0.15</v>
      </c>
      <c r="E923">
        <v>0.05</v>
      </c>
      <c r="F923">
        <v>0.05</v>
      </c>
      <c r="G923">
        <v>0.05</v>
      </c>
    </row>
    <row r="924" spans="1:7">
      <c r="A924">
        <v>9007</v>
      </c>
      <c r="B924" s="107" t="s">
        <v>2179</v>
      </c>
      <c r="C924">
        <v>0.05</v>
      </c>
      <c r="D924">
        <v>0.15</v>
      </c>
      <c r="E924">
        <v>0.05</v>
      </c>
      <c r="F924">
        <v>0.05</v>
      </c>
      <c r="G924">
        <v>0.05</v>
      </c>
    </row>
    <row r="925" spans="1:7">
      <c r="A925">
        <v>9008</v>
      </c>
      <c r="B925" s="107" t="s">
        <v>2180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>
      <c r="A926">
        <v>9009</v>
      </c>
      <c r="B926" s="107" t="s">
        <v>2181</v>
      </c>
      <c r="C926">
        <v>0.1</v>
      </c>
      <c r="D926">
        <v>0.3</v>
      </c>
      <c r="E926">
        <v>0.1</v>
      </c>
      <c r="F926">
        <v>0.1</v>
      </c>
      <c r="G926">
        <v>0.1</v>
      </c>
    </row>
    <row r="927" spans="1:7">
      <c r="A927">
        <v>9010</v>
      </c>
      <c r="B927" s="107" t="s">
        <v>2182</v>
      </c>
      <c r="C927">
        <v>0.1</v>
      </c>
      <c r="D927">
        <v>0.3</v>
      </c>
      <c r="E927">
        <v>0.1</v>
      </c>
      <c r="F927">
        <v>0.1</v>
      </c>
      <c r="G927">
        <v>0.1</v>
      </c>
    </row>
    <row r="928" spans="1:7">
      <c r="A928">
        <v>9014</v>
      </c>
      <c r="B928" s="107" t="s">
        <v>2183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>
      <c r="A929">
        <v>9021</v>
      </c>
      <c r="B929" s="107" t="s">
        <v>2184</v>
      </c>
      <c r="C929">
        <v>0.2</v>
      </c>
      <c r="D929">
        <v>0</v>
      </c>
      <c r="E929">
        <v>0</v>
      </c>
      <c r="F929">
        <v>0</v>
      </c>
      <c r="G929">
        <v>0</v>
      </c>
    </row>
    <row r="930" spans="1:7">
      <c r="A930">
        <v>9025</v>
      </c>
      <c r="B930" s="107" t="s">
        <v>2185</v>
      </c>
      <c r="C930">
        <v>0</v>
      </c>
      <c r="D930">
        <v>0</v>
      </c>
      <c r="E930">
        <v>0</v>
      </c>
      <c r="F930" s="107" t="s">
        <v>235</v>
      </c>
      <c r="G930">
        <v>0</v>
      </c>
    </row>
    <row r="931" spans="1:7">
      <c r="A931">
        <v>9031</v>
      </c>
      <c r="B931" s="107" t="s">
        <v>2186</v>
      </c>
      <c r="C931">
        <v>0.05</v>
      </c>
      <c r="D931">
        <v>0.15</v>
      </c>
      <c r="E931">
        <v>0.05</v>
      </c>
      <c r="F931" s="107">
        <v>0.05</v>
      </c>
      <c r="G931">
        <v>0.05</v>
      </c>
    </row>
    <row r="932" spans="1:7">
      <c r="A932">
        <v>9039</v>
      </c>
      <c r="B932" s="107" t="s">
        <v>2187</v>
      </c>
      <c r="C932">
        <v>0.15</v>
      </c>
      <c r="D932">
        <v>0.45</v>
      </c>
      <c r="E932">
        <v>0.15</v>
      </c>
      <c r="F932">
        <v>0.15</v>
      </c>
      <c r="G932">
        <v>0.15</v>
      </c>
    </row>
    <row r="933" spans="1:7">
      <c r="A933">
        <v>9041</v>
      </c>
      <c r="B933" s="107" t="s">
        <v>2188</v>
      </c>
      <c r="C933">
        <v>0.1</v>
      </c>
      <c r="D933">
        <v>0.3</v>
      </c>
      <c r="E933">
        <v>0.1</v>
      </c>
      <c r="F933">
        <v>0.1</v>
      </c>
      <c r="G933">
        <v>0.1</v>
      </c>
    </row>
    <row r="934" spans="1:7">
      <c r="A934">
        <v>9042</v>
      </c>
      <c r="B934" s="107" t="s">
        <v>2189</v>
      </c>
      <c r="C934">
        <v>0.1</v>
      </c>
      <c r="D934">
        <v>0.3</v>
      </c>
      <c r="E934">
        <v>0.1</v>
      </c>
      <c r="F934">
        <v>0.1</v>
      </c>
      <c r="G934">
        <v>0.1</v>
      </c>
    </row>
    <row r="935" spans="1:7">
      <c r="A935">
        <v>9044</v>
      </c>
      <c r="B935" s="107" t="s">
        <v>2190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>
      <c r="A936">
        <v>9045</v>
      </c>
      <c r="B936" s="107" t="s">
        <v>2191</v>
      </c>
      <c r="C936">
        <v>0.1</v>
      </c>
      <c r="D936">
        <v>0.3</v>
      </c>
      <c r="E936">
        <v>0.1</v>
      </c>
      <c r="F936">
        <v>0.1</v>
      </c>
      <c r="G936">
        <v>0.1</v>
      </c>
    </row>
    <row r="937" spans="1:7">
      <c r="A937">
        <v>9046</v>
      </c>
      <c r="B937" s="107" t="s">
        <v>2192</v>
      </c>
      <c r="C937">
        <v>0.1</v>
      </c>
      <c r="D937">
        <v>0.3</v>
      </c>
      <c r="E937">
        <v>0.1</v>
      </c>
      <c r="F937">
        <v>0.1</v>
      </c>
      <c r="G937">
        <v>0.1</v>
      </c>
    </row>
    <row r="938" spans="1:7">
      <c r="A938">
        <v>9048</v>
      </c>
      <c r="B938" s="107" t="s">
        <v>2193</v>
      </c>
      <c r="C938">
        <v>0.1</v>
      </c>
      <c r="D938">
        <v>0.15</v>
      </c>
      <c r="E938">
        <v>0.1</v>
      </c>
      <c r="F938">
        <v>0.1</v>
      </c>
      <c r="G938">
        <v>0.05</v>
      </c>
    </row>
    <row r="939" spans="1:7">
      <c r="A939">
        <v>9052</v>
      </c>
      <c r="B939" s="107" t="s">
        <v>2194</v>
      </c>
      <c r="C939">
        <v>0.05</v>
      </c>
      <c r="D939">
        <v>0.15</v>
      </c>
      <c r="E939">
        <v>0.05</v>
      </c>
      <c r="F939">
        <v>0.05</v>
      </c>
      <c r="G939">
        <v>0.05</v>
      </c>
    </row>
    <row r="940" spans="1:7">
      <c r="A940">
        <v>9058</v>
      </c>
      <c r="B940" s="107" t="s">
        <v>2195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9062</v>
      </c>
      <c r="B941" s="107" t="s">
        <v>956</v>
      </c>
      <c r="C941">
        <v>0.15</v>
      </c>
      <c r="D941">
        <v>0.45</v>
      </c>
      <c r="E941">
        <v>0.15</v>
      </c>
      <c r="F941">
        <v>0.15</v>
      </c>
      <c r="G941">
        <v>0.15</v>
      </c>
    </row>
    <row r="942" spans="1:7">
      <c r="A942">
        <v>9065</v>
      </c>
      <c r="B942" s="107" t="s">
        <v>2196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>
      <c r="A943">
        <v>9066</v>
      </c>
      <c r="B943" s="107" t="s">
        <v>2197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>
      <c r="A944">
        <v>9069</v>
      </c>
      <c r="B944" s="107" t="s">
        <v>2198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>
      <c r="A945">
        <v>9070</v>
      </c>
      <c r="B945" s="107" t="s">
        <v>2199</v>
      </c>
      <c r="C945">
        <v>0.1</v>
      </c>
      <c r="D945">
        <v>0.3</v>
      </c>
      <c r="E945">
        <v>0.1</v>
      </c>
      <c r="F945">
        <v>0.1</v>
      </c>
      <c r="G945">
        <v>0.1</v>
      </c>
    </row>
    <row r="946" spans="1:7">
      <c r="A946">
        <v>9075</v>
      </c>
      <c r="B946" s="107" t="s">
        <v>2200</v>
      </c>
      <c r="C946">
        <v>0.1</v>
      </c>
      <c r="D946">
        <v>0</v>
      </c>
      <c r="E946">
        <v>0.1</v>
      </c>
      <c r="F946">
        <v>0</v>
      </c>
      <c r="G946">
        <v>0</v>
      </c>
    </row>
    <row r="947" spans="1:7">
      <c r="A947">
        <v>9076</v>
      </c>
      <c r="B947" s="107" t="s">
        <v>2201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>
      <c r="A948">
        <v>9090</v>
      </c>
      <c r="B948" s="107" t="s">
        <v>2202</v>
      </c>
      <c r="C948">
        <v>0.05</v>
      </c>
      <c r="D948">
        <v>0.15</v>
      </c>
      <c r="E948">
        <v>0.05</v>
      </c>
      <c r="F948">
        <v>0.05</v>
      </c>
      <c r="G948">
        <v>0.05</v>
      </c>
    </row>
    <row r="949" spans="1:7">
      <c r="A949">
        <v>9099</v>
      </c>
      <c r="B949" s="107" t="s">
        <v>2203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>
      <c r="A950">
        <v>9101</v>
      </c>
      <c r="B950" s="107" t="s">
        <v>2204</v>
      </c>
      <c r="C950">
        <v>0.05</v>
      </c>
      <c r="D950">
        <v>0.15</v>
      </c>
      <c r="E950">
        <v>0.05</v>
      </c>
      <c r="F950">
        <v>0.05</v>
      </c>
      <c r="G950">
        <v>0.05</v>
      </c>
    </row>
    <row r="951" spans="1:7">
      <c r="A951">
        <v>9104</v>
      </c>
      <c r="B951" s="107" t="s">
        <v>2205</v>
      </c>
      <c r="C951">
        <v>0.05</v>
      </c>
      <c r="D951">
        <v>0.15</v>
      </c>
      <c r="E951">
        <v>0.05</v>
      </c>
      <c r="F951">
        <v>0.05</v>
      </c>
      <c r="G951">
        <v>0.05</v>
      </c>
    </row>
    <row r="952" spans="1:7">
      <c r="A952">
        <v>9107</v>
      </c>
      <c r="B952" s="107" t="s">
        <v>2206</v>
      </c>
      <c r="C952">
        <v>0</v>
      </c>
      <c r="D952">
        <v>0</v>
      </c>
      <c r="E952">
        <v>0.05</v>
      </c>
      <c r="F952">
        <v>0.05</v>
      </c>
      <c r="G952">
        <v>0</v>
      </c>
    </row>
    <row r="953" spans="1:7">
      <c r="A953">
        <v>9130</v>
      </c>
      <c r="B953" s="107" t="s">
        <v>2207</v>
      </c>
      <c r="C953">
        <v>0.05</v>
      </c>
      <c r="D953">
        <v>0.15</v>
      </c>
      <c r="E953">
        <v>0.05</v>
      </c>
      <c r="F953">
        <v>0.05</v>
      </c>
      <c r="G953">
        <v>0.05</v>
      </c>
    </row>
    <row r="954" spans="1:7">
      <c r="A954">
        <v>9142</v>
      </c>
      <c r="B954" s="107" t="s">
        <v>2208</v>
      </c>
      <c r="C954">
        <v>0.1</v>
      </c>
      <c r="D954">
        <v>0.3</v>
      </c>
      <c r="E954">
        <v>0.1</v>
      </c>
      <c r="F954">
        <v>0.1</v>
      </c>
      <c r="G954">
        <v>0.1</v>
      </c>
    </row>
    <row r="955" spans="1:7">
      <c r="A955">
        <v>9232</v>
      </c>
      <c r="B955" s="107" t="s">
        <v>2209</v>
      </c>
      <c r="C955">
        <v>0.05</v>
      </c>
      <c r="D955">
        <v>1.65</v>
      </c>
      <c r="E955">
        <v>0.05</v>
      </c>
      <c r="F955">
        <v>0.05</v>
      </c>
      <c r="G955">
        <v>0.05</v>
      </c>
    </row>
    <row r="956" spans="1:7">
      <c r="A956">
        <v>9260</v>
      </c>
      <c r="B956" s="107" t="s">
        <v>2210</v>
      </c>
      <c r="C956">
        <v>0.1</v>
      </c>
      <c r="D956">
        <v>0.3</v>
      </c>
      <c r="E956">
        <v>0.1</v>
      </c>
      <c r="F956">
        <v>0.1</v>
      </c>
      <c r="G956">
        <v>0.1</v>
      </c>
    </row>
    <row r="957" spans="1:7">
      <c r="A957">
        <v>9267</v>
      </c>
      <c r="B957" s="107" t="s">
        <v>2211</v>
      </c>
      <c r="C957">
        <v>0.05</v>
      </c>
      <c r="D957">
        <v>0.15</v>
      </c>
      <c r="E957">
        <v>0.05</v>
      </c>
      <c r="F957">
        <v>0.05</v>
      </c>
      <c r="G957">
        <v>0.05</v>
      </c>
    </row>
    <row r="958" spans="1:7">
      <c r="A958">
        <v>9277</v>
      </c>
      <c r="B958" s="107" t="s">
        <v>2212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>
      <c r="A959">
        <v>9278</v>
      </c>
      <c r="B959" s="107" t="s">
        <v>2213</v>
      </c>
      <c r="C959">
        <v>0</v>
      </c>
      <c r="D959">
        <v>0</v>
      </c>
      <c r="E959">
        <v>0</v>
      </c>
      <c r="F959" s="107" t="s">
        <v>235</v>
      </c>
      <c r="G959">
        <v>0</v>
      </c>
    </row>
    <row r="960" spans="1:7">
      <c r="A960">
        <v>9303</v>
      </c>
      <c r="B960" s="107" t="s">
        <v>2214</v>
      </c>
      <c r="C960">
        <v>0</v>
      </c>
      <c r="D960">
        <v>0</v>
      </c>
      <c r="E960">
        <v>0</v>
      </c>
      <c r="F960" s="107">
        <v>0</v>
      </c>
      <c r="G960">
        <v>0</v>
      </c>
    </row>
    <row r="961" spans="1:7">
      <c r="A961">
        <v>9306</v>
      </c>
      <c r="B961" s="107" t="s">
        <v>2215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>
      <c r="A962">
        <v>9308</v>
      </c>
      <c r="B962" s="107" t="s">
        <v>2216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>
      <c r="A963">
        <v>9310</v>
      </c>
      <c r="B963" s="107" t="s">
        <v>2217</v>
      </c>
      <c r="C963">
        <v>0</v>
      </c>
      <c r="D963">
        <v>0</v>
      </c>
      <c r="E963">
        <v>0</v>
      </c>
      <c r="F963" s="107" t="s">
        <v>235</v>
      </c>
      <c r="G963">
        <v>0</v>
      </c>
    </row>
    <row r="964" spans="1:7">
      <c r="A964">
        <v>9319</v>
      </c>
      <c r="B964" s="107" t="s">
        <v>2218</v>
      </c>
      <c r="C964">
        <v>0.05</v>
      </c>
      <c r="D964">
        <v>0.15</v>
      </c>
      <c r="E964" s="107" t="s">
        <v>235</v>
      </c>
      <c r="F964" s="107">
        <v>0.05</v>
      </c>
      <c r="G964" s="107" t="s">
        <v>235</v>
      </c>
    </row>
    <row r="965" spans="1:7">
      <c r="A965">
        <v>9351</v>
      </c>
      <c r="B965" s="107" t="s">
        <v>2219</v>
      </c>
      <c r="C965">
        <v>0</v>
      </c>
      <c r="D965">
        <v>0</v>
      </c>
      <c r="E965" s="107">
        <v>0</v>
      </c>
      <c r="F965">
        <v>0</v>
      </c>
      <c r="G965" s="107">
        <v>0</v>
      </c>
    </row>
    <row r="966" spans="1:7">
      <c r="A966">
        <v>9366</v>
      </c>
      <c r="B966" s="107" t="s">
        <v>2220</v>
      </c>
      <c r="C966">
        <v>0</v>
      </c>
      <c r="D966" s="107" t="s">
        <v>235</v>
      </c>
      <c r="E966">
        <v>0</v>
      </c>
      <c r="F966">
        <v>0</v>
      </c>
      <c r="G966">
        <v>0</v>
      </c>
    </row>
    <row r="967" spans="1:7">
      <c r="A967">
        <v>9375</v>
      </c>
      <c r="B967" s="107" t="s">
        <v>2221</v>
      </c>
      <c r="C967">
        <v>0</v>
      </c>
      <c r="D967" s="107">
        <v>0</v>
      </c>
      <c r="E967">
        <v>0</v>
      </c>
      <c r="F967">
        <v>0.05</v>
      </c>
      <c r="G967">
        <v>0.05</v>
      </c>
    </row>
    <row r="968" spans="1:7">
      <c r="A968">
        <v>9384</v>
      </c>
      <c r="B968" s="107" t="s">
        <v>2222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>
      <c r="A969">
        <v>9401</v>
      </c>
      <c r="B969" s="107" t="s">
        <v>2223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>
      <c r="A970">
        <v>9409</v>
      </c>
      <c r="B970" s="107" t="s">
        <v>2224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>
      <c r="A971">
        <v>9412</v>
      </c>
      <c r="B971" s="107" t="s">
        <v>1332</v>
      </c>
      <c r="C971">
        <v>0</v>
      </c>
      <c r="D971">
        <v>0.15</v>
      </c>
      <c r="E971">
        <v>0.05</v>
      </c>
      <c r="F971">
        <v>0.05</v>
      </c>
      <c r="G971">
        <v>0.05</v>
      </c>
    </row>
    <row r="972" spans="1:7">
      <c r="A972">
        <v>9413</v>
      </c>
      <c r="B972" s="107" t="s">
        <v>2225</v>
      </c>
      <c r="C972">
        <v>0.05</v>
      </c>
      <c r="D972">
        <v>0.15</v>
      </c>
      <c r="E972">
        <v>0.05</v>
      </c>
      <c r="F972">
        <v>0.05</v>
      </c>
      <c r="G972">
        <v>0.05</v>
      </c>
    </row>
    <row r="973" spans="1:7">
      <c r="A973">
        <v>9414</v>
      </c>
      <c r="B973" s="107" t="s">
        <v>2226</v>
      </c>
      <c r="C973">
        <v>0</v>
      </c>
      <c r="D973">
        <v>0</v>
      </c>
      <c r="E973">
        <v>0.05</v>
      </c>
      <c r="F973">
        <v>0.05</v>
      </c>
      <c r="G973">
        <v>0.05</v>
      </c>
    </row>
    <row r="974" spans="1:7">
      <c r="A974">
        <v>9416</v>
      </c>
      <c r="B974" s="107" t="s">
        <v>2227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9417</v>
      </c>
      <c r="B975" s="107" t="s">
        <v>2228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>
      <c r="A976">
        <v>9422</v>
      </c>
      <c r="B976" s="107" t="s">
        <v>2229</v>
      </c>
      <c r="C976">
        <v>0.05</v>
      </c>
      <c r="D976" s="107" t="s">
        <v>235</v>
      </c>
      <c r="E976">
        <v>0.05</v>
      </c>
      <c r="F976" s="107" t="s">
        <v>235</v>
      </c>
      <c r="G976">
        <v>0.05</v>
      </c>
    </row>
    <row r="977" spans="1:7">
      <c r="A977">
        <v>9432</v>
      </c>
      <c r="B977" s="107" t="s">
        <v>2230</v>
      </c>
      <c r="C977">
        <v>0.1</v>
      </c>
      <c r="D977" s="107">
        <v>0.3</v>
      </c>
      <c r="E977">
        <v>0.1</v>
      </c>
      <c r="F977" s="107">
        <v>0.1</v>
      </c>
      <c r="G977">
        <v>0.1</v>
      </c>
    </row>
    <row r="978" spans="1:7">
      <c r="A978">
        <v>9433</v>
      </c>
      <c r="B978" s="107" t="s">
        <v>1318</v>
      </c>
      <c r="C978">
        <v>0.05</v>
      </c>
      <c r="D978">
        <v>0.15</v>
      </c>
      <c r="E978">
        <v>0.05</v>
      </c>
      <c r="F978">
        <v>0.05</v>
      </c>
      <c r="G978">
        <v>0.05</v>
      </c>
    </row>
    <row r="979" spans="1:7">
      <c r="A979">
        <v>9435</v>
      </c>
      <c r="B979" s="107" t="s">
        <v>2231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>
      <c r="A980">
        <v>9437</v>
      </c>
      <c r="B980" s="107" t="s">
        <v>1028</v>
      </c>
      <c r="C980">
        <v>0.05</v>
      </c>
      <c r="D980">
        <v>0</v>
      </c>
      <c r="E980">
        <v>0</v>
      </c>
      <c r="F980">
        <v>0</v>
      </c>
      <c r="G980">
        <v>0</v>
      </c>
    </row>
    <row r="981" spans="1:7">
      <c r="A981">
        <v>9438</v>
      </c>
      <c r="B981" s="107" t="s">
        <v>2232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>
      <c r="A982">
        <v>9449</v>
      </c>
      <c r="B982" s="107" t="s">
        <v>2233</v>
      </c>
      <c r="C982">
        <v>0.05</v>
      </c>
      <c r="D982">
        <v>0.15</v>
      </c>
      <c r="E982">
        <v>0.05</v>
      </c>
      <c r="F982">
        <v>0.05</v>
      </c>
      <c r="G982">
        <v>0.05</v>
      </c>
    </row>
    <row r="983" spans="1:7">
      <c r="A983">
        <v>9450</v>
      </c>
      <c r="B983" s="107" t="s">
        <v>2234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>
      <c r="A984">
        <v>9468</v>
      </c>
      <c r="B984" s="107" t="s">
        <v>2235</v>
      </c>
      <c r="C984">
        <v>0</v>
      </c>
      <c r="D984">
        <v>0</v>
      </c>
      <c r="E984">
        <v>0</v>
      </c>
      <c r="F984" s="107" t="s">
        <v>235</v>
      </c>
      <c r="G984" s="107" t="s">
        <v>235</v>
      </c>
    </row>
    <row r="985" spans="1:7">
      <c r="A985">
        <v>9470</v>
      </c>
      <c r="B985" s="107" t="s">
        <v>2236</v>
      </c>
      <c r="C985">
        <v>0.15</v>
      </c>
      <c r="D985">
        <v>0.45</v>
      </c>
      <c r="E985">
        <v>0.15</v>
      </c>
      <c r="F985" s="107">
        <v>0.15</v>
      </c>
      <c r="G985" s="107">
        <v>0.15</v>
      </c>
    </row>
    <row r="986" spans="1:7">
      <c r="A986">
        <v>9475</v>
      </c>
      <c r="B986" s="107" t="s">
        <v>2237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>
      <c r="A987">
        <v>9504</v>
      </c>
      <c r="B987" s="107" t="s">
        <v>2238</v>
      </c>
      <c r="C987">
        <v>0.05</v>
      </c>
      <c r="D987">
        <v>0.15</v>
      </c>
      <c r="E987">
        <v>0.05</v>
      </c>
      <c r="F987">
        <v>0.05</v>
      </c>
      <c r="G987">
        <v>0.05</v>
      </c>
    </row>
    <row r="988" spans="1:7">
      <c r="A988">
        <v>9505</v>
      </c>
      <c r="B988" s="107" t="s">
        <v>2239</v>
      </c>
      <c r="C988">
        <v>0</v>
      </c>
      <c r="D988" s="107" t="s">
        <v>235</v>
      </c>
      <c r="E988">
        <v>0</v>
      </c>
      <c r="F988">
        <v>0</v>
      </c>
      <c r="G988">
        <v>0</v>
      </c>
    </row>
    <row r="989" spans="1:7">
      <c r="A989">
        <v>9506</v>
      </c>
      <c r="B989" s="107" t="s">
        <v>2240</v>
      </c>
      <c r="C989">
        <v>0</v>
      </c>
      <c r="D989" s="107">
        <v>0</v>
      </c>
      <c r="E989">
        <v>0</v>
      </c>
      <c r="F989" s="107" t="s">
        <v>235</v>
      </c>
      <c r="G989">
        <v>0</v>
      </c>
    </row>
    <row r="990" spans="1:7">
      <c r="A990">
        <v>9511</v>
      </c>
      <c r="B990" s="107" t="s">
        <v>2241</v>
      </c>
      <c r="C990">
        <v>0.05</v>
      </c>
      <c r="D990">
        <v>0.15</v>
      </c>
      <c r="E990">
        <v>0.05</v>
      </c>
      <c r="F990" s="107">
        <v>0.05</v>
      </c>
      <c r="G990">
        <v>0.05</v>
      </c>
    </row>
    <row r="991" spans="1:7">
      <c r="A991">
        <v>9513</v>
      </c>
      <c r="B991" s="107" t="s">
        <v>2242</v>
      </c>
      <c r="C991">
        <v>0</v>
      </c>
      <c r="D991">
        <v>0</v>
      </c>
      <c r="E991" s="107" t="s">
        <v>235</v>
      </c>
      <c r="F991">
        <v>0</v>
      </c>
      <c r="G991">
        <v>0</v>
      </c>
    </row>
    <row r="992" spans="1:7">
      <c r="A992">
        <v>9517</v>
      </c>
      <c r="B992" s="107" t="s">
        <v>2243</v>
      </c>
      <c r="C992">
        <v>0</v>
      </c>
      <c r="D992">
        <v>0</v>
      </c>
      <c r="E992" s="107">
        <v>0.05</v>
      </c>
      <c r="F992">
        <v>0</v>
      </c>
      <c r="G992">
        <v>0.05</v>
      </c>
    </row>
    <row r="993" spans="1:7">
      <c r="A993">
        <v>9519</v>
      </c>
      <c r="B993" s="107" t="s">
        <v>2244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>
      <c r="A994">
        <v>9532</v>
      </c>
      <c r="B994" s="107" t="s">
        <v>2245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>
      <c r="A995">
        <v>9533</v>
      </c>
      <c r="B995" s="107" t="s">
        <v>2246</v>
      </c>
      <c r="C995">
        <v>0.1</v>
      </c>
      <c r="D995">
        <v>0.3</v>
      </c>
      <c r="E995">
        <v>0.1</v>
      </c>
      <c r="F995">
        <v>0.1</v>
      </c>
      <c r="G995">
        <v>0.05</v>
      </c>
    </row>
    <row r="996" spans="1:7">
      <c r="A996">
        <v>9535</v>
      </c>
      <c r="B996" s="107" t="s">
        <v>2247</v>
      </c>
      <c r="C996">
        <v>0</v>
      </c>
      <c r="D996">
        <v>0.15</v>
      </c>
      <c r="E996">
        <v>0</v>
      </c>
      <c r="F996">
        <v>0</v>
      </c>
      <c r="G996">
        <v>0</v>
      </c>
    </row>
    <row r="997" spans="1:7">
      <c r="A997">
        <v>9536</v>
      </c>
      <c r="B997" s="107" t="s">
        <v>2248</v>
      </c>
      <c r="C997">
        <v>0.05</v>
      </c>
      <c r="D997">
        <v>0.15</v>
      </c>
      <c r="E997">
        <v>0.05</v>
      </c>
      <c r="F997" s="107" t="s">
        <v>235</v>
      </c>
      <c r="G997">
        <v>0.05</v>
      </c>
    </row>
    <row r="998" spans="1:7">
      <c r="A998">
        <v>9543</v>
      </c>
      <c r="B998" s="107" t="s">
        <v>2249</v>
      </c>
      <c r="C998">
        <v>0.05</v>
      </c>
      <c r="D998">
        <v>0.15</v>
      </c>
      <c r="E998">
        <v>0.05</v>
      </c>
      <c r="F998" s="107">
        <v>0.05</v>
      </c>
      <c r="G998">
        <v>0.05</v>
      </c>
    </row>
    <row r="999" spans="1:7">
      <c r="A999">
        <v>9551</v>
      </c>
      <c r="B999" s="107" t="s">
        <v>2250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9601</v>
      </c>
      <c r="B1000" s="107" t="s">
        <v>2251</v>
      </c>
      <c r="C1000">
        <v>0.3</v>
      </c>
      <c r="D1000">
        <v>0.9</v>
      </c>
      <c r="E1000">
        <v>0.3</v>
      </c>
      <c r="F1000">
        <v>0.3</v>
      </c>
      <c r="G1000">
        <v>0.3</v>
      </c>
    </row>
    <row r="1001" spans="1:7">
      <c r="A1001">
        <v>9603</v>
      </c>
      <c r="B1001" s="107" t="s">
        <v>1336</v>
      </c>
      <c r="C1001">
        <v>0</v>
      </c>
      <c r="D1001" s="107" t="s">
        <v>235</v>
      </c>
      <c r="E1001" s="107" t="s">
        <v>235</v>
      </c>
      <c r="F1001" s="107" t="s">
        <v>235</v>
      </c>
      <c r="G1001" s="107" t="s">
        <v>235</v>
      </c>
    </row>
    <row r="1002" spans="1:7">
      <c r="A1002">
        <v>9605</v>
      </c>
      <c r="B1002" s="107" t="s">
        <v>2252</v>
      </c>
      <c r="C1002">
        <v>0.3</v>
      </c>
      <c r="D1002" s="107">
        <v>0.9</v>
      </c>
      <c r="E1002" s="107">
        <v>0.3</v>
      </c>
      <c r="F1002" s="107">
        <v>0.3</v>
      </c>
      <c r="G1002" s="107">
        <v>0.3</v>
      </c>
    </row>
    <row r="1003" spans="1:7">
      <c r="A1003">
        <v>9613</v>
      </c>
      <c r="B1003" s="107" t="s">
        <v>2253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9619</v>
      </c>
      <c r="B1004" s="107" t="s">
        <v>2254</v>
      </c>
      <c r="C1004">
        <v>0</v>
      </c>
      <c r="D1004" s="107" t="s">
        <v>235</v>
      </c>
      <c r="E1004">
        <v>0</v>
      </c>
      <c r="F1004">
        <v>0</v>
      </c>
      <c r="G1004">
        <v>0</v>
      </c>
    </row>
    <row r="1005" spans="1:7">
      <c r="A1005">
        <v>9622</v>
      </c>
      <c r="B1005" s="107" t="s">
        <v>2255</v>
      </c>
      <c r="C1005">
        <v>0</v>
      </c>
      <c r="D1005" s="107">
        <v>0</v>
      </c>
      <c r="E1005">
        <v>0</v>
      </c>
      <c r="F1005">
        <v>0</v>
      </c>
      <c r="G1005">
        <v>0</v>
      </c>
    </row>
    <row r="1006" spans="1:7">
      <c r="A1006">
        <v>9627</v>
      </c>
      <c r="B1006" s="107" t="s">
        <v>2256</v>
      </c>
      <c r="C1006">
        <v>0</v>
      </c>
      <c r="D1006">
        <v>0.15</v>
      </c>
      <c r="E1006">
        <v>0</v>
      </c>
      <c r="F1006">
        <v>0.1</v>
      </c>
      <c r="G1006">
        <v>0</v>
      </c>
    </row>
    <row r="1007" spans="1:7">
      <c r="A1007">
        <v>9628</v>
      </c>
      <c r="B1007" s="107" t="s">
        <v>2257</v>
      </c>
      <c r="C1007">
        <v>0</v>
      </c>
      <c r="D1007" s="107" t="s">
        <v>235</v>
      </c>
      <c r="E1007" s="107" t="s">
        <v>235</v>
      </c>
      <c r="F1007" s="107" t="s">
        <v>235</v>
      </c>
      <c r="G1007" s="107" t="s">
        <v>235</v>
      </c>
    </row>
    <row r="1008" spans="1:7">
      <c r="A1008">
        <v>9663</v>
      </c>
      <c r="B1008" s="107" t="s">
        <v>2258</v>
      </c>
      <c r="C1008">
        <v>0.15</v>
      </c>
      <c r="D1008" s="107">
        <v>0.45</v>
      </c>
      <c r="E1008" s="107">
        <v>0.15</v>
      </c>
      <c r="F1008" s="107">
        <v>0.15</v>
      </c>
      <c r="G1008" s="107">
        <v>0.15</v>
      </c>
    </row>
    <row r="1009" spans="1:7">
      <c r="A1009">
        <v>9675</v>
      </c>
      <c r="B1009" s="107" t="s">
        <v>2259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>
      <c r="A1010">
        <v>9681</v>
      </c>
      <c r="B1010" s="107" t="s">
        <v>2260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9684</v>
      </c>
      <c r="B1011" s="107" t="s">
        <v>2261</v>
      </c>
      <c r="C1011">
        <v>0</v>
      </c>
      <c r="D1011" s="107" t="s">
        <v>235</v>
      </c>
      <c r="E1011" s="107" t="s">
        <v>235</v>
      </c>
      <c r="F1011">
        <v>0</v>
      </c>
      <c r="G1011" s="107" t="s">
        <v>235</v>
      </c>
    </row>
    <row r="1012" spans="1:7">
      <c r="A1012">
        <v>9697</v>
      </c>
      <c r="B1012" s="107" t="s">
        <v>2262</v>
      </c>
      <c r="C1012">
        <v>0</v>
      </c>
      <c r="D1012" s="107">
        <v>0</v>
      </c>
      <c r="E1012" s="107" t="s">
        <v>235</v>
      </c>
      <c r="F1012" s="107" t="s">
        <v>235</v>
      </c>
      <c r="G1012" s="107" t="s">
        <v>235</v>
      </c>
    </row>
    <row r="1013" spans="1:7">
      <c r="A1013">
        <v>9706</v>
      </c>
      <c r="B1013" s="107" t="s">
        <v>337</v>
      </c>
      <c r="C1013">
        <v>0.1</v>
      </c>
      <c r="D1013">
        <v>0.3</v>
      </c>
      <c r="E1013" s="107">
        <v>0.1</v>
      </c>
      <c r="F1013" s="107">
        <v>0.1</v>
      </c>
      <c r="G1013" s="107">
        <v>0.1</v>
      </c>
    </row>
    <row r="1014" spans="1:7">
      <c r="A1014">
        <v>9715</v>
      </c>
      <c r="B1014" s="107" t="s">
        <v>2263</v>
      </c>
      <c r="C1014">
        <v>0</v>
      </c>
      <c r="D1014">
        <v>0</v>
      </c>
      <c r="E1014" s="107" t="s">
        <v>235</v>
      </c>
      <c r="F1014" s="107" t="s">
        <v>235</v>
      </c>
      <c r="G1014" s="107" t="s">
        <v>235</v>
      </c>
    </row>
    <row r="1015" spans="1:7">
      <c r="A1015">
        <v>9717</v>
      </c>
      <c r="B1015" s="107" t="s">
        <v>2264</v>
      </c>
      <c r="C1015">
        <v>0</v>
      </c>
      <c r="D1015">
        <v>0</v>
      </c>
      <c r="E1015" s="107">
        <v>0</v>
      </c>
      <c r="F1015" s="107">
        <v>0</v>
      </c>
      <c r="G1015" s="107">
        <v>0.05</v>
      </c>
    </row>
    <row r="1016" spans="1:7">
      <c r="A1016">
        <v>9719</v>
      </c>
      <c r="B1016" s="107" t="s">
        <v>1335</v>
      </c>
      <c r="C1016">
        <v>0.1</v>
      </c>
      <c r="D1016">
        <v>0.3</v>
      </c>
      <c r="E1016">
        <v>0.1</v>
      </c>
      <c r="F1016">
        <v>0.1</v>
      </c>
      <c r="G1016">
        <v>0.1</v>
      </c>
    </row>
    <row r="1017" spans="1:7">
      <c r="A1017">
        <v>9722</v>
      </c>
      <c r="B1017" s="107" t="s">
        <v>2265</v>
      </c>
      <c r="C1017">
        <v>0</v>
      </c>
      <c r="D1017">
        <v>0</v>
      </c>
      <c r="E1017">
        <v>0</v>
      </c>
      <c r="F1017" s="107" t="s">
        <v>235</v>
      </c>
      <c r="G1017">
        <v>0</v>
      </c>
    </row>
    <row r="1018" spans="1:7">
      <c r="A1018">
        <v>9726</v>
      </c>
      <c r="B1018" s="107" t="s">
        <v>2266</v>
      </c>
      <c r="C1018">
        <v>0</v>
      </c>
      <c r="D1018">
        <v>0</v>
      </c>
      <c r="E1018">
        <v>0</v>
      </c>
      <c r="F1018" s="107">
        <v>0</v>
      </c>
      <c r="G1018">
        <v>0</v>
      </c>
    </row>
    <row r="1019" spans="1:7">
      <c r="A1019">
        <v>9729</v>
      </c>
      <c r="B1019" s="107" t="s">
        <v>2267</v>
      </c>
      <c r="C1019">
        <v>0.05</v>
      </c>
      <c r="D1019">
        <v>0.15</v>
      </c>
      <c r="E1019">
        <v>0.05</v>
      </c>
      <c r="F1019">
        <v>0.05</v>
      </c>
      <c r="G1019">
        <v>0.05</v>
      </c>
    </row>
    <row r="1020" spans="1:7">
      <c r="A1020">
        <v>9740</v>
      </c>
      <c r="B1020" s="107" t="s">
        <v>2268</v>
      </c>
      <c r="C1020">
        <v>0.15</v>
      </c>
      <c r="D1020">
        <v>0.45</v>
      </c>
      <c r="E1020">
        <v>0.15</v>
      </c>
      <c r="F1020">
        <v>0.15</v>
      </c>
      <c r="G1020">
        <v>0.15</v>
      </c>
    </row>
    <row r="1021" spans="1:7">
      <c r="A1021">
        <v>9743</v>
      </c>
      <c r="B1021" s="107" t="s">
        <v>2269</v>
      </c>
      <c r="C1021">
        <v>0.05</v>
      </c>
      <c r="D1021" s="107" t="s">
        <v>235</v>
      </c>
      <c r="E1021">
        <v>0.05</v>
      </c>
      <c r="F1021" s="107" t="s">
        <v>235</v>
      </c>
      <c r="G1021">
        <v>0.05</v>
      </c>
    </row>
    <row r="1022" spans="1:7">
      <c r="A1022">
        <v>9744</v>
      </c>
      <c r="B1022" s="107" t="s">
        <v>2270</v>
      </c>
      <c r="C1022">
        <v>0.1</v>
      </c>
      <c r="D1022" s="107">
        <v>0.3</v>
      </c>
      <c r="E1022">
        <v>0.1</v>
      </c>
      <c r="F1022" s="107">
        <v>0.1</v>
      </c>
      <c r="G1022">
        <v>0.1</v>
      </c>
    </row>
    <row r="1023" spans="1:7">
      <c r="A1023">
        <v>9746</v>
      </c>
      <c r="B1023" s="107" t="s">
        <v>1298</v>
      </c>
      <c r="C1023">
        <v>0</v>
      </c>
      <c r="D1023">
        <v>0.3</v>
      </c>
      <c r="E1023">
        <v>0</v>
      </c>
      <c r="F1023">
        <v>0.1</v>
      </c>
      <c r="G1023">
        <v>0.1</v>
      </c>
    </row>
    <row r="1024" spans="1:7">
      <c r="A1024">
        <v>9759</v>
      </c>
      <c r="B1024" s="107" t="s">
        <v>1026</v>
      </c>
      <c r="C1024">
        <v>0.05</v>
      </c>
      <c r="D1024">
        <v>0.3</v>
      </c>
      <c r="E1024">
        <v>0.1</v>
      </c>
      <c r="F1024">
        <v>0.1</v>
      </c>
      <c r="G1024">
        <v>0.1</v>
      </c>
    </row>
    <row r="1025" spans="1:7">
      <c r="A1025">
        <v>9763</v>
      </c>
      <c r="B1025" s="107" t="s">
        <v>2271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9765</v>
      </c>
      <c r="B1026" s="107" t="s">
        <v>2272</v>
      </c>
      <c r="C1026">
        <v>0</v>
      </c>
      <c r="D1026">
        <v>0</v>
      </c>
      <c r="E1026">
        <v>0.05</v>
      </c>
      <c r="F1026">
        <v>0</v>
      </c>
      <c r="G1026">
        <v>0</v>
      </c>
    </row>
    <row r="1027" spans="1:7">
      <c r="A1027">
        <v>9787</v>
      </c>
      <c r="B1027" s="107" t="s">
        <v>2273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9788</v>
      </c>
      <c r="B1028" s="107" t="s">
        <v>2274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>
      <c r="A1029">
        <v>9790</v>
      </c>
      <c r="B1029" s="107" t="s">
        <v>2275</v>
      </c>
      <c r="C1029">
        <v>0.1</v>
      </c>
      <c r="D1029">
        <v>0.3</v>
      </c>
      <c r="E1029">
        <v>0.1</v>
      </c>
      <c r="F1029">
        <v>0.1</v>
      </c>
      <c r="G1029">
        <v>0.1</v>
      </c>
    </row>
    <row r="1030" spans="1:7">
      <c r="A1030">
        <v>9824</v>
      </c>
      <c r="B1030" s="107" t="s">
        <v>2276</v>
      </c>
      <c r="C1030">
        <v>0.05</v>
      </c>
      <c r="D1030">
        <v>0.15</v>
      </c>
      <c r="E1030">
        <v>0.1</v>
      </c>
      <c r="F1030">
        <v>0.05</v>
      </c>
      <c r="G1030">
        <v>0.05</v>
      </c>
    </row>
    <row r="1031" spans="1:7">
      <c r="A1031">
        <v>9830</v>
      </c>
      <c r="B1031" s="107" t="s">
        <v>2277</v>
      </c>
      <c r="C1031">
        <v>0</v>
      </c>
      <c r="D1031">
        <v>0</v>
      </c>
      <c r="E1031">
        <v>0</v>
      </c>
      <c r="F1031">
        <v>0</v>
      </c>
      <c r="G1031">
        <v>0.05</v>
      </c>
    </row>
    <row r="1032" spans="1:7">
      <c r="A1032">
        <v>9831</v>
      </c>
      <c r="B1032" s="107" t="s">
        <v>2278</v>
      </c>
      <c r="C1032">
        <v>0.05</v>
      </c>
      <c r="D1032">
        <v>0.15</v>
      </c>
      <c r="E1032">
        <v>0.05</v>
      </c>
      <c r="F1032">
        <v>0.05</v>
      </c>
      <c r="G1032">
        <v>0.05</v>
      </c>
    </row>
    <row r="1033" spans="1:7">
      <c r="A1033">
        <v>9837</v>
      </c>
      <c r="B1033" s="107" t="s">
        <v>2279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>
      <c r="A1034">
        <v>9842</v>
      </c>
      <c r="B1034" s="107" t="s">
        <v>2280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>
      <c r="A1035">
        <v>9843</v>
      </c>
      <c r="B1035" s="107" t="s">
        <v>2281</v>
      </c>
      <c r="C1035">
        <v>0.3</v>
      </c>
      <c r="D1035">
        <v>0.9</v>
      </c>
      <c r="E1035">
        <v>0.3</v>
      </c>
      <c r="F1035">
        <v>0.3</v>
      </c>
      <c r="G1035">
        <v>0.3</v>
      </c>
    </row>
    <row r="1036" spans="1:7">
      <c r="A1036">
        <v>9850</v>
      </c>
      <c r="B1036" s="107" t="s">
        <v>2282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9854</v>
      </c>
      <c r="B1037" s="107" t="s">
        <v>2283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>
      <c r="A1038">
        <v>9856</v>
      </c>
      <c r="B1038" s="107" t="s">
        <v>2284</v>
      </c>
      <c r="C1038">
        <v>0.05</v>
      </c>
      <c r="D1038">
        <v>0.15</v>
      </c>
      <c r="E1038">
        <v>0.05</v>
      </c>
      <c r="F1038">
        <v>0.05</v>
      </c>
      <c r="G1038">
        <v>0.05</v>
      </c>
    </row>
    <row r="1039" spans="1:7">
      <c r="A1039">
        <v>9861</v>
      </c>
      <c r="B1039" s="107" t="s">
        <v>2285</v>
      </c>
      <c r="C1039">
        <v>0.05</v>
      </c>
      <c r="D1039">
        <v>0.15</v>
      </c>
      <c r="E1039">
        <v>0.1</v>
      </c>
      <c r="F1039">
        <v>0.05</v>
      </c>
      <c r="G1039">
        <v>0.05</v>
      </c>
    </row>
    <row r="1040" spans="1:7">
      <c r="A1040">
        <v>9869</v>
      </c>
      <c r="B1040" s="107" t="s">
        <v>2286</v>
      </c>
      <c r="C1040">
        <v>0</v>
      </c>
      <c r="D1040" s="107" t="s">
        <v>235</v>
      </c>
      <c r="E1040" s="107" t="s">
        <v>235</v>
      </c>
      <c r="F1040">
        <v>0</v>
      </c>
      <c r="G1040">
        <v>0</v>
      </c>
    </row>
    <row r="1041" spans="1:7">
      <c r="A1041">
        <v>9872</v>
      </c>
      <c r="B1041" s="107" t="s">
        <v>2287</v>
      </c>
      <c r="C1041">
        <v>0.05</v>
      </c>
      <c r="D1041" s="107">
        <v>0.15</v>
      </c>
      <c r="E1041" s="107">
        <v>0.05</v>
      </c>
      <c r="F1041">
        <v>0.05</v>
      </c>
      <c r="G1041">
        <v>0.05</v>
      </c>
    </row>
    <row r="1042" spans="1:7">
      <c r="A1042">
        <v>9882</v>
      </c>
      <c r="B1042" s="107" t="s">
        <v>2288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9896</v>
      </c>
      <c r="B1043" s="107" t="s">
        <v>2289</v>
      </c>
      <c r="C1043">
        <v>0.05</v>
      </c>
      <c r="D1043">
        <v>0.15</v>
      </c>
      <c r="E1043">
        <v>0.05</v>
      </c>
      <c r="F1043">
        <v>0</v>
      </c>
      <c r="G1043">
        <v>0.05</v>
      </c>
    </row>
    <row r="1044" spans="1:7">
      <c r="A1044">
        <v>9900</v>
      </c>
      <c r="B1044" s="107" t="s">
        <v>2290</v>
      </c>
      <c r="C1044">
        <v>0.05</v>
      </c>
      <c r="D1044">
        <v>0.15</v>
      </c>
      <c r="E1044">
        <v>0.05</v>
      </c>
      <c r="F1044">
        <v>0.05</v>
      </c>
      <c r="G1044">
        <v>0.05</v>
      </c>
    </row>
    <row r="1045" spans="1:7">
      <c r="A1045">
        <v>9902</v>
      </c>
      <c r="B1045" s="107" t="s">
        <v>2291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>
      <c r="A1046">
        <v>9919</v>
      </c>
      <c r="B1046" s="107" t="s">
        <v>2292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9928</v>
      </c>
      <c r="B1047" s="107" t="s">
        <v>2293</v>
      </c>
      <c r="C1047">
        <v>0.1</v>
      </c>
      <c r="D1047">
        <v>0.3</v>
      </c>
      <c r="E1047">
        <v>0.1</v>
      </c>
      <c r="F1047">
        <v>0.1</v>
      </c>
      <c r="G1047">
        <v>0.1</v>
      </c>
    </row>
    <row r="1048" spans="1:7">
      <c r="A1048">
        <v>9930</v>
      </c>
      <c r="B1048" s="107" t="s">
        <v>2294</v>
      </c>
      <c r="C1048">
        <v>0</v>
      </c>
      <c r="D1048">
        <v>0</v>
      </c>
      <c r="E1048">
        <v>0.05</v>
      </c>
      <c r="F1048">
        <v>0.05</v>
      </c>
      <c r="G1048">
        <v>0.05</v>
      </c>
    </row>
    <row r="1049" spans="1:7">
      <c r="A1049">
        <v>9945</v>
      </c>
      <c r="B1049" s="107" t="s">
        <v>2295</v>
      </c>
      <c r="C1049">
        <v>0.05</v>
      </c>
      <c r="D1049">
        <v>0.15</v>
      </c>
      <c r="E1049">
        <v>0.05</v>
      </c>
      <c r="F1049">
        <v>0.05</v>
      </c>
      <c r="G1049">
        <v>0.05</v>
      </c>
    </row>
    <row r="1050" spans="1:7">
      <c r="A1050">
        <v>9946</v>
      </c>
      <c r="B1050" s="107" t="s">
        <v>2296</v>
      </c>
      <c r="C1050">
        <v>0.05</v>
      </c>
      <c r="D1050">
        <v>0.15</v>
      </c>
      <c r="E1050">
        <v>0.05</v>
      </c>
      <c r="F1050">
        <v>0.05</v>
      </c>
      <c r="G1050">
        <v>0.05</v>
      </c>
    </row>
    <row r="1051" spans="1:7">
      <c r="A1051">
        <v>9948</v>
      </c>
      <c r="B1051" s="107" t="s">
        <v>2297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9962</v>
      </c>
      <c r="B1052" s="107" t="s">
        <v>2298</v>
      </c>
      <c r="C1052">
        <v>0.05</v>
      </c>
      <c r="D1052">
        <v>0.15</v>
      </c>
      <c r="E1052">
        <v>0.05</v>
      </c>
      <c r="F1052">
        <v>0.05</v>
      </c>
      <c r="G1052">
        <v>0.05</v>
      </c>
    </row>
    <row r="1053" spans="1:7">
      <c r="A1053">
        <v>9979</v>
      </c>
      <c r="B1053" s="107" t="s">
        <v>2299</v>
      </c>
      <c r="C1053">
        <v>0.05</v>
      </c>
      <c r="D1053">
        <v>0</v>
      </c>
      <c r="E1053">
        <v>0.05</v>
      </c>
      <c r="F1053">
        <v>0.05</v>
      </c>
      <c r="G1053">
        <v>0.05</v>
      </c>
    </row>
    <row r="1054" spans="1:7">
      <c r="A1054">
        <v>9982</v>
      </c>
      <c r="B1054" s="107" t="s">
        <v>2300</v>
      </c>
      <c r="C1054">
        <v>0.05</v>
      </c>
      <c r="D1054">
        <v>0.15</v>
      </c>
      <c r="E1054">
        <v>0.05</v>
      </c>
      <c r="F1054">
        <v>0.05</v>
      </c>
      <c r="G1054">
        <v>0.05</v>
      </c>
    </row>
    <row r="1055" spans="1:7">
      <c r="A1055">
        <v>9983</v>
      </c>
      <c r="B1055" s="107" t="s">
        <v>2301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9989</v>
      </c>
      <c r="B1056" s="107" t="s">
        <v>1326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>
      <c r="A1057">
        <v>9994</v>
      </c>
      <c r="B1057" s="107" t="s">
        <v>2302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>
      <c r="B1058" s="10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グラフ</vt:lpstr>
      <vt:lpstr>BACK_TEST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  <vt:lpstr>gyakunipo_data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2019-12-17T13:37:33Z</dcterms:modified>
</cp:coreProperties>
</file>